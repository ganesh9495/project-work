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tables/table2.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D:\excel work\"/>
    </mc:Choice>
  </mc:AlternateContent>
  <xr:revisionPtr revIDLastSave="0" documentId="13_ncr:1_{B55ED52B-F5C7-442C-84CA-D5EC84655A42}" xr6:coauthVersionLast="47" xr6:coauthVersionMax="47" xr10:uidLastSave="{00000000-0000-0000-0000-000000000000}"/>
  <bookViews>
    <workbookView xWindow="-110" yWindow="-110" windowWidth="25820" windowHeight="13900" xr2:uid="{009654DB-E2D5-40B1-BB4B-47B3016536EE}"/>
  </bookViews>
  <sheets>
    <sheet name="VBA(1)" sheetId="23" r:id="rId1"/>
    <sheet name="VBA(2)" sheetId="24" r:id="rId2"/>
    <sheet name="VBA(3)" sheetId="13" r:id="rId3"/>
    <sheet name="VBA(4)" sheetId="14" r:id="rId4"/>
    <sheet name="VBA code" sheetId="15" r:id="rId5"/>
    <sheet name="Set1" sheetId="1" r:id="rId6"/>
    <sheet name="IF" sheetId="2" r:id="rId7"/>
    <sheet name="Grades" sheetId="3" r:id="rId8"/>
    <sheet name="IFS" sheetId="4" r:id="rId9"/>
    <sheet name="XLookup" sheetId="5" r:id="rId10"/>
    <sheet name="VLookup" sheetId="6" r:id="rId11"/>
    <sheet name="slicers" sheetId="7" r:id="rId12"/>
    <sheet name="Data" sheetId="9" r:id="rId13"/>
    <sheet name="pivot" sheetId="10" r:id="rId14"/>
    <sheet name="finance" sheetId="11" r:id="rId15"/>
    <sheet name="Log" sheetId="12" r:id="rId16"/>
    <sheet name="weighted average forecast" sheetId="16" r:id="rId17"/>
    <sheet name="exer1" sheetId="17" r:id="rId18"/>
    <sheet name="exer2" sheetId="18" r:id="rId19"/>
    <sheet name="exer3" sheetId="19" r:id="rId20"/>
    <sheet name="LOGISTICS" sheetId="21" r:id="rId21"/>
    <sheet name="Logistics opt" sheetId="22" r:id="rId22"/>
  </sheets>
  <externalReferences>
    <externalReference r:id="rId23"/>
    <externalReference r:id="rId24"/>
    <externalReference r:id="rId25"/>
    <externalReference r:id="rId26"/>
  </externalReferences>
  <definedNames>
    <definedName name="_xlnm._FilterDatabase" localSheetId="18" hidden="1">exer2!$A$10:$A$331</definedName>
    <definedName name="_xlnm._FilterDatabase" localSheetId="6" hidden="1">IF!$D$1:$D$28</definedName>
    <definedName name="_xlchart.v1.0" hidden="1">Log!$B$1</definedName>
    <definedName name="_xlchart.v1.1" hidden="1">Log!$B$2:$B$401</definedName>
    <definedName name="Age">'[1]Set 3'!$G$3:$G$29</definedName>
    <definedName name="CostTable">'VBA(1)'!#REF!</definedName>
    <definedName name="DemandTable">'VBA(1)'!#REF!</definedName>
    <definedName name="DPrice">'VBA(1)'!#REF!</definedName>
    <definedName name="Employee">Data!$D$2:$D$1227</definedName>
    <definedName name="FemaleNames">[2]Data!$A$6:$A$4280</definedName>
    <definedName name="FemaleProbability">[2]Data!$C$6:$C$4280</definedName>
    <definedName name="Forwardsize">'Logistics opt'!$B$3</definedName>
    <definedName name="Frequency1">#REF!</definedName>
    <definedName name="LastNames">[2]Data!$I$6:$I$18844</definedName>
    <definedName name="MaleNames">[2]Data!$E$6:$E$1224</definedName>
    <definedName name="MaleProbability">[2]Data!$G$6:$G$1224</definedName>
    <definedName name="MiddleInitials">[2]Data!$M$6:$M$31</definedName>
    <definedName name="MiddleProbability">[2]Data!$O$6:$O$31</definedName>
    <definedName name="numSKU">'Logistics opt'!$B$9</definedName>
    <definedName name="PctMale">#REF!</definedName>
    <definedName name="PctMiddle">#REF!</definedName>
    <definedName name="Period">Data!$A$2:$A$1227</definedName>
    <definedName name="Products">Data!$B$2:$B$1227</definedName>
    <definedName name="replcost">'Logistics opt'!$B$7</definedName>
    <definedName name="RPrice">'VBA(1)'!#REF!</definedName>
    <definedName name="savingsperpick">'Logistics opt'!$B$6</definedName>
    <definedName name="Slicer_Employee">#N/A</definedName>
    <definedName name="Slicer_Employee1">#N/A</definedName>
    <definedName name="Slicer_Product">#N/A</definedName>
    <definedName name="Slicer_Product1">#N/A</definedName>
    <definedName name="Slicer_Region">#N/A</definedName>
    <definedName name="Units">Data!$F$2:$F$1227</definedName>
    <definedName name="Weights">[3]Set2!$A$2:$A$93</definedName>
  </definedNames>
  <calcPr calcId="191029"/>
  <pivotCaches>
    <pivotCache cacheId="3" r:id="rId27"/>
  </pivotCaches>
  <extLst>
    <ext xmlns:x14="http://schemas.microsoft.com/office/spreadsheetml/2009/9/main" uri="{BBE1A952-AA13-448e-AADC-164F8A28A991}">
      <x14:slicerCaches>
        <x14:slicerCache r:id="rId28"/>
        <x14:slicerCache r:id="rId2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4:slicerCache r:id="rId31"/>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3" l="1"/>
  <c r="B3" i="23"/>
  <c r="B3" i="24"/>
  <c r="A3" i="24"/>
  <c r="H13" i="23"/>
  <c r="H12" i="23"/>
  <c r="H11" i="23"/>
  <c r="H10" i="23"/>
  <c r="H9" i="23"/>
  <c r="H8" i="23"/>
  <c r="H7" i="23"/>
  <c r="B5" i="22"/>
  <c r="B6" i="22" s="1"/>
  <c r="M1" i="22"/>
  <c r="M2" i="22" s="1"/>
  <c r="L1" i="22"/>
  <c r="K1" i="22"/>
  <c r="K2" i="22" s="1"/>
  <c r="J1" i="22"/>
  <c r="J2" i="22" s="1"/>
  <c r="I1" i="22"/>
  <c r="I2" i="22" s="1"/>
  <c r="H1" i="22"/>
  <c r="H2" i="22" s="1"/>
  <c r="G1" i="22"/>
  <c r="G2" i="22" s="1"/>
  <c r="E26" i="21"/>
  <c r="F26" i="21" s="1"/>
  <c r="E25" i="21"/>
  <c r="F25" i="21" s="1"/>
  <c r="F24" i="21"/>
  <c r="I24" i="21" s="1"/>
  <c r="E24" i="21"/>
  <c r="E23" i="21"/>
  <c r="F23" i="21" s="1"/>
  <c r="E22" i="21"/>
  <c r="F22" i="21" s="1"/>
  <c r="E21" i="21"/>
  <c r="F21" i="21" s="1"/>
  <c r="I21" i="21" s="1"/>
  <c r="E20" i="21"/>
  <c r="F20" i="21" s="1"/>
  <c r="F19" i="21"/>
  <c r="I19" i="21" s="1"/>
  <c r="E19" i="21"/>
  <c r="E18" i="21"/>
  <c r="F18" i="21" s="1"/>
  <c r="E17" i="21"/>
  <c r="F17" i="21" s="1"/>
  <c r="E16" i="21"/>
  <c r="F16" i="21" s="1"/>
  <c r="I16" i="21" s="1"/>
  <c r="E15" i="21"/>
  <c r="F15" i="21" s="1"/>
  <c r="E14" i="21"/>
  <c r="F14" i="21" s="1"/>
  <c r="E13" i="21"/>
  <c r="F13" i="21" s="1"/>
  <c r="I13" i="21" s="1"/>
  <c r="E12" i="21"/>
  <c r="F12" i="21" s="1"/>
  <c r="E11" i="21"/>
  <c r="F11" i="21" s="1"/>
  <c r="I11" i="21" s="1"/>
  <c r="F10" i="21"/>
  <c r="E10" i="21"/>
  <c r="E9" i="21"/>
  <c r="F9" i="21" s="1"/>
  <c r="E8" i="21"/>
  <c r="F8" i="21" s="1"/>
  <c r="I8" i="21" s="1"/>
  <c r="E7" i="21"/>
  <c r="F7" i="21" s="1"/>
  <c r="E6" i="21"/>
  <c r="F6" i="21" s="1"/>
  <c r="F5" i="21"/>
  <c r="I5" i="21" s="1"/>
  <c r="E5" i="21"/>
  <c r="E4" i="21"/>
  <c r="F4" i="21" s="1"/>
  <c r="E3" i="21"/>
  <c r="F3" i="21" s="1"/>
  <c r="E2" i="21"/>
  <c r="F2" i="21" s="1"/>
  <c r="N1" i="22" l="1"/>
  <c r="I25" i="21"/>
  <c r="I2" i="21"/>
  <c r="I17" i="21"/>
  <c r="I9" i="21"/>
  <c r="I3" i="21"/>
  <c r="I4" i="21"/>
  <c r="I23" i="21"/>
  <c r="I14" i="21"/>
  <c r="I7" i="21"/>
  <c r="I22" i="21"/>
  <c r="I15" i="21"/>
  <c r="I6" i="21"/>
  <c r="I10" i="21"/>
  <c r="I18" i="21"/>
  <c r="I26" i="21"/>
  <c r="L2" i="22"/>
  <c r="I12" i="21"/>
  <c r="I20" i="21"/>
  <c r="J3" i="21" l="1"/>
  <c r="K3" i="21" s="1"/>
  <c r="M3" i="21" s="1"/>
  <c r="N3" i="21" s="1"/>
  <c r="J19" i="21"/>
  <c r="K19" i="21" s="1"/>
  <c r="M19" i="21" s="1"/>
  <c r="N19" i="21" s="1"/>
  <c r="J9" i="21"/>
  <c r="K9" i="21" s="1"/>
  <c r="M9" i="21" s="1"/>
  <c r="N9" i="21" s="1"/>
  <c r="J7" i="21"/>
  <c r="K7" i="21" s="1"/>
  <c r="L9" i="21"/>
  <c r="J6" i="21"/>
  <c r="K6" i="21" s="1"/>
  <c r="J23" i="21"/>
  <c r="K23" i="21" s="1"/>
  <c r="L3" i="21"/>
  <c r="J11" i="21"/>
  <c r="K11" i="21" s="1"/>
  <c r="J14" i="21"/>
  <c r="K14" i="21" s="1"/>
  <c r="J26" i="21"/>
  <c r="K26" i="21" s="1"/>
  <c r="J18" i="21"/>
  <c r="K18" i="21" s="1"/>
  <c r="J22" i="21"/>
  <c r="K22" i="21" s="1"/>
  <c r="J13" i="21"/>
  <c r="K13" i="21" s="1"/>
  <c r="J17" i="21"/>
  <c r="K17" i="21" s="1"/>
  <c r="J20" i="21"/>
  <c r="K20" i="21" s="1"/>
  <c r="J12" i="21"/>
  <c r="K12" i="21" s="1"/>
  <c r="J8" i="21"/>
  <c r="K8" i="21" s="1"/>
  <c r="J24" i="21"/>
  <c r="K24" i="21" s="1"/>
  <c r="J16" i="21"/>
  <c r="K16" i="21" s="1"/>
  <c r="J2" i="21"/>
  <c r="K2" i="21" s="1"/>
  <c r="J10" i="21"/>
  <c r="K10" i="21" s="1"/>
  <c r="J15" i="21"/>
  <c r="K15" i="21" s="1"/>
  <c r="J4" i="21"/>
  <c r="K4" i="21" s="1"/>
  <c r="J21" i="21"/>
  <c r="K21" i="21" s="1"/>
  <c r="J5" i="21"/>
  <c r="K5" i="21" s="1"/>
  <c r="J25" i="21"/>
  <c r="K25" i="21" s="1"/>
  <c r="G3" i="21" l="1"/>
  <c r="H3" i="21" s="1"/>
  <c r="L19" i="21"/>
  <c r="G19" i="21"/>
  <c r="H19" i="21" s="1"/>
  <c r="M22" i="21"/>
  <c r="N22" i="21" s="1"/>
  <c r="G22" i="21"/>
  <c r="H22" i="21" s="1"/>
  <c r="L22" i="21"/>
  <c r="G14" i="21"/>
  <c r="H14" i="21" s="1"/>
  <c r="M14" i="21" s="1"/>
  <c r="N14" i="21" s="1"/>
  <c r="L14" i="21"/>
  <c r="M15" i="21"/>
  <c r="N15" i="21" s="1"/>
  <c r="G15" i="21"/>
  <c r="H15" i="21" s="1"/>
  <c r="L15" i="21"/>
  <c r="M13" i="21"/>
  <c r="N13" i="21" s="1"/>
  <c r="L13" i="21"/>
  <c r="G13" i="21"/>
  <c r="H13" i="21" s="1"/>
  <c r="L5" i="21"/>
  <c r="G5" i="21"/>
  <c r="H5" i="21" s="1"/>
  <c r="M5" i="21" s="1"/>
  <c r="N5" i="21" s="1"/>
  <c r="M4" i="21"/>
  <c r="N4" i="21" s="1"/>
  <c r="G4" i="21"/>
  <c r="H4" i="21" s="1"/>
  <c r="L4" i="21"/>
  <c r="M2" i="21"/>
  <c r="N2" i="21" s="1"/>
  <c r="G2" i="21"/>
  <c r="H2" i="21" s="1"/>
  <c r="L2" i="21"/>
  <c r="M25" i="21"/>
  <c r="N25" i="21" s="1"/>
  <c r="G25" i="21"/>
  <c r="H25" i="21" s="1"/>
  <c r="L25" i="21"/>
  <c r="M26" i="21"/>
  <c r="N26" i="21" s="1"/>
  <c r="G26" i="21"/>
  <c r="H26" i="21" s="1"/>
  <c r="L26" i="21"/>
  <c r="M21" i="21"/>
  <c r="N21" i="21" s="1"/>
  <c r="G21" i="21"/>
  <c r="H21" i="21" s="1"/>
  <c r="L21" i="21"/>
  <c r="M23" i="21"/>
  <c r="N23" i="21" s="1"/>
  <c r="L23" i="21"/>
  <c r="G23" i="21"/>
  <c r="H23" i="21" s="1"/>
  <c r="M7" i="21"/>
  <c r="N7" i="21" s="1"/>
  <c r="G7" i="21"/>
  <c r="H7" i="21" s="1"/>
  <c r="L7" i="21"/>
  <c r="M17" i="21"/>
  <c r="N17" i="21" s="1"/>
  <c r="L17" i="21"/>
  <c r="G17" i="21"/>
  <c r="H17" i="21" s="1"/>
  <c r="M18" i="21"/>
  <c r="N18" i="21" s="1"/>
  <c r="L18" i="21"/>
  <c r="G18" i="21"/>
  <c r="H18" i="21" s="1"/>
  <c r="G11" i="21"/>
  <c r="H11" i="21" s="1"/>
  <c r="M11" i="21" s="1"/>
  <c r="N11" i="21" s="1"/>
  <c r="L11" i="21"/>
  <c r="M10" i="21"/>
  <c r="N10" i="21" s="1"/>
  <c r="L10" i="21"/>
  <c r="G10" i="21"/>
  <c r="H10" i="21" s="1"/>
  <c r="M6" i="21"/>
  <c r="N6" i="21" s="1"/>
  <c r="L6" i="21"/>
  <c r="G6" i="21"/>
  <c r="H6" i="21" s="1"/>
  <c r="M16" i="21"/>
  <c r="N16" i="21" s="1"/>
  <c r="G16" i="21"/>
  <c r="H16" i="21" s="1"/>
  <c r="L16" i="21"/>
  <c r="G9" i="21"/>
  <c r="H9" i="21" s="1"/>
  <c r="M24" i="21"/>
  <c r="N24" i="21" s="1"/>
  <c r="L24" i="21"/>
  <c r="G24" i="21"/>
  <c r="H24" i="21" s="1"/>
  <c r="L8" i="21"/>
  <c r="G8" i="21"/>
  <c r="H8" i="21" s="1"/>
  <c r="M8" i="21" s="1"/>
  <c r="N8" i="21" s="1"/>
  <c r="M12" i="21"/>
  <c r="N12" i="21" s="1"/>
  <c r="L12" i="21"/>
  <c r="G12" i="21"/>
  <c r="H12" i="21" s="1"/>
  <c r="G20" i="21"/>
  <c r="H20" i="21" s="1"/>
  <c r="M20" i="21" s="1"/>
  <c r="N20" i="21" s="1"/>
  <c r="L20" i="21"/>
  <c r="B13" i="22" l="1"/>
  <c r="B12" i="22"/>
  <c r="B15" i="22" s="1"/>
  <c r="F5" i="22" s="1"/>
  <c r="N248" i="19" l="1"/>
  <c r="O248" i="19" s="1"/>
  <c r="N247" i="19"/>
  <c r="O247" i="19" s="1"/>
  <c r="N246" i="19"/>
  <c r="O246" i="19" s="1"/>
  <c r="N245" i="19"/>
  <c r="O245" i="19" s="1"/>
  <c r="N244" i="19"/>
  <c r="O244" i="19" s="1"/>
  <c r="N243" i="19"/>
  <c r="O243" i="19" s="1"/>
  <c r="N242" i="19"/>
  <c r="O242" i="19" s="1"/>
  <c r="N241" i="19"/>
  <c r="O241" i="19" s="1"/>
  <c r="N240" i="19"/>
  <c r="O240" i="19" s="1"/>
  <c r="N239" i="19"/>
  <c r="O239" i="19" s="1"/>
  <c r="N238" i="19"/>
  <c r="O238" i="19" s="1"/>
  <c r="N237" i="19"/>
  <c r="O237" i="19" s="1"/>
  <c r="N236" i="19"/>
  <c r="O236" i="19" s="1"/>
  <c r="N235" i="19"/>
  <c r="O235" i="19" s="1"/>
  <c r="N234" i="19"/>
  <c r="O234" i="19" s="1"/>
  <c r="N233" i="19"/>
  <c r="O233" i="19" s="1"/>
  <c r="N232" i="19"/>
  <c r="O232" i="19" s="1"/>
  <c r="N231" i="19"/>
  <c r="O231" i="19" s="1"/>
  <c r="N230" i="19"/>
  <c r="O230" i="19" s="1"/>
  <c r="N229" i="19"/>
  <c r="O229" i="19" s="1"/>
  <c r="N228" i="19"/>
  <c r="O228" i="19" s="1"/>
  <c r="N227" i="19"/>
  <c r="O227" i="19" s="1"/>
  <c r="N226" i="19"/>
  <c r="O226" i="19" s="1"/>
  <c r="N225" i="19"/>
  <c r="O225" i="19" s="1"/>
  <c r="N224" i="19"/>
  <c r="O224" i="19" s="1"/>
  <c r="N223" i="19"/>
  <c r="O223" i="19" s="1"/>
  <c r="N222" i="19"/>
  <c r="O222" i="19" s="1"/>
  <c r="N221" i="19"/>
  <c r="O221" i="19" s="1"/>
  <c r="N220" i="19"/>
  <c r="O220" i="19" s="1"/>
  <c r="N219" i="19"/>
  <c r="O219" i="19" s="1"/>
  <c r="N218" i="19"/>
  <c r="O218" i="19" s="1"/>
  <c r="N217" i="19"/>
  <c r="O217" i="19" s="1"/>
  <c r="N216" i="19"/>
  <c r="O216" i="19" s="1"/>
  <c r="N215" i="19"/>
  <c r="O215" i="19" s="1"/>
  <c r="N214" i="19"/>
  <c r="O214" i="19" s="1"/>
  <c r="N213" i="19"/>
  <c r="O213" i="19" s="1"/>
  <c r="N212" i="19"/>
  <c r="O212" i="19" s="1"/>
  <c r="N211" i="19"/>
  <c r="O211" i="19" s="1"/>
  <c r="N210" i="19"/>
  <c r="O210" i="19" s="1"/>
  <c r="N209" i="19"/>
  <c r="O209" i="19" s="1"/>
  <c r="N208" i="19"/>
  <c r="O208" i="19" s="1"/>
  <c r="N207" i="19"/>
  <c r="O207" i="19" s="1"/>
  <c r="N206" i="19"/>
  <c r="O206" i="19" s="1"/>
  <c r="N205" i="19"/>
  <c r="O205" i="19" s="1"/>
  <c r="N204" i="19"/>
  <c r="O204" i="19" s="1"/>
  <c r="N203" i="19"/>
  <c r="O203" i="19" s="1"/>
  <c r="N202" i="19"/>
  <c r="O202" i="19" s="1"/>
  <c r="N201" i="19"/>
  <c r="O201" i="19" s="1"/>
  <c r="N200" i="19"/>
  <c r="O200" i="19" s="1"/>
  <c r="N199" i="19"/>
  <c r="O199" i="19" s="1"/>
  <c r="N198" i="19"/>
  <c r="O198" i="19" s="1"/>
  <c r="N197" i="19"/>
  <c r="O197" i="19" s="1"/>
  <c r="N196" i="19"/>
  <c r="O196" i="19" s="1"/>
  <c r="N195" i="19"/>
  <c r="O195" i="19" s="1"/>
  <c r="N194" i="19"/>
  <c r="O194" i="19" s="1"/>
  <c r="N193" i="19"/>
  <c r="O193" i="19" s="1"/>
  <c r="N192" i="19"/>
  <c r="O192" i="19" s="1"/>
  <c r="N191" i="19"/>
  <c r="O191" i="19" s="1"/>
  <c r="N190" i="19"/>
  <c r="O190" i="19" s="1"/>
  <c r="N189" i="19"/>
  <c r="O189" i="19" s="1"/>
  <c r="N188" i="19"/>
  <c r="O188" i="19" s="1"/>
  <c r="N187" i="19"/>
  <c r="O187" i="19" s="1"/>
  <c r="N186" i="19"/>
  <c r="O186" i="19" s="1"/>
  <c r="N185" i="19"/>
  <c r="O185" i="19" s="1"/>
  <c r="N184" i="19"/>
  <c r="O184" i="19" s="1"/>
  <c r="N183" i="19"/>
  <c r="O183" i="19" s="1"/>
  <c r="N182" i="19"/>
  <c r="O182" i="19" s="1"/>
  <c r="N181" i="19"/>
  <c r="O181" i="19" s="1"/>
  <c r="N180" i="19"/>
  <c r="O180" i="19" s="1"/>
  <c r="N179" i="19"/>
  <c r="O179" i="19" s="1"/>
  <c r="N178" i="19"/>
  <c r="O178" i="19" s="1"/>
  <c r="N177" i="19"/>
  <c r="O177" i="19" s="1"/>
  <c r="N176" i="19"/>
  <c r="O176" i="19" s="1"/>
  <c r="N175" i="19"/>
  <c r="O175" i="19" s="1"/>
  <c r="N174" i="19"/>
  <c r="O174" i="19" s="1"/>
  <c r="N173" i="19"/>
  <c r="O173" i="19" s="1"/>
  <c r="N172" i="19"/>
  <c r="O172" i="19" s="1"/>
  <c r="N171" i="19"/>
  <c r="O171" i="19" s="1"/>
  <c r="N170" i="19"/>
  <c r="O170" i="19" s="1"/>
  <c r="N169" i="19"/>
  <c r="O169" i="19" s="1"/>
  <c r="N168" i="19"/>
  <c r="O168" i="19" s="1"/>
  <c r="N167" i="19"/>
  <c r="O167" i="19" s="1"/>
  <c r="N166" i="19"/>
  <c r="O166" i="19" s="1"/>
  <c r="N165" i="19"/>
  <c r="O165" i="19" s="1"/>
  <c r="N164" i="19"/>
  <c r="O164" i="19" s="1"/>
  <c r="N163" i="19"/>
  <c r="O163" i="19" s="1"/>
  <c r="N162" i="19"/>
  <c r="O162" i="19" s="1"/>
  <c r="N161" i="19"/>
  <c r="O161" i="19" s="1"/>
  <c r="N160" i="19"/>
  <c r="O160" i="19" s="1"/>
  <c r="N159" i="19"/>
  <c r="O159" i="19" s="1"/>
  <c r="N158" i="19"/>
  <c r="O158" i="19" s="1"/>
  <c r="N157" i="19"/>
  <c r="O157" i="19" s="1"/>
  <c r="N156" i="19"/>
  <c r="O156" i="19" s="1"/>
  <c r="N155" i="19"/>
  <c r="O155" i="19" s="1"/>
  <c r="N154" i="19"/>
  <c r="O154" i="19" s="1"/>
  <c r="N153" i="19"/>
  <c r="O153" i="19" s="1"/>
  <c r="N152" i="19"/>
  <c r="O152" i="19" s="1"/>
  <c r="N151" i="19"/>
  <c r="O151" i="19" s="1"/>
  <c r="N150" i="19"/>
  <c r="O150" i="19" s="1"/>
  <c r="N149" i="19"/>
  <c r="O149" i="19" s="1"/>
  <c r="N148" i="19"/>
  <c r="O148" i="19" s="1"/>
  <c r="N147" i="19"/>
  <c r="O147" i="19" s="1"/>
  <c r="N146" i="19"/>
  <c r="O146" i="19" s="1"/>
  <c r="N145" i="19"/>
  <c r="O145" i="19" s="1"/>
  <c r="N144" i="19"/>
  <c r="O144" i="19" s="1"/>
  <c r="N143" i="19"/>
  <c r="O143" i="19" s="1"/>
  <c r="N142" i="19"/>
  <c r="O142" i="19" s="1"/>
  <c r="N141" i="19"/>
  <c r="O141" i="19" s="1"/>
  <c r="N140" i="19"/>
  <c r="O140" i="19" s="1"/>
  <c r="N139" i="19"/>
  <c r="O139" i="19" s="1"/>
  <c r="N138" i="19"/>
  <c r="O138" i="19" s="1"/>
  <c r="N137" i="19"/>
  <c r="O137" i="19" s="1"/>
  <c r="N136" i="19"/>
  <c r="O136" i="19" s="1"/>
  <c r="N135" i="19"/>
  <c r="O135" i="19" s="1"/>
  <c r="N134" i="19"/>
  <c r="O134" i="19" s="1"/>
  <c r="N133" i="19"/>
  <c r="O133" i="19" s="1"/>
  <c r="N132" i="19"/>
  <c r="O132" i="19" s="1"/>
  <c r="N131" i="19"/>
  <c r="O131" i="19" s="1"/>
  <c r="N130" i="19"/>
  <c r="O130" i="19" s="1"/>
  <c r="N129" i="19"/>
  <c r="O129" i="19" s="1"/>
  <c r="N128" i="19"/>
  <c r="O128" i="19" s="1"/>
  <c r="N127" i="19"/>
  <c r="O127" i="19" s="1"/>
  <c r="N126" i="19"/>
  <c r="O126" i="19" s="1"/>
  <c r="N125" i="19"/>
  <c r="O125" i="19" s="1"/>
  <c r="N124" i="19"/>
  <c r="O124" i="19" s="1"/>
  <c r="N123" i="19"/>
  <c r="O123" i="19" s="1"/>
  <c r="N122" i="19"/>
  <c r="O122" i="19" s="1"/>
  <c r="N121" i="19"/>
  <c r="O121" i="19" s="1"/>
  <c r="N120" i="19"/>
  <c r="O120" i="19" s="1"/>
  <c r="N119" i="19"/>
  <c r="O119" i="19" s="1"/>
  <c r="N118" i="19"/>
  <c r="O118" i="19" s="1"/>
  <c r="N117" i="19"/>
  <c r="O117" i="19" s="1"/>
  <c r="N116" i="19"/>
  <c r="O116" i="19" s="1"/>
  <c r="N115" i="19"/>
  <c r="O115" i="19" s="1"/>
  <c r="N114" i="19"/>
  <c r="O114" i="19" s="1"/>
  <c r="N113" i="19"/>
  <c r="O113" i="19" s="1"/>
  <c r="N112" i="19"/>
  <c r="O112" i="19" s="1"/>
  <c r="N111" i="19"/>
  <c r="O111" i="19" s="1"/>
  <c r="N110" i="19"/>
  <c r="O110" i="19" s="1"/>
  <c r="N109" i="19"/>
  <c r="O109" i="19" s="1"/>
  <c r="N108" i="19"/>
  <c r="O108" i="19" s="1"/>
  <c r="N107" i="19"/>
  <c r="O107" i="19" s="1"/>
  <c r="N106" i="19"/>
  <c r="O106" i="19" s="1"/>
  <c r="N105" i="19"/>
  <c r="O105" i="19" s="1"/>
  <c r="N104" i="19"/>
  <c r="O104" i="19" s="1"/>
  <c r="N103" i="19"/>
  <c r="O103" i="19" s="1"/>
  <c r="N102" i="19"/>
  <c r="O102" i="19" s="1"/>
  <c r="N101" i="19"/>
  <c r="O101" i="19" s="1"/>
  <c r="N100" i="19"/>
  <c r="O100" i="19" s="1"/>
  <c r="N99" i="19"/>
  <c r="O99" i="19" s="1"/>
  <c r="N98" i="19"/>
  <c r="O98" i="19" s="1"/>
  <c r="N97" i="19"/>
  <c r="O97" i="19" s="1"/>
  <c r="N96" i="19"/>
  <c r="O96" i="19" s="1"/>
  <c r="N95" i="19"/>
  <c r="O95" i="19" s="1"/>
  <c r="N94" i="19"/>
  <c r="O94" i="19" s="1"/>
  <c r="N93" i="19"/>
  <c r="O93" i="19" s="1"/>
  <c r="N92" i="19"/>
  <c r="O92" i="19" s="1"/>
  <c r="N91" i="19"/>
  <c r="O91" i="19" s="1"/>
  <c r="N90" i="19"/>
  <c r="O90" i="19" s="1"/>
  <c r="N89" i="19"/>
  <c r="O89" i="19" s="1"/>
  <c r="N88" i="19"/>
  <c r="O88" i="19" s="1"/>
  <c r="N87" i="19"/>
  <c r="O87" i="19" s="1"/>
  <c r="N86" i="19"/>
  <c r="O86" i="19" s="1"/>
  <c r="N85" i="19"/>
  <c r="O85" i="19" s="1"/>
  <c r="N84" i="19"/>
  <c r="O84" i="19" s="1"/>
  <c r="N83" i="19"/>
  <c r="O83" i="19" s="1"/>
  <c r="N82" i="19"/>
  <c r="O82" i="19" s="1"/>
  <c r="N81" i="19"/>
  <c r="O81" i="19" s="1"/>
  <c r="N80" i="19"/>
  <c r="O80" i="19" s="1"/>
  <c r="N79" i="19"/>
  <c r="O79" i="19" s="1"/>
  <c r="N78" i="19"/>
  <c r="O78" i="19" s="1"/>
  <c r="N77" i="19"/>
  <c r="O77" i="19" s="1"/>
  <c r="N76" i="19"/>
  <c r="O76" i="19" s="1"/>
  <c r="N75" i="19"/>
  <c r="O75" i="19" s="1"/>
  <c r="N74" i="19"/>
  <c r="O74" i="19" s="1"/>
  <c r="N73" i="19"/>
  <c r="O73" i="19" s="1"/>
  <c r="N72" i="19"/>
  <c r="O72" i="19" s="1"/>
  <c r="N71" i="19"/>
  <c r="O71" i="19" s="1"/>
  <c r="N70" i="19"/>
  <c r="O70" i="19" s="1"/>
  <c r="N69" i="19"/>
  <c r="O69" i="19" s="1"/>
  <c r="N68" i="19"/>
  <c r="O68" i="19" s="1"/>
  <c r="N67" i="19"/>
  <c r="O67" i="19" s="1"/>
  <c r="N66" i="19"/>
  <c r="O66" i="19" s="1"/>
  <c r="N65" i="19"/>
  <c r="O65" i="19" s="1"/>
  <c r="N64" i="19"/>
  <c r="O64" i="19" s="1"/>
  <c r="N63" i="19"/>
  <c r="O63" i="19" s="1"/>
  <c r="N62" i="19"/>
  <c r="O62" i="19" s="1"/>
  <c r="N61" i="19"/>
  <c r="O61" i="19" s="1"/>
  <c r="N60" i="19"/>
  <c r="O60" i="19" s="1"/>
  <c r="N59" i="19"/>
  <c r="O59" i="19" s="1"/>
  <c r="N58" i="19"/>
  <c r="O58" i="19" s="1"/>
  <c r="N57" i="19"/>
  <c r="O57" i="19" s="1"/>
  <c r="N56" i="19"/>
  <c r="O56" i="19" s="1"/>
  <c r="N55" i="19"/>
  <c r="O55" i="19" s="1"/>
  <c r="N54" i="19"/>
  <c r="O54" i="19" s="1"/>
  <c r="N53" i="19"/>
  <c r="O53" i="19" s="1"/>
  <c r="N52" i="19"/>
  <c r="O52" i="19" s="1"/>
  <c r="N51" i="19"/>
  <c r="O51" i="19" s="1"/>
  <c r="N50" i="19"/>
  <c r="O50" i="19" s="1"/>
  <c r="N49" i="19"/>
  <c r="O49" i="19" s="1"/>
  <c r="N48" i="19"/>
  <c r="O48" i="19" s="1"/>
  <c r="N47" i="19"/>
  <c r="O47" i="19" s="1"/>
  <c r="N46" i="19"/>
  <c r="O46" i="19" s="1"/>
  <c r="N45" i="19"/>
  <c r="O45" i="19" s="1"/>
  <c r="N44" i="19"/>
  <c r="O44" i="19" s="1"/>
  <c r="N43" i="19"/>
  <c r="O43" i="19" s="1"/>
  <c r="N42" i="19"/>
  <c r="O42" i="19" s="1"/>
  <c r="N41" i="19"/>
  <c r="O41" i="19" s="1"/>
  <c r="N40" i="19"/>
  <c r="O40" i="19" s="1"/>
  <c r="N39" i="19"/>
  <c r="O39" i="19" s="1"/>
  <c r="N38" i="19"/>
  <c r="O38" i="19" s="1"/>
  <c r="N37" i="19"/>
  <c r="O37" i="19" s="1"/>
  <c r="N36" i="19"/>
  <c r="O36" i="19" s="1"/>
  <c r="N35" i="19"/>
  <c r="O35" i="19" s="1"/>
  <c r="N34" i="19"/>
  <c r="O34" i="19" s="1"/>
  <c r="N33" i="19"/>
  <c r="O33" i="19" s="1"/>
  <c r="N32" i="19"/>
  <c r="O32" i="19" s="1"/>
  <c r="N31" i="19"/>
  <c r="O31" i="19" s="1"/>
  <c r="N30" i="19"/>
  <c r="O30" i="19" s="1"/>
  <c r="N29" i="19"/>
  <c r="O29" i="19" s="1"/>
  <c r="N28" i="19"/>
  <c r="O28" i="19" s="1"/>
  <c r="N27" i="19"/>
  <c r="O27" i="19" s="1"/>
  <c r="N26" i="19"/>
  <c r="O26" i="19" s="1"/>
  <c r="N25" i="19"/>
  <c r="O25" i="19" s="1"/>
  <c r="N24" i="19"/>
  <c r="O24" i="19" s="1"/>
  <c r="N23" i="19"/>
  <c r="O23" i="19" s="1"/>
  <c r="T22" i="19"/>
  <c r="N22" i="19"/>
  <c r="O22" i="19" s="1"/>
  <c r="W21" i="19" a="1"/>
  <c r="W21" i="19" s="1"/>
  <c r="T21" i="19" a="1"/>
  <c r="T21" i="19" s="1"/>
  <c r="N21" i="19"/>
  <c r="O21" i="19" s="1"/>
  <c r="N20" i="19"/>
  <c r="O20" i="19" s="1"/>
  <c r="N19" i="19"/>
  <c r="O19" i="19" s="1"/>
  <c r="N18" i="19"/>
  <c r="O18" i="19" s="1"/>
  <c r="N17" i="19"/>
  <c r="O17" i="19" s="1"/>
  <c r="N16" i="19"/>
  <c r="O16" i="19" s="1"/>
  <c r="N15" i="19"/>
  <c r="O15" i="19" s="1"/>
  <c r="N14" i="19"/>
  <c r="O14" i="19" s="1"/>
  <c r="O13" i="19"/>
  <c r="N13" i="19"/>
  <c r="T12" i="19"/>
  <c r="V12" i="19" s="1"/>
  <c r="W12" i="19" s="1"/>
  <c r="N12" i="19"/>
  <c r="O12" i="19" s="1"/>
  <c r="T11" i="19"/>
  <c r="V11" i="19" s="1"/>
  <c r="W11" i="19" s="1"/>
  <c r="O11" i="19"/>
  <c r="N11" i="19"/>
  <c r="T10" i="19"/>
  <c r="X10" i="19" s="1"/>
  <c r="N10" i="19"/>
  <c r="O10" i="19" s="1"/>
  <c r="N9" i="19"/>
  <c r="H331" i="18"/>
  <c r="I331" i="18" s="1"/>
  <c r="G331" i="18"/>
  <c r="G330" i="18"/>
  <c r="H330" i="18" s="1"/>
  <c r="I330" i="18" s="1"/>
  <c r="G329" i="18"/>
  <c r="H329" i="18" s="1"/>
  <c r="I329" i="18" s="1"/>
  <c r="G328" i="18"/>
  <c r="H328" i="18" s="1"/>
  <c r="I328" i="18" s="1"/>
  <c r="G327" i="18"/>
  <c r="H327" i="18" s="1"/>
  <c r="I327" i="18" s="1"/>
  <c r="G326" i="18"/>
  <c r="H326" i="18" s="1"/>
  <c r="I326" i="18" s="1"/>
  <c r="H325" i="18"/>
  <c r="I325" i="18" s="1"/>
  <c r="G325" i="18"/>
  <c r="G324" i="18"/>
  <c r="H324" i="18" s="1"/>
  <c r="I324" i="18" s="1"/>
  <c r="H323" i="18"/>
  <c r="I323" i="18" s="1"/>
  <c r="G323" i="18"/>
  <c r="G322" i="18"/>
  <c r="H322" i="18" s="1"/>
  <c r="I322" i="18" s="1"/>
  <c r="G321" i="18"/>
  <c r="H321" i="18" s="1"/>
  <c r="I321" i="18" s="1"/>
  <c r="G320" i="18"/>
  <c r="H320" i="18" s="1"/>
  <c r="I320" i="18" s="1"/>
  <c r="H319" i="18"/>
  <c r="I319" i="18" s="1"/>
  <c r="G319" i="18"/>
  <c r="G318" i="18"/>
  <c r="H318" i="18" s="1"/>
  <c r="I318" i="18" s="1"/>
  <c r="H317" i="18"/>
  <c r="I317" i="18" s="1"/>
  <c r="G317" i="18"/>
  <c r="G316" i="18"/>
  <c r="H316" i="18" s="1"/>
  <c r="I316" i="18" s="1"/>
  <c r="H315" i="18"/>
  <c r="I315" i="18" s="1"/>
  <c r="G315" i="18"/>
  <c r="G314" i="18"/>
  <c r="H314" i="18" s="1"/>
  <c r="I314" i="18" s="1"/>
  <c r="G313" i="18"/>
  <c r="H313" i="18" s="1"/>
  <c r="I313" i="18" s="1"/>
  <c r="G312" i="18"/>
  <c r="H312" i="18" s="1"/>
  <c r="I312" i="18" s="1"/>
  <c r="G311" i="18"/>
  <c r="H311" i="18" s="1"/>
  <c r="I311" i="18" s="1"/>
  <c r="G310" i="18"/>
  <c r="H310" i="18" s="1"/>
  <c r="I310" i="18" s="1"/>
  <c r="G309" i="18"/>
  <c r="H309" i="18" s="1"/>
  <c r="G308" i="18"/>
  <c r="H308" i="18" s="1"/>
  <c r="I308" i="18" s="1"/>
  <c r="G307" i="18"/>
  <c r="H307" i="18" s="1"/>
  <c r="I307" i="18" s="1"/>
  <c r="G306" i="18"/>
  <c r="H306" i="18" s="1"/>
  <c r="I306" i="18" s="1"/>
  <c r="G305" i="18"/>
  <c r="H305" i="18" s="1"/>
  <c r="I305" i="18" s="1"/>
  <c r="G304" i="18"/>
  <c r="H304" i="18" s="1"/>
  <c r="I304" i="18" s="1"/>
  <c r="G303" i="18"/>
  <c r="H303" i="18" s="1"/>
  <c r="I303" i="18" s="1"/>
  <c r="G302" i="18"/>
  <c r="H302" i="18" s="1"/>
  <c r="I302" i="18" s="1"/>
  <c r="G301" i="18"/>
  <c r="H301" i="18" s="1"/>
  <c r="I301" i="18" s="1"/>
  <c r="G300" i="18"/>
  <c r="H300" i="18" s="1"/>
  <c r="I300" i="18" s="1"/>
  <c r="H299" i="18"/>
  <c r="I299" i="18" s="1"/>
  <c r="G299" i="18"/>
  <c r="G298" i="18"/>
  <c r="H298" i="18" s="1"/>
  <c r="I298" i="18" s="1"/>
  <c r="G297" i="18"/>
  <c r="H297" i="18" s="1"/>
  <c r="I297" i="18" s="1"/>
  <c r="G296" i="18"/>
  <c r="H296" i="18" s="1"/>
  <c r="I296" i="18" s="1"/>
  <c r="G295" i="18"/>
  <c r="H295" i="18" s="1"/>
  <c r="I295" i="18" s="1"/>
  <c r="G294" i="18"/>
  <c r="H294" i="18" s="1"/>
  <c r="I294" i="18" s="1"/>
  <c r="H293" i="18"/>
  <c r="I293" i="18" s="1"/>
  <c r="G293" i="18"/>
  <c r="G292" i="18"/>
  <c r="H292" i="18" s="1"/>
  <c r="I292" i="18" s="1"/>
  <c r="H291" i="18"/>
  <c r="I291" i="18" s="1"/>
  <c r="G291" i="18"/>
  <c r="G290" i="18"/>
  <c r="H290" i="18" s="1"/>
  <c r="I290" i="18" s="1"/>
  <c r="G289" i="18"/>
  <c r="H289" i="18" s="1"/>
  <c r="I289" i="18" s="1"/>
  <c r="G288" i="18"/>
  <c r="H288" i="18" s="1"/>
  <c r="I288" i="18" s="1"/>
  <c r="H287" i="18"/>
  <c r="I287" i="18" s="1"/>
  <c r="G287" i="18"/>
  <c r="G286" i="18"/>
  <c r="H286" i="18" s="1"/>
  <c r="I286" i="18" s="1"/>
  <c r="H285" i="18"/>
  <c r="I285" i="18" s="1"/>
  <c r="G285" i="18"/>
  <c r="G284" i="18"/>
  <c r="H284" i="18" s="1"/>
  <c r="I284" i="18" s="1"/>
  <c r="H283" i="18"/>
  <c r="I283" i="18" s="1"/>
  <c r="G283" i="18"/>
  <c r="G282" i="18"/>
  <c r="H282" i="18" s="1"/>
  <c r="I282" i="18" s="1"/>
  <c r="G281" i="18"/>
  <c r="H281" i="18" s="1"/>
  <c r="I281" i="18" s="1"/>
  <c r="G280" i="18"/>
  <c r="H280" i="18" s="1"/>
  <c r="I280" i="18" s="1"/>
  <c r="G279" i="18"/>
  <c r="H279" i="18" s="1"/>
  <c r="I279" i="18" s="1"/>
  <c r="G278" i="18"/>
  <c r="H278" i="18" s="1"/>
  <c r="I278" i="18" s="1"/>
  <c r="G277" i="18"/>
  <c r="H277" i="18" s="1"/>
  <c r="I277" i="18" s="1"/>
  <c r="G276" i="18"/>
  <c r="H276" i="18" s="1"/>
  <c r="I276" i="18" s="1"/>
  <c r="G275" i="18"/>
  <c r="H275" i="18" s="1"/>
  <c r="I275" i="18" s="1"/>
  <c r="G274" i="18"/>
  <c r="H274" i="18" s="1"/>
  <c r="I274" i="18" s="1"/>
  <c r="G273" i="18"/>
  <c r="H273" i="18" s="1"/>
  <c r="I273" i="18" s="1"/>
  <c r="G272" i="18"/>
  <c r="H272" i="18" s="1"/>
  <c r="I272" i="18" s="1"/>
  <c r="G271" i="18"/>
  <c r="H271" i="18" s="1"/>
  <c r="I271" i="18" s="1"/>
  <c r="G270" i="18"/>
  <c r="H270" i="18" s="1"/>
  <c r="I270" i="18" s="1"/>
  <c r="H269" i="18"/>
  <c r="I269" i="18" s="1"/>
  <c r="G269" i="18"/>
  <c r="G268" i="18"/>
  <c r="H268" i="18" s="1"/>
  <c r="I268" i="18" s="1"/>
  <c r="H267" i="18"/>
  <c r="I267" i="18" s="1"/>
  <c r="G267" i="18"/>
  <c r="G266" i="18"/>
  <c r="H266" i="18" s="1"/>
  <c r="I266" i="18" s="1"/>
  <c r="G265" i="18"/>
  <c r="H265" i="18" s="1"/>
  <c r="I265" i="18" s="1"/>
  <c r="G264" i="18"/>
  <c r="H264" i="18" s="1"/>
  <c r="I264" i="18" s="1"/>
  <c r="G263" i="18"/>
  <c r="H263" i="18" s="1"/>
  <c r="I263" i="18" s="1"/>
  <c r="G262" i="18"/>
  <c r="H262" i="18" s="1"/>
  <c r="I262" i="18" s="1"/>
  <c r="H261" i="18"/>
  <c r="I261" i="18" s="1"/>
  <c r="G261" i="18"/>
  <c r="G260" i="18"/>
  <c r="H260" i="18" s="1"/>
  <c r="I260" i="18" s="1"/>
  <c r="H259" i="18"/>
  <c r="I259" i="18" s="1"/>
  <c r="G259" i="18"/>
  <c r="G258" i="18"/>
  <c r="H258" i="18" s="1"/>
  <c r="I258" i="18" s="1"/>
  <c r="G257" i="18"/>
  <c r="H257" i="18" s="1"/>
  <c r="I257" i="18" s="1"/>
  <c r="G256" i="18"/>
  <c r="H256" i="18" s="1"/>
  <c r="I256" i="18" s="1"/>
  <c r="H255" i="18"/>
  <c r="I255" i="18" s="1"/>
  <c r="G255" i="18"/>
  <c r="G254" i="18"/>
  <c r="H254" i="18" s="1"/>
  <c r="I254" i="18" s="1"/>
  <c r="H253" i="18"/>
  <c r="I253" i="18" s="1"/>
  <c r="G253" i="18"/>
  <c r="G252" i="18"/>
  <c r="H252" i="18" s="1"/>
  <c r="I252" i="18" s="1"/>
  <c r="H251" i="18"/>
  <c r="I251" i="18" s="1"/>
  <c r="G251" i="18"/>
  <c r="G250" i="18"/>
  <c r="H250" i="18" s="1"/>
  <c r="I250" i="18" s="1"/>
  <c r="G249" i="18"/>
  <c r="H249" i="18" s="1"/>
  <c r="I249" i="18" s="1"/>
  <c r="G248" i="18"/>
  <c r="H248" i="18" s="1"/>
  <c r="I248" i="18" s="1"/>
  <c r="G247" i="18"/>
  <c r="H247" i="18" s="1"/>
  <c r="I247" i="18" s="1"/>
  <c r="G246" i="18"/>
  <c r="H246" i="18" s="1"/>
  <c r="I246" i="18" s="1"/>
  <c r="G245" i="18"/>
  <c r="H245" i="18" s="1"/>
  <c r="I245" i="18" s="1"/>
  <c r="G244" i="18"/>
  <c r="H244" i="18" s="1"/>
  <c r="I244" i="18" s="1"/>
  <c r="G243" i="18"/>
  <c r="H243" i="18" s="1"/>
  <c r="I243" i="18" s="1"/>
  <c r="G242" i="18"/>
  <c r="H242" i="18" s="1"/>
  <c r="I242" i="18" s="1"/>
  <c r="G241" i="18"/>
  <c r="H241" i="18" s="1"/>
  <c r="I241" i="18" s="1"/>
  <c r="G240" i="18"/>
  <c r="H240" i="18" s="1"/>
  <c r="I240" i="18" s="1"/>
  <c r="G239" i="18"/>
  <c r="H239" i="18" s="1"/>
  <c r="I239" i="18" s="1"/>
  <c r="G238" i="18"/>
  <c r="H238" i="18" s="1"/>
  <c r="I238" i="18" s="1"/>
  <c r="H237" i="18"/>
  <c r="I237" i="18" s="1"/>
  <c r="G237" i="18"/>
  <c r="G236" i="18"/>
  <c r="H236" i="18" s="1"/>
  <c r="I236" i="18" s="1"/>
  <c r="H235" i="18"/>
  <c r="I235" i="18" s="1"/>
  <c r="G235" i="18"/>
  <c r="G234" i="18"/>
  <c r="H234" i="18" s="1"/>
  <c r="I234" i="18" s="1"/>
  <c r="G233" i="18"/>
  <c r="H233" i="18" s="1"/>
  <c r="I233" i="18" s="1"/>
  <c r="G232" i="18"/>
  <c r="H232" i="18" s="1"/>
  <c r="I232" i="18" s="1"/>
  <c r="G231" i="18"/>
  <c r="H231" i="18" s="1"/>
  <c r="I231" i="18" s="1"/>
  <c r="G230" i="18"/>
  <c r="H230" i="18" s="1"/>
  <c r="I230" i="18" s="1"/>
  <c r="H229" i="18"/>
  <c r="I229" i="18" s="1"/>
  <c r="G229" i="18"/>
  <c r="G228" i="18"/>
  <c r="H228" i="18" s="1"/>
  <c r="I228" i="18" s="1"/>
  <c r="H227" i="18"/>
  <c r="I227" i="18" s="1"/>
  <c r="G227" i="18"/>
  <c r="G226" i="18"/>
  <c r="H226" i="18" s="1"/>
  <c r="I226" i="18" s="1"/>
  <c r="G225" i="18"/>
  <c r="H225" i="18" s="1"/>
  <c r="I225" i="18" s="1"/>
  <c r="G224" i="18"/>
  <c r="H224" i="18" s="1"/>
  <c r="I224" i="18" s="1"/>
  <c r="H223" i="18"/>
  <c r="I223" i="18" s="1"/>
  <c r="G223" i="18"/>
  <c r="G222" i="18"/>
  <c r="H222" i="18" s="1"/>
  <c r="I222" i="18" s="1"/>
  <c r="H221" i="18"/>
  <c r="I221" i="18" s="1"/>
  <c r="G221" i="18"/>
  <c r="G220" i="18"/>
  <c r="H220" i="18" s="1"/>
  <c r="I220" i="18" s="1"/>
  <c r="H219" i="18"/>
  <c r="I219" i="18" s="1"/>
  <c r="G219" i="18"/>
  <c r="G218" i="18"/>
  <c r="H218" i="18" s="1"/>
  <c r="I218" i="18" s="1"/>
  <c r="G217" i="18"/>
  <c r="H217" i="18" s="1"/>
  <c r="I217" i="18" s="1"/>
  <c r="G216" i="18"/>
  <c r="H216" i="18" s="1"/>
  <c r="I216" i="18" s="1"/>
  <c r="G215" i="18"/>
  <c r="H215" i="18" s="1"/>
  <c r="I215" i="18" s="1"/>
  <c r="G214" i="18"/>
  <c r="H214" i="18" s="1"/>
  <c r="I214" i="18" s="1"/>
  <c r="G213" i="18"/>
  <c r="H213" i="18" s="1"/>
  <c r="I213" i="18" s="1"/>
  <c r="G212" i="18"/>
  <c r="H212" i="18" s="1"/>
  <c r="I212" i="18" s="1"/>
  <c r="G211" i="18"/>
  <c r="H211" i="18" s="1"/>
  <c r="I211" i="18" s="1"/>
  <c r="G210" i="18"/>
  <c r="H210" i="18" s="1"/>
  <c r="I210" i="18" s="1"/>
  <c r="G209" i="18"/>
  <c r="H209" i="18" s="1"/>
  <c r="I209" i="18" s="1"/>
  <c r="G208" i="18"/>
  <c r="H208" i="18" s="1"/>
  <c r="I208" i="18" s="1"/>
  <c r="G207" i="18"/>
  <c r="H207" i="18" s="1"/>
  <c r="I207" i="18" s="1"/>
  <c r="G206" i="18"/>
  <c r="H206" i="18" s="1"/>
  <c r="I206" i="18" s="1"/>
  <c r="G205" i="18"/>
  <c r="H205" i="18" s="1"/>
  <c r="I205" i="18" s="1"/>
  <c r="G204" i="18"/>
  <c r="H204" i="18" s="1"/>
  <c r="I204" i="18" s="1"/>
  <c r="H203" i="18"/>
  <c r="I203" i="18" s="1"/>
  <c r="G203" i="18"/>
  <c r="G202" i="18"/>
  <c r="H202" i="18" s="1"/>
  <c r="I202" i="18" s="1"/>
  <c r="G201" i="18"/>
  <c r="H201" i="18" s="1"/>
  <c r="I201" i="18" s="1"/>
  <c r="G200" i="18"/>
  <c r="H200" i="18" s="1"/>
  <c r="I200" i="18" s="1"/>
  <c r="G199" i="18"/>
  <c r="H199" i="18" s="1"/>
  <c r="I199" i="18" s="1"/>
  <c r="G198" i="18"/>
  <c r="H198" i="18" s="1"/>
  <c r="I198" i="18" s="1"/>
  <c r="H197" i="18"/>
  <c r="I197" i="18" s="1"/>
  <c r="G197" i="18"/>
  <c r="G196" i="18"/>
  <c r="H196" i="18" s="1"/>
  <c r="I196" i="18" s="1"/>
  <c r="H195" i="18"/>
  <c r="I195" i="18" s="1"/>
  <c r="G195" i="18"/>
  <c r="G194" i="18"/>
  <c r="H194" i="18" s="1"/>
  <c r="I194" i="18" s="1"/>
  <c r="G193" i="18"/>
  <c r="H193" i="18" s="1"/>
  <c r="I193" i="18" s="1"/>
  <c r="G192" i="18"/>
  <c r="H192" i="18" s="1"/>
  <c r="I192" i="18" s="1"/>
  <c r="H191" i="18"/>
  <c r="I191" i="18" s="1"/>
  <c r="G191" i="18"/>
  <c r="G190" i="18"/>
  <c r="H190" i="18" s="1"/>
  <c r="I190" i="18" s="1"/>
  <c r="H189" i="18"/>
  <c r="I189" i="18" s="1"/>
  <c r="G189" i="18"/>
  <c r="G188" i="18"/>
  <c r="H188" i="18" s="1"/>
  <c r="I188" i="18" s="1"/>
  <c r="H187" i="18"/>
  <c r="I187" i="18" s="1"/>
  <c r="G187" i="18"/>
  <c r="G186" i="18"/>
  <c r="H186" i="18" s="1"/>
  <c r="I186" i="18" s="1"/>
  <c r="G185" i="18"/>
  <c r="H185" i="18" s="1"/>
  <c r="I185" i="18" s="1"/>
  <c r="G184" i="18"/>
  <c r="H184" i="18" s="1"/>
  <c r="I184" i="18" s="1"/>
  <c r="G183" i="18"/>
  <c r="H183" i="18" s="1"/>
  <c r="I183" i="18" s="1"/>
  <c r="G182" i="18"/>
  <c r="H182" i="18" s="1"/>
  <c r="I182" i="18" s="1"/>
  <c r="G181" i="18"/>
  <c r="H181" i="18" s="1"/>
  <c r="I181" i="18" s="1"/>
  <c r="G180" i="18"/>
  <c r="H180" i="18" s="1"/>
  <c r="I180" i="18" s="1"/>
  <c r="G179" i="18"/>
  <c r="H179" i="18" s="1"/>
  <c r="I179" i="18" s="1"/>
  <c r="G178" i="18"/>
  <c r="H178" i="18" s="1"/>
  <c r="I178" i="18" s="1"/>
  <c r="G177" i="18"/>
  <c r="H177" i="18" s="1"/>
  <c r="I177" i="18" s="1"/>
  <c r="G176" i="18"/>
  <c r="H176" i="18" s="1"/>
  <c r="I176" i="18" s="1"/>
  <c r="G175" i="18"/>
  <c r="H175" i="18" s="1"/>
  <c r="I175" i="18" s="1"/>
  <c r="G174" i="18"/>
  <c r="H174" i="18" s="1"/>
  <c r="I174" i="18" s="1"/>
  <c r="G173" i="18"/>
  <c r="H173" i="18" s="1"/>
  <c r="I173" i="18" s="1"/>
  <c r="G172" i="18"/>
  <c r="H172" i="18" s="1"/>
  <c r="I172" i="18" s="1"/>
  <c r="H171" i="18"/>
  <c r="I171" i="18" s="1"/>
  <c r="G171" i="18"/>
  <c r="G170" i="18"/>
  <c r="H170" i="18" s="1"/>
  <c r="I170" i="18" s="1"/>
  <c r="G169" i="18"/>
  <c r="H169" i="18" s="1"/>
  <c r="I169" i="18" s="1"/>
  <c r="G168" i="18"/>
  <c r="H168" i="18" s="1"/>
  <c r="I168" i="18" s="1"/>
  <c r="G167" i="18"/>
  <c r="H167" i="18" s="1"/>
  <c r="I167" i="18" s="1"/>
  <c r="G166" i="18"/>
  <c r="H166" i="18" s="1"/>
  <c r="I166" i="18" s="1"/>
  <c r="H165" i="18"/>
  <c r="I165" i="18" s="1"/>
  <c r="G165" i="18"/>
  <c r="G164" i="18"/>
  <c r="H164" i="18" s="1"/>
  <c r="I164" i="18" s="1"/>
  <c r="H163" i="18"/>
  <c r="I163" i="18" s="1"/>
  <c r="G163" i="18"/>
  <c r="G162" i="18"/>
  <c r="H162" i="18" s="1"/>
  <c r="I162" i="18" s="1"/>
  <c r="G161" i="18"/>
  <c r="H161" i="18" s="1"/>
  <c r="I161" i="18" s="1"/>
  <c r="G160" i="18"/>
  <c r="H160" i="18" s="1"/>
  <c r="I160" i="18" s="1"/>
  <c r="H159" i="18"/>
  <c r="I159" i="18" s="1"/>
  <c r="G159" i="18"/>
  <c r="G158" i="18"/>
  <c r="H158" i="18" s="1"/>
  <c r="I158" i="18" s="1"/>
  <c r="H157" i="18"/>
  <c r="I157" i="18" s="1"/>
  <c r="G157" i="18"/>
  <c r="G156" i="18"/>
  <c r="H156" i="18" s="1"/>
  <c r="I156" i="18" s="1"/>
  <c r="H155" i="18"/>
  <c r="I155" i="18" s="1"/>
  <c r="G155" i="18"/>
  <c r="G154" i="18"/>
  <c r="H154" i="18" s="1"/>
  <c r="I154" i="18" s="1"/>
  <c r="G153" i="18"/>
  <c r="H153" i="18" s="1"/>
  <c r="I153" i="18" s="1"/>
  <c r="G152" i="18"/>
  <c r="H152" i="18" s="1"/>
  <c r="I152" i="18" s="1"/>
  <c r="G151" i="18"/>
  <c r="H151" i="18" s="1"/>
  <c r="I151" i="18" s="1"/>
  <c r="G150" i="18"/>
  <c r="H150" i="18" s="1"/>
  <c r="I150" i="18" s="1"/>
  <c r="G149" i="18"/>
  <c r="H149" i="18" s="1"/>
  <c r="I149" i="18" s="1"/>
  <c r="G148" i="18"/>
  <c r="H148" i="18" s="1"/>
  <c r="I148" i="18" s="1"/>
  <c r="G147" i="18"/>
  <c r="H147" i="18" s="1"/>
  <c r="I147" i="18" s="1"/>
  <c r="G146" i="18"/>
  <c r="H146" i="18" s="1"/>
  <c r="I146" i="18" s="1"/>
  <c r="G145" i="18"/>
  <c r="H145" i="18" s="1"/>
  <c r="I145" i="18" s="1"/>
  <c r="G144" i="18"/>
  <c r="H144" i="18" s="1"/>
  <c r="I144" i="18" s="1"/>
  <c r="G143" i="18"/>
  <c r="H143" i="18" s="1"/>
  <c r="I143" i="18" s="1"/>
  <c r="G142" i="18"/>
  <c r="H142" i="18" s="1"/>
  <c r="I142" i="18" s="1"/>
  <c r="H141" i="18"/>
  <c r="I141" i="18" s="1"/>
  <c r="G141" i="18"/>
  <c r="G140" i="18"/>
  <c r="H140" i="18" s="1"/>
  <c r="I140" i="18" s="1"/>
  <c r="H139" i="18"/>
  <c r="I139" i="18" s="1"/>
  <c r="G139" i="18"/>
  <c r="G138" i="18"/>
  <c r="H138" i="18" s="1"/>
  <c r="I138" i="18" s="1"/>
  <c r="G137" i="18"/>
  <c r="H137" i="18" s="1"/>
  <c r="I137" i="18" s="1"/>
  <c r="G136" i="18"/>
  <c r="H136" i="18" s="1"/>
  <c r="I136" i="18" s="1"/>
  <c r="G135" i="18"/>
  <c r="H135" i="18" s="1"/>
  <c r="I135" i="18" s="1"/>
  <c r="G134" i="18"/>
  <c r="H134" i="18" s="1"/>
  <c r="I134" i="18" s="1"/>
  <c r="H133" i="18"/>
  <c r="I133" i="18" s="1"/>
  <c r="G133" i="18"/>
  <c r="G132" i="18"/>
  <c r="H132" i="18" s="1"/>
  <c r="I132" i="18" s="1"/>
  <c r="H131" i="18"/>
  <c r="I131" i="18" s="1"/>
  <c r="G131" i="18"/>
  <c r="G130" i="18"/>
  <c r="H130" i="18" s="1"/>
  <c r="I130" i="18" s="1"/>
  <c r="G129" i="18"/>
  <c r="H129" i="18" s="1"/>
  <c r="I129" i="18" s="1"/>
  <c r="G128" i="18"/>
  <c r="H128" i="18" s="1"/>
  <c r="I128" i="18" s="1"/>
  <c r="H127" i="18"/>
  <c r="I127" i="18" s="1"/>
  <c r="G127" i="18"/>
  <c r="G126" i="18"/>
  <c r="H126" i="18" s="1"/>
  <c r="I126" i="18" s="1"/>
  <c r="H125" i="18"/>
  <c r="I125" i="18" s="1"/>
  <c r="L21" i="18" s="1"/>
  <c r="G125" i="18"/>
  <c r="G124" i="18"/>
  <c r="H124" i="18" s="1"/>
  <c r="I124" i="18" s="1"/>
  <c r="H123" i="18"/>
  <c r="I123" i="18" s="1"/>
  <c r="G123" i="18"/>
  <c r="G122" i="18"/>
  <c r="H122" i="18" s="1"/>
  <c r="I122" i="18" s="1"/>
  <c r="G121" i="18"/>
  <c r="H121" i="18" s="1"/>
  <c r="I121" i="18" s="1"/>
  <c r="G120" i="18"/>
  <c r="H120" i="18" s="1"/>
  <c r="I120" i="18" s="1"/>
  <c r="G119" i="18"/>
  <c r="H119" i="18" s="1"/>
  <c r="I119" i="18" s="1"/>
  <c r="G118" i="18"/>
  <c r="H118" i="18" s="1"/>
  <c r="I118" i="18" s="1"/>
  <c r="G117" i="18"/>
  <c r="H117" i="18" s="1"/>
  <c r="I117" i="18" s="1"/>
  <c r="G116" i="18"/>
  <c r="H116" i="18" s="1"/>
  <c r="I116" i="18" s="1"/>
  <c r="G115" i="18"/>
  <c r="H115" i="18" s="1"/>
  <c r="I115" i="18" s="1"/>
  <c r="G114" i="18"/>
  <c r="H114" i="18" s="1"/>
  <c r="I114" i="18" s="1"/>
  <c r="G113" i="18"/>
  <c r="H113" i="18" s="1"/>
  <c r="I113" i="18" s="1"/>
  <c r="G112" i="18"/>
  <c r="H112" i="18" s="1"/>
  <c r="I112" i="18" s="1"/>
  <c r="G111" i="18"/>
  <c r="H111" i="18" s="1"/>
  <c r="I111" i="18" s="1"/>
  <c r="G110" i="18"/>
  <c r="H110" i="18" s="1"/>
  <c r="I110" i="18" s="1"/>
  <c r="H109" i="18"/>
  <c r="I109" i="18" s="1"/>
  <c r="G109" i="18"/>
  <c r="G108" i="18"/>
  <c r="H108" i="18" s="1"/>
  <c r="I108" i="18" s="1"/>
  <c r="H107" i="18"/>
  <c r="I107" i="18" s="1"/>
  <c r="G107" i="18"/>
  <c r="G106" i="18"/>
  <c r="H106" i="18" s="1"/>
  <c r="I106" i="18" s="1"/>
  <c r="G105" i="18"/>
  <c r="H105" i="18" s="1"/>
  <c r="I105" i="18" s="1"/>
  <c r="G104" i="18"/>
  <c r="H104" i="18" s="1"/>
  <c r="I104" i="18" s="1"/>
  <c r="G103" i="18"/>
  <c r="H103" i="18" s="1"/>
  <c r="I103" i="18" s="1"/>
  <c r="G102" i="18"/>
  <c r="H102" i="18" s="1"/>
  <c r="I102" i="18" s="1"/>
  <c r="H101" i="18"/>
  <c r="I101" i="18" s="1"/>
  <c r="G101" i="18"/>
  <c r="G100" i="18"/>
  <c r="H100" i="18" s="1"/>
  <c r="I100" i="18" s="1"/>
  <c r="H99" i="18"/>
  <c r="I99" i="18" s="1"/>
  <c r="G99" i="18"/>
  <c r="G98" i="18"/>
  <c r="H98" i="18" s="1"/>
  <c r="I98" i="18" s="1"/>
  <c r="G97" i="18"/>
  <c r="H97" i="18" s="1"/>
  <c r="I97" i="18" s="1"/>
  <c r="G96" i="18"/>
  <c r="H96" i="18" s="1"/>
  <c r="I96" i="18" s="1"/>
  <c r="H95" i="18"/>
  <c r="I95" i="18" s="1"/>
  <c r="G95" i="18"/>
  <c r="G94" i="18"/>
  <c r="H94" i="18" s="1"/>
  <c r="I94" i="18" s="1"/>
  <c r="H93" i="18"/>
  <c r="I93" i="18" s="1"/>
  <c r="G93" i="18"/>
  <c r="G92" i="18"/>
  <c r="H92" i="18" s="1"/>
  <c r="I92" i="18" s="1"/>
  <c r="H91" i="18"/>
  <c r="I91" i="18" s="1"/>
  <c r="G91" i="18"/>
  <c r="G90" i="18"/>
  <c r="H90" i="18" s="1"/>
  <c r="I90" i="18" s="1"/>
  <c r="G89" i="18"/>
  <c r="H89" i="18" s="1"/>
  <c r="I89" i="18" s="1"/>
  <c r="G88" i="18"/>
  <c r="H88" i="18" s="1"/>
  <c r="I88" i="18" s="1"/>
  <c r="G87" i="18"/>
  <c r="H87" i="18" s="1"/>
  <c r="I87" i="18" s="1"/>
  <c r="G86" i="18"/>
  <c r="H86" i="18" s="1"/>
  <c r="I86" i="18" s="1"/>
  <c r="G85" i="18"/>
  <c r="H85" i="18" s="1"/>
  <c r="I85" i="18" s="1"/>
  <c r="G84" i="18"/>
  <c r="H84" i="18" s="1"/>
  <c r="I84" i="18" s="1"/>
  <c r="G83" i="18"/>
  <c r="H83" i="18" s="1"/>
  <c r="I83" i="18" s="1"/>
  <c r="G82" i="18"/>
  <c r="H82" i="18" s="1"/>
  <c r="I82" i="18" s="1"/>
  <c r="G81" i="18"/>
  <c r="H81" i="18" s="1"/>
  <c r="I81" i="18" s="1"/>
  <c r="G80" i="18"/>
  <c r="H80" i="18" s="1"/>
  <c r="I80" i="18" s="1"/>
  <c r="G79" i="18"/>
  <c r="H79" i="18" s="1"/>
  <c r="I79" i="18" s="1"/>
  <c r="G78" i="18"/>
  <c r="H78" i="18" s="1"/>
  <c r="I78" i="18" s="1"/>
  <c r="G77" i="18"/>
  <c r="H77" i="18" s="1"/>
  <c r="I77" i="18" s="1"/>
  <c r="G76" i="18"/>
  <c r="H76" i="18" s="1"/>
  <c r="I76" i="18" s="1"/>
  <c r="H75" i="18"/>
  <c r="I75" i="18" s="1"/>
  <c r="G75" i="18"/>
  <c r="G74" i="18"/>
  <c r="H74" i="18" s="1"/>
  <c r="I74" i="18" s="1"/>
  <c r="G73" i="18"/>
  <c r="H73" i="18" s="1"/>
  <c r="I73" i="18" s="1"/>
  <c r="G72" i="18"/>
  <c r="H72" i="18" s="1"/>
  <c r="I72" i="18" s="1"/>
  <c r="G71" i="18"/>
  <c r="H71" i="18" s="1"/>
  <c r="I71" i="18" s="1"/>
  <c r="G70" i="18"/>
  <c r="H70" i="18" s="1"/>
  <c r="I70" i="18" s="1"/>
  <c r="H69" i="18"/>
  <c r="I69" i="18" s="1"/>
  <c r="G69" i="18"/>
  <c r="G68" i="18"/>
  <c r="H68" i="18" s="1"/>
  <c r="I68" i="18" s="1"/>
  <c r="H67" i="18"/>
  <c r="I67" i="18" s="1"/>
  <c r="G67" i="18"/>
  <c r="G66" i="18"/>
  <c r="H66" i="18" s="1"/>
  <c r="I66" i="18" s="1"/>
  <c r="G65" i="18"/>
  <c r="H65" i="18" s="1"/>
  <c r="I65" i="18" s="1"/>
  <c r="G64" i="18"/>
  <c r="H64" i="18" s="1"/>
  <c r="I64" i="18" s="1"/>
  <c r="H63" i="18"/>
  <c r="I63" i="18" s="1"/>
  <c r="G63" i="18"/>
  <c r="G62" i="18"/>
  <c r="H62" i="18" s="1"/>
  <c r="I62" i="18" s="1"/>
  <c r="H61" i="18"/>
  <c r="I61" i="18" s="1"/>
  <c r="G61" i="18"/>
  <c r="G60" i="18"/>
  <c r="H60" i="18" s="1"/>
  <c r="I60" i="18" s="1"/>
  <c r="H59" i="18"/>
  <c r="I59" i="18" s="1"/>
  <c r="G59" i="18"/>
  <c r="G58" i="18"/>
  <c r="H58" i="18" s="1"/>
  <c r="I58" i="18" s="1"/>
  <c r="G57" i="18"/>
  <c r="H57" i="18" s="1"/>
  <c r="I57" i="18" s="1"/>
  <c r="G56" i="18"/>
  <c r="H56" i="18" s="1"/>
  <c r="I56" i="18" s="1"/>
  <c r="G55" i="18"/>
  <c r="H55" i="18" s="1"/>
  <c r="I55" i="18" s="1"/>
  <c r="G54" i="18"/>
  <c r="H54" i="18" s="1"/>
  <c r="I54" i="18" s="1"/>
  <c r="G53" i="18"/>
  <c r="H53" i="18" s="1"/>
  <c r="I53" i="18" s="1"/>
  <c r="G52" i="18"/>
  <c r="H52" i="18" s="1"/>
  <c r="I52" i="18" s="1"/>
  <c r="G51" i="18"/>
  <c r="H51" i="18" s="1"/>
  <c r="I51" i="18" s="1"/>
  <c r="G50" i="18"/>
  <c r="H50" i="18" s="1"/>
  <c r="I50" i="18" s="1"/>
  <c r="G49" i="18"/>
  <c r="H49" i="18" s="1"/>
  <c r="I49" i="18" s="1"/>
  <c r="G48" i="18"/>
  <c r="H48" i="18" s="1"/>
  <c r="I48" i="18" s="1"/>
  <c r="G47" i="18"/>
  <c r="H47" i="18" s="1"/>
  <c r="I47" i="18" s="1"/>
  <c r="G46" i="18"/>
  <c r="H46" i="18" s="1"/>
  <c r="I46" i="18" s="1"/>
  <c r="G45" i="18"/>
  <c r="H45" i="18" s="1"/>
  <c r="I45" i="18" s="1"/>
  <c r="G44" i="18"/>
  <c r="H44" i="18" s="1"/>
  <c r="I44" i="18" s="1"/>
  <c r="H43" i="18"/>
  <c r="I43" i="18" s="1"/>
  <c r="G43" i="18"/>
  <c r="G42" i="18"/>
  <c r="H42" i="18" s="1"/>
  <c r="I42" i="18" s="1"/>
  <c r="G41" i="18"/>
  <c r="H41" i="18" s="1"/>
  <c r="I41" i="18" s="1"/>
  <c r="G40" i="18"/>
  <c r="H40" i="18" s="1"/>
  <c r="I40" i="18" s="1"/>
  <c r="G39" i="18"/>
  <c r="H39" i="18" s="1"/>
  <c r="I39" i="18" s="1"/>
  <c r="G38" i="18"/>
  <c r="H38" i="18" s="1"/>
  <c r="I38" i="18" s="1"/>
  <c r="H37" i="18"/>
  <c r="I37" i="18" s="1"/>
  <c r="G37" i="18"/>
  <c r="G36" i="18"/>
  <c r="H36" i="18" s="1"/>
  <c r="I36" i="18" s="1"/>
  <c r="H35" i="18"/>
  <c r="I35" i="18" s="1"/>
  <c r="G35" i="18"/>
  <c r="G34" i="18"/>
  <c r="H34" i="18" s="1"/>
  <c r="I34" i="18" s="1"/>
  <c r="G33" i="18"/>
  <c r="H33" i="18" s="1"/>
  <c r="I33" i="18" s="1"/>
  <c r="G32" i="18"/>
  <c r="H32" i="18" s="1"/>
  <c r="I32" i="18" s="1"/>
  <c r="H31" i="18"/>
  <c r="I31" i="18" s="1"/>
  <c r="G31" i="18"/>
  <c r="G30" i="18"/>
  <c r="H30" i="18" s="1"/>
  <c r="I30" i="18" s="1"/>
  <c r="H29" i="18"/>
  <c r="I29" i="18" s="1"/>
  <c r="G29" i="18"/>
  <c r="G28" i="18"/>
  <c r="H28" i="18" s="1"/>
  <c r="I28" i="18" s="1"/>
  <c r="H27" i="18"/>
  <c r="I27" i="18" s="1"/>
  <c r="G27" i="18"/>
  <c r="G26" i="18"/>
  <c r="H26" i="18" s="1"/>
  <c r="G25" i="18"/>
  <c r="H25" i="18" s="1"/>
  <c r="I25" i="18" s="1"/>
  <c r="H24" i="18"/>
  <c r="I24" i="18" s="1"/>
  <c r="G24" i="18"/>
  <c r="G23" i="18"/>
  <c r="H23" i="18" s="1"/>
  <c r="I23" i="18" s="1"/>
  <c r="G22" i="18"/>
  <c r="H22" i="18" s="1"/>
  <c r="I22" i="18" s="1"/>
  <c r="H21" i="18"/>
  <c r="I21" i="18" s="1"/>
  <c r="G21" i="18"/>
  <c r="G20" i="18"/>
  <c r="H20" i="18" s="1"/>
  <c r="I20" i="18" s="1"/>
  <c r="H19" i="18"/>
  <c r="I19" i="18" s="1"/>
  <c r="G19" i="18"/>
  <c r="G18" i="18"/>
  <c r="H18" i="18" s="1"/>
  <c r="I18" i="18" s="1"/>
  <c r="H17" i="18"/>
  <c r="I17" i="18" s="1"/>
  <c r="G17" i="18"/>
  <c r="G16" i="18"/>
  <c r="H16" i="18" s="1"/>
  <c r="I16" i="18" s="1"/>
  <c r="G15" i="18"/>
  <c r="H15" i="18" s="1"/>
  <c r="I15" i="18" s="1"/>
  <c r="G14" i="18"/>
  <c r="H14" i="18" s="1"/>
  <c r="I14" i="18" s="1"/>
  <c r="G13" i="18"/>
  <c r="H13" i="18" s="1"/>
  <c r="I13" i="18" s="1"/>
  <c r="G12" i="18"/>
  <c r="H12" i="18" s="1"/>
  <c r="I12" i="18" s="1"/>
  <c r="G11" i="18"/>
  <c r="I309" i="18" l="1"/>
  <c r="N21" i="18" s="1"/>
  <c r="N22" i="18"/>
  <c r="V22" i="19"/>
  <c r="N24" i="18"/>
  <c r="T19" i="19"/>
  <c r="V10" i="19"/>
  <c r="W10" i="19" s="1"/>
  <c r="W13" i="19" s="1"/>
  <c r="L24" i="18"/>
  <c r="I26" i="18"/>
  <c r="L23" i="18" s="1"/>
  <c r="L22" i="18"/>
  <c r="V24" i="19"/>
  <c r="T24" i="19"/>
  <c r="V23" i="19"/>
  <c r="T23" i="19"/>
  <c r="L25" i="18" a="1"/>
  <c r="L25" i="18" s="1"/>
  <c r="N25" i="18"/>
  <c r="T20" i="19"/>
  <c r="H96" i="17" l="1" a="1"/>
  <c r="H96" i="17" s="1"/>
  <c r="I96" i="17" s="1" a="1"/>
  <c r="I96" i="17" s="1"/>
  <c r="C96" i="17"/>
  <c r="H95" i="17" a="1"/>
  <c r="H95" i="17" s="1"/>
  <c r="I95" i="17" s="1" a="1"/>
  <c r="I95" i="17" s="1"/>
  <c r="C95" i="17"/>
  <c r="H94" i="17" a="1"/>
  <c r="H94" i="17" s="1"/>
  <c r="I94" i="17" s="1" a="1"/>
  <c r="I94" i="17" s="1"/>
  <c r="C94" i="17"/>
  <c r="H93" i="17" a="1"/>
  <c r="H93" i="17" s="1"/>
  <c r="I93" i="17" s="1" a="1"/>
  <c r="I93" i="17" s="1"/>
  <c r="C93" i="17"/>
  <c r="H92" i="17" a="1"/>
  <c r="H92" i="17" s="1"/>
  <c r="I92" i="17" s="1" a="1"/>
  <c r="I92" i="17" s="1"/>
  <c r="C92" i="17"/>
  <c r="H91" i="17" a="1"/>
  <c r="H91" i="17" s="1"/>
  <c r="I91" i="17" s="1" a="1"/>
  <c r="I91" i="17" s="1"/>
  <c r="C91" i="17"/>
  <c r="H90" i="17" a="1"/>
  <c r="H90" i="17" s="1"/>
  <c r="I90" i="17" s="1" a="1"/>
  <c r="I90" i="17" s="1"/>
  <c r="C90" i="17"/>
  <c r="H89" i="17" a="1"/>
  <c r="H89" i="17" s="1"/>
  <c r="I89" i="17" s="1" a="1"/>
  <c r="I89" i="17" s="1"/>
  <c r="C89" i="17"/>
  <c r="H88" i="17" a="1"/>
  <c r="H88" i="17" s="1"/>
  <c r="I88" i="17" s="1" a="1"/>
  <c r="I88" i="17" s="1"/>
  <c r="C88" i="17"/>
  <c r="H87" i="17" a="1"/>
  <c r="H87" i="17" s="1"/>
  <c r="I87" i="17" s="1" a="1"/>
  <c r="I87" i="17" s="1"/>
  <c r="C87" i="17"/>
  <c r="H86" i="17" a="1"/>
  <c r="H86" i="17" s="1"/>
  <c r="I86" i="17" s="1" a="1"/>
  <c r="I86" i="17" s="1"/>
  <c r="C86" i="17"/>
  <c r="H85" i="17" a="1"/>
  <c r="H85" i="17" s="1"/>
  <c r="I85" i="17" s="1" a="1"/>
  <c r="I85" i="17" s="1"/>
  <c r="C85" i="17"/>
  <c r="H84" i="17" a="1"/>
  <c r="H84" i="17" s="1"/>
  <c r="I84" i="17" s="1" a="1"/>
  <c r="I84" i="17" s="1"/>
  <c r="C84" i="17"/>
  <c r="H83" i="17" a="1"/>
  <c r="H83" i="17" s="1"/>
  <c r="I83" i="17" s="1" a="1"/>
  <c r="I83" i="17" s="1"/>
  <c r="C83" i="17"/>
  <c r="H82" i="17" a="1"/>
  <c r="H82" i="17" s="1"/>
  <c r="I82" i="17" s="1" a="1"/>
  <c r="I82" i="17" s="1"/>
  <c r="C82" i="17"/>
  <c r="H81" i="17" a="1"/>
  <c r="H81" i="17" s="1"/>
  <c r="I81" i="17" s="1" a="1"/>
  <c r="I81" i="17" s="1"/>
  <c r="C81" i="17"/>
  <c r="H80" i="17" a="1"/>
  <c r="H80" i="17" s="1"/>
  <c r="I80" i="17" s="1" a="1"/>
  <c r="I80" i="17" s="1"/>
  <c r="C80" i="17"/>
  <c r="H79" i="17" a="1"/>
  <c r="H79" i="17" s="1"/>
  <c r="I79" i="17" s="1" a="1"/>
  <c r="I79" i="17" s="1"/>
  <c r="C79" i="17"/>
  <c r="H78" i="17" a="1"/>
  <c r="H78" i="17" s="1"/>
  <c r="I78" i="17" s="1" a="1"/>
  <c r="I78" i="17" s="1"/>
  <c r="C78" i="17"/>
  <c r="H77" i="17" a="1"/>
  <c r="H77" i="17" s="1"/>
  <c r="I77" i="17" s="1" a="1"/>
  <c r="I77" i="17" s="1"/>
  <c r="C77" i="17"/>
  <c r="H76" i="17" a="1"/>
  <c r="H76" i="17" s="1"/>
  <c r="I76" i="17" s="1" a="1"/>
  <c r="I76" i="17" s="1"/>
  <c r="C76" i="17"/>
  <c r="H75" i="17" a="1"/>
  <c r="H75" i="17" s="1"/>
  <c r="I75" i="17" s="1" a="1"/>
  <c r="I75" i="17" s="1"/>
  <c r="C75" i="17"/>
  <c r="H74" i="17" a="1"/>
  <c r="H74" i="17" s="1"/>
  <c r="I74" i="17" s="1" a="1"/>
  <c r="I74" i="17" s="1"/>
  <c r="C74" i="17"/>
  <c r="H73" i="17" a="1"/>
  <c r="H73" i="17" s="1"/>
  <c r="I73" i="17" s="1" a="1"/>
  <c r="I73" i="17" s="1"/>
  <c r="C73" i="17"/>
  <c r="H72" i="17" a="1"/>
  <c r="H72" i="17" s="1"/>
  <c r="I72" i="17" s="1" a="1"/>
  <c r="I72" i="17" s="1"/>
  <c r="C72" i="17"/>
  <c r="I71" i="17"/>
  <c r="I71" i="17" a="1"/>
  <c r="H71" i="17"/>
  <c r="H71" i="17" a="1"/>
  <c r="C71" i="17"/>
  <c r="H70" i="17" a="1"/>
  <c r="H70" i="17" s="1"/>
  <c r="I70" i="17" s="1" a="1"/>
  <c r="I70" i="17" s="1"/>
  <c r="C70" i="17"/>
  <c r="H69" i="17" a="1"/>
  <c r="H69" i="17" s="1"/>
  <c r="I69" i="17" s="1" a="1"/>
  <c r="I69" i="17" s="1"/>
  <c r="C69" i="17"/>
  <c r="H68" i="17" a="1"/>
  <c r="H68" i="17" s="1"/>
  <c r="I68" i="17" s="1" a="1"/>
  <c r="I68" i="17" s="1"/>
  <c r="C68" i="17"/>
  <c r="H67" i="17" a="1"/>
  <c r="H67" i="17" s="1"/>
  <c r="I67" i="17" s="1" a="1"/>
  <c r="I67" i="17" s="1"/>
  <c r="C67" i="17"/>
  <c r="H66" i="17" a="1"/>
  <c r="H66" i="17" s="1"/>
  <c r="I66" i="17" s="1" a="1"/>
  <c r="I66" i="17" s="1"/>
  <c r="C66" i="17"/>
  <c r="H65" i="17"/>
  <c r="I65" i="17" s="1" a="1"/>
  <c r="I65" i="17" s="1"/>
  <c r="H65" i="17" a="1"/>
  <c r="C65" i="17"/>
  <c r="H64" i="17" a="1"/>
  <c r="H64" i="17" s="1"/>
  <c r="I64" i="17" s="1" a="1"/>
  <c r="I64" i="17" s="1"/>
  <c r="C64" i="17"/>
  <c r="H63" i="17" a="1"/>
  <c r="H63" i="17" s="1"/>
  <c r="I63" i="17" s="1" a="1"/>
  <c r="I63" i="17" s="1"/>
  <c r="C63" i="17"/>
  <c r="H62" i="17" a="1"/>
  <c r="H62" i="17" s="1"/>
  <c r="I62" i="17" s="1" a="1"/>
  <c r="I62" i="17" s="1"/>
  <c r="C62" i="17"/>
  <c r="H61" i="17" a="1"/>
  <c r="H61" i="17" s="1"/>
  <c r="I61" i="17" s="1" a="1"/>
  <c r="I61" i="17" s="1"/>
  <c r="C61" i="17"/>
  <c r="H60" i="17" a="1"/>
  <c r="H60" i="17" s="1"/>
  <c r="I60" i="17" s="1" a="1"/>
  <c r="I60" i="17" s="1"/>
  <c r="C60" i="17"/>
  <c r="H59" i="17" a="1"/>
  <c r="H59" i="17" s="1"/>
  <c r="I59" i="17" s="1" a="1"/>
  <c r="I59" i="17" s="1"/>
  <c r="C59" i="17"/>
  <c r="H58" i="17" a="1"/>
  <c r="H58" i="17" s="1"/>
  <c r="I58" i="17" s="1" a="1"/>
  <c r="I58" i="17" s="1"/>
  <c r="C58" i="17"/>
  <c r="H57" i="17" a="1"/>
  <c r="H57" i="17" s="1"/>
  <c r="I57" i="17" s="1" a="1"/>
  <c r="I57" i="17" s="1"/>
  <c r="C57" i="17"/>
  <c r="H56" i="17" a="1"/>
  <c r="H56" i="17" s="1"/>
  <c r="I56" i="17" s="1" a="1"/>
  <c r="I56" i="17" s="1"/>
  <c r="C56" i="17"/>
  <c r="H55" i="17"/>
  <c r="I55" i="17" s="1" a="1"/>
  <c r="I55" i="17" s="1"/>
  <c r="H55" i="17" a="1"/>
  <c r="C55" i="17"/>
  <c r="H54" i="17"/>
  <c r="I54" i="17" s="1" a="1"/>
  <c r="I54" i="17" s="1"/>
  <c r="H54" i="17" a="1"/>
  <c r="C54" i="17"/>
  <c r="H53" i="17" a="1"/>
  <c r="H53" i="17" s="1"/>
  <c r="I53" i="17" s="1" a="1"/>
  <c r="I53" i="17" s="1"/>
  <c r="C53" i="17"/>
  <c r="I52" i="17" a="1"/>
  <c r="I52" i="17" s="1"/>
  <c r="H52" i="17"/>
  <c r="H52" i="17" a="1"/>
  <c r="C52" i="17"/>
  <c r="H51" i="17" a="1"/>
  <c r="H51" i="17" s="1"/>
  <c r="I51" i="17" s="1" a="1"/>
  <c r="I51" i="17" s="1"/>
  <c r="C51" i="17"/>
  <c r="H50" i="17" a="1"/>
  <c r="H50" i="17" s="1"/>
  <c r="I50" i="17" s="1" a="1"/>
  <c r="I50" i="17" s="1"/>
  <c r="C50" i="17"/>
  <c r="H49" i="17"/>
  <c r="I49" i="17" s="1" a="1"/>
  <c r="I49" i="17" s="1"/>
  <c r="H49" i="17" a="1"/>
  <c r="C49" i="17"/>
  <c r="H48" i="17" a="1"/>
  <c r="H48" i="17" s="1"/>
  <c r="I48" i="17" s="1" a="1"/>
  <c r="I48" i="17" s="1"/>
  <c r="C48" i="17"/>
  <c r="H47" i="17" a="1"/>
  <c r="H47" i="17" s="1"/>
  <c r="I47" i="17" s="1" a="1"/>
  <c r="I47" i="17" s="1"/>
  <c r="C47" i="17"/>
  <c r="H46" i="17" a="1"/>
  <c r="H46" i="17" s="1"/>
  <c r="I46" i="17" s="1" a="1"/>
  <c r="I46" i="17" s="1"/>
  <c r="C46" i="17"/>
  <c r="H45" i="17" a="1"/>
  <c r="H45" i="17" s="1"/>
  <c r="I45" i="17" s="1" a="1"/>
  <c r="I45" i="17" s="1"/>
  <c r="C45" i="17"/>
  <c r="H44" i="17" a="1"/>
  <c r="H44" i="17" s="1"/>
  <c r="I44" i="17" s="1" a="1"/>
  <c r="I44" i="17" s="1"/>
  <c r="C44" i="17"/>
  <c r="W43" i="17"/>
  <c r="H43" i="17"/>
  <c r="I43" i="17" s="1" a="1"/>
  <c r="I43" i="17" s="1"/>
  <c r="H43" i="17" a="1"/>
  <c r="C43" i="17"/>
  <c r="H42" i="17" a="1"/>
  <c r="H42" i="17" s="1"/>
  <c r="I42" i="17" s="1" a="1"/>
  <c r="I42" i="17" s="1"/>
  <c r="C42" i="17"/>
  <c r="H41" i="17" a="1"/>
  <c r="H41" i="17" s="1"/>
  <c r="I41" i="17" s="1" a="1"/>
  <c r="I41" i="17" s="1"/>
  <c r="C41" i="17"/>
  <c r="H40" i="17"/>
  <c r="I40" i="17" s="1" a="1"/>
  <c r="I40" i="17" s="1"/>
  <c r="H40" i="17" a="1"/>
  <c r="C40" i="17"/>
  <c r="R39" i="17"/>
  <c r="O39" i="17"/>
  <c r="H39" i="17"/>
  <c r="I39" i="17" s="1" a="1"/>
  <c r="I39" i="17" s="1"/>
  <c r="H39" i="17" a="1"/>
  <c r="C39" i="17"/>
  <c r="H38" i="17"/>
  <c r="I38" i="17" s="1" a="1"/>
  <c r="I38" i="17" s="1"/>
  <c r="H38" i="17" a="1"/>
  <c r="C38" i="17"/>
  <c r="H37" i="17" a="1"/>
  <c r="H37" i="17" s="1"/>
  <c r="I37" i="17" s="1" a="1"/>
  <c r="I37" i="17" s="1"/>
  <c r="C37" i="17"/>
  <c r="H36" i="17" a="1"/>
  <c r="H36" i="17" s="1"/>
  <c r="I36" i="17" s="1" a="1"/>
  <c r="I36" i="17" s="1"/>
  <c r="C36" i="17"/>
  <c r="H35" i="17" a="1"/>
  <c r="H35" i="17" s="1"/>
  <c r="I35" i="17" s="1" a="1"/>
  <c r="I35" i="17" s="1"/>
  <c r="C35" i="17"/>
  <c r="H34" i="17"/>
  <c r="I34" i="17" s="1" a="1"/>
  <c r="I34" i="17" s="1"/>
  <c r="H34" i="17" a="1"/>
  <c r="C34" i="17"/>
  <c r="H33" i="17" a="1"/>
  <c r="H33" i="17" s="1"/>
  <c r="I33" i="17" s="1" a="1"/>
  <c r="I33" i="17" s="1"/>
  <c r="C33" i="17"/>
  <c r="H32" i="17" a="1"/>
  <c r="H32" i="17" s="1"/>
  <c r="I32" i="17" s="1" a="1"/>
  <c r="I32" i="17" s="1"/>
  <c r="C32" i="17"/>
  <c r="N31" i="17"/>
  <c r="O30" i="17" s="1"/>
  <c r="H31" i="17" a="1"/>
  <c r="H31" i="17" s="1"/>
  <c r="I31" i="17" s="1" a="1"/>
  <c r="I31" i="17" s="1"/>
  <c r="C31" i="17"/>
  <c r="H30" i="17" a="1"/>
  <c r="H30" i="17" s="1"/>
  <c r="I30" i="17" s="1" a="1"/>
  <c r="I30" i="17" s="1"/>
  <c r="C30" i="17"/>
  <c r="H29" i="17" a="1"/>
  <c r="H29" i="17" s="1"/>
  <c r="I29" i="17" s="1" a="1"/>
  <c r="I29" i="17" s="1"/>
  <c r="C29" i="17"/>
  <c r="O28" i="17"/>
  <c r="H28" i="17"/>
  <c r="I28" i="17" s="1" a="1"/>
  <c r="I28" i="17" s="1"/>
  <c r="H28" i="17" a="1"/>
  <c r="C28" i="17"/>
  <c r="H27" i="17" a="1"/>
  <c r="H27" i="17" s="1"/>
  <c r="I27" i="17" s="1" a="1"/>
  <c r="I27" i="17" s="1"/>
  <c r="C27" i="17"/>
  <c r="Q26" i="17"/>
  <c r="O26" i="17"/>
  <c r="H26" i="17" a="1"/>
  <c r="H26" i="17" s="1"/>
  <c r="I26" i="17" s="1" a="1"/>
  <c r="I26" i="17" s="1"/>
  <c r="C26" i="17"/>
  <c r="H25" i="17" a="1"/>
  <c r="H25" i="17" s="1"/>
  <c r="I25" i="17" s="1" a="1"/>
  <c r="I25" i="17" s="1"/>
  <c r="C25" i="17"/>
  <c r="O24" i="17"/>
  <c r="H24" i="17" a="1"/>
  <c r="H24" i="17" s="1"/>
  <c r="I24" i="17" s="1" a="1"/>
  <c r="I24" i="17" s="1"/>
  <c r="C24" i="17"/>
  <c r="H23" i="17" a="1"/>
  <c r="H23" i="17" s="1"/>
  <c r="I23" i="17" s="1" a="1"/>
  <c r="I23" i="17" s="1"/>
  <c r="C23" i="17"/>
  <c r="Q22" i="17"/>
  <c r="O22" i="17"/>
  <c r="H22" i="17" a="1"/>
  <c r="H22" i="17" s="1"/>
  <c r="I22" i="17" s="1" a="1"/>
  <c r="I22" i="17" s="1"/>
  <c r="C22" i="17"/>
  <c r="H21" i="17" a="1"/>
  <c r="H21" i="17" s="1"/>
  <c r="I21" i="17" s="1" a="1"/>
  <c r="I21" i="17" s="1"/>
  <c r="C21" i="17"/>
  <c r="O20" i="17"/>
  <c r="H20" i="17" a="1"/>
  <c r="H20" i="17" s="1"/>
  <c r="I20" i="17" s="1" a="1"/>
  <c r="I20" i="17" s="1"/>
  <c r="C20" i="17"/>
  <c r="H19" i="17" a="1"/>
  <c r="H19" i="17" s="1"/>
  <c r="I19" i="17" s="1" a="1"/>
  <c r="I19" i="17" s="1"/>
  <c r="C19" i="17"/>
  <c r="H18" i="17" a="1"/>
  <c r="H18" i="17" s="1"/>
  <c r="I18" i="17" s="1" a="1"/>
  <c r="I18" i="17" s="1"/>
  <c r="C18" i="17"/>
  <c r="H17" i="17" a="1"/>
  <c r="H17" i="17" s="1"/>
  <c r="I17" i="17" s="1" a="1"/>
  <c r="I17" i="17" s="1"/>
  <c r="C17" i="17"/>
  <c r="H16" i="17" a="1"/>
  <c r="H16" i="17" s="1"/>
  <c r="I16" i="17" s="1" a="1"/>
  <c r="I16" i="17" s="1"/>
  <c r="C16" i="17"/>
  <c r="H15" i="17" a="1"/>
  <c r="H15" i="17" s="1"/>
  <c r="I15" i="17" s="1" a="1"/>
  <c r="I15" i="17" s="1"/>
  <c r="C15" i="17"/>
  <c r="H14" i="17" a="1"/>
  <c r="H14" i="17" s="1"/>
  <c r="I14" i="17" s="1" a="1"/>
  <c r="I14" i="17" s="1"/>
  <c r="C14" i="17"/>
  <c r="H13" i="17" a="1"/>
  <c r="H13" i="17" s="1"/>
  <c r="I13" i="17" s="1" a="1"/>
  <c r="I13" i="17" s="1"/>
  <c r="C13" i="17"/>
  <c r="H12" i="17" a="1"/>
  <c r="H12" i="17" s="1"/>
  <c r="I12" i="17" s="1" a="1"/>
  <c r="I12" i="17" s="1"/>
  <c r="C12" i="17"/>
  <c r="H11" i="17" a="1"/>
  <c r="H11" i="17" s="1"/>
  <c r="I11" i="17" s="1" a="1"/>
  <c r="I11" i="17" s="1"/>
  <c r="C11" i="17"/>
  <c r="H10" i="17" a="1"/>
  <c r="H10" i="17" s="1"/>
  <c r="I10" i="17" s="1" a="1"/>
  <c r="I10" i="17" s="1"/>
  <c r="C10" i="17"/>
  <c r="H9" i="17" a="1"/>
  <c r="H9" i="17" s="1"/>
  <c r="I9" i="17" s="1" a="1"/>
  <c r="I9" i="17" s="1"/>
  <c r="C9" i="17"/>
  <c r="H8" i="17" a="1"/>
  <c r="H8" i="17" s="1"/>
  <c r="I8" i="17" s="1" a="1"/>
  <c r="I8" i="17" s="1"/>
  <c r="C8" i="17"/>
  <c r="H7" i="17" a="1"/>
  <c r="H7" i="17" s="1"/>
  <c r="I7" i="17" s="1" a="1"/>
  <c r="I7" i="17" s="1"/>
  <c r="C7" i="17"/>
  <c r="H6" i="17"/>
  <c r="I6" i="17" s="1" a="1"/>
  <c r="I6" i="17" s="1"/>
  <c r="H6" i="17" a="1"/>
  <c r="C6" i="17"/>
  <c r="H5" i="17" a="1"/>
  <c r="H5" i="17" s="1"/>
  <c r="I5" i="17" s="1" a="1"/>
  <c r="I5" i="17" s="1"/>
  <c r="C5" i="17"/>
  <c r="H4" i="17" a="1"/>
  <c r="H4" i="17" s="1"/>
  <c r="I4" i="17" s="1" a="1"/>
  <c r="I4" i="17" s="1"/>
  <c r="C4" i="17"/>
  <c r="C3" i="17"/>
  <c r="C2" i="17"/>
  <c r="O42" i="17" l="1"/>
  <c r="O46" i="17"/>
  <c r="O44" i="17"/>
  <c r="G4" i="16" l="1"/>
  <c r="C24" i="16" s="1" a="1"/>
  <c r="C24" i="16" s="1"/>
  <c r="D24" i="16" s="1"/>
  <c r="F24" i="16" l="1"/>
  <c r="E24" i="16"/>
  <c r="C21" i="16" a="1"/>
  <c r="C21" i="16" s="1"/>
  <c r="D21" i="16" s="1"/>
  <c r="C18" i="16" a="1"/>
  <c r="C18" i="16" s="1"/>
  <c r="D18" i="16" s="1"/>
  <c r="C15" i="16" a="1"/>
  <c r="C15" i="16" s="1"/>
  <c r="D15" i="16" s="1"/>
  <c r="C28" i="16" a="1"/>
  <c r="C28" i="16" s="1"/>
  <c r="D28" i="16" s="1"/>
  <c r="C25" i="16" a="1"/>
  <c r="C25" i="16" s="1"/>
  <c r="D25" i="16" s="1"/>
  <c r="C12" i="16" a="1"/>
  <c r="C12" i="16" s="1"/>
  <c r="D12" i="16" s="1"/>
  <c r="C22" i="16" a="1"/>
  <c r="C22" i="16" s="1"/>
  <c r="D22" i="16" s="1"/>
  <c r="C19" i="16" a="1"/>
  <c r="C19" i="16" s="1"/>
  <c r="D19" i="16" s="1"/>
  <c r="C11" i="16" a="1"/>
  <c r="C11" i="16" s="1"/>
  <c r="D11" i="16" s="1"/>
  <c r="C16" i="16" a="1"/>
  <c r="C16" i="16" s="1"/>
  <c r="D16" i="16" s="1"/>
  <c r="C13" i="16" a="1"/>
  <c r="C13" i="16" s="1"/>
  <c r="D13" i="16" s="1"/>
  <c r="C29" i="16" a="1"/>
  <c r="C29" i="16" s="1"/>
  <c r="D29" i="16" s="1"/>
  <c r="C26" i="16" a="1"/>
  <c r="C26" i="16" s="1"/>
  <c r="D26" i="16" s="1"/>
  <c r="C23" i="16" a="1"/>
  <c r="C23" i="16" s="1"/>
  <c r="D23" i="16" s="1"/>
  <c r="C20" i="16" a="1"/>
  <c r="C20" i="16" s="1"/>
  <c r="D20" i="16" s="1"/>
  <c r="C17" i="16" a="1"/>
  <c r="C17" i="16" s="1"/>
  <c r="D17" i="16" s="1"/>
  <c r="C14" i="16" a="1"/>
  <c r="C14" i="16" s="1"/>
  <c r="D14" i="16" s="1"/>
  <c r="C27" i="16" a="1"/>
  <c r="C27" i="16" s="1"/>
  <c r="D27" i="16" s="1"/>
  <c r="F16" i="16" l="1"/>
  <c r="E16" i="16"/>
  <c r="F29" i="16"/>
  <c r="E29" i="16"/>
  <c r="E23" i="16"/>
  <c r="F23" i="16"/>
  <c r="F19" i="16"/>
  <c r="E19" i="16"/>
  <c r="F28" i="16"/>
  <c r="E28" i="16"/>
  <c r="E15" i="16"/>
  <c r="F15" i="16"/>
  <c r="D30" i="16"/>
  <c r="E11" i="16"/>
  <c r="F11" i="16"/>
  <c r="F27" i="16"/>
  <c r="E27" i="16"/>
  <c r="E18" i="16"/>
  <c r="F18" i="16"/>
  <c r="F26" i="16"/>
  <c r="E26" i="16"/>
  <c r="F22" i="16"/>
  <c r="E22" i="16"/>
  <c r="F14" i="16"/>
  <c r="E14" i="16"/>
  <c r="E21" i="16"/>
  <c r="F21" i="16"/>
  <c r="F12" i="16"/>
  <c r="E12" i="16"/>
  <c r="E17" i="16"/>
  <c r="F17" i="16"/>
  <c r="F13" i="16"/>
  <c r="E13" i="16"/>
  <c r="F25" i="16"/>
  <c r="E25" i="16"/>
  <c r="E20" i="16"/>
  <c r="F20" i="16"/>
  <c r="E30" i="16" l="1"/>
  <c r="F30" i="16"/>
  <c r="C401" i="12"/>
  <c r="B401" i="12"/>
  <c r="C400" i="12"/>
  <c r="B400" i="12"/>
  <c r="C399" i="12"/>
  <c r="B399" i="12"/>
  <c r="C398" i="12"/>
  <c r="B398" i="12"/>
  <c r="C397" i="12"/>
  <c r="B397" i="12"/>
  <c r="C396" i="12"/>
  <c r="B396" i="12"/>
  <c r="C395" i="12"/>
  <c r="B395" i="12"/>
  <c r="C394" i="12"/>
  <c r="B394" i="12"/>
  <c r="C393" i="12"/>
  <c r="B393" i="12"/>
  <c r="C392" i="12"/>
  <c r="B392" i="12"/>
  <c r="C391" i="12"/>
  <c r="B391" i="12"/>
  <c r="C390" i="12"/>
  <c r="B390" i="12"/>
  <c r="C389" i="12"/>
  <c r="B389" i="12"/>
  <c r="C388" i="12"/>
  <c r="B388" i="12"/>
  <c r="C387" i="12"/>
  <c r="B387" i="12"/>
  <c r="C386" i="12"/>
  <c r="B386" i="12"/>
  <c r="C385" i="12"/>
  <c r="B385" i="12"/>
  <c r="C384" i="12"/>
  <c r="B384" i="12"/>
  <c r="C383" i="12"/>
  <c r="B383" i="12"/>
  <c r="C382" i="12"/>
  <c r="B382" i="12"/>
  <c r="C381" i="12"/>
  <c r="B381" i="12"/>
  <c r="C380" i="12"/>
  <c r="B380" i="12"/>
  <c r="C379" i="12"/>
  <c r="B379" i="12"/>
  <c r="C378" i="12"/>
  <c r="B378" i="12"/>
  <c r="C377" i="12"/>
  <c r="B377" i="12"/>
  <c r="C376" i="12"/>
  <c r="B376" i="12"/>
  <c r="C375" i="12"/>
  <c r="B375" i="12"/>
  <c r="C374" i="12"/>
  <c r="B374" i="12"/>
  <c r="C373" i="12"/>
  <c r="B373" i="12"/>
  <c r="C372" i="12"/>
  <c r="B372" i="12"/>
  <c r="C371" i="12"/>
  <c r="B371" i="12"/>
  <c r="C370" i="12"/>
  <c r="B370" i="12"/>
  <c r="C369" i="12"/>
  <c r="B369" i="12"/>
  <c r="C368" i="12"/>
  <c r="B368" i="12"/>
  <c r="C367" i="12"/>
  <c r="B367" i="12"/>
  <c r="C366" i="12"/>
  <c r="B366" i="12"/>
  <c r="C365" i="12"/>
  <c r="B365" i="12"/>
  <c r="C364" i="12"/>
  <c r="B364" i="12"/>
  <c r="C363" i="12"/>
  <c r="B363" i="12"/>
  <c r="C362" i="12"/>
  <c r="B362" i="12"/>
  <c r="C361" i="12"/>
  <c r="B361" i="12"/>
  <c r="C360" i="12"/>
  <c r="B360" i="12"/>
  <c r="C359" i="12"/>
  <c r="B359" i="12"/>
  <c r="C358" i="12"/>
  <c r="B358" i="12"/>
  <c r="C357" i="12"/>
  <c r="B357" i="12"/>
  <c r="C356" i="12"/>
  <c r="B356" i="12"/>
  <c r="C355" i="12"/>
  <c r="B355" i="12"/>
  <c r="C354" i="12"/>
  <c r="B354" i="12"/>
  <c r="C353" i="12"/>
  <c r="B353" i="12"/>
  <c r="C352" i="12"/>
  <c r="B352" i="12"/>
  <c r="C351" i="12"/>
  <c r="B351" i="12"/>
  <c r="C350" i="12"/>
  <c r="B350" i="12"/>
  <c r="C349" i="12"/>
  <c r="B349" i="12"/>
  <c r="C348" i="12"/>
  <c r="B348" i="12"/>
  <c r="C347" i="12"/>
  <c r="B347" i="12"/>
  <c r="C346" i="12"/>
  <c r="B346" i="12"/>
  <c r="C345" i="12"/>
  <c r="B345" i="12"/>
  <c r="C344" i="12"/>
  <c r="B344" i="12"/>
  <c r="C343" i="12"/>
  <c r="B343" i="12"/>
  <c r="C342" i="12"/>
  <c r="B342" i="12"/>
  <c r="C341" i="12"/>
  <c r="B341" i="12"/>
  <c r="C340" i="12"/>
  <c r="B340" i="12"/>
  <c r="C339" i="12"/>
  <c r="B339" i="12"/>
  <c r="C338" i="12"/>
  <c r="B338" i="12"/>
  <c r="C337" i="12"/>
  <c r="B337" i="12"/>
  <c r="C336" i="12"/>
  <c r="B336" i="12"/>
  <c r="C335" i="12"/>
  <c r="B335" i="12"/>
  <c r="C334" i="12"/>
  <c r="B334" i="12"/>
  <c r="C333" i="12"/>
  <c r="B333" i="12"/>
  <c r="C332" i="12"/>
  <c r="B332" i="12"/>
  <c r="C331" i="12"/>
  <c r="B331" i="12"/>
  <c r="C330" i="12"/>
  <c r="B330" i="12"/>
  <c r="C329" i="12"/>
  <c r="B329" i="12"/>
  <c r="C328" i="12"/>
  <c r="B328" i="12"/>
  <c r="C327" i="12"/>
  <c r="B327" i="12"/>
  <c r="C326" i="12"/>
  <c r="B326" i="12"/>
  <c r="C325" i="12"/>
  <c r="B325" i="12"/>
  <c r="C324" i="12"/>
  <c r="B324" i="12"/>
  <c r="C323" i="12"/>
  <c r="B323" i="12"/>
  <c r="C322" i="12"/>
  <c r="B322" i="12"/>
  <c r="C321" i="12"/>
  <c r="B321" i="12"/>
  <c r="C320" i="12"/>
  <c r="B320" i="12"/>
  <c r="C319" i="12"/>
  <c r="B319" i="12"/>
  <c r="C318" i="12"/>
  <c r="B318" i="12"/>
  <c r="C317" i="12"/>
  <c r="B317" i="12"/>
  <c r="C316" i="12"/>
  <c r="B316" i="12"/>
  <c r="C315" i="12"/>
  <c r="B315" i="12"/>
  <c r="C314" i="12"/>
  <c r="B314" i="12"/>
  <c r="C313" i="12"/>
  <c r="B313" i="12"/>
  <c r="C312" i="12"/>
  <c r="B312" i="12"/>
  <c r="C311" i="12"/>
  <c r="B311" i="12"/>
  <c r="C310" i="12"/>
  <c r="B310" i="12"/>
  <c r="C309" i="12"/>
  <c r="B309" i="12"/>
  <c r="C308" i="12"/>
  <c r="B308" i="12"/>
  <c r="C307" i="12"/>
  <c r="B307" i="12"/>
  <c r="C306" i="12"/>
  <c r="B306" i="12"/>
  <c r="C305" i="12"/>
  <c r="B305" i="12"/>
  <c r="C304" i="12"/>
  <c r="B304" i="12"/>
  <c r="C303" i="12"/>
  <c r="B303" i="12"/>
  <c r="C302" i="12"/>
  <c r="B302" i="12"/>
  <c r="C301" i="12"/>
  <c r="B301" i="12"/>
  <c r="C300" i="12"/>
  <c r="B300" i="12"/>
  <c r="C299" i="12"/>
  <c r="B299" i="12"/>
  <c r="C298" i="12"/>
  <c r="B298" i="12"/>
  <c r="C297" i="12"/>
  <c r="B297" i="12"/>
  <c r="C296" i="12"/>
  <c r="B296" i="12"/>
  <c r="C295" i="12"/>
  <c r="B295" i="12"/>
  <c r="C294" i="12"/>
  <c r="B294" i="12"/>
  <c r="C293" i="12"/>
  <c r="B293" i="12"/>
  <c r="C292" i="12"/>
  <c r="B292" i="12"/>
  <c r="C291" i="12"/>
  <c r="B291" i="12"/>
  <c r="C290" i="12"/>
  <c r="B290" i="12"/>
  <c r="C289" i="12"/>
  <c r="B289" i="12"/>
  <c r="C288" i="12"/>
  <c r="B288" i="12"/>
  <c r="C287" i="12"/>
  <c r="B287" i="12"/>
  <c r="C286" i="12"/>
  <c r="B286" i="12"/>
  <c r="C285" i="12"/>
  <c r="B285" i="12"/>
  <c r="C284" i="12"/>
  <c r="B284" i="12"/>
  <c r="C283" i="12"/>
  <c r="B283" i="12"/>
  <c r="C282" i="12"/>
  <c r="B282" i="12"/>
  <c r="C281" i="12"/>
  <c r="B281" i="12"/>
  <c r="C280" i="12"/>
  <c r="B280" i="12"/>
  <c r="C279" i="12"/>
  <c r="B279" i="12"/>
  <c r="C278" i="12"/>
  <c r="B278" i="12"/>
  <c r="C277" i="12"/>
  <c r="B277" i="12"/>
  <c r="C276" i="12"/>
  <c r="B276" i="12"/>
  <c r="C275" i="12"/>
  <c r="B275" i="12"/>
  <c r="C274" i="12"/>
  <c r="B274" i="12"/>
  <c r="C273" i="12"/>
  <c r="B273" i="12"/>
  <c r="C272" i="12"/>
  <c r="B272" i="12"/>
  <c r="C271" i="12"/>
  <c r="B271" i="12"/>
  <c r="C270" i="12"/>
  <c r="B270" i="12"/>
  <c r="C269" i="12"/>
  <c r="B269" i="12"/>
  <c r="C268" i="12"/>
  <c r="B268" i="12"/>
  <c r="C267" i="12"/>
  <c r="B267" i="12"/>
  <c r="C266" i="12"/>
  <c r="B266" i="12"/>
  <c r="C265" i="12"/>
  <c r="B265" i="12"/>
  <c r="C264" i="12"/>
  <c r="B264" i="12"/>
  <c r="C263" i="12"/>
  <c r="B263" i="12"/>
  <c r="C262" i="12"/>
  <c r="B262" i="12"/>
  <c r="C261" i="12"/>
  <c r="B261" i="12"/>
  <c r="C260" i="12"/>
  <c r="B260" i="12"/>
  <c r="C259" i="12"/>
  <c r="B259" i="12"/>
  <c r="C258" i="12"/>
  <c r="B258" i="12"/>
  <c r="C257" i="12"/>
  <c r="B257" i="12"/>
  <c r="C256" i="12"/>
  <c r="B256" i="12"/>
  <c r="C255" i="12"/>
  <c r="B255" i="12"/>
  <c r="C254" i="12"/>
  <c r="B254" i="12"/>
  <c r="C253" i="12"/>
  <c r="B253" i="12"/>
  <c r="C252" i="12"/>
  <c r="B252" i="12"/>
  <c r="C251" i="12"/>
  <c r="B251" i="12"/>
  <c r="C250" i="12"/>
  <c r="B250" i="12"/>
  <c r="C249" i="12"/>
  <c r="B249" i="12"/>
  <c r="C248" i="12"/>
  <c r="B248" i="12"/>
  <c r="C247" i="12"/>
  <c r="B247" i="12"/>
  <c r="C246" i="12"/>
  <c r="B246" i="12"/>
  <c r="C245" i="12"/>
  <c r="B245" i="12"/>
  <c r="C244" i="12"/>
  <c r="B244" i="12"/>
  <c r="C243" i="12"/>
  <c r="B243" i="12"/>
  <c r="C242" i="12"/>
  <c r="B242" i="12"/>
  <c r="C241" i="12"/>
  <c r="B241" i="12"/>
  <c r="C240" i="12"/>
  <c r="B240" i="12"/>
  <c r="C239" i="12"/>
  <c r="B239" i="12"/>
  <c r="C238" i="12"/>
  <c r="B238" i="12"/>
  <c r="C237" i="12"/>
  <c r="B237" i="12"/>
  <c r="C236" i="12"/>
  <c r="B236" i="12"/>
  <c r="C235" i="12"/>
  <c r="B235" i="12"/>
  <c r="C234" i="12"/>
  <c r="B234" i="12"/>
  <c r="C233" i="12"/>
  <c r="B233" i="12"/>
  <c r="C232" i="12"/>
  <c r="B232" i="12"/>
  <c r="C231" i="12"/>
  <c r="B231" i="12"/>
  <c r="C230" i="12"/>
  <c r="B230" i="12"/>
  <c r="C229" i="12"/>
  <c r="B229" i="12"/>
  <c r="C228" i="12"/>
  <c r="B228" i="12"/>
  <c r="C227" i="12"/>
  <c r="B227" i="12"/>
  <c r="C226" i="12"/>
  <c r="B226" i="12"/>
  <c r="C225" i="12"/>
  <c r="B225" i="12"/>
  <c r="C224" i="12"/>
  <c r="B224" i="12"/>
  <c r="C223" i="12"/>
  <c r="B223" i="12"/>
  <c r="C222" i="12"/>
  <c r="B222" i="12"/>
  <c r="C221" i="12"/>
  <c r="B221" i="12"/>
  <c r="C220" i="12"/>
  <c r="B220" i="12"/>
  <c r="C219" i="12"/>
  <c r="B219" i="12"/>
  <c r="C218" i="12"/>
  <c r="B218" i="12"/>
  <c r="C217" i="12"/>
  <c r="B217" i="12"/>
  <c r="C216" i="12"/>
  <c r="B216" i="12"/>
  <c r="C215" i="12"/>
  <c r="B215" i="12"/>
  <c r="C214" i="12"/>
  <c r="B214" i="12"/>
  <c r="C213" i="12"/>
  <c r="B213" i="12"/>
  <c r="C212" i="12"/>
  <c r="B212" i="12"/>
  <c r="C211" i="12"/>
  <c r="B211" i="12"/>
  <c r="C210" i="12"/>
  <c r="B210" i="12"/>
  <c r="C209" i="12"/>
  <c r="B209" i="12"/>
  <c r="C208" i="12"/>
  <c r="B208" i="12"/>
  <c r="C207" i="12"/>
  <c r="B207" i="12"/>
  <c r="C206" i="12"/>
  <c r="B206" i="12"/>
  <c r="C205" i="12"/>
  <c r="B205" i="12"/>
  <c r="C204" i="12"/>
  <c r="B204" i="12"/>
  <c r="C203" i="12"/>
  <c r="B203" i="12"/>
  <c r="C202" i="12"/>
  <c r="B202" i="12"/>
  <c r="C201" i="12"/>
  <c r="B201" i="12"/>
  <c r="C200" i="12"/>
  <c r="B200" i="12"/>
  <c r="C199" i="12"/>
  <c r="B199" i="12"/>
  <c r="C198" i="12"/>
  <c r="B198" i="12"/>
  <c r="C197" i="12"/>
  <c r="B197" i="12"/>
  <c r="C196" i="12"/>
  <c r="B196" i="12"/>
  <c r="C195" i="12"/>
  <c r="B195" i="12"/>
  <c r="C194" i="12"/>
  <c r="B194" i="12"/>
  <c r="C193" i="12"/>
  <c r="B193" i="12"/>
  <c r="C192" i="12"/>
  <c r="B192" i="12"/>
  <c r="C191" i="12"/>
  <c r="B191" i="12"/>
  <c r="C190" i="12"/>
  <c r="B190" i="12"/>
  <c r="C189" i="12"/>
  <c r="B189" i="12"/>
  <c r="C188" i="12"/>
  <c r="B188" i="12"/>
  <c r="C187" i="12"/>
  <c r="B187" i="12"/>
  <c r="C186" i="12"/>
  <c r="B186" i="12"/>
  <c r="C185" i="12"/>
  <c r="B185" i="12"/>
  <c r="C184" i="12"/>
  <c r="B184" i="12"/>
  <c r="C183" i="12"/>
  <c r="B183" i="12"/>
  <c r="C182" i="12"/>
  <c r="B182" i="12"/>
  <c r="C181" i="12"/>
  <c r="B181" i="12"/>
  <c r="C180" i="12"/>
  <c r="B180" i="12"/>
  <c r="C179" i="12"/>
  <c r="B179" i="12"/>
  <c r="C178" i="12"/>
  <c r="B178" i="12"/>
  <c r="C177" i="12"/>
  <c r="B177" i="12"/>
  <c r="C176" i="12"/>
  <c r="B176" i="12"/>
  <c r="C175" i="12"/>
  <c r="B175" i="12"/>
  <c r="C174" i="12"/>
  <c r="B174" i="12"/>
  <c r="C173" i="12"/>
  <c r="B173" i="12"/>
  <c r="C172" i="12"/>
  <c r="B172" i="12"/>
  <c r="C171" i="12"/>
  <c r="B171" i="12"/>
  <c r="C170" i="12"/>
  <c r="B170" i="12"/>
  <c r="C169" i="12"/>
  <c r="B169" i="12"/>
  <c r="C168" i="12"/>
  <c r="B168" i="12"/>
  <c r="C167" i="12"/>
  <c r="B167" i="12"/>
  <c r="C166" i="12"/>
  <c r="B166" i="12"/>
  <c r="C165" i="12"/>
  <c r="B165" i="12"/>
  <c r="C164" i="12"/>
  <c r="B164" i="12"/>
  <c r="C163" i="12"/>
  <c r="B163" i="12"/>
  <c r="C162" i="12"/>
  <c r="B162" i="12"/>
  <c r="C161" i="12"/>
  <c r="B161" i="12"/>
  <c r="C160" i="12"/>
  <c r="B160" i="12"/>
  <c r="C159" i="12"/>
  <c r="B159" i="12"/>
  <c r="C158" i="12"/>
  <c r="B158" i="12"/>
  <c r="C157" i="12"/>
  <c r="B157" i="12"/>
  <c r="C156" i="12"/>
  <c r="B156" i="12"/>
  <c r="C155" i="12"/>
  <c r="B155" i="12"/>
  <c r="C154" i="12"/>
  <c r="B154" i="12"/>
  <c r="C153" i="12"/>
  <c r="B153" i="12"/>
  <c r="C152" i="12"/>
  <c r="B152" i="12"/>
  <c r="C151" i="12"/>
  <c r="B151" i="12"/>
  <c r="C150" i="12"/>
  <c r="B150" i="12"/>
  <c r="C149" i="12"/>
  <c r="B149" i="12"/>
  <c r="C148" i="12"/>
  <c r="B148" i="12"/>
  <c r="C147" i="12"/>
  <c r="B147" i="12"/>
  <c r="C146" i="12"/>
  <c r="B146" i="12"/>
  <c r="C145" i="12"/>
  <c r="B145" i="12"/>
  <c r="C144" i="12"/>
  <c r="B144" i="12"/>
  <c r="C143" i="12"/>
  <c r="B143" i="12"/>
  <c r="C142" i="12"/>
  <c r="B142" i="12"/>
  <c r="C141" i="12"/>
  <c r="B141" i="12"/>
  <c r="C140" i="12"/>
  <c r="B140" i="12"/>
  <c r="C139" i="12"/>
  <c r="B139" i="12"/>
  <c r="C138" i="12"/>
  <c r="B138" i="12"/>
  <c r="C137" i="12"/>
  <c r="B137" i="12"/>
  <c r="C136" i="12"/>
  <c r="B136" i="12"/>
  <c r="C135" i="12"/>
  <c r="B135" i="12"/>
  <c r="C134" i="12"/>
  <c r="B134" i="12"/>
  <c r="C133" i="12"/>
  <c r="B133" i="12"/>
  <c r="C132" i="12"/>
  <c r="B132" i="12"/>
  <c r="C131" i="12"/>
  <c r="B131" i="12"/>
  <c r="C130" i="12"/>
  <c r="B130" i="12"/>
  <c r="C129" i="12"/>
  <c r="B129" i="12"/>
  <c r="C128" i="12"/>
  <c r="B128" i="12"/>
  <c r="C127" i="12"/>
  <c r="B127" i="12"/>
  <c r="C126" i="12"/>
  <c r="B126" i="12"/>
  <c r="C125" i="12"/>
  <c r="B125" i="12"/>
  <c r="C124" i="12"/>
  <c r="B124" i="12"/>
  <c r="C123" i="12"/>
  <c r="B123" i="12"/>
  <c r="C122" i="12"/>
  <c r="B122" i="12"/>
  <c r="C121" i="12"/>
  <c r="B121" i="12"/>
  <c r="C120" i="12"/>
  <c r="B120" i="12"/>
  <c r="C119" i="12"/>
  <c r="B119" i="12"/>
  <c r="C118" i="12"/>
  <c r="B118" i="12"/>
  <c r="C117" i="12"/>
  <c r="B117" i="12"/>
  <c r="C116" i="12"/>
  <c r="B116" i="12"/>
  <c r="C115" i="12"/>
  <c r="B115" i="12"/>
  <c r="C114" i="12"/>
  <c r="B114" i="12"/>
  <c r="C113" i="12"/>
  <c r="B113" i="12"/>
  <c r="C112" i="12"/>
  <c r="B112" i="12"/>
  <c r="C111" i="12"/>
  <c r="B111" i="12"/>
  <c r="C110" i="12"/>
  <c r="B110" i="12"/>
  <c r="C109" i="12"/>
  <c r="B109" i="12"/>
  <c r="C108" i="12"/>
  <c r="B108" i="12"/>
  <c r="C107" i="12"/>
  <c r="B107" i="12"/>
  <c r="C106" i="12"/>
  <c r="B106" i="12"/>
  <c r="C105" i="12"/>
  <c r="B105" i="12"/>
  <c r="C104" i="12"/>
  <c r="B104" i="12"/>
  <c r="C103" i="12"/>
  <c r="B103" i="12"/>
  <c r="C102" i="12"/>
  <c r="B102" i="12"/>
  <c r="C101" i="12"/>
  <c r="B101" i="12"/>
  <c r="C100" i="12"/>
  <c r="B100" i="12"/>
  <c r="C99" i="12"/>
  <c r="B99" i="12"/>
  <c r="C98" i="12"/>
  <c r="B98" i="12"/>
  <c r="C97" i="12"/>
  <c r="B97" i="12"/>
  <c r="C96" i="12"/>
  <c r="B96" i="12"/>
  <c r="C95" i="12"/>
  <c r="B95" i="12"/>
  <c r="C94" i="12"/>
  <c r="B94" i="12"/>
  <c r="C93" i="12"/>
  <c r="B93" i="12"/>
  <c r="C92" i="12"/>
  <c r="B92" i="12"/>
  <c r="C91" i="12"/>
  <c r="B91" i="12"/>
  <c r="C90" i="12"/>
  <c r="B90" i="12"/>
  <c r="C89" i="12"/>
  <c r="B89" i="12"/>
  <c r="C88" i="12"/>
  <c r="B88" i="12"/>
  <c r="C87" i="12"/>
  <c r="B87" i="12"/>
  <c r="C86" i="12"/>
  <c r="B86" i="12"/>
  <c r="C85" i="12"/>
  <c r="B85" i="12"/>
  <c r="C84" i="12"/>
  <c r="B84" i="12"/>
  <c r="C83" i="12"/>
  <c r="B83" i="12"/>
  <c r="C82" i="12"/>
  <c r="B82" i="12"/>
  <c r="C81" i="12"/>
  <c r="B81" i="12"/>
  <c r="C80" i="12"/>
  <c r="B80" i="12"/>
  <c r="C79" i="12"/>
  <c r="B79" i="12"/>
  <c r="C78" i="12"/>
  <c r="B78" i="12"/>
  <c r="C77" i="12"/>
  <c r="B77" i="12"/>
  <c r="C76" i="12"/>
  <c r="B76" i="12"/>
  <c r="C75" i="12"/>
  <c r="B75" i="12"/>
  <c r="C74" i="12"/>
  <c r="B74" i="12"/>
  <c r="C73" i="12"/>
  <c r="B73" i="12"/>
  <c r="C72" i="12"/>
  <c r="B72" i="12"/>
  <c r="C71" i="12"/>
  <c r="B71" i="12"/>
  <c r="C70" i="12"/>
  <c r="B70" i="12"/>
  <c r="C69" i="12"/>
  <c r="B69"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C5" i="12"/>
  <c r="B5" i="12"/>
  <c r="C4" i="12"/>
  <c r="B4" i="12"/>
  <c r="C3" i="12"/>
  <c r="B3" i="12"/>
  <c r="C2" i="12"/>
  <c r="B2" i="12"/>
  <c r="E373" i="11"/>
  <c r="E372" i="11"/>
  <c r="E371" i="11"/>
  <c r="E370" i="11"/>
  <c r="E369" i="11"/>
  <c r="E368" i="11"/>
  <c r="E367" i="11"/>
  <c r="E366" i="11"/>
  <c r="E365" i="11"/>
  <c r="D365" i="11"/>
  <c r="E364" i="11"/>
  <c r="E363" i="11"/>
  <c r="E362" i="11"/>
  <c r="E361" i="11"/>
  <c r="E360" i="11"/>
  <c r="E359" i="11"/>
  <c r="E358" i="11"/>
  <c r="E357" i="11"/>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E309" i="11"/>
  <c r="E308" i="11"/>
  <c r="E307" i="11"/>
  <c r="E306" i="11"/>
  <c r="E305" i="11"/>
  <c r="E304" i="11"/>
  <c r="E303" i="11"/>
  <c r="E302" i="11"/>
  <c r="E301" i="11"/>
  <c r="D301" i="11"/>
  <c r="E300" i="11"/>
  <c r="E299" i="11"/>
  <c r="E298" i="11"/>
  <c r="E297" i="11"/>
  <c r="E296" i="11"/>
  <c r="E295" i="11"/>
  <c r="E294"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243" i="11"/>
  <c r="E242" i="11"/>
  <c r="E241" i="11"/>
  <c r="E240" i="11"/>
  <c r="E239" i="11"/>
  <c r="E238" i="11"/>
  <c r="E237" i="11"/>
  <c r="E236" i="11"/>
  <c r="E235" i="11"/>
  <c r="E234" i="11"/>
  <c r="E233" i="11"/>
  <c r="E232" i="11"/>
  <c r="E231" i="11"/>
  <c r="E230" i="11"/>
  <c r="D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D92" i="11"/>
  <c r="E91" i="11"/>
  <c r="E90" i="11"/>
  <c r="E89" i="11"/>
  <c r="E88" i="11"/>
  <c r="E87" i="11"/>
  <c r="E86" i="11"/>
  <c r="E85" i="11"/>
  <c r="E84" i="11"/>
  <c r="E83" i="11"/>
  <c r="D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D23" i="11"/>
  <c r="E22" i="11"/>
  <c r="E21" i="11"/>
  <c r="E20" i="11"/>
  <c r="E19" i="11"/>
  <c r="E18" i="11"/>
  <c r="E17" i="11"/>
  <c r="E16" i="11"/>
  <c r="E15" i="11"/>
  <c r="E14" i="11"/>
  <c r="D14" i="11"/>
  <c r="E13" i="11"/>
  <c r="D13" i="11"/>
  <c r="E12" i="11"/>
  <c r="E11" i="11"/>
  <c r="F10" i="11"/>
  <c r="B11" i="11" s="1"/>
  <c r="C11" i="11" s="1"/>
  <c r="C6" i="11"/>
  <c r="C5" i="11"/>
  <c r="D192" i="11" s="1"/>
  <c r="D109" i="11" l="1"/>
  <c r="D137" i="11"/>
  <c r="D166" i="11"/>
  <c r="D38" i="11"/>
  <c r="D67" i="11"/>
  <c r="D124" i="11"/>
  <c r="D185" i="11"/>
  <c r="D29" i="11"/>
  <c r="D42" i="11"/>
  <c r="D128" i="11"/>
  <c r="D157" i="11"/>
  <c r="D246" i="11"/>
  <c r="D115" i="11"/>
  <c r="D172" i="11"/>
  <c r="D294" i="11"/>
  <c r="D17" i="11"/>
  <c r="D30" i="11"/>
  <c r="D73" i="11"/>
  <c r="D144" i="11"/>
  <c r="D7" i="12"/>
  <c r="D44" i="11"/>
  <c r="D310" i="11"/>
  <c r="D358" i="11"/>
  <c r="D237" i="11"/>
  <c r="D77" i="11"/>
  <c r="D367" i="11"/>
  <c r="D351" i="11"/>
  <c r="D335" i="11"/>
  <c r="D319" i="11"/>
  <c r="D303" i="11"/>
  <c r="D287" i="11"/>
  <c r="D271" i="11"/>
  <c r="D255" i="11"/>
  <c r="D239" i="11"/>
  <c r="D223" i="11"/>
  <c r="D207" i="11"/>
  <c r="D191" i="11"/>
  <c r="D175" i="11"/>
  <c r="D159" i="11"/>
  <c r="D143" i="11"/>
  <c r="D127" i="11"/>
  <c r="D111" i="11"/>
  <c r="D95" i="11"/>
  <c r="D79" i="11"/>
  <c r="D63" i="11"/>
  <c r="D47" i="11"/>
  <c r="D370" i="11"/>
  <c r="D354" i="11"/>
  <c r="D338" i="11"/>
  <c r="D322" i="11"/>
  <c r="D306" i="11"/>
  <c r="D290" i="11"/>
  <c r="D274" i="11"/>
  <c r="D258" i="11"/>
  <c r="D242" i="11"/>
  <c r="D226" i="11"/>
  <c r="D210" i="11"/>
  <c r="D194" i="11"/>
  <c r="D178" i="11"/>
  <c r="D162" i="11"/>
  <c r="D146" i="11"/>
  <c r="D130" i="11"/>
  <c r="D114" i="11"/>
  <c r="D98" i="11"/>
  <c r="D82" i="11"/>
  <c r="D66" i="11"/>
  <c r="D50" i="11"/>
  <c r="D373" i="11"/>
  <c r="D357" i="11"/>
  <c r="D341" i="11"/>
  <c r="D325" i="11"/>
  <c r="D309" i="11"/>
  <c r="D293" i="11"/>
  <c r="D277" i="11"/>
  <c r="D261" i="11"/>
  <c r="D245" i="11"/>
  <c r="D229" i="11"/>
  <c r="D213" i="11"/>
  <c r="D197" i="11"/>
  <c r="D181" i="11"/>
  <c r="D165" i="11"/>
  <c r="D149" i="11"/>
  <c r="D133" i="11"/>
  <c r="D117" i="11"/>
  <c r="D101" i="11"/>
  <c r="D85" i="11"/>
  <c r="D69" i="11"/>
  <c r="D53" i="11"/>
  <c r="D37" i="11"/>
  <c r="D360" i="11"/>
  <c r="D344" i="11"/>
  <c r="D328" i="11"/>
  <c r="D312" i="11"/>
  <c r="D296" i="11"/>
  <c r="D280" i="11"/>
  <c r="D264" i="11"/>
  <c r="D248" i="11"/>
  <c r="D232" i="11"/>
  <c r="D216" i="11"/>
  <c r="D200" i="11"/>
  <c r="D184" i="11"/>
  <c r="D168" i="11"/>
  <c r="D152" i="11"/>
  <c r="D136" i="11"/>
  <c r="D120" i="11"/>
  <c r="D104" i="11"/>
  <c r="D88" i="11"/>
  <c r="D72" i="11"/>
  <c r="D56" i="11"/>
  <c r="D40" i="11"/>
  <c r="D363" i="11"/>
  <c r="D347" i="11"/>
  <c r="D331" i="11"/>
  <c r="D315" i="11"/>
  <c r="D299" i="11"/>
  <c r="D283" i="11"/>
  <c r="D267" i="11"/>
  <c r="D251" i="11"/>
  <c r="D235" i="11"/>
  <c r="D219" i="11"/>
  <c r="D203" i="11"/>
  <c r="D187" i="11"/>
  <c r="D171" i="11"/>
  <c r="D155" i="11"/>
  <c r="D139" i="11"/>
  <c r="D123" i="11"/>
  <c r="D107" i="11"/>
  <c r="D91" i="11"/>
  <c r="D75" i="11"/>
  <c r="D59" i="11"/>
  <c r="D43" i="11"/>
  <c r="D366" i="11"/>
  <c r="D350" i="11"/>
  <c r="D334" i="11"/>
  <c r="D318" i="11"/>
  <c r="D302" i="11"/>
  <c r="D286" i="11"/>
  <c r="D270" i="11"/>
  <c r="D254" i="11"/>
  <c r="D238" i="11"/>
  <c r="D222" i="11"/>
  <c r="D206" i="11"/>
  <c r="D190" i="11"/>
  <c r="D174" i="11"/>
  <c r="D158" i="11"/>
  <c r="D142" i="11"/>
  <c r="D126" i="11"/>
  <c r="D110" i="11"/>
  <c r="D94" i="11"/>
  <c r="D78" i="11"/>
  <c r="D62" i="11"/>
  <c r="D46" i="11"/>
  <c r="D369" i="11"/>
  <c r="D353" i="11"/>
  <c r="D337" i="11"/>
  <c r="D321" i="11"/>
  <c r="D305" i="11"/>
  <c r="D289" i="11"/>
  <c r="D273" i="11"/>
  <c r="D257" i="11"/>
  <c r="D241" i="11"/>
  <c r="D225" i="11"/>
  <c r="D209" i="11"/>
  <c r="D193" i="11"/>
  <c r="D177" i="11"/>
  <c r="D161" i="11"/>
  <c r="D145" i="11"/>
  <c r="D129" i="11"/>
  <c r="D113" i="11"/>
  <c r="D97" i="11"/>
  <c r="D81" i="11"/>
  <c r="D65" i="11"/>
  <c r="D49" i="11"/>
  <c r="D33" i="11"/>
  <c r="D372" i="11"/>
  <c r="D356" i="11"/>
  <c r="D340" i="11"/>
  <c r="D324" i="11"/>
  <c r="D308" i="11"/>
  <c r="D292" i="11"/>
  <c r="D276" i="11"/>
  <c r="D260" i="11"/>
  <c r="D244" i="11"/>
  <c r="D228" i="11"/>
  <c r="D212" i="11"/>
  <c r="D196" i="11"/>
  <c r="D180" i="11"/>
  <c r="D164" i="11"/>
  <c r="D148" i="11"/>
  <c r="D132" i="11"/>
  <c r="D116" i="11"/>
  <c r="D100" i="11"/>
  <c r="D84" i="11"/>
  <c r="D68" i="11"/>
  <c r="D52" i="11"/>
  <c r="D36" i="11"/>
  <c r="D359" i="11"/>
  <c r="D343" i="11"/>
  <c r="D327" i="11"/>
  <c r="D311" i="11"/>
  <c r="D295" i="11"/>
  <c r="D279" i="11"/>
  <c r="D263" i="11"/>
  <c r="D247" i="11"/>
  <c r="D231" i="11"/>
  <c r="D215" i="11"/>
  <c r="D199" i="11"/>
  <c r="D183" i="11"/>
  <c r="D167" i="11"/>
  <c r="D151" i="11"/>
  <c r="D135" i="11"/>
  <c r="D119" i="11"/>
  <c r="D103" i="11"/>
  <c r="D87" i="11"/>
  <c r="D71" i="11"/>
  <c r="D55" i="11"/>
  <c r="D39" i="11"/>
  <c r="D362" i="11"/>
  <c r="D346" i="11"/>
  <c r="D330" i="11"/>
  <c r="D314" i="11"/>
  <c r="D298" i="11"/>
  <c r="D282" i="11"/>
  <c r="D266" i="11"/>
  <c r="D250" i="11"/>
  <c r="D234" i="11"/>
  <c r="D218" i="11"/>
  <c r="D202" i="11"/>
  <c r="D186" i="11"/>
  <c r="D170" i="11"/>
  <c r="D154" i="11"/>
  <c r="D138" i="11"/>
  <c r="D122" i="11"/>
  <c r="D106" i="11"/>
  <c r="D90" i="11"/>
  <c r="D371" i="11"/>
  <c r="D355" i="11"/>
  <c r="D339" i="11"/>
  <c r="D323" i="11"/>
  <c r="D307" i="11"/>
  <c r="D291" i="11"/>
  <c r="D275" i="11"/>
  <c r="D259" i="11"/>
  <c r="D243" i="11"/>
  <c r="D227" i="11"/>
  <c r="D211" i="11"/>
  <c r="D195" i="11"/>
  <c r="D179" i="11"/>
  <c r="D163" i="11"/>
  <c r="D147" i="11"/>
  <c r="D131" i="11"/>
  <c r="D361" i="11"/>
  <c r="D345" i="11"/>
  <c r="D329" i="11"/>
  <c r="D313" i="11"/>
  <c r="D297" i="11"/>
  <c r="D281" i="11"/>
  <c r="D265" i="11"/>
  <c r="D249" i="11"/>
  <c r="D233" i="11"/>
  <c r="D217" i="11"/>
  <c r="D201" i="11"/>
  <c r="D364" i="11"/>
  <c r="D348" i="11"/>
  <c r="D332" i="11"/>
  <c r="D316" i="11"/>
  <c r="D300" i="11"/>
  <c r="D284" i="11"/>
  <c r="D268" i="11"/>
  <c r="D252" i="11"/>
  <c r="D236" i="11"/>
  <c r="D220" i="11"/>
  <c r="D204" i="11"/>
  <c r="D26" i="11"/>
  <c r="D48" i="11"/>
  <c r="D54" i="11"/>
  <c r="D60" i="11"/>
  <c r="D96" i="11"/>
  <c r="D150" i="11"/>
  <c r="D20" i="11"/>
  <c r="D256" i="11"/>
  <c r="D320" i="11"/>
  <c r="D11" i="11"/>
  <c r="F11" i="11" s="1"/>
  <c r="B12" i="11" s="1"/>
  <c r="D27" i="11"/>
  <c r="D61" i="11"/>
  <c r="D105" i="11"/>
  <c r="D173" i="11"/>
  <c r="D188" i="11"/>
  <c r="D221" i="11"/>
  <c r="D285" i="11"/>
  <c r="D349" i="11"/>
  <c r="D24" i="11"/>
  <c r="D86" i="11"/>
  <c r="D118" i="11"/>
  <c r="D240" i="11"/>
  <c r="D304" i="11"/>
  <c r="D368" i="11"/>
  <c r="D21" i="11"/>
  <c r="D34" i="11"/>
  <c r="D99" i="11"/>
  <c r="D153" i="11"/>
  <c r="D160" i="11"/>
  <c r="D214" i="11"/>
  <c r="D278" i="11"/>
  <c r="D342" i="11"/>
  <c r="D18" i="11"/>
  <c r="D51" i="11"/>
  <c r="D57" i="11"/>
  <c r="D80" i="11"/>
  <c r="D112" i="11"/>
  <c r="D182" i="11"/>
  <c r="D15" i="11"/>
  <c r="D31" i="11"/>
  <c r="D45" i="11"/>
  <c r="D74" i="11"/>
  <c r="D93" i="11"/>
  <c r="D125" i="11"/>
  <c r="D140" i="11"/>
  <c r="D189" i="11"/>
  <c r="D205" i="11"/>
  <c r="D269" i="11"/>
  <c r="D333" i="11"/>
  <c r="D12" i="11"/>
  <c r="D28" i="11"/>
  <c r="D224" i="11"/>
  <c r="D288" i="11"/>
  <c r="D352" i="11"/>
  <c r="D25" i="11"/>
  <c r="D169" i="11"/>
  <c r="D176" i="11"/>
  <c r="D198" i="11"/>
  <c r="D262" i="11"/>
  <c r="D326" i="11"/>
  <c r="D22" i="11"/>
  <c r="D35" i="11"/>
  <c r="D41" i="11"/>
  <c r="D64" i="11"/>
  <c r="D70" i="11"/>
  <c r="D76" i="11"/>
  <c r="D108" i="11"/>
  <c r="D134" i="11"/>
  <c r="D19" i="11"/>
  <c r="D58" i="11"/>
  <c r="D89" i="11"/>
  <c r="D121" i="11"/>
  <c r="D141" i="11"/>
  <c r="D156" i="11"/>
  <c r="D253" i="11"/>
  <c r="D317" i="11"/>
  <c r="D16" i="11"/>
  <c r="D32" i="11"/>
  <c r="D102" i="11"/>
  <c r="D208" i="11"/>
  <c r="D272" i="11"/>
  <c r="D336" i="11"/>
  <c r="C12" i="11" l="1"/>
  <c r="F12" i="11" s="1"/>
  <c r="B13" i="11" s="1"/>
  <c r="C13" i="11" l="1"/>
  <c r="F13" i="11" s="1"/>
  <c r="B14" i="11" s="1"/>
  <c r="C14" i="11" l="1"/>
  <c r="F14" i="11" s="1"/>
  <c r="B15" i="11" s="1"/>
  <c r="C15" i="11" l="1"/>
  <c r="F15" i="11" s="1"/>
  <c r="B16" i="11" s="1"/>
  <c r="C16" i="11" l="1"/>
  <c r="F16" i="11" s="1"/>
  <c r="B17" i="11" s="1"/>
  <c r="C17" i="11" l="1"/>
  <c r="F17" i="11" s="1"/>
  <c r="B18" i="11" s="1"/>
  <c r="C18" i="11" l="1"/>
  <c r="F18" i="11" s="1"/>
  <c r="B19" i="11" s="1"/>
  <c r="C19" i="11" l="1"/>
  <c r="F19" i="11" s="1"/>
  <c r="B20" i="11" s="1"/>
  <c r="C20" i="11" l="1"/>
  <c r="F20" i="11" s="1"/>
  <c r="B21" i="11" s="1"/>
  <c r="C21" i="11" l="1"/>
  <c r="F21" i="11" s="1"/>
  <c r="B22" i="11" s="1"/>
  <c r="C22" i="11" l="1"/>
  <c r="F22" i="11" s="1"/>
  <c r="B23" i="11" s="1"/>
  <c r="C23" i="11" l="1"/>
  <c r="F23" i="11" s="1"/>
  <c r="B24" i="11" s="1"/>
  <c r="C24" i="11" l="1"/>
  <c r="F24" i="11" s="1"/>
  <c r="B25" i="11" s="1"/>
  <c r="C25" i="11" l="1"/>
  <c r="F25" i="11" s="1"/>
  <c r="B26" i="11" s="1"/>
  <c r="C26" i="11" l="1"/>
  <c r="F26" i="11" s="1"/>
  <c r="B27" i="11" s="1"/>
  <c r="C27" i="11" l="1"/>
  <c r="F27" i="11" s="1"/>
  <c r="B28" i="11" s="1"/>
  <c r="C28" i="11" l="1"/>
  <c r="F28" i="11" s="1"/>
  <c r="B29" i="11" s="1"/>
  <c r="C29" i="11" l="1"/>
  <c r="F29" i="11" s="1"/>
  <c r="B30" i="11" s="1"/>
  <c r="C30" i="11" l="1"/>
  <c r="F30" i="11" s="1"/>
  <c r="B31" i="11" s="1"/>
  <c r="C31" i="11" l="1"/>
  <c r="F31" i="11" s="1"/>
  <c r="B32" i="11" s="1"/>
  <c r="C32" i="11" l="1"/>
  <c r="F32" i="11" s="1"/>
  <c r="B33" i="11" s="1"/>
  <c r="C33" i="11" l="1"/>
  <c r="F33" i="11" s="1"/>
  <c r="B34" i="11" s="1"/>
  <c r="C34" i="11" l="1"/>
  <c r="F34" i="11" s="1"/>
  <c r="B35" i="11" s="1"/>
  <c r="C35" i="11" l="1"/>
  <c r="F35" i="11" s="1"/>
  <c r="B36" i="11" s="1"/>
  <c r="C36" i="11" l="1"/>
  <c r="F36" i="11" s="1"/>
  <c r="B37" i="11" s="1"/>
  <c r="C37" i="11" l="1"/>
  <c r="F37" i="11" s="1"/>
  <c r="B38" i="11" s="1"/>
  <c r="C38" i="11" l="1"/>
  <c r="F38" i="11" s="1"/>
  <c r="B39" i="11" s="1"/>
  <c r="C39" i="11" l="1"/>
  <c r="F39" i="11" s="1"/>
  <c r="B40" i="11" s="1"/>
  <c r="C40" i="11" l="1"/>
  <c r="F40" i="11" s="1"/>
  <c r="B41" i="11" s="1"/>
  <c r="C41" i="11" l="1"/>
  <c r="F41" i="11" s="1"/>
  <c r="B42" i="11" s="1"/>
  <c r="C42" i="11" l="1"/>
  <c r="F42" i="11" s="1"/>
  <c r="B43" i="11" s="1"/>
  <c r="C43" i="11" l="1"/>
  <c r="F43" i="11" s="1"/>
  <c r="B44" i="11" s="1"/>
  <c r="C44" i="11" l="1"/>
  <c r="F44" i="11" s="1"/>
  <c r="B45" i="11" s="1"/>
  <c r="C45" i="11" l="1"/>
  <c r="F45" i="11" s="1"/>
  <c r="B46" i="11" s="1"/>
  <c r="C46" i="11" l="1"/>
  <c r="F46" i="11" s="1"/>
  <c r="B47" i="11" s="1"/>
  <c r="C47" i="11" l="1"/>
  <c r="F47" i="11" s="1"/>
  <c r="B48" i="11" s="1"/>
  <c r="C48" i="11" l="1"/>
  <c r="F48" i="11" s="1"/>
  <c r="B49" i="11" s="1"/>
  <c r="C49" i="11" l="1"/>
  <c r="F49" i="11" s="1"/>
  <c r="B50" i="11" s="1"/>
  <c r="C50" i="11" l="1"/>
  <c r="F50" i="11" s="1"/>
  <c r="B51" i="11" s="1"/>
  <c r="C51" i="11" l="1"/>
  <c r="F51" i="11" s="1"/>
  <c r="B52" i="11" s="1"/>
  <c r="C52" i="11" l="1"/>
  <c r="F52" i="11" s="1"/>
  <c r="B53" i="11" s="1"/>
  <c r="C53" i="11" l="1"/>
  <c r="F53" i="11" s="1"/>
  <c r="B54" i="11" s="1"/>
  <c r="C54" i="11" l="1"/>
  <c r="F54" i="11" s="1"/>
  <c r="B55" i="11" s="1"/>
  <c r="C55" i="11" l="1"/>
  <c r="F55" i="11" s="1"/>
  <c r="B56" i="11" s="1"/>
  <c r="C56" i="11" l="1"/>
  <c r="F56" i="11" s="1"/>
  <c r="B57" i="11" s="1"/>
  <c r="C57" i="11" l="1"/>
  <c r="F57" i="11" s="1"/>
  <c r="B58" i="11" s="1"/>
  <c r="C58" i="11" l="1"/>
  <c r="F58" i="11" s="1"/>
  <c r="B59" i="11" s="1"/>
  <c r="C59" i="11" l="1"/>
  <c r="F59" i="11" s="1"/>
  <c r="B60" i="11" s="1"/>
  <c r="C60" i="11" l="1"/>
  <c r="F60" i="11" s="1"/>
  <c r="B61" i="11" s="1"/>
  <c r="C61" i="11" l="1"/>
  <c r="F61" i="11" s="1"/>
  <c r="B62" i="11" s="1"/>
  <c r="C62" i="11" l="1"/>
  <c r="F62" i="11" s="1"/>
  <c r="B63" i="11" s="1"/>
  <c r="C63" i="11" l="1"/>
  <c r="F63" i="11" s="1"/>
  <c r="B64" i="11" s="1"/>
  <c r="C64" i="11" l="1"/>
  <c r="F64" i="11" s="1"/>
  <c r="B65" i="11" s="1"/>
  <c r="C65" i="11" l="1"/>
  <c r="F65" i="11" s="1"/>
  <c r="B66" i="11" s="1"/>
  <c r="C66" i="11" l="1"/>
  <c r="F66" i="11" s="1"/>
  <c r="B67" i="11" s="1"/>
  <c r="C67" i="11" l="1"/>
  <c r="F67" i="11" s="1"/>
  <c r="B68" i="11" s="1"/>
  <c r="C68" i="11" l="1"/>
  <c r="F68" i="11" s="1"/>
  <c r="B69" i="11" s="1"/>
  <c r="C69" i="11" l="1"/>
  <c r="F69" i="11" s="1"/>
  <c r="B70" i="11" s="1"/>
  <c r="C70" i="11" l="1"/>
  <c r="F70" i="11" s="1"/>
  <c r="B71" i="11" s="1"/>
  <c r="C71" i="11" l="1"/>
  <c r="F71" i="11" s="1"/>
  <c r="B72" i="11" s="1"/>
  <c r="C72" i="11" l="1"/>
  <c r="F72" i="11" s="1"/>
  <c r="B73" i="11" s="1"/>
  <c r="C73" i="11" l="1"/>
  <c r="F73" i="11" s="1"/>
  <c r="B74" i="11" s="1"/>
  <c r="C74" i="11" l="1"/>
  <c r="F74" i="11" s="1"/>
  <c r="B75" i="11" s="1"/>
  <c r="C75" i="11" l="1"/>
  <c r="F75" i="11" s="1"/>
  <c r="B76" i="11" s="1"/>
  <c r="C76" i="11" l="1"/>
  <c r="F76" i="11" s="1"/>
  <c r="B77" i="11" s="1"/>
  <c r="C77" i="11" l="1"/>
  <c r="F77" i="11" s="1"/>
  <c r="B78" i="11" s="1"/>
  <c r="C78" i="11" l="1"/>
  <c r="F78" i="11" s="1"/>
  <c r="B79" i="11" s="1"/>
  <c r="C79" i="11" l="1"/>
  <c r="F79" i="11" s="1"/>
  <c r="B80" i="11" s="1"/>
  <c r="C80" i="11" l="1"/>
  <c r="F80" i="11" s="1"/>
  <c r="B81" i="11" s="1"/>
  <c r="C81" i="11" l="1"/>
  <c r="F81" i="11" s="1"/>
  <c r="B82" i="11" s="1"/>
  <c r="C82" i="11" l="1"/>
  <c r="F82" i="11" s="1"/>
  <c r="B83" i="11" s="1"/>
  <c r="C83" i="11" l="1"/>
  <c r="F83" i="11" s="1"/>
  <c r="B84" i="11" s="1"/>
  <c r="C84" i="11" l="1"/>
  <c r="F84" i="11" s="1"/>
  <c r="B85" i="11" s="1"/>
  <c r="C85" i="11" l="1"/>
  <c r="F85" i="11" s="1"/>
  <c r="B86" i="11" s="1"/>
  <c r="C86" i="11" l="1"/>
  <c r="F86" i="11" s="1"/>
  <c r="B87" i="11" s="1"/>
  <c r="C87" i="11" l="1"/>
  <c r="F87" i="11" s="1"/>
  <c r="B88" i="11" s="1"/>
  <c r="C88" i="11" l="1"/>
  <c r="F88" i="11" s="1"/>
  <c r="B89" i="11" s="1"/>
  <c r="C89" i="11" l="1"/>
  <c r="F89" i="11" s="1"/>
  <c r="B90" i="11" s="1"/>
  <c r="C90" i="11" l="1"/>
  <c r="F90" i="11" s="1"/>
  <c r="B91" i="11" s="1"/>
  <c r="C91" i="11" l="1"/>
  <c r="F91" i="11" s="1"/>
  <c r="B92" i="11" s="1"/>
  <c r="C92" i="11" l="1"/>
  <c r="F92" i="11" s="1"/>
  <c r="B93" i="11" s="1"/>
  <c r="C93" i="11" l="1"/>
  <c r="F93" i="11" s="1"/>
  <c r="B94" i="11" s="1"/>
  <c r="C94" i="11" l="1"/>
  <c r="F94" i="11" s="1"/>
  <c r="B95" i="11" s="1"/>
  <c r="C95" i="11" l="1"/>
  <c r="F95" i="11" s="1"/>
  <c r="B96" i="11" s="1"/>
  <c r="C96" i="11" l="1"/>
  <c r="F96" i="11" s="1"/>
  <c r="B97" i="11" s="1"/>
  <c r="C97" i="11" l="1"/>
  <c r="F97" i="11" s="1"/>
  <c r="B98" i="11" s="1"/>
  <c r="C98" i="11" l="1"/>
  <c r="F98" i="11" s="1"/>
  <c r="B99" i="11" s="1"/>
  <c r="C99" i="11" l="1"/>
  <c r="F99" i="11" s="1"/>
  <c r="B100" i="11" s="1"/>
  <c r="C100" i="11" l="1"/>
  <c r="F100" i="11" s="1"/>
  <c r="B101" i="11" s="1"/>
  <c r="C101" i="11" l="1"/>
  <c r="F101" i="11" s="1"/>
  <c r="B102" i="11" s="1"/>
  <c r="C102" i="11" l="1"/>
  <c r="F102" i="11" s="1"/>
  <c r="B103" i="11" s="1"/>
  <c r="C103" i="11" l="1"/>
  <c r="F103" i="11" s="1"/>
  <c r="B104" i="11" s="1"/>
  <c r="C104" i="11" l="1"/>
  <c r="F104" i="11" s="1"/>
  <c r="B105" i="11" s="1"/>
  <c r="C105" i="11" l="1"/>
  <c r="F105" i="11" s="1"/>
  <c r="B106" i="11" s="1"/>
  <c r="C106" i="11" l="1"/>
  <c r="F106" i="11" s="1"/>
  <c r="B107" i="11" s="1"/>
  <c r="C107" i="11" l="1"/>
  <c r="F107" i="11" s="1"/>
  <c r="B108" i="11" s="1"/>
  <c r="C108" i="11" l="1"/>
  <c r="F108" i="11" s="1"/>
  <c r="B109" i="11" s="1"/>
  <c r="C109" i="11" l="1"/>
  <c r="F109" i="11" s="1"/>
  <c r="B110" i="11" s="1"/>
  <c r="C110" i="11" l="1"/>
  <c r="F110" i="11" s="1"/>
  <c r="B111" i="11" s="1"/>
  <c r="C111" i="11" l="1"/>
  <c r="F111" i="11" s="1"/>
  <c r="B112" i="11" s="1"/>
  <c r="C112" i="11" l="1"/>
  <c r="F112" i="11" s="1"/>
  <c r="B113" i="11" s="1"/>
  <c r="C113" i="11" l="1"/>
  <c r="F113" i="11" s="1"/>
  <c r="B114" i="11" s="1"/>
  <c r="C114" i="11" l="1"/>
  <c r="F114" i="11" s="1"/>
  <c r="B115" i="11" s="1"/>
  <c r="C115" i="11" l="1"/>
  <c r="F115" i="11" s="1"/>
  <c r="B116" i="11" s="1"/>
  <c r="C116" i="11" l="1"/>
  <c r="F116" i="11" s="1"/>
  <c r="B117" i="11" s="1"/>
  <c r="C117" i="11" l="1"/>
  <c r="F117" i="11" s="1"/>
  <c r="B118" i="11" s="1"/>
  <c r="C118" i="11" l="1"/>
  <c r="F118" i="11" s="1"/>
  <c r="B119" i="11" s="1"/>
  <c r="C119" i="11" l="1"/>
  <c r="F119" i="11" s="1"/>
  <c r="B120" i="11" s="1"/>
  <c r="C120" i="11" l="1"/>
  <c r="F120" i="11" s="1"/>
  <c r="B121" i="11" s="1"/>
  <c r="C121" i="11" l="1"/>
  <c r="F121" i="11" s="1"/>
  <c r="B122" i="11" s="1"/>
  <c r="C122" i="11" l="1"/>
  <c r="F122" i="11" s="1"/>
  <c r="B123" i="11" s="1"/>
  <c r="C123" i="11" l="1"/>
  <c r="F123" i="11" s="1"/>
  <c r="B124" i="11" s="1"/>
  <c r="C124" i="11" l="1"/>
  <c r="F124" i="11" s="1"/>
  <c r="B125" i="11" s="1"/>
  <c r="C125" i="11" l="1"/>
  <c r="F125" i="11" s="1"/>
  <c r="B126" i="11" s="1"/>
  <c r="C126" i="11" l="1"/>
  <c r="F126" i="11" s="1"/>
  <c r="B127" i="11" s="1"/>
  <c r="C127" i="11" l="1"/>
  <c r="F127" i="11" s="1"/>
  <c r="B128" i="11" s="1"/>
  <c r="C128" i="11" l="1"/>
  <c r="F128" i="11" s="1"/>
  <c r="B129" i="11" s="1"/>
  <c r="C129" i="11" l="1"/>
  <c r="F129" i="11" s="1"/>
  <c r="B130" i="11" s="1"/>
  <c r="C130" i="11" l="1"/>
  <c r="F130" i="11" s="1"/>
  <c r="B131" i="11" s="1"/>
  <c r="C131" i="11" l="1"/>
  <c r="F131" i="11" s="1"/>
  <c r="B132" i="11" s="1"/>
  <c r="C132" i="11" l="1"/>
  <c r="F132" i="11" s="1"/>
  <c r="B133" i="11" s="1"/>
  <c r="C133" i="11" l="1"/>
  <c r="F133" i="11" s="1"/>
  <c r="B134" i="11" s="1"/>
  <c r="C134" i="11" l="1"/>
  <c r="F134" i="11" s="1"/>
  <c r="B135" i="11" s="1"/>
  <c r="C135" i="11" l="1"/>
  <c r="F135" i="11" s="1"/>
  <c r="B136" i="11" s="1"/>
  <c r="C136" i="11" l="1"/>
  <c r="F136" i="11" s="1"/>
  <c r="B137" i="11" s="1"/>
  <c r="C137" i="11" l="1"/>
  <c r="F137" i="11" s="1"/>
  <c r="B138" i="11" s="1"/>
  <c r="C138" i="11" l="1"/>
  <c r="F138" i="11" s="1"/>
  <c r="B139" i="11" s="1"/>
  <c r="C139" i="11" l="1"/>
  <c r="F139" i="11" s="1"/>
  <c r="B140" i="11" s="1"/>
  <c r="C140" i="11" l="1"/>
  <c r="F140" i="11" s="1"/>
  <c r="B141" i="11" s="1"/>
  <c r="C141" i="11" l="1"/>
  <c r="F141" i="11" s="1"/>
  <c r="B142" i="11" s="1"/>
  <c r="C142" i="11" l="1"/>
  <c r="F142" i="11" s="1"/>
  <c r="B143" i="11" s="1"/>
  <c r="C143" i="11" l="1"/>
  <c r="F143" i="11" s="1"/>
  <c r="B144" i="11" s="1"/>
  <c r="C144" i="11" l="1"/>
  <c r="F144" i="11" s="1"/>
  <c r="B145" i="11" s="1"/>
  <c r="C145" i="11" l="1"/>
  <c r="F145" i="11" s="1"/>
  <c r="B146" i="11" s="1"/>
  <c r="C146" i="11" l="1"/>
  <c r="F146" i="11" s="1"/>
  <c r="B147" i="11" s="1"/>
  <c r="C147" i="11" l="1"/>
  <c r="F147" i="11" s="1"/>
  <c r="B148" i="11" s="1"/>
  <c r="C148" i="11" l="1"/>
  <c r="F148" i="11" s="1"/>
  <c r="B149" i="11" s="1"/>
  <c r="C149" i="11" l="1"/>
  <c r="F149" i="11" s="1"/>
  <c r="B150" i="11" s="1"/>
  <c r="C150" i="11" l="1"/>
  <c r="F150" i="11" s="1"/>
  <c r="B151" i="11" s="1"/>
  <c r="C151" i="11" l="1"/>
  <c r="F151" i="11" s="1"/>
  <c r="B152" i="11" s="1"/>
  <c r="C152" i="11" l="1"/>
  <c r="F152" i="11" s="1"/>
  <c r="B153" i="11" s="1"/>
  <c r="C153" i="11" l="1"/>
  <c r="F153" i="11" s="1"/>
  <c r="B154" i="11" s="1"/>
  <c r="C154" i="11" l="1"/>
  <c r="F154" i="11" s="1"/>
  <c r="B155" i="11" s="1"/>
  <c r="C155" i="11" l="1"/>
  <c r="F155" i="11" s="1"/>
  <c r="B156" i="11" s="1"/>
  <c r="C156" i="11" l="1"/>
  <c r="F156" i="11" s="1"/>
  <c r="B157" i="11" s="1"/>
  <c r="C157" i="11" l="1"/>
  <c r="F157" i="11" s="1"/>
  <c r="B158" i="11" s="1"/>
  <c r="C158" i="11" l="1"/>
  <c r="F158" i="11" s="1"/>
  <c r="B159" i="11" s="1"/>
  <c r="C159" i="11" l="1"/>
  <c r="F159" i="11" s="1"/>
  <c r="B160" i="11" s="1"/>
  <c r="C160" i="11" l="1"/>
  <c r="F160" i="11" s="1"/>
  <c r="B161" i="11" s="1"/>
  <c r="C161" i="11" l="1"/>
  <c r="F161" i="11" s="1"/>
  <c r="B162" i="11" s="1"/>
  <c r="C162" i="11" l="1"/>
  <c r="F162" i="11" s="1"/>
  <c r="B163" i="11" s="1"/>
  <c r="C163" i="11" l="1"/>
  <c r="F163" i="11" s="1"/>
  <c r="B164" i="11" s="1"/>
  <c r="C164" i="11" l="1"/>
  <c r="F164" i="11" s="1"/>
  <c r="B165" i="11" s="1"/>
  <c r="C165" i="11" l="1"/>
  <c r="F165" i="11" s="1"/>
  <c r="B166" i="11" s="1"/>
  <c r="C166" i="11" l="1"/>
  <c r="F166" i="11" s="1"/>
  <c r="B167" i="11" s="1"/>
  <c r="C167" i="11" l="1"/>
  <c r="F167" i="11" s="1"/>
  <c r="B168" i="11" s="1"/>
  <c r="C168" i="11" l="1"/>
  <c r="F168" i="11" s="1"/>
  <c r="B169" i="11" s="1"/>
  <c r="C169" i="11" l="1"/>
  <c r="F169" i="11" s="1"/>
  <c r="B170" i="11" s="1"/>
  <c r="C170" i="11" l="1"/>
  <c r="F170" i="11" s="1"/>
  <c r="B171" i="11" s="1"/>
  <c r="C171" i="11" l="1"/>
  <c r="F171" i="11" s="1"/>
  <c r="B172" i="11" s="1"/>
  <c r="C172" i="11" l="1"/>
  <c r="F172" i="11" s="1"/>
  <c r="B173" i="11" s="1"/>
  <c r="C173" i="11" l="1"/>
  <c r="F173" i="11" s="1"/>
  <c r="B174" i="11" s="1"/>
  <c r="C174" i="11" l="1"/>
  <c r="F174" i="11" s="1"/>
  <c r="B175" i="11" s="1"/>
  <c r="C175" i="11" l="1"/>
  <c r="F175" i="11" s="1"/>
  <c r="B176" i="11" s="1"/>
  <c r="C176" i="11" l="1"/>
  <c r="F176" i="11" s="1"/>
  <c r="B177" i="11" s="1"/>
  <c r="C177" i="11" l="1"/>
  <c r="F177" i="11" s="1"/>
  <c r="B178" i="11" s="1"/>
  <c r="C178" i="11" l="1"/>
  <c r="F178" i="11" s="1"/>
  <c r="B179" i="11" s="1"/>
  <c r="C179" i="11" l="1"/>
  <c r="F179" i="11" s="1"/>
  <c r="B180" i="11" s="1"/>
  <c r="C180" i="11" l="1"/>
  <c r="F180" i="11" s="1"/>
  <c r="B181" i="11" s="1"/>
  <c r="C181" i="11" l="1"/>
  <c r="F181" i="11" s="1"/>
  <c r="B182" i="11" s="1"/>
  <c r="C182" i="11" l="1"/>
  <c r="F182" i="11" s="1"/>
  <c r="B183" i="11" s="1"/>
  <c r="C183" i="11" l="1"/>
  <c r="F183" i="11" s="1"/>
  <c r="B184" i="11" s="1"/>
  <c r="C184" i="11" l="1"/>
  <c r="F184" i="11" s="1"/>
  <c r="B185" i="11" s="1"/>
  <c r="C185" i="11" l="1"/>
  <c r="F185" i="11" s="1"/>
  <c r="B186" i="11" s="1"/>
  <c r="C186" i="11" l="1"/>
  <c r="F186" i="11" s="1"/>
  <c r="B187" i="11" s="1"/>
  <c r="C187" i="11" l="1"/>
  <c r="F187" i="11" s="1"/>
  <c r="B188" i="11" s="1"/>
  <c r="C188" i="11" l="1"/>
  <c r="F188" i="11" s="1"/>
  <c r="B189" i="11" s="1"/>
  <c r="C189" i="11" l="1"/>
  <c r="F189" i="11" s="1"/>
  <c r="B190" i="11" s="1"/>
  <c r="C190" i="11" l="1"/>
  <c r="F190" i="11" s="1"/>
  <c r="B191" i="11" s="1"/>
  <c r="C191" i="11" l="1"/>
  <c r="F191" i="11" s="1"/>
  <c r="B192" i="11" s="1"/>
  <c r="C192" i="11" l="1"/>
  <c r="F192" i="11" s="1"/>
  <c r="B193" i="11" s="1"/>
  <c r="C193" i="11" l="1"/>
  <c r="F193" i="11" s="1"/>
  <c r="B194" i="11" s="1"/>
  <c r="C194" i="11" l="1"/>
  <c r="F194" i="11" s="1"/>
  <c r="B195" i="11" s="1"/>
  <c r="C195" i="11" l="1"/>
  <c r="F195" i="11" s="1"/>
  <c r="B196" i="11" s="1"/>
  <c r="C196" i="11" l="1"/>
  <c r="F196" i="11" s="1"/>
  <c r="B197" i="11" s="1"/>
  <c r="C197" i="11" l="1"/>
  <c r="F197" i="11" s="1"/>
  <c r="B198" i="11" s="1"/>
  <c r="C198" i="11" l="1"/>
  <c r="F198" i="11" s="1"/>
  <c r="B199" i="11" s="1"/>
  <c r="C199" i="11" l="1"/>
  <c r="F199" i="11" s="1"/>
  <c r="B200" i="11" s="1"/>
  <c r="C200" i="11" l="1"/>
  <c r="F200" i="11" s="1"/>
  <c r="B201" i="11" s="1"/>
  <c r="C201" i="11" l="1"/>
  <c r="F201" i="11" s="1"/>
  <c r="B202" i="11" s="1"/>
  <c r="C202" i="11" l="1"/>
  <c r="F202" i="11" s="1"/>
  <c r="B203" i="11" s="1"/>
  <c r="C203" i="11" l="1"/>
  <c r="F203" i="11" s="1"/>
  <c r="B204" i="11" s="1"/>
  <c r="C204" i="11" l="1"/>
  <c r="F204" i="11" s="1"/>
  <c r="B205" i="11" s="1"/>
  <c r="C205" i="11" l="1"/>
  <c r="F205" i="11" s="1"/>
  <c r="B206" i="11" s="1"/>
  <c r="C206" i="11" l="1"/>
  <c r="F206" i="11" s="1"/>
  <c r="B207" i="11" s="1"/>
  <c r="C207" i="11" l="1"/>
  <c r="F207" i="11" s="1"/>
  <c r="B208" i="11" s="1"/>
  <c r="C208" i="11" l="1"/>
  <c r="F208" i="11" s="1"/>
  <c r="B209" i="11" s="1"/>
  <c r="C209" i="11" l="1"/>
  <c r="F209" i="11" s="1"/>
  <c r="B210" i="11" s="1"/>
  <c r="C210" i="11" l="1"/>
  <c r="F210" i="11" s="1"/>
  <c r="B211" i="11" s="1"/>
  <c r="C211" i="11" l="1"/>
  <c r="F211" i="11" s="1"/>
  <c r="B212" i="11" s="1"/>
  <c r="C212" i="11" l="1"/>
  <c r="F212" i="11" s="1"/>
  <c r="B213" i="11" s="1"/>
  <c r="C213" i="11" l="1"/>
  <c r="F213" i="11" s="1"/>
  <c r="B214" i="11" s="1"/>
  <c r="C214" i="11" l="1"/>
  <c r="F214" i="11" s="1"/>
  <c r="B215" i="11" s="1"/>
  <c r="C215" i="11" l="1"/>
  <c r="F215" i="11" s="1"/>
  <c r="B216" i="11" s="1"/>
  <c r="C216" i="11" l="1"/>
  <c r="F216" i="11" s="1"/>
  <c r="B217" i="11" s="1"/>
  <c r="C217" i="11" l="1"/>
  <c r="F217" i="11" s="1"/>
  <c r="B218" i="11" s="1"/>
  <c r="C218" i="11" l="1"/>
  <c r="F218" i="11" s="1"/>
  <c r="B219" i="11" s="1"/>
  <c r="C219" i="11" l="1"/>
  <c r="F219" i="11" s="1"/>
  <c r="B220" i="11" s="1"/>
  <c r="C220" i="11" l="1"/>
  <c r="F220" i="11" s="1"/>
  <c r="B221" i="11" s="1"/>
  <c r="C221" i="11" l="1"/>
  <c r="F221" i="11" s="1"/>
  <c r="B222" i="11" s="1"/>
  <c r="C222" i="11" l="1"/>
  <c r="F222" i="11" s="1"/>
  <c r="B223" i="11" s="1"/>
  <c r="C223" i="11" l="1"/>
  <c r="F223" i="11" s="1"/>
  <c r="B224" i="11" s="1"/>
  <c r="C224" i="11" l="1"/>
  <c r="F224" i="11" s="1"/>
  <c r="B225" i="11" s="1"/>
  <c r="C225" i="11" l="1"/>
  <c r="F225" i="11" s="1"/>
  <c r="B226" i="11" s="1"/>
  <c r="C226" i="11" l="1"/>
  <c r="F226" i="11" s="1"/>
  <c r="B227" i="11" s="1"/>
  <c r="C227" i="11" l="1"/>
  <c r="F227" i="11" s="1"/>
  <c r="B228" i="11" s="1"/>
  <c r="C228" i="11" l="1"/>
  <c r="F228" i="11" s="1"/>
  <c r="B229" i="11" s="1"/>
  <c r="C229" i="11" l="1"/>
  <c r="F229" i="11" s="1"/>
  <c r="B230" i="11" s="1"/>
  <c r="C230" i="11" l="1"/>
  <c r="F230" i="11" s="1"/>
  <c r="B231" i="11" s="1"/>
  <c r="C231" i="11" l="1"/>
  <c r="F231" i="11" s="1"/>
  <c r="B232" i="11" s="1"/>
  <c r="C232" i="11" l="1"/>
  <c r="F232" i="11" s="1"/>
  <c r="B233" i="11" s="1"/>
  <c r="C233" i="11" l="1"/>
  <c r="F233" i="11" s="1"/>
  <c r="B234" i="11" s="1"/>
  <c r="C234" i="11" l="1"/>
  <c r="F234" i="11" s="1"/>
  <c r="B235" i="11" s="1"/>
  <c r="C235" i="11" l="1"/>
  <c r="F235" i="11" s="1"/>
  <c r="B236" i="11" s="1"/>
  <c r="C236" i="11" l="1"/>
  <c r="F236" i="11" s="1"/>
  <c r="B237" i="11" s="1"/>
  <c r="C237" i="11" l="1"/>
  <c r="F237" i="11" s="1"/>
  <c r="B238" i="11" s="1"/>
  <c r="C238" i="11" l="1"/>
  <c r="F238" i="11" s="1"/>
  <c r="B239" i="11" s="1"/>
  <c r="C239" i="11" l="1"/>
  <c r="F239" i="11" s="1"/>
  <c r="B240" i="11" s="1"/>
  <c r="C240" i="11" l="1"/>
  <c r="F240" i="11" s="1"/>
  <c r="B241" i="11" s="1"/>
  <c r="C241" i="11" l="1"/>
  <c r="F241" i="11" s="1"/>
  <c r="B242" i="11" s="1"/>
  <c r="C242" i="11" l="1"/>
  <c r="F242" i="11" s="1"/>
  <c r="B243" i="11" s="1"/>
  <c r="C243" i="11" l="1"/>
  <c r="F243" i="11" s="1"/>
  <c r="B244" i="11" s="1"/>
  <c r="C244" i="11" l="1"/>
  <c r="F244" i="11" s="1"/>
  <c r="B245" i="11" s="1"/>
  <c r="C245" i="11" l="1"/>
  <c r="F245" i="11" s="1"/>
  <c r="B246" i="11" s="1"/>
  <c r="C246" i="11" l="1"/>
  <c r="F246" i="11" s="1"/>
  <c r="B247" i="11" s="1"/>
  <c r="C247" i="11" l="1"/>
  <c r="F247" i="11" s="1"/>
  <c r="B248" i="11" s="1"/>
  <c r="C248" i="11" l="1"/>
  <c r="F248" i="11" s="1"/>
  <c r="B249" i="11" s="1"/>
  <c r="C249" i="11" l="1"/>
  <c r="F249" i="11" s="1"/>
  <c r="B250" i="11" s="1"/>
  <c r="C250" i="11" l="1"/>
  <c r="F250" i="11" s="1"/>
  <c r="B251" i="11" s="1"/>
  <c r="C251" i="11" l="1"/>
  <c r="F251" i="11" s="1"/>
  <c r="B252" i="11" s="1"/>
  <c r="C252" i="11" l="1"/>
  <c r="F252" i="11" s="1"/>
  <c r="B253" i="11" s="1"/>
  <c r="C253" i="11" l="1"/>
  <c r="F253" i="11" s="1"/>
  <c r="B254" i="11" s="1"/>
  <c r="C254" i="11" l="1"/>
  <c r="F254" i="11" s="1"/>
  <c r="B255" i="11" s="1"/>
  <c r="C255" i="11" l="1"/>
  <c r="F255" i="11" s="1"/>
  <c r="B256" i="11" s="1"/>
  <c r="C256" i="11" l="1"/>
  <c r="F256" i="11" s="1"/>
  <c r="B257" i="11" s="1"/>
  <c r="C257" i="11" l="1"/>
  <c r="F257" i="11" s="1"/>
  <c r="B258" i="11" s="1"/>
  <c r="C258" i="11" l="1"/>
  <c r="F258" i="11" s="1"/>
  <c r="B259" i="11" s="1"/>
  <c r="C259" i="11" l="1"/>
  <c r="F259" i="11" s="1"/>
  <c r="B260" i="11" s="1"/>
  <c r="C260" i="11" l="1"/>
  <c r="F260" i="11" s="1"/>
  <c r="B261" i="11" s="1"/>
  <c r="C261" i="11" l="1"/>
  <c r="F261" i="11" s="1"/>
  <c r="B262" i="11" s="1"/>
  <c r="C262" i="11" l="1"/>
  <c r="F262" i="11" s="1"/>
  <c r="B263" i="11" s="1"/>
  <c r="C263" i="11" l="1"/>
  <c r="F263" i="11" s="1"/>
  <c r="B264" i="11" s="1"/>
  <c r="C264" i="11" l="1"/>
  <c r="F264" i="11" s="1"/>
  <c r="B265" i="11" s="1"/>
  <c r="C265" i="11" l="1"/>
  <c r="F265" i="11" s="1"/>
  <c r="B266" i="11" s="1"/>
  <c r="C266" i="11" l="1"/>
  <c r="F266" i="11" s="1"/>
  <c r="B267" i="11" s="1"/>
  <c r="C267" i="11" l="1"/>
  <c r="F267" i="11" s="1"/>
  <c r="B268" i="11" s="1"/>
  <c r="C268" i="11" l="1"/>
  <c r="F268" i="11" s="1"/>
  <c r="B269" i="11" s="1"/>
  <c r="C269" i="11" l="1"/>
  <c r="F269" i="11" s="1"/>
  <c r="B270" i="11" s="1"/>
  <c r="C270" i="11" l="1"/>
  <c r="F270" i="11" s="1"/>
  <c r="B271" i="11" s="1"/>
  <c r="C271" i="11" l="1"/>
  <c r="F271" i="11" s="1"/>
  <c r="B272" i="11" s="1"/>
  <c r="C272" i="11" l="1"/>
  <c r="F272" i="11" s="1"/>
  <c r="B273" i="11" s="1"/>
  <c r="C273" i="11" l="1"/>
  <c r="F273" i="11" s="1"/>
  <c r="B274" i="11" s="1"/>
  <c r="C274" i="11" l="1"/>
  <c r="F274" i="11" s="1"/>
  <c r="B275" i="11" s="1"/>
  <c r="C275" i="11" l="1"/>
  <c r="F275" i="11" s="1"/>
  <c r="B276" i="11" s="1"/>
  <c r="C276" i="11" l="1"/>
  <c r="F276" i="11" s="1"/>
  <c r="B277" i="11" s="1"/>
  <c r="C277" i="11" l="1"/>
  <c r="F277" i="11" s="1"/>
  <c r="B278" i="11" s="1"/>
  <c r="C278" i="11" l="1"/>
  <c r="F278" i="11" s="1"/>
  <c r="B279" i="11" s="1"/>
  <c r="C279" i="11" l="1"/>
  <c r="F279" i="11" s="1"/>
  <c r="B280" i="11" s="1"/>
  <c r="C280" i="11" l="1"/>
  <c r="F280" i="11" s="1"/>
  <c r="B281" i="11" s="1"/>
  <c r="C281" i="11" l="1"/>
  <c r="F281" i="11" s="1"/>
  <c r="B282" i="11" s="1"/>
  <c r="C282" i="11" l="1"/>
  <c r="F282" i="11" s="1"/>
  <c r="B283" i="11" s="1"/>
  <c r="C283" i="11" l="1"/>
  <c r="F283" i="11" s="1"/>
  <c r="B284" i="11" s="1"/>
  <c r="C284" i="11" l="1"/>
  <c r="F284" i="11" s="1"/>
  <c r="B285" i="11" s="1"/>
  <c r="C285" i="11" l="1"/>
  <c r="F285" i="11" s="1"/>
  <c r="B286" i="11" s="1"/>
  <c r="C286" i="11" l="1"/>
  <c r="F286" i="11" s="1"/>
  <c r="B287" i="11" s="1"/>
  <c r="C287" i="11" l="1"/>
  <c r="F287" i="11" s="1"/>
  <c r="B288" i="11" s="1"/>
  <c r="C288" i="11" l="1"/>
  <c r="F288" i="11" s="1"/>
  <c r="B289" i="11" s="1"/>
  <c r="C289" i="11" l="1"/>
  <c r="F289" i="11" s="1"/>
  <c r="B290" i="11" s="1"/>
  <c r="C290" i="11" l="1"/>
  <c r="F290" i="11" s="1"/>
  <c r="B291" i="11" s="1"/>
  <c r="C291" i="11" l="1"/>
  <c r="F291" i="11" s="1"/>
  <c r="B292" i="11" s="1"/>
  <c r="C292" i="11" l="1"/>
  <c r="F292" i="11" s="1"/>
  <c r="B293" i="11" s="1"/>
  <c r="C293" i="11" l="1"/>
  <c r="F293" i="11" s="1"/>
  <c r="B294" i="11" s="1"/>
  <c r="C294" i="11" l="1"/>
  <c r="F294" i="11" s="1"/>
  <c r="B295" i="11" s="1"/>
  <c r="C295" i="11" l="1"/>
  <c r="F295" i="11" s="1"/>
  <c r="B296" i="11" s="1"/>
  <c r="C296" i="11" l="1"/>
  <c r="F296" i="11" s="1"/>
  <c r="B297" i="11" s="1"/>
  <c r="C297" i="11" l="1"/>
  <c r="F297" i="11" s="1"/>
  <c r="B298" i="11" s="1"/>
  <c r="C298" i="11" l="1"/>
  <c r="F298" i="11" s="1"/>
  <c r="B299" i="11" s="1"/>
  <c r="C299" i="11" l="1"/>
  <c r="F299" i="11" s="1"/>
  <c r="B300" i="11" s="1"/>
  <c r="C300" i="11" l="1"/>
  <c r="F300" i="11" s="1"/>
  <c r="B301" i="11" s="1"/>
  <c r="C301" i="11" l="1"/>
  <c r="F301" i="11" s="1"/>
  <c r="B302" i="11" s="1"/>
  <c r="C302" i="11" l="1"/>
  <c r="F302" i="11" s="1"/>
  <c r="B303" i="11" s="1"/>
  <c r="C303" i="11" l="1"/>
  <c r="F303" i="11" s="1"/>
  <c r="B304" i="11" s="1"/>
  <c r="C304" i="11" l="1"/>
  <c r="F304" i="11" s="1"/>
  <c r="B305" i="11" s="1"/>
  <c r="C305" i="11" l="1"/>
  <c r="F305" i="11" s="1"/>
  <c r="B306" i="11" s="1"/>
  <c r="C306" i="11" l="1"/>
  <c r="F306" i="11" s="1"/>
  <c r="B307" i="11" s="1"/>
  <c r="C307" i="11" l="1"/>
  <c r="F307" i="11" s="1"/>
  <c r="B308" i="11" s="1"/>
  <c r="C308" i="11" l="1"/>
  <c r="F308" i="11" s="1"/>
  <c r="B309" i="11" s="1"/>
  <c r="C309" i="11" l="1"/>
  <c r="F309" i="11" s="1"/>
  <c r="B310" i="11" s="1"/>
  <c r="C310" i="11" l="1"/>
  <c r="F310" i="11" s="1"/>
  <c r="B311" i="11" s="1"/>
  <c r="C311" i="11" l="1"/>
  <c r="F311" i="11" s="1"/>
  <c r="B312" i="11" s="1"/>
  <c r="C312" i="11" l="1"/>
  <c r="F312" i="11" s="1"/>
  <c r="B313" i="11" s="1"/>
  <c r="C313" i="11" l="1"/>
  <c r="F313" i="11" s="1"/>
  <c r="B314" i="11" s="1"/>
  <c r="C314" i="11" l="1"/>
  <c r="F314" i="11" s="1"/>
  <c r="B315" i="11" s="1"/>
  <c r="C315" i="11" l="1"/>
  <c r="F315" i="11" s="1"/>
  <c r="B316" i="11" s="1"/>
  <c r="C316" i="11" l="1"/>
  <c r="F316" i="11" s="1"/>
  <c r="B317" i="11" s="1"/>
  <c r="C317" i="11" l="1"/>
  <c r="F317" i="11" s="1"/>
  <c r="B318" i="11" s="1"/>
  <c r="C318" i="11" l="1"/>
  <c r="F318" i="11" s="1"/>
  <c r="B319" i="11" s="1"/>
  <c r="C319" i="11" l="1"/>
  <c r="F319" i="11" s="1"/>
  <c r="B320" i="11" s="1"/>
  <c r="C320" i="11" l="1"/>
  <c r="F320" i="11" s="1"/>
  <c r="B321" i="11" s="1"/>
  <c r="C321" i="11" l="1"/>
  <c r="F321" i="11" s="1"/>
  <c r="B322" i="11" s="1"/>
  <c r="C322" i="11" l="1"/>
  <c r="F322" i="11" s="1"/>
  <c r="B323" i="11" s="1"/>
  <c r="C323" i="11" l="1"/>
  <c r="F323" i="11" s="1"/>
  <c r="B324" i="11" s="1"/>
  <c r="C324" i="11" l="1"/>
  <c r="F324" i="11" s="1"/>
  <c r="B325" i="11" s="1"/>
  <c r="C325" i="11" l="1"/>
  <c r="F325" i="11" s="1"/>
  <c r="B326" i="11" s="1"/>
  <c r="C326" i="11" l="1"/>
  <c r="F326" i="11" s="1"/>
  <c r="B327" i="11" s="1"/>
  <c r="C327" i="11" l="1"/>
  <c r="F327" i="11" s="1"/>
  <c r="B328" i="11" s="1"/>
  <c r="C328" i="11" l="1"/>
  <c r="F328" i="11" s="1"/>
  <c r="B329" i="11" s="1"/>
  <c r="C329" i="11" l="1"/>
  <c r="F329" i="11" s="1"/>
  <c r="B330" i="11" s="1"/>
  <c r="C330" i="11" l="1"/>
  <c r="F330" i="11" s="1"/>
  <c r="B331" i="11" s="1"/>
  <c r="C331" i="11" l="1"/>
  <c r="F331" i="11" s="1"/>
  <c r="B332" i="11" s="1"/>
  <c r="C332" i="11" l="1"/>
  <c r="F332" i="11" s="1"/>
  <c r="B333" i="11" s="1"/>
  <c r="C333" i="11" l="1"/>
  <c r="F333" i="11" s="1"/>
  <c r="B334" i="11" s="1"/>
  <c r="C334" i="11" l="1"/>
  <c r="F334" i="11" s="1"/>
  <c r="B335" i="11" s="1"/>
  <c r="C335" i="11" l="1"/>
  <c r="F335" i="11" s="1"/>
  <c r="B336" i="11" s="1"/>
  <c r="C336" i="11" l="1"/>
  <c r="F336" i="11" s="1"/>
  <c r="B337" i="11" s="1"/>
  <c r="C337" i="11" l="1"/>
  <c r="F337" i="11" s="1"/>
  <c r="B338" i="11" s="1"/>
  <c r="C338" i="11" l="1"/>
  <c r="F338" i="11" s="1"/>
  <c r="B339" i="11" s="1"/>
  <c r="C339" i="11" l="1"/>
  <c r="F339" i="11" s="1"/>
  <c r="B340" i="11" s="1"/>
  <c r="C340" i="11" l="1"/>
  <c r="F340" i="11" s="1"/>
  <c r="B341" i="11" s="1"/>
  <c r="C341" i="11" l="1"/>
  <c r="F341" i="11" s="1"/>
  <c r="B342" i="11" s="1"/>
  <c r="C342" i="11" l="1"/>
  <c r="F342" i="11" s="1"/>
  <c r="B343" i="11" s="1"/>
  <c r="C343" i="11" l="1"/>
  <c r="F343" i="11" s="1"/>
  <c r="B344" i="11" s="1"/>
  <c r="C344" i="11" l="1"/>
  <c r="F344" i="11" s="1"/>
  <c r="B345" i="11" s="1"/>
  <c r="C345" i="11" l="1"/>
  <c r="F345" i="11" s="1"/>
  <c r="B346" i="11" s="1"/>
  <c r="C346" i="11" l="1"/>
  <c r="F346" i="11" s="1"/>
  <c r="B347" i="11" s="1"/>
  <c r="C347" i="11" l="1"/>
  <c r="F347" i="11" s="1"/>
  <c r="B348" i="11" s="1"/>
  <c r="C348" i="11" l="1"/>
  <c r="F348" i="11" s="1"/>
  <c r="B349" i="11" s="1"/>
  <c r="C349" i="11" l="1"/>
  <c r="F349" i="11" s="1"/>
  <c r="B350" i="11" s="1"/>
  <c r="C350" i="11" l="1"/>
  <c r="F350" i="11" s="1"/>
  <c r="B351" i="11" s="1"/>
  <c r="C351" i="11" l="1"/>
  <c r="F351" i="11" s="1"/>
  <c r="B352" i="11" s="1"/>
  <c r="C352" i="11" l="1"/>
  <c r="F352" i="11" s="1"/>
  <c r="B353" i="11" s="1"/>
  <c r="C353" i="11" l="1"/>
  <c r="F353" i="11" s="1"/>
  <c r="B354" i="11" s="1"/>
  <c r="C354" i="11" l="1"/>
  <c r="F354" i="11" s="1"/>
  <c r="B355" i="11" s="1"/>
  <c r="C355" i="11" l="1"/>
  <c r="F355" i="11" s="1"/>
  <c r="B356" i="11" s="1"/>
  <c r="C356" i="11" l="1"/>
  <c r="F356" i="11" s="1"/>
  <c r="B357" i="11" s="1"/>
  <c r="C357" i="11" l="1"/>
  <c r="F357" i="11" s="1"/>
  <c r="B358" i="11" s="1"/>
  <c r="C358" i="11" l="1"/>
  <c r="F358" i="11" s="1"/>
  <c r="B359" i="11" s="1"/>
  <c r="C359" i="11" l="1"/>
  <c r="F359" i="11" s="1"/>
  <c r="B360" i="11" s="1"/>
  <c r="C360" i="11" l="1"/>
  <c r="F360" i="11" s="1"/>
  <c r="B361" i="11" s="1"/>
  <c r="C361" i="11" l="1"/>
  <c r="F361" i="11" s="1"/>
  <c r="B362" i="11" s="1"/>
  <c r="C362" i="11" l="1"/>
  <c r="F362" i="11" s="1"/>
  <c r="B363" i="11" s="1"/>
  <c r="C363" i="11" l="1"/>
  <c r="F363" i="11" s="1"/>
  <c r="B364" i="11" s="1"/>
  <c r="C364" i="11" l="1"/>
  <c r="F364" i="11" s="1"/>
  <c r="B365" i="11" s="1"/>
  <c r="C365" i="11" l="1"/>
  <c r="F365" i="11" s="1"/>
  <c r="B366" i="11" s="1"/>
  <c r="C366" i="11" l="1"/>
  <c r="F366" i="11" s="1"/>
  <c r="B367" i="11" s="1"/>
  <c r="C367" i="11" l="1"/>
  <c r="F367" i="11" s="1"/>
  <c r="B368" i="11" s="1"/>
  <c r="C368" i="11" l="1"/>
  <c r="F368" i="11" s="1"/>
  <c r="B369" i="11" s="1"/>
  <c r="C369" i="11" l="1"/>
  <c r="F369" i="11" s="1"/>
  <c r="B370" i="11" s="1"/>
  <c r="C370" i="11" l="1"/>
  <c r="F370" i="11" s="1"/>
  <c r="B371" i="11" s="1"/>
  <c r="C371" i="11" l="1"/>
  <c r="F371" i="11" s="1"/>
  <c r="B372" i="11" s="1"/>
  <c r="C372" i="11" l="1"/>
  <c r="F372" i="11" s="1"/>
  <c r="B373" i="11" s="1"/>
  <c r="C373" i="11" l="1"/>
  <c r="F373" i="11" s="1"/>
  <c r="L1227" i="10"/>
  <c r="I1227" i="10"/>
  <c r="L1226" i="10"/>
  <c r="I1226" i="10"/>
  <c r="L1225" i="10"/>
  <c r="I1225" i="10"/>
  <c r="L1224" i="10"/>
  <c r="I1224" i="10"/>
  <c r="L1223" i="10"/>
  <c r="I1223" i="10"/>
  <c r="L1222" i="10"/>
  <c r="I1222" i="10"/>
  <c r="L1221" i="10"/>
  <c r="I1221" i="10"/>
  <c r="L1220" i="10"/>
  <c r="I1220" i="10"/>
  <c r="L1219" i="10"/>
  <c r="I1219" i="10"/>
  <c r="L1218" i="10"/>
  <c r="I1218" i="10"/>
  <c r="L1217" i="10"/>
  <c r="I1217" i="10"/>
  <c r="L1216" i="10"/>
  <c r="I1216" i="10"/>
  <c r="L1215" i="10"/>
  <c r="I1215" i="10"/>
  <c r="L1214" i="10"/>
  <c r="I1214" i="10"/>
  <c r="L1213" i="10"/>
  <c r="I1213" i="10"/>
  <c r="L1212" i="10"/>
  <c r="I1212" i="10"/>
  <c r="L1211" i="10"/>
  <c r="I1211" i="10"/>
  <c r="L1210" i="10"/>
  <c r="I1210" i="10"/>
  <c r="L1209" i="10"/>
  <c r="I1209" i="10"/>
  <c r="L1208" i="10"/>
  <c r="I1208" i="10"/>
  <c r="L1207" i="10"/>
  <c r="I1207" i="10"/>
  <c r="L1206" i="10"/>
  <c r="I1206" i="10"/>
  <c r="L1205" i="10"/>
  <c r="I1205" i="10"/>
  <c r="L1204" i="10"/>
  <c r="I1204" i="10"/>
  <c r="L1203" i="10"/>
  <c r="I1203" i="10"/>
  <c r="L1202" i="10"/>
  <c r="I1202" i="10"/>
  <c r="L1201" i="10"/>
  <c r="I1201" i="10"/>
  <c r="L1200" i="10"/>
  <c r="I1200" i="10"/>
  <c r="L1199" i="10"/>
  <c r="I1199" i="10"/>
  <c r="L1198" i="10"/>
  <c r="I1198" i="10"/>
  <c r="L1197" i="10"/>
  <c r="I1197" i="10"/>
  <c r="L1196" i="10"/>
  <c r="I1196" i="10"/>
  <c r="L1195" i="10"/>
  <c r="I1195" i="10"/>
  <c r="L1194" i="10"/>
  <c r="I1194" i="10"/>
  <c r="L1193" i="10"/>
  <c r="I1193" i="10"/>
  <c r="L1192" i="10"/>
  <c r="I1192" i="10"/>
  <c r="L1191" i="10"/>
  <c r="I1191" i="10"/>
  <c r="L1190" i="10"/>
  <c r="I1190" i="10"/>
  <c r="L1189" i="10"/>
  <c r="I1189" i="10"/>
  <c r="L1188" i="10"/>
  <c r="I1188" i="10"/>
  <c r="L1187" i="10"/>
  <c r="I1187" i="10"/>
  <c r="L1186" i="10"/>
  <c r="I1186" i="10"/>
  <c r="L1185" i="10"/>
  <c r="I1185" i="10"/>
  <c r="L1184" i="10"/>
  <c r="I1184" i="10"/>
  <c r="L1183" i="10"/>
  <c r="I1183" i="10"/>
  <c r="L1182" i="10"/>
  <c r="I1182" i="10"/>
  <c r="L1181" i="10"/>
  <c r="I1181" i="10"/>
  <c r="L1180" i="10"/>
  <c r="I1180" i="10"/>
  <c r="L1179" i="10"/>
  <c r="I1179" i="10"/>
  <c r="L1178" i="10"/>
  <c r="I1178" i="10"/>
  <c r="L1177" i="10"/>
  <c r="I1177" i="10"/>
  <c r="L1176" i="10"/>
  <c r="I1176" i="10"/>
  <c r="L1175" i="10"/>
  <c r="I1175" i="10"/>
  <c r="L1174" i="10"/>
  <c r="I1174" i="10"/>
  <c r="L1173" i="10"/>
  <c r="I1173" i="10"/>
  <c r="L1172" i="10"/>
  <c r="I1172" i="10"/>
  <c r="L1171" i="10"/>
  <c r="I1171" i="10"/>
  <c r="L1170" i="10"/>
  <c r="I1170" i="10"/>
  <c r="L1169" i="10"/>
  <c r="I1169" i="10"/>
  <c r="L1168" i="10"/>
  <c r="I1168" i="10"/>
  <c r="L1167" i="10"/>
  <c r="I1167" i="10"/>
  <c r="L1166" i="10"/>
  <c r="I1166" i="10"/>
  <c r="L1165" i="10"/>
  <c r="I1165" i="10"/>
  <c r="L1164" i="10"/>
  <c r="I1164" i="10"/>
  <c r="L1163" i="10"/>
  <c r="I1163" i="10"/>
  <c r="L1162" i="10"/>
  <c r="I1162" i="10"/>
  <c r="L1161" i="10"/>
  <c r="I1161" i="10"/>
  <c r="L1160" i="10"/>
  <c r="I1160" i="10"/>
  <c r="L1159" i="10"/>
  <c r="I1159" i="10"/>
  <c r="L1158" i="10"/>
  <c r="I1158" i="10"/>
  <c r="L1157" i="10"/>
  <c r="I1157" i="10"/>
  <c r="L1156" i="10"/>
  <c r="I1156" i="10"/>
  <c r="L1155" i="10"/>
  <c r="I1155" i="10"/>
  <c r="L1154" i="10"/>
  <c r="I1154" i="10"/>
  <c r="L1153" i="10"/>
  <c r="I1153" i="10"/>
  <c r="L1152" i="10"/>
  <c r="I1152" i="10"/>
  <c r="L1151" i="10"/>
  <c r="I1151" i="10"/>
  <c r="L1150" i="10"/>
  <c r="I1150" i="10"/>
  <c r="L1149" i="10"/>
  <c r="I1149" i="10"/>
  <c r="L1148" i="10"/>
  <c r="I1148" i="10"/>
  <c r="L1147" i="10"/>
  <c r="I1147" i="10"/>
  <c r="L1146" i="10"/>
  <c r="I1146" i="10"/>
  <c r="L1145" i="10"/>
  <c r="I1145" i="10"/>
  <c r="L1144" i="10"/>
  <c r="I1144" i="10"/>
  <c r="L1143" i="10"/>
  <c r="I1143" i="10"/>
  <c r="L1142" i="10"/>
  <c r="I1142" i="10"/>
  <c r="L1141" i="10"/>
  <c r="I1141" i="10"/>
  <c r="L1140" i="10"/>
  <c r="I1140" i="10"/>
  <c r="L1139" i="10"/>
  <c r="I1139" i="10"/>
  <c r="L1138" i="10"/>
  <c r="I1138" i="10"/>
  <c r="L1137" i="10"/>
  <c r="I1137" i="10"/>
  <c r="L1136" i="10"/>
  <c r="I1136" i="10"/>
  <c r="L1135" i="10"/>
  <c r="I1135" i="10"/>
  <c r="L1134" i="10"/>
  <c r="I1134" i="10"/>
  <c r="L1133" i="10"/>
  <c r="I1133" i="10"/>
  <c r="L1132" i="10"/>
  <c r="I1132" i="10"/>
  <c r="L1131" i="10"/>
  <c r="I1131" i="10"/>
  <c r="L1130" i="10"/>
  <c r="I1130" i="10"/>
  <c r="L1129" i="10"/>
  <c r="I1129" i="10"/>
  <c r="L1128" i="10"/>
  <c r="I1128" i="10"/>
  <c r="L1127" i="10"/>
  <c r="I1127" i="10"/>
  <c r="L1126" i="10"/>
  <c r="I1126" i="10"/>
  <c r="L1125" i="10"/>
  <c r="I1125" i="10"/>
  <c r="L1124" i="10"/>
  <c r="I1124" i="10"/>
  <c r="L1123" i="10"/>
  <c r="I1123" i="10"/>
  <c r="L1122" i="10"/>
  <c r="I1122" i="10"/>
  <c r="L1121" i="10"/>
  <c r="I1121" i="10"/>
  <c r="L1120" i="10"/>
  <c r="I1120" i="10"/>
  <c r="L1119" i="10"/>
  <c r="I1119" i="10"/>
  <c r="L1118" i="10"/>
  <c r="I1118" i="10"/>
  <c r="L1117" i="10"/>
  <c r="I1117" i="10"/>
  <c r="L1116" i="10"/>
  <c r="I1116" i="10"/>
  <c r="L1115" i="10"/>
  <c r="I1115" i="10"/>
  <c r="L1114" i="10"/>
  <c r="I1114" i="10"/>
  <c r="L1113" i="10"/>
  <c r="I1113" i="10"/>
  <c r="L1112" i="10"/>
  <c r="I1112" i="10"/>
  <c r="L1111" i="10"/>
  <c r="I1111" i="10"/>
  <c r="L1110" i="10"/>
  <c r="I1110" i="10"/>
  <c r="L1109" i="10"/>
  <c r="I1109" i="10"/>
  <c r="L1108" i="10"/>
  <c r="I1108" i="10"/>
  <c r="L1107" i="10"/>
  <c r="I1107" i="10"/>
  <c r="L1106" i="10"/>
  <c r="I1106" i="10"/>
  <c r="L1105" i="10"/>
  <c r="I1105" i="10"/>
  <c r="L1104" i="10"/>
  <c r="I1104" i="10"/>
  <c r="L1103" i="10"/>
  <c r="I1103" i="10"/>
  <c r="L1102" i="10"/>
  <c r="I1102" i="10"/>
  <c r="L1101" i="10"/>
  <c r="I1101" i="10"/>
  <c r="L1100" i="10"/>
  <c r="I1100" i="10"/>
  <c r="L1099" i="10"/>
  <c r="I1099" i="10"/>
  <c r="L1098" i="10"/>
  <c r="I1098" i="10"/>
  <c r="L1097" i="10"/>
  <c r="I1097" i="10"/>
  <c r="L1096" i="10"/>
  <c r="I1096" i="10"/>
  <c r="L1095" i="10"/>
  <c r="I1095" i="10"/>
  <c r="L1094" i="10"/>
  <c r="I1094" i="10"/>
  <c r="L1093" i="10"/>
  <c r="I1093" i="10"/>
  <c r="L1092" i="10"/>
  <c r="I1092" i="10"/>
  <c r="L1091" i="10"/>
  <c r="I1091" i="10"/>
  <c r="L1090" i="10"/>
  <c r="I1090" i="10"/>
  <c r="L1089" i="10"/>
  <c r="I1089" i="10"/>
  <c r="L1088" i="10"/>
  <c r="I1088" i="10"/>
  <c r="L1087" i="10"/>
  <c r="I1087" i="10"/>
  <c r="L1086" i="10"/>
  <c r="I1086" i="10"/>
  <c r="L1085" i="10"/>
  <c r="I1085" i="10"/>
  <c r="L1084" i="10"/>
  <c r="I1084" i="10"/>
  <c r="L1083" i="10"/>
  <c r="I1083" i="10"/>
  <c r="L1082" i="10"/>
  <c r="I1082" i="10"/>
  <c r="L1081" i="10"/>
  <c r="I1081" i="10"/>
  <c r="L1080" i="10"/>
  <c r="I1080" i="10"/>
  <c r="L1079" i="10"/>
  <c r="I1079" i="10"/>
  <c r="L1078" i="10"/>
  <c r="I1078" i="10"/>
  <c r="L1077" i="10"/>
  <c r="I1077" i="10"/>
  <c r="L1076" i="10"/>
  <c r="I1076" i="10"/>
  <c r="L1075" i="10"/>
  <c r="I1075" i="10"/>
  <c r="L1074" i="10"/>
  <c r="I1074" i="10"/>
  <c r="L1073" i="10"/>
  <c r="I1073" i="10"/>
  <c r="L1072" i="10"/>
  <c r="I1072" i="10"/>
  <c r="L1071" i="10"/>
  <c r="I1071" i="10"/>
  <c r="L1070" i="10"/>
  <c r="I1070" i="10"/>
  <c r="L1069" i="10"/>
  <c r="I1069" i="10"/>
  <c r="L1068" i="10"/>
  <c r="I1068" i="10"/>
  <c r="L1067" i="10"/>
  <c r="I1067" i="10"/>
  <c r="L1066" i="10"/>
  <c r="I1066" i="10"/>
  <c r="L1065" i="10"/>
  <c r="I1065" i="10"/>
  <c r="L1064" i="10"/>
  <c r="I1064" i="10"/>
  <c r="L1063" i="10"/>
  <c r="I1063" i="10"/>
  <c r="L1062" i="10"/>
  <c r="I1062" i="10"/>
  <c r="L1061" i="10"/>
  <c r="I1061" i="10"/>
  <c r="L1060" i="10"/>
  <c r="I1060" i="10"/>
  <c r="L1059" i="10"/>
  <c r="I1059" i="10"/>
  <c r="L1058" i="10"/>
  <c r="I1058" i="10"/>
  <c r="L1057" i="10"/>
  <c r="I1057" i="10"/>
  <c r="L1056" i="10"/>
  <c r="I1056" i="10"/>
  <c r="L1055" i="10"/>
  <c r="I1055" i="10"/>
  <c r="L1054" i="10"/>
  <c r="I1054" i="10"/>
  <c r="L1053" i="10"/>
  <c r="I1053" i="10"/>
  <c r="L1052" i="10"/>
  <c r="I1052" i="10"/>
  <c r="L1051" i="10"/>
  <c r="I1051" i="10"/>
  <c r="L1050" i="10"/>
  <c r="I1050" i="10"/>
  <c r="L1049" i="10"/>
  <c r="I1049" i="10"/>
  <c r="L1048" i="10"/>
  <c r="I1048" i="10"/>
  <c r="L1047" i="10"/>
  <c r="I1047" i="10"/>
  <c r="L1046" i="10"/>
  <c r="I1046" i="10"/>
  <c r="L1045" i="10"/>
  <c r="I1045" i="10"/>
  <c r="L1044" i="10"/>
  <c r="I1044" i="10"/>
  <c r="L1043" i="10"/>
  <c r="I1043" i="10"/>
  <c r="L1042" i="10"/>
  <c r="I1042" i="10"/>
  <c r="L1041" i="10"/>
  <c r="I1041" i="10"/>
  <c r="L1040" i="10"/>
  <c r="I1040" i="10"/>
  <c r="L1039" i="10"/>
  <c r="I1039" i="10"/>
  <c r="L1038" i="10"/>
  <c r="I1038" i="10"/>
  <c r="L1037" i="10"/>
  <c r="I1037" i="10"/>
  <c r="L1036" i="10"/>
  <c r="I1036" i="10"/>
  <c r="L1035" i="10"/>
  <c r="I1035" i="10"/>
  <c r="L1034" i="10"/>
  <c r="I1034" i="10"/>
  <c r="L1033" i="10"/>
  <c r="I1033" i="10"/>
  <c r="L1032" i="10"/>
  <c r="I1032" i="10"/>
  <c r="L1031" i="10"/>
  <c r="I1031" i="10"/>
  <c r="L1030" i="10"/>
  <c r="I1030" i="10"/>
  <c r="L1029" i="10"/>
  <c r="I1029" i="10"/>
  <c r="L1028" i="10"/>
  <c r="I1028" i="10"/>
  <c r="L1027" i="10"/>
  <c r="I1027" i="10"/>
  <c r="L1026" i="10"/>
  <c r="I1026" i="10"/>
  <c r="L1025" i="10"/>
  <c r="I1025" i="10"/>
  <c r="L1024" i="10"/>
  <c r="I1024" i="10"/>
  <c r="L1023" i="10"/>
  <c r="I1023" i="10"/>
  <c r="L1022" i="10"/>
  <c r="I1022" i="10"/>
  <c r="L1021" i="10"/>
  <c r="I1021" i="10"/>
  <c r="L1020" i="10"/>
  <c r="I1020" i="10"/>
  <c r="L1019" i="10"/>
  <c r="I1019" i="10"/>
  <c r="L1018" i="10"/>
  <c r="I1018" i="10"/>
  <c r="L1017" i="10"/>
  <c r="I1017" i="10"/>
  <c r="L1016" i="10"/>
  <c r="I1016" i="10"/>
  <c r="L1015" i="10"/>
  <c r="I1015" i="10"/>
  <c r="L1014" i="10"/>
  <c r="I1014" i="10"/>
  <c r="L1013" i="10"/>
  <c r="I1013" i="10"/>
  <c r="L1012" i="10"/>
  <c r="I1012" i="10"/>
  <c r="L1011" i="10"/>
  <c r="I1011" i="10"/>
  <c r="L1010" i="10"/>
  <c r="I1010" i="10"/>
  <c r="L1009" i="10"/>
  <c r="I1009" i="10"/>
  <c r="L1008" i="10"/>
  <c r="I1008" i="10"/>
  <c r="L1007" i="10"/>
  <c r="I1007" i="10"/>
  <c r="L1006" i="10"/>
  <c r="I1006" i="10"/>
  <c r="L1005" i="10"/>
  <c r="I1005" i="10"/>
  <c r="L1004" i="10"/>
  <c r="I1004" i="10"/>
  <c r="L1003" i="10"/>
  <c r="I1003" i="10"/>
  <c r="L1002" i="10"/>
  <c r="I1002" i="10"/>
  <c r="L1001" i="10"/>
  <c r="I1001" i="10"/>
  <c r="L1000" i="10"/>
  <c r="I1000" i="10"/>
  <c r="L999" i="10"/>
  <c r="I999" i="10"/>
  <c r="L998" i="10"/>
  <c r="I998" i="10"/>
  <c r="L997" i="10"/>
  <c r="I997" i="10"/>
  <c r="L996" i="10"/>
  <c r="I996" i="10"/>
  <c r="L995" i="10"/>
  <c r="I995" i="10"/>
  <c r="L994" i="10"/>
  <c r="I994" i="10"/>
  <c r="L993" i="10"/>
  <c r="I993" i="10"/>
  <c r="L992" i="10"/>
  <c r="I992" i="10"/>
  <c r="L991" i="10"/>
  <c r="I991" i="10"/>
  <c r="L990" i="10"/>
  <c r="I990" i="10"/>
  <c r="L989" i="10"/>
  <c r="I989" i="10"/>
  <c r="L988" i="10"/>
  <c r="I988" i="10"/>
  <c r="L987" i="10"/>
  <c r="I987" i="10"/>
  <c r="L986" i="10"/>
  <c r="I986" i="10"/>
  <c r="L985" i="10"/>
  <c r="I985" i="10"/>
  <c r="L984" i="10"/>
  <c r="I984" i="10"/>
  <c r="L983" i="10"/>
  <c r="I983" i="10"/>
  <c r="L982" i="10"/>
  <c r="I982" i="10"/>
  <c r="L981" i="10"/>
  <c r="I981" i="10"/>
  <c r="L980" i="10"/>
  <c r="I980" i="10"/>
  <c r="L979" i="10"/>
  <c r="I979" i="10"/>
  <c r="L978" i="10"/>
  <c r="I978" i="10"/>
  <c r="L977" i="10"/>
  <c r="I977" i="10"/>
  <c r="L976" i="10"/>
  <c r="I976" i="10"/>
  <c r="L975" i="10"/>
  <c r="I975" i="10"/>
  <c r="L974" i="10"/>
  <c r="I974" i="10"/>
  <c r="L973" i="10"/>
  <c r="I973" i="10"/>
  <c r="L972" i="10"/>
  <c r="I972" i="10"/>
  <c r="L971" i="10"/>
  <c r="I971" i="10"/>
  <c r="L970" i="10"/>
  <c r="I970" i="10"/>
  <c r="L969" i="10"/>
  <c r="I969" i="10"/>
  <c r="L968" i="10"/>
  <c r="I968" i="10"/>
  <c r="L967" i="10"/>
  <c r="I967" i="10"/>
  <c r="L966" i="10"/>
  <c r="I966" i="10"/>
  <c r="L965" i="10"/>
  <c r="I965" i="10"/>
  <c r="L964" i="10"/>
  <c r="I964" i="10"/>
  <c r="L963" i="10"/>
  <c r="I963" i="10"/>
  <c r="L962" i="10"/>
  <c r="I962" i="10"/>
  <c r="L961" i="10"/>
  <c r="I961" i="10"/>
  <c r="L960" i="10"/>
  <c r="I960" i="10"/>
  <c r="L959" i="10"/>
  <c r="I959" i="10"/>
  <c r="L958" i="10"/>
  <c r="I958" i="10"/>
  <c r="L957" i="10"/>
  <c r="I957" i="10"/>
  <c r="L956" i="10"/>
  <c r="I956" i="10"/>
  <c r="L955" i="10"/>
  <c r="I955" i="10"/>
  <c r="L954" i="10"/>
  <c r="I954" i="10"/>
  <c r="L953" i="10"/>
  <c r="I953" i="10"/>
  <c r="L952" i="10"/>
  <c r="I952" i="10"/>
  <c r="L951" i="10"/>
  <c r="I951" i="10"/>
  <c r="L950" i="10"/>
  <c r="I950" i="10"/>
  <c r="L949" i="10"/>
  <c r="I949" i="10"/>
  <c r="L948" i="10"/>
  <c r="I948" i="10"/>
  <c r="L947" i="10"/>
  <c r="I947" i="10"/>
  <c r="L946" i="10"/>
  <c r="I946" i="10"/>
  <c r="L945" i="10"/>
  <c r="I945" i="10"/>
  <c r="L944" i="10"/>
  <c r="I944" i="10"/>
  <c r="L943" i="10"/>
  <c r="I943" i="10"/>
  <c r="L942" i="10"/>
  <c r="I942" i="10"/>
  <c r="L941" i="10"/>
  <c r="I941" i="10"/>
  <c r="L940" i="10"/>
  <c r="I940" i="10"/>
  <c r="L939" i="10"/>
  <c r="I939" i="10"/>
  <c r="L938" i="10"/>
  <c r="I938" i="10"/>
  <c r="L937" i="10"/>
  <c r="I937" i="10"/>
  <c r="L936" i="10"/>
  <c r="I936" i="10"/>
  <c r="L935" i="10"/>
  <c r="I935" i="10"/>
  <c r="L934" i="10"/>
  <c r="I934" i="10"/>
  <c r="L933" i="10"/>
  <c r="I933" i="10"/>
  <c r="L932" i="10"/>
  <c r="I932" i="10"/>
  <c r="L931" i="10"/>
  <c r="I931" i="10"/>
  <c r="L930" i="10"/>
  <c r="I930" i="10"/>
  <c r="L929" i="10"/>
  <c r="I929" i="10"/>
  <c r="L928" i="10"/>
  <c r="I928" i="10"/>
  <c r="L927" i="10"/>
  <c r="I927" i="10"/>
  <c r="L926" i="10"/>
  <c r="I926" i="10"/>
  <c r="L925" i="10"/>
  <c r="I925" i="10"/>
  <c r="L924" i="10"/>
  <c r="I924" i="10"/>
  <c r="L923" i="10"/>
  <c r="I923" i="10"/>
  <c r="L922" i="10"/>
  <c r="I922" i="10"/>
  <c r="L921" i="10"/>
  <c r="I921" i="10"/>
  <c r="L920" i="10"/>
  <c r="I920" i="10"/>
  <c r="L919" i="10"/>
  <c r="I919" i="10"/>
  <c r="L918" i="10"/>
  <c r="I918" i="10"/>
  <c r="L917" i="10"/>
  <c r="I917" i="10"/>
  <c r="L916" i="10"/>
  <c r="I916" i="10"/>
  <c r="L915" i="10"/>
  <c r="I915" i="10"/>
  <c r="L914" i="10"/>
  <c r="I914" i="10"/>
  <c r="L913" i="10"/>
  <c r="I913" i="10"/>
  <c r="L912" i="10"/>
  <c r="I912" i="10"/>
  <c r="L911" i="10"/>
  <c r="I911" i="10"/>
  <c r="L910" i="10"/>
  <c r="I910" i="10"/>
  <c r="L909" i="10"/>
  <c r="I909" i="10"/>
  <c r="L908" i="10"/>
  <c r="I908" i="10"/>
  <c r="L907" i="10"/>
  <c r="I907" i="10"/>
  <c r="L906" i="10"/>
  <c r="I906" i="10"/>
  <c r="L905" i="10"/>
  <c r="I905" i="10"/>
  <c r="L904" i="10"/>
  <c r="I904" i="10"/>
  <c r="L903" i="10"/>
  <c r="I903" i="10"/>
  <c r="L902" i="10"/>
  <c r="I902" i="10"/>
  <c r="L901" i="10"/>
  <c r="I901" i="10"/>
  <c r="L900" i="10"/>
  <c r="I900" i="10"/>
  <c r="L899" i="10"/>
  <c r="I899" i="10"/>
  <c r="L898" i="10"/>
  <c r="I898" i="10"/>
  <c r="L897" i="10"/>
  <c r="I897" i="10"/>
  <c r="L896" i="10"/>
  <c r="I896" i="10"/>
  <c r="L895" i="10"/>
  <c r="I895" i="10"/>
  <c r="L894" i="10"/>
  <c r="I894" i="10"/>
  <c r="L893" i="10"/>
  <c r="I893" i="10"/>
  <c r="L892" i="10"/>
  <c r="I892" i="10"/>
  <c r="L891" i="10"/>
  <c r="I891" i="10"/>
  <c r="L890" i="10"/>
  <c r="I890" i="10"/>
  <c r="L889" i="10"/>
  <c r="I889" i="10"/>
  <c r="L888" i="10"/>
  <c r="I888" i="10"/>
  <c r="L887" i="10"/>
  <c r="I887" i="10"/>
  <c r="L886" i="10"/>
  <c r="I886" i="10"/>
  <c r="L885" i="10"/>
  <c r="I885" i="10"/>
  <c r="L884" i="10"/>
  <c r="I884" i="10"/>
  <c r="L883" i="10"/>
  <c r="I883" i="10"/>
  <c r="L882" i="10"/>
  <c r="I882" i="10"/>
  <c r="L881" i="10"/>
  <c r="I881" i="10"/>
  <c r="L880" i="10"/>
  <c r="I880" i="10"/>
  <c r="L879" i="10"/>
  <c r="I879" i="10"/>
  <c r="L878" i="10"/>
  <c r="I878" i="10"/>
  <c r="L877" i="10"/>
  <c r="I877" i="10"/>
  <c r="L876" i="10"/>
  <c r="I876" i="10"/>
  <c r="L875" i="10"/>
  <c r="I875" i="10"/>
  <c r="L874" i="10"/>
  <c r="I874" i="10"/>
  <c r="L873" i="10"/>
  <c r="I873" i="10"/>
  <c r="L872" i="10"/>
  <c r="I872" i="10"/>
  <c r="L871" i="10"/>
  <c r="I871" i="10"/>
  <c r="L870" i="10"/>
  <c r="I870" i="10"/>
  <c r="L869" i="10"/>
  <c r="I869" i="10"/>
  <c r="L868" i="10"/>
  <c r="I868" i="10"/>
  <c r="L867" i="10"/>
  <c r="I867" i="10"/>
  <c r="L866" i="10"/>
  <c r="I866" i="10"/>
  <c r="L865" i="10"/>
  <c r="I865" i="10"/>
  <c r="L864" i="10"/>
  <c r="I864" i="10"/>
  <c r="L863" i="10"/>
  <c r="I863" i="10"/>
  <c r="L862" i="10"/>
  <c r="I862" i="10"/>
  <c r="L861" i="10"/>
  <c r="I861" i="10"/>
  <c r="L860" i="10"/>
  <c r="I860" i="10"/>
  <c r="L859" i="10"/>
  <c r="I859" i="10"/>
  <c r="L858" i="10"/>
  <c r="I858" i="10"/>
  <c r="L857" i="10"/>
  <c r="I857" i="10"/>
  <c r="L856" i="10"/>
  <c r="I856" i="10"/>
  <c r="L855" i="10"/>
  <c r="I855" i="10"/>
  <c r="L854" i="10"/>
  <c r="I854" i="10"/>
  <c r="L853" i="10"/>
  <c r="I853" i="10"/>
  <c r="L852" i="10"/>
  <c r="I852" i="10"/>
  <c r="L851" i="10"/>
  <c r="I851" i="10"/>
  <c r="L850" i="10"/>
  <c r="I850" i="10"/>
  <c r="L849" i="10"/>
  <c r="I849" i="10"/>
  <c r="L848" i="10"/>
  <c r="I848" i="10"/>
  <c r="L847" i="10"/>
  <c r="I847" i="10"/>
  <c r="L846" i="10"/>
  <c r="I846" i="10"/>
  <c r="L845" i="10"/>
  <c r="I845" i="10"/>
  <c r="L844" i="10"/>
  <c r="I844" i="10"/>
  <c r="L843" i="10"/>
  <c r="I843" i="10"/>
  <c r="L842" i="10"/>
  <c r="I842" i="10"/>
  <c r="L841" i="10"/>
  <c r="I841" i="10"/>
  <c r="L840" i="10"/>
  <c r="I840" i="10"/>
  <c r="L839" i="10"/>
  <c r="I839" i="10"/>
  <c r="L838" i="10"/>
  <c r="I838" i="10"/>
  <c r="L837" i="10"/>
  <c r="I837" i="10"/>
  <c r="L836" i="10"/>
  <c r="I836" i="10"/>
  <c r="L835" i="10"/>
  <c r="I835" i="10"/>
  <c r="L834" i="10"/>
  <c r="I834" i="10"/>
  <c r="L833" i="10"/>
  <c r="I833" i="10"/>
  <c r="L832" i="10"/>
  <c r="I832" i="10"/>
  <c r="L831" i="10"/>
  <c r="I831" i="10"/>
  <c r="L830" i="10"/>
  <c r="I830" i="10"/>
  <c r="L829" i="10"/>
  <c r="I829" i="10"/>
  <c r="L828" i="10"/>
  <c r="I828" i="10"/>
  <c r="L827" i="10"/>
  <c r="I827" i="10"/>
  <c r="L826" i="10"/>
  <c r="I826" i="10"/>
  <c r="L825" i="10"/>
  <c r="I825" i="10"/>
  <c r="L824" i="10"/>
  <c r="I824" i="10"/>
  <c r="L823" i="10"/>
  <c r="I823" i="10"/>
  <c r="L822" i="10"/>
  <c r="I822" i="10"/>
  <c r="L821" i="10"/>
  <c r="I821" i="10"/>
  <c r="L820" i="10"/>
  <c r="I820" i="10"/>
  <c r="L819" i="10"/>
  <c r="I819" i="10"/>
  <c r="L818" i="10"/>
  <c r="I818" i="10"/>
  <c r="L817" i="10"/>
  <c r="I817" i="10"/>
  <c r="L816" i="10"/>
  <c r="I816" i="10"/>
  <c r="L815" i="10"/>
  <c r="I815" i="10"/>
  <c r="L814" i="10"/>
  <c r="I814" i="10"/>
  <c r="L813" i="10"/>
  <c r="I813" i="10"/>
  <c r="L812" i="10"/>
  <c r="I812" i="10"/>
  <c r="L811" i="10"/>
  <c r="I811" i="10"/>
  <c r="L810" i="10"/>
  <c r="I810" i="10"/>
  <c r="L809" i="10"/>
  <c r="I809" i="10"/>
  <c r="L808" i="10"/>
  <c r="I808" i="10"/>
  <c r="L807" i="10"/>
  <c r="I807" i="10"/>
  <c r="L806" i="10"/>
  <c r="I806" i="10"/>
  <c r="L805" i="10"/>
  <c r="I805" i="10"/>
  <c r="L804" i="10"/>
  <c r="I804" i="10"/>
  <c r="L803" i="10"/>
  <c r="I803" i="10"/>
  <c r="L802" i="10"/>
  <c r="I802" i="10"/>
  <c r="L801" i="10"/>
  <c r="I801" i="10"/>
  <c r="L800" i="10"/>
  <c r="I800" i="10"/>
  <c r="L799" i="10"/>
  <c r="I799" i="10"/>
  <c r="L798" i="10"/>
  <c r="I798" i="10"/>
  <c r="L797" i="10"/>
  <c r="I797" i="10"/>
  <c r="L796" i="10"/>
  <c r="I796" i="10"/>
  <c r="L795" i="10"/>
  <c r="I795" i="10"/>
  <c r="L794" i="10"/>
  <c r="I794" i="10"/>
  <c r="L793" i="10"/>
  <c r="I793" i="10"/>
  <c r="L792" i="10"/>
  <c r="I792" i="10"/>
  <c r="L791" i="10"/>
  <c r="I791" i="10"/>
  <c r="L790" i="10"/>
  <c r="I790" i="10"/>
  <c r="L789" i="10"/>
  <c r="I789" i="10"/>
  <c r="L788" i="10"/>
  <c r="I788" i="10"/>
  <c r="L787" i="10"/>
  <c r="I787" i="10"/>
  <c r="L786" i="10"/>
  <c r="I786" i="10"/>
  <c r="L785" i="10"/>
  <c r="I785" i="10"/>
  <c r="L784" i="10"/>
  <c r="I784" i="10"/>
  <c r="L783" i="10"/>
  <c r="I783" i="10"/>
  <c r="L782" i="10"/>
  <c r="I782" i="10"/>
  <c r="L781" i="10"/>
  <c r="I781" i="10"/>
  <c r="L780" i="10"/>
  <c r="I780" i="10"/>
  <c r="L779" i="10"/>
  <c r="I779" i="10"/>
  <c r="L778" i="10"/>
  <c r="I778" i="10"/>
  <c r="L777" i="10"/>
  <c r="I777" i="10"/>
  <c r="L776" i="10"/>
  <c r="I776" i="10"/>
  <c r="L775" i="10"/>
  <c r="I775" i="10"/>
  <c r="L774" i="10"/>
  <c r="I774" i="10"/>
  <c r="L773" i="10"/>
  <c r="I773" i="10"/>
  <c r="L772" i="10"/>
  <c r="I772" i="10"/>
  <c r="L771" i="10"/>
  <c r="I771" i="10"/>
  <c r="L770" i="10"/>
  <c r="I770" i="10"/>
  <c r="L769" i="10"/>
  <c r="I769" i="10"/>
  <c r="L768" i="10"/>
  <c r="I768" i="10"/>
  <c r="L767" i="10"/>
  <c r="I767" i="10"/>
  <c r="L766" i="10"/>
  <c r="I766" i="10"/>
  <c r="L765" i="10"/>
  <c r="I765" i="10"/>
  <c r="L764" i="10"/>
  <c r="I764" i="10"/>
  <c r="L763" i="10"/>
  <c r="I763" i="10"/>
  <c r="L762" i="10"/>
  <c r="I762" i="10"/>
  <c r="L761" i="10"/>
  <c r="I761" i="10"/>
  <c r="L760" i="10"/>
  <c r="I760" i="10"/>
  <c r="L759" i="10"/>
  <c r="I759" i="10"/>
  <c r="L758" i="10"/>
  <c r="I758" i="10"/>
  <c r="L757" i="10"/>
  <c r="I757" i="10"/>
  <c r="L756" i="10"/>
  <c r="I756" i="10"/>
  <c r="L755" i="10"/>
  <c r="I755" i="10"/>
  <c r="L754" i="10"/>
  <c r="I754" i="10"/>
  <c r="L753" i="10"/>
  <c r="I753" i="10"/>
  <c r="L752" i="10"/>
  <c r="I752" i="10"/>
  <c r="L751" i="10"/>
  <c r="I751" i="10"/>
  <c r="L750" i="10"/>
  <c r="I750" i="10"/>
  <c r="L749" i="10"/>
  <c r="I749" i="10"/>
  <c r="L748" i="10"/>
  <c r="I748" i="10"/>
  <c r="L747" i="10"/>
  <c r="I747" i="10"/>
  <c r="L746" i="10"/>
  <c r="I746" i="10"/>
  <c r="L745" i="10"/>
  <c r="I745" i="10"/>
  <c r="L744" i="10"/>
  <c r="I744" i="10"/>
  <c r="L743" i="10"/>
  <c r="I743" i="10"/>
  <c r="L742" i="10"/>
  <c r="I742" i="10"/>
  <c r="L741" i="10"/>
  <c r="I741" i="10"/>
  <c r="L740" i="10"/>
  <c r="I740" i="10"/>
  <c r="L739" i="10"/>
  <c r="I739" i="10"/>
  <c r="L738" i="10"/>
  <c r="I738" i="10"/>
  <c r="L737" i="10"/>
  <c r="I737" i="10"/>
  <c r="L736" i="10"/>
  <c r="I736" i="10"/>
  <c r="L735" i="10"/>
  <c r="I735" i="10"/>
  <c r="L734" i="10"/>
  <c r="I734" i="10"/>
  <c r="L733" i="10"/>
  <c r="I733" i="10"/>
  <c r="L732" i="10"/>
  <c r="I732" i="10"/>
  <c r="L731" i="10"/>
  <c r="I731" i="10"/>
  <c r="L730" i="10"/>
  <c r="I730" i="10"/>
  <c r="L729" i="10"/>
  <c r="I729" i="10"/>
  <c r="L728" i="10"/>
  <c r="I728" i="10"/>
  <c r="L727" i="10"/>
  <c r="I727" i="10"/>
  <c r="L726" i="10"/>
  <c r="I726" i="10"/>
  <c r="L725" i="10"/>
  <c r="I725" i="10"/>
  <c r="L724" i="10"/>
  <c r="I724" i="10"/>
  <c r="L723" i="10"/>
  <c r="I723" i="10"/>
  <c r="L722" i="10"/>
  <c r="I722" i="10"/>
  <c r="L721" i="10"/>
  <c r="I721" i="10"/>
  <c r="L720" i="10"/>
  <c r="I720" i="10"/>
  <c r="L719" i="10"/>
  <c r="I719" i="10"/>
  <c r="L718" i="10"/>
  <c r="I718" i="10"/>
  <c r="L717" i="10"/>
  <c r="I717" i="10"/>
  <c r="L716" i="10"/>
  <c r="I716" i="10"/>
  <c r="L715" i="10"/>
  <c r="I715" i="10"/>
  <c r="L714" i="10"/>
  <c r="I714" i="10"/>
  <c r="L713" i="10"/>
  <c r="I713" i="10"/>
  <c r="L712" i="10"/>
  <c r="I712" i="10"/>
  <c r="L711" i="10"/>
  <c r="I711" i="10"/>
  <c r="L710" i="10"/>
  <c r="I710" i="10"/>
  <c r="L709" i="10"/>
  <c r="I709" i="10"/>
  <c r="L708" i="10"/>
  <c r="I708" i="10"/>
  <c r="L707" i="10"/>
  <c r="I707" i="10"/>
  <c r="L706" i="10"/>
  <c r="I706" i="10"/>
  <c r="L705" i="10"/>
  <c r="I705" i="10"/>
  <c r="L704" i="10"/>
  <c r="I704" i="10"/>
  <c r="L703" i="10"/>
  <c r="I703" i="10"/>
  <c r="L702" i="10"/>
  <c r="I702" i="10"/>
  <c r="L701" i="10"/>
  <c r="I701" i="10"/>
  <c r="L700" i="10"/>
  <c r="I700" i="10"/>
  <c r="L699" i="10"/>
  <c r="I699" i="10"/>
  <c r="L698" i="10"/>
  <c r="I698" i="10"/>
  <c r="L697" i="10"/>
  <c r="I697" i="10"/>
  <c r="L696" i="10"/>
  <c r="I696" i="10"/>
  <c r="L695" i="10"/>
  <c r="I695" i="10"/>
  <c r="L694" i="10"/>
  <c r="I694" i="10"/>
  <c r="L693" i="10"/>
  <c r="I693" i="10"/>
  <c r="L692" i="10"/>
  <c r="I692" i="10"/>
  <c r="L691" i="10"/>
  <c r="I691" i="10"/>
  <c r="L690" i="10"/>
  <c r="I690" i="10"/>
  <c r="L689" i="10"/>
  <c r="I689" i="10"/>
  <c r="L688" i="10"/>
  <c r="I688" i="10"/>
  <c r="L687" i="10"/>
  <c r="I687" i="10"/>
  <c r="L686" i="10"/>
  <c r="I686" i="10"/>
  <c r="L685" i="10"/>
  <c r="I685" i="10"/>
  <c r="L684" i="10"/>
  <c r="I684" i="10"/>
  <c r="L683" i="10"/>
  <c r="I683" i="10"/>
  <c r="L682" i="10"/>
  <c r="I682" i="10"/>
  <c r="L681" i="10"/>
  <c r="I681" i="10"/>
  <c r="L680" i="10"/>
  <c r="I680" i="10"/>
  <c r="L679" i="10"/>
  <c r="I679" i="10"/>
  <c r="L678" i="10"/>
  <c r="I678" i="10"/>
  <c r="L677" i="10"/>
  <c r="I677" i="10"/>
  <c r="L676" i="10"/>
  <c r="I676" i="10"/>
  <c r="L675" i="10"/>
  <c r="I675" i="10"/>
  <c r="L674" i="10"/>
  <c r="I674" i="10"/>
  <c r="L673" i="10"/>
  <c r="I673" i="10"/>
  <c r="L672" i="10"/>
  <c r="I672" i="10"/>
  <c r="L671" i="10"/>
  <c r="I671" i="10"/>
  <c r="L670" i="10"/>
  <c r="I670" i="10"/>
  <c r="L669" i="10"/>
  <c r="I669" i="10"/>
  <c r="L668" i="10"/>
  <c r="I668" i="10"/>
  <c r="L667" i="10"/>
  <c r="I667" i="10"/>
  <c r="L666" i="10"/>
  <c r="I666" i="10"/>
  <c r="L665" i="10"/>
  <c r="I665" i="10"/>
  <c r="L664" i="10"/>
  <c r="I664" i="10"/>
  <c r="L663" i="10"/>
  <c r="I663" i="10"/>
  <c r="L662" i="10"/>
  <c r="I662" i="10"/>
  <c r="L661" i="10"/>
  <c r="I661" i="10"/>
  <c r="L660" i="10"/>
  <c r="I660" i="10"/>
  <c r="L659" i="10"/>
  <c r="I659" i="10"/>
  <c r="L658" i="10"/>
  <c r="I658" i="10"/>
  <c r="L657" i="10"/>
  <c r="I657" i="10"/>
  <c r="L656" i="10"/>
  <c r="I656" i="10"/>
  <c r="L655" i="10"/>
  <c r="I655" i="10"/>
  <c r="L654" i="10"/>
  <c r="I654" i="10"/>
  <c r="L653" i="10"/>
  <c r="I653" i="10"/>
  <c r="L652" i="10"/>
  <c r="I652" i="10"/>
  <c r="L651" i="10"/>
  <c r="I651" i="10"/>
  <c r="L650" i="10"/>
  <c r="I650" i="10"/>
  <c r="L649" i="10"/>
  <c r="I649" i="10"/>
  <c r="L648" i="10"/>
  <c r="I648" i="10"/>
  <c r="L647" i="10"/>
  <c r="I647" i="10"/>
  <c r="L646" i="10"/>
  <c r="I646" i="10"/>
  <c r="L645" i="10"/>
  <c r="I645" i="10"/>
  <c r="L644" i="10"/>
  <c r="I644" i="10"/>
  <c r="L643" i="10"/>
  <c r="I643" i="10"/>
  <c r="L642" i="10"/>
  <c r="I642" i="10"/>
  <c r="L641" i="10"/>
  <c r="I641" i="10"/>
  <c r="L640" i="10"/>
  <c r="I640" i="10"/>
  <c r="L639" i="10"/>
  <c r="I639" i="10"/>
  <c r="L638" i="10"/>
  <c r="I638" i="10"/>
  <c r="L637" i="10"/>
  <c r="I637" i="10"/>
  <c r="L636" i="10"/>
  <c r="I636" i="10"/>
  <c r="L635" i="10"/>
  <c r="I635" i="10"/>
  <c r="L634" i="10"/>
  <c r="I634" i="10"/>
  <c r="L633" i="10"/>
  <c r="I633" i="10"/>
  <c r="L632" i="10"/>
  <c r="I632" i="10"/>
  <c r="L631" i="10"/>
  <c r="I631" i="10"/>
  <c r="L630" i="10"/>
  <c r="I630" i="10"/>
  <c r="L629" i="10"/>
  <c r="I629" i="10"/>
  <c r="L628" i="10"/>
  <c r="I628" i="10"/>
  <c r="L627" i="10"/>
  <c r="I627" i="10"/>
  <c r="L626" i="10"/>
  <c r="I626" i="10"/>
  <c r="L625" i="10"/>
  <c r="I625" i="10"/>
  <c r="L624" i="10"/>
  <c r="I624" i="10"/>
  <c r="L623" i="10"/>
  <c r="I623" i="10"/>
  <c r="L622" i="10"/>
  <c r="I622" i="10"/>
  <c r="L621" i="10"/>
  <c r="I621" i="10"/>
  <c r="L620" i="10"/>
  <c r="I620" i="10"/>
  <c r="L619" i="10"/>
  <c r="I619" i="10"/>
  <c r="L618" i="10"/>
  <c r="I618" i="10"/>
  <c r="L617" i="10"/>
  <c r="I617" i="10"/>
  <c r="L616" i="10"/>
  <c r="I616" i="10"/>
  <c r="L615" i="10"/>
  <c r="I615" i="10"/>
  <c r="L614" i="10"/>
  <c r="I614" i="10"/>
  <c r="L613" i="10"/>
  <c r="I613" i="10"/>
  <c r="L612" i="10"/>
  <c r="I612" i="10"/>
  <c r="L611" i="10"/>
  <c r="I611" i="10"/>
  <c r="L610" i="10"/>
  <c r="I610" i="10"/>
  <c r="L609" i="10"/>
  <c r="I609" i="10"/>
  <c r="L608" i="10"/>
  <c r="I608" i="10"/>
  <c r="L607" i="10"/>
  <c r="I607" i="10"/>
  <c r="L606" i="10"/>
  <c r="I606" i="10"/>
  <c r="L605" i="10"/>
  <c r="I605" i="10"/>
  <c r="L604" i="10"/>
  <c r="I604" i="10"/>
  <c r="L603" i="10"/>
  <c r="I603" i="10"/>
  <c r="L602" i="10"/>
  <c r="I602" i="10"/>
  <c r="L601" i="10"/>
  <c r="I601" i="10"/>
  <c r="L600" i="10"/>
  <c r="I600" i="10"/>
  <c r="L599" i="10"/>
  <c r="I599" i="10"/>
  <c r="L598" i="10"/>
  <c r="I598" i="10"/>
  <c r="L597" i="10"/>
  <c r="I597" i="10"/>
  <c r="L596" i="10"/>
  <c r="I596" i="10"/>
  <c r="L595" i="10"/>
  <c r="I595" i="10"/>
  <c r="L594" i="10"/>
  <c r="I594" i="10"/>
  <c r="L593" i="10"/>
  <c r="I593" i="10"/>
  <c r="L592" i="10"/>
  <c r="I592" i="10"/>
  <c r="L591" i="10"/>
  <c r="I591" i="10"/>
  <c r="L590" i="10"/>
  <c r="I590" i="10"/>
  <c r="L589" i="10"/>
  <c r="I589" i="10"/>
  <c r="L588" i="10"/>
  <c r="I588" i="10"/>
  <c r="L587" i="10"/>
  <c r="I587" i="10"/>
  <c r="L586" i="10"/>
  <c r="I586" i="10"/>
  <c r="L585" i="10"/>
  <c r="I585" i="10"/>
  <c r="L584" i="10"/>
  <c r="I584" i="10"/>
  <c r="L583" i="10"/>
  <c r="I583" i="10"/>
  <c r="L582" i="10"/>
  <c r="I582" i="10"/>
  <c r="L581" i="10"/>
  <c r="I581" i="10"/>
  <c r="L580" i="10"/>
  <c r="I580" i="10"/>
  <c r="L579" i="10"/>
  <c r="I579" i="10"/>
  <c r="L578" i="10"/>
  <c r="I578" i="10"/>
  <c r="L577" i="10"/>
  <c r="I577" i="10"/>
  <c r="L576" i="10"/>
  <c r="I576" i="10"/>
  <c r="L575" i="10"/>
  <c r="I575" i="10"/>
  <c r="L574" i="10"/>
  <c r="I574" i="10"/>
  <c r="L573" i="10"/>
  <c r="I573" i="10"/>
  <c r="L572" i="10"/>
  <c r="I572" i="10"/>
  <c r="L571" i="10"/>
  <c r="I571" i="10"/>
  <c r="L570" i="10"/>
  <c r="I570" i="10"/>
  <c r="L569" i="10"/>
  <c r="I569" i="10"/>
  <c r="L568" i="10"/>
  <c r="I568" i="10"/>
  <c r="L567" i="10"/>
  <c r="I567" i="10"/>
  <c r="L566" i="10"/>
  <c r="I566" i="10"/>
  <c r="L565" i="10"/>
  <c r="I565" i="10"/>
  <c r="L564" i="10"/>
  <c r="I564" i="10"/>
  <c r="L563" i="10"/>
  <c r="I563" i="10"/>
  <c r="L562" i="10"/>
  <c r="I562" i="10"/>
  <c r="L561" i="10"/>
  <c r="I561" i="10"/>
  <c r="L560" i="10"/>
  <c r="I560" i="10"/>
  <c r="L559" i="10"/>
  <c r="I559" i="10"/>
  <c r="L558" i="10"/>
  <c r="I558" i="10"/>
  <c r="L557" i="10"/>
  <c r="I557" i="10"/>
  <c r="L556" i="10"/>
  <c r="I556" i="10"/>
  <c r="L555" i="10"/>
  <c r="I555" i="10"/>
  <c r="L554" i="10"/>
  <c r="I554" i="10"/>
  <c r="L553" i="10"/>
  <c r="I553" i="10"/>
  <c r="L552" i="10"/>
  <c r="I552" i="10"/>
  <c r="L551" i="10"/>
  <c r="I551" i="10"/>
  <c r="L550" i="10"/>
  <c r="I550" i="10"/>
  <c r="L549" i="10"/>
  <c r="I549" i="10"/>
  <c r="L548" i="10"/>
  <c r="I548" i="10"/>
  <c r="L547" i="10"/>
  <c r="I547" i="10"/>
  <c r="L546" i="10"/>
  <c r="I546" i="10"/>
  <c r="L545" i="10"/>
  <c r="I545" i="10"/>
  <c r="L544" i="10"/>
  <c r="I544" i="10"/>
  <c r="L543" i="10"/>
  <c r="I543" i="10"/>
  <c r="L542" i="10"/>
  <c r="I542" i="10"/>
  <c r="L541" i="10"/>
  <c r="I541" i="10"/>
  <c r="L540" i="10"/>
  <c r="I540" i="10"/>
  <c r="L539" i="10"/>
  <c r="I539" i="10"/>
  <c r="L538" i="10"/>
  <c r="I538" i="10"/>
  <c r="L537" i="10"/>
  <c r="I537" i="10"/>
  <c r="L536" i="10"/>
  <c r="I536" i="10"/>
  <c r="L535" i="10"/>
  <c r="I535" i="10"/>
  <c r="L534" i="10"/>
  <c r="I534" i="10"/>
  <c r="L533" i="10"/>
  <c r="I533" i="10"/>
  <c r="L532" i="10"/>
  <c r="I532" i="10"/>
  <c r="L531" i="10"/>
  <c r="I531" i="10"/>
  <c r="L530" i="10"/>
  <c r="I530" i="10"/>
  <c r="L529" i="10"/>
  <c r="I529" i="10"/>
  <c r="L528" i="10"/>
  <c r="I528" i="10"/>
  <c r="L527" i="10"/>
  <c r="I527" i="10"/>
  <c r="L526" i="10"/>
  <c r="I526" i="10"/>
  <c r="L525" i="10"/>
  <c r="I525" i="10"/>
  <c r="L524" i="10"/>
  <c r="I524" i="10"/>
  <c r="L523" i="10"/>
  <c r="I523" i="10"/>
  <c r="L522" i="10"/>
  <c r="I522" i="10"/>
  <c r="L521" i="10"/>
  <c r="I521" i="10"/>
  <c r="L520" i="10"/>
  <c r="I520" i="10"/>
  <c r="L519" i="10"/>
  <c r="I519" i="10"/>
  <c r="L518" i="10"/>
  <c r="I518" i="10"/>
  <c r="L517" i="10"/>
  <c r="I517" i="10"/>
  <c r="L516" i="10"/>
  <c r="I516" i="10"/>
  <c r="L515" i="10"/>
  <c r="I515" i="10"/>
  <c r="L514" i="10"/>
  <c r="I514" i="10"/>
  <c r="L513" i="10"/>
  <c r="I513" i="10"/>
  <c r="L512" i="10"/>
  <c r="I512" i="10"/>
  <c r="L511" i="10"/>
  <c r="I511" i="10"/>
  <c r="L510" i="10"/>
  <c r="I510" i="10"/>
  <c r="L509" i="10"/>
  <c r="I509" i="10"/>
  <c r="L508" i="10"/>
  <c r="I508" i="10"/>
  <c r="L507" i="10"/>
  <c r="I507" i="10"/>
  <c r="L506" i="10"/>
  <c r="I506" i="10"/>
  <c r="L505" i="10"/>
  <c r="I505" i="10"/>
  <c r="L504" i="10"/>
  <c r="I504" i="10"/>
  <c r="L503" i="10"/>
  <c r="I503" i="10"/>
  <c r="L502" i="10"/>
  <c r="I502" i="10"/>
  <c r="L501" i="10"/>
  <c r="I501" i="10"/>
  <c r="L500" i="10"/>
  <c r="I500" i="10"/>
  <c r="L499" i="10"/>
  <c r="I499" i="10"/>
  <c r="L498" i="10"/>
  <c r="I498" i="10"/>
  <c r="L497" i="10"/>
  <c r="I497" i="10"/>
  <c r="L496" i="10"/>
  <c r="I496" i="10"/>
  <c r="L495" i="10"/>
  <c r="I495" i="10"/>
  <c r="L494" i="10"/>
  <c r="I494" i="10"/>
  <c r="L493" i="10"/>
  <c r="I493" i="10"/>
  <c r="L492" i="10"/>
  <c r="I492" i="10"/>
  <c r="L491" i="10"/>
  <c r="I491" i="10"/>
  <c r="L490" i="10"/>
  <c r="I490" i="10"/>
  <c r="L489" i="10"/>
  <c r="I489" i="10"/>
  <c r="L488" i="10"/>
  <c r="I488" i="10"/>
  <c r="L487" i="10"/>
  <c r="I487" i="10"/>
  <c r="L486" i="10"/>
  <c r="I486" i="10"/>
  <c r="L485" i="10"/>
  <c r="I485" i="10"/>
  <c r="L484" i="10"/>
  <c r="I484" i="10"/>
  <c r="L483" i="10"/>
  <c r="I483" i="10"/>
  <c r="L482" i="10"/>
  <c r="I482" i="10"/>
  <c r="L481" i="10"/>
  <c r="I481" i="10"/>
  <c r="L480" i="10"/>
  <c r="I480" i="10"/>
  <c r="L479" i="10"/>
  <c r="I479" i="10"/>
  <c r="L478" i="10"/>
  <c r="I478" i="10"/>
  <c r="L477" i="10"/>
  <c r="I477" i="10"/>
  <c r="L476" i="10"/>
  <c r="I476" i="10"/>
  <c r="L475" i="10"/>
  <c r="I475" i="10"/>
  <c r="L474" i="10"/>
  <c r="I474" i="10"/>
  <c r="L473" i="10"/>
  <c r="I473" i="10"/>
  <c r="L472" i="10"/>
  <c r="I472" i="10"/>
  <c r="L471" i="10"/>
  <c r="I471" i="10"/>
  <c r="L470" i="10"/>
  <c r="I470" i="10"/>
  <c r="L469" i="10"/>
  <c r="I469" i="10"/>
  <c r="L468" i="10"/>
  <c r="I468" i="10"/>
  <c r="L467" i="10"/>
  <c r="I467" i="10"/>
  <c r="L466" i="10"/>
  <c r="I466" i="10"/>
  <c r="L465" i="10"/>
  <c r="I465" i="10"/>
  <c r="L464" i="10"/>
  <c r="I464" i="10"/>
  <c r="L463" i="10"/>
  <c r="I463" i="10"/>
  <c r="L462" i="10"/>
  <c r="I462" i="10"/>
  <c r="L461" i="10"/>
  <c r="I461" i="10"/>
  <c r="L460" i="10"/>
  <c r="I460" i="10"/>
  <c r="L459" i="10"/>
  <c r="I459" i="10"/>
  <c r="L458" i="10"/>
  <c r="I458" i="10"/>
  <c r="L457" i="10"/>
  <c r="I457" i="10"/>
  <c r="L456" i="10"/>
  <c r="I456" i="10"/>
  <c r="L455" i="10"/>
  <c r="I455" i="10"/>
  <c r="L454" i="10"/>
  <c r="I454" i="10"/>
  <c r="L453" i="10"/>
  <c r="I453" i="10"/>
  <c r="L452" i="10"/>
  <c r="I452" i="10"/>
  <c r="L451" i="10"/>
  <c r="I451" i="10"/>
  <c r="L450" i="10"/>
  <c r="I450" i="10"/>
  <c r="L449" i="10"/>
  <c r="I449" i="10"/>
  <c r="L448" i="10"/>
  <c r="I448" i="10"/>
  <c r="L447" i="10"/>
  <c r="I447" i="10"/>
  <c r="L446" i="10"/>
  <c r="I446" i="10"/>
  <c r="L445" i="10"/>
  <c r="I445" i="10"/>
  <c r="L444" i="10"/>
  <c r="I444" i="10"/>
  <c r="L443" i="10"/>
  <c r="I443" i="10"/>
  <c r="L442" i="10"/>
  <c r="I442" i="10"/>
  <c r="L441" i="10"/>
  <c r="I441" i="10"/>
  <c r="L440" i="10"/>
  <c r="I440" i="10"/>
  <c r="L439" i="10"/>
  <c r="I439" i="10"/>
  <c r="L438" i="10"/>
  <c r="I438" i="10"/>
  <c r="L437" i="10"/>
  <c r="I437" i="10"/>
  <c r="L436" i="10"/>
  <c r="I436" i="10"/>
  <c r="L435" i="10"/>
  <c r="I435" i="10"/>
  <c r="L434" i="10"/>
  <c r="I434" i="10"/>
  <c r="L433" i="10"/>
  <c r="I433" i="10"/>
  <c r="L432" i="10"/>
  <c r="I432" i="10"/>
  <c r="L431" i="10"/>
  <c r="I431" i="10"/>
  <c r="L430" i="10"/>
  <c r="I430" i="10"/>
  <c r="L429" i="10"/>
  <c r="I429" i="10"/>
  <c r="L428" i="10"/>
  <c r="I428" i="10"/>
  <c r="L427" i="10"/>
  <c r="I427" i="10"/>
  <c r="L426" i="10"/>
  <c r="I426" i="10"/>
  <c r="L425" i="10"/>
  <c r="I425" i="10"/>
  <c r="L424" i="10"/>
  <c r="I424" i="10"/>
  <c r="L423" i="10"/>
  <c r="I423" i="10"/>
  <c r="L422" i="10"/>
  <c r="I422" i="10"/>
  <c r="L421" i="10"/>
  <c r="I421" i="10"/>
  <c r="L420" i="10"/>
  <c r="I420" i="10"/>
  <c r="L419" i="10"/>
  <c r="I419" i="10"/>
  <c r="L418" i="10"/>
  <c r="I418" i="10"/>
  <c r="L417" i="10"/>
  <c r="I417" i="10"/>
  <c r="L416" i="10"/>
  <c r="I416" i="10"/>
  <c r="L415" i="10"/>
  <c r="I415" i="10"/>
  <c r="L414" i="10"/>
  <c r="I414" i="10"/>
  <c r="L413" i="10"/>
  <c r="I413" i="10"/>
  <c r="L412" i="10"/>
  <c r="I412" i="10"/>
  <c r="L411" i="10"/>
  <c r="I411" i="10"/>
  <c r="L410" i="10"/>
  <c r="I410" i="10"/>
  <c r="L409" i="10"/>
  <c r="I409" i="10"/>
  <c r="L408" i="10"/>
  <c r="I408" i="10"/>
  <c r="L407" i="10"/>
  <c r="I407" i="10"/>
  <c r="L406" i="10"/>
  <c r="I406" i="10"/>
  <c r="L405" i="10"/>
  <c r="I405" i="10"/>
  <c r="L404" i="10"/>
  <c r="I404" i="10"/>
  <c r="L403" i="10"/>
  <c r="I403" i="10"/>
  <c r="L402" i="10"/>
  <c r="I402" i="10"/>
  <c r="L401" i="10"/>
  <c r="I401" i="10"/>
  <c r="L400" i="10"/>
  <c r="I400" i="10"/>
  <c r="L399" i="10"/>
  <c r="I399" i="10"/>
  <c r="L398" i="10"/>
  <c r="I398" i="10"/>
  <c r="L397" i="10"/>
  <c r="I397" i="10"/>
  <c r="L396" i="10"/>
  <c r="I396" i="10"/>
  <c r="L395" i="10"/>
  <c r="I395" i="10"/>
  <c r="L394" i="10"/>
  <c r="I394" i="10"/>
  <c r="L393" i="10"/>
  <c r="I393" i="10"/>
  <c r="L392" i="10"/>
  <c r="I392" i="10"/>
  <c r="L391" i="10"/>
  <c r="I391" i="10"/>
  <c r="L390" i="10"/>
  <c r="I390" i="10"/>
  <c r="L389" i="10"/>
  <c r="I389" i="10"/>
  <c r="L388" i="10"/>
  <c r="I388" i="10"/>
  <c r="L387" i="10"/>
  <c r="I387" i="10"/>
  <c r="L386" i="10"/>
  <c r="I386" i="10"/>
  <c r="L385" i="10"/>
  <c r="I385" i="10"/>
  <c r="L384" i="10"/>
  <c r="I384" i="10"/>
  <c r="L383" i="10"/>
  <c r="I383" i="10"/>
  <c r="L382" i="10"/>
  <c r="I382" i="10"/>
  <c r="L381" i="10"/>
  <c r="I381" i="10"/>
  <c r="L380" i="10"/>
  <c r="I380" i="10"/>
  <c r="L379" i="10"/>
  <c r="I379" i="10"/>
  <c r="L378" i="10"/>
  <c r="I378" i="10"/>
  <c r="L377" i="10"/>
  <c r="I377" i="10"/>
  <c r="L376" i="10"/>
  <c r="I376" i="10"/>
  <c r="L375" i="10"/>
  <c r="I375" i="10"/>
  <c r="L374" i="10"/>
  <c r="I374" i="10"/>
  <c r="L373" i="10"/>
  <c r="I373" i="10"/>
  <c r="L372" i="10"/>
  <c r="I372" i="10"/>
  <c r="L371" i="10"/>
  <c r="I371" i="10"/>
  <c r="L370" i="10"/>
  <c r="I370" i="10"/>
  <c r="L369" i="10"/>
  <c r="I369" i="10"/>
  <c r="L368" i="10"/>
  <c r="I368" i="10"/>
  <c r="L367" i="10"/>
  <c r="I367" i="10"/>
  <c r="L366" i="10"/>
  <c r="I366" i="10"/>
  <c r="L365" i="10"/>
  <c r="I365" i="10"/>
  <c r="L364" i="10"/>
  <c r="I364" i="10"/>
  <c r="L363" i="10"/>
  <c r="I363" i="10"/>
  <c r="L362" i="10"/>
  <c r="I362" i="10"/>
  <c r="L361" i="10"/>
  <c r="I361" i="10"/>
  <c r="L360" i="10"/>
  <c r="I360" i="10"/>
  <c r="L359" i="10"/>
  <c r="I359" i="10"/>
  <c r="L358" i="10"/>
  <c r="I358" i="10"/>
  <c r="L357" i="10"/>
  <c r="I357" i="10"/>
  <c r="L356" i="10"/>
  <c r="I356" i="10"/>
  <c r="L355" i="10"/>
  <c r="I355" i="10"/>
  <c r="L354" i="10"/>
  <c r="I354" i="10"/>
  <c r="L353" i="10"/>
  <c r="I353" i="10"/>
  <c r="L352" i="10"/>
  <c r="I352" i="10"/>
  <c r="L351" i="10"/>
  <c r="I351" i="10"/>
  <c r="L350" i="10"/>
  <c r="I350" i="10"/>
  <c r="L349" i="10"/>
  <c r="I349" i="10"/>
  <c r="L348" i="10"/>
  <c r="I348" i="10"/>
  <c r="L347" i="10"/>
  <c r="I347" i="10"/>
  <c r="L346" i="10"/>
  <c r="I346" i="10"/>
  <c r="L345" i="10"/>
  <c r="I345" i="10"/>
  <c r="L344" i="10"/>
  <c r="I344" i="10"/>
  <c r="L343" i="10"/>
  <c r="I343" i="10"/>
  <c r="L342" i="10"/>
  <c r="I342" i="10"/>
  <c r="L341" i="10"/>
  <c r="I341" i="10"/>
  <c r="L340" i="10"/>
  <c r="I340" i="10"/>
  <c r="L339" i="10"/>
  <c r="I339" i="10"/>
  <c r="L338" i="10"/>
  <c r="I338" i="10"/>
  <c r="L337" i="10"/>
  <c r="I337" i="10"/>
  <c r="L336" i="10"/>
  <c r="I336" i="10"/>
  <c r="L335" i="10"/>
  <c r="I335" i="10"/>
  <c r="L334" i="10"/>
  <c r="I334" i="10"/>
  <c r="L333" i="10"/>
  <c r="I333" i="10"/>
  <c r="L332" i="10"/>
  <c r="I332" i="10"/>
  <c r="L331" i="10"/>
  <c r="I331" i="10"/>
  <c r="L330" i="10"/>
  <c r="I330" i="10"/>
  <c r="L329" i="10"/>
  <c r="I329" i="10"/>
  <c r="L328" i="10"/>
  <c r="I328" i="10"/>
  <c r="L327" i="10"/>
  <c r="I327" i="10"/>
  <c r="L326" i="10"/>
  <c r="I326" i="10"/>
  <c r="L325" i="10"/>
  <c r="I325" i="10"/>
  <c r="L324" i="10"/>
  <c r="I324" i="10"/>
  <c r="L323" i="10"/>
  <c r="I323" i="10"/>
  <c r="L322" i="10"/>
  <c r="I322" i="10"/>
  <c r="L321" i="10"/>
  <c r="I321" i="10"/>
  <c r="L320" i="10"/>
  <c r="I320" i="10"/>
  <c r="L319" i="10"/>
  <c r="I319" i="10"/>
  <c r="L318" i="10"/>
  <c r="I318" i="10"/>
  <c r="L317" i="10"/>
  <c r="I317" i="10"/>
  <c r="L316" i="10"/>
  <c r="I316" i="10"/>
  <c r="L315" i="10"/>
  <c r="I315" i="10"/>
  <c r="L314" i="10"/>
  <c r="I314" i="10"/>
  <c r="L313" i="10"/>
  <c r="I313" i="10"/>
  <c r="L312" i="10"/>
  <c r="I312" i="10"/>
  <c r="L311" i="10"/>
  <c r="I311" i="10"/>
  <c r="L310" i="10"/>
  <c r="I310" i="10"/>
  <c r="L309" i="10"/>
  <c r="I309" i="10"/>
  <c r="L308" i="10"/>
  <c r="I308" i="10"/>
  <c r="L307" i="10"/>
  <c r="I307" i="10"/>
  <c r="L306" i="10"/>
  <c r="I306" i="10"/>
  <c r="L305" i="10"/>
  <c r="I305" i="10"/>
  <c r="L304" i="10"/>
  <c r="I304" i="10"/>
  <c r="L303" i="10"/>
  <c r="I303" i="10"/>
  <c r="L302" i="10"/>
  <c r="I302" i="10"/>
  <c r="L301" i="10"/>
  <c r="I301" i="10"/>
  <c r="L300" i="10"/>
  <c r="I300" i="10"/>
  <c r="L299" i="10"/>
  <c r="I299" i="10"/>
  <c r="L298" i="10"/>
  <c r="I298" i="10"/>
  <c r="L297" i="10"/>
  <c r="I297" i="10"/>
  <c r="L296" i="10"/>
  <c r="I296" i="10"/>
  <c r="L295" i="10"/>
  <c r="I295" i="10"/>
  <c r="L294" i="10"/>
  <c r="I294" i="10"/>
  <c r="L293" i="10"/>
  <c r="I293" i="10"/>
  <c r="L292" i="10"/>
  <c r="I292" i="10"/>
  <c r="L291" i="10"/>
  <c r="I291" i="10"/>
  <c r="L290" i="10"/>
  <c r="I290" i="10"/>
  <c r="L289" i="10"/>
  <c r="I289" i="10"/>
  <c r="L288" i="10"/>
  <c r="I288" i="10"/>
  <c r="L287" i="10"/>
  <c r="I287" i="10"/>
  <c r="L286" i="10"/>
  <c r="I286" i="10"/>
  <c r="L285" i="10"/>
  <c r="I285" i="10"/>
  <c r="L284" i="10"/>
  <c r="I284" i="10"/>
  <c r="L283" i="10"/>
  <c r="I283" i="10"/>
  <c r="L282" i="10"/>
  <c r="I282" i="10"/>
  <c r="L281" i="10"/>
  <c r="I281" i="10"/>
  <c r="L280" i="10"/>
  <c r="I280" i="10"/>
  <c r="L279" i="10"/>
  <c r="I279" i="10"/>
  <c r="L278" i="10"/>
  <c r="I278" i="10"/>
  <c r="L277" i="10"/>
  <c r="I277" i="10"/>
  <c r="L276" i="10"/>
  <c r="I276" i="10"/>
  <c r="L275" i="10"/>
  <c r="I275" i="10"/>
  <c r="L274" i="10"/>
  <c r="I274" i="10"/>
  <c r="L273" i="10"/>
  <c r="I273" i="10"/>
  <c r="L272" i="10"/>
  <c r="I272" i="10"/>
  <c r="L271" i="10"/>
  <c r="I271" i="10"/>
  <c r="L270" i="10"/>
  <c r="I270" i="10"/>
  <c r="L269" i="10"/>
  <c r="I269" i="10"/>
  <c r="L268" i="10"/>
  <c r="I268" i="10"/>
  <c r="L267" i="10"/>
  <c r="I267" i="10"/>
  <c r="L266" i="10"/>
  <c r="I266" i="10"/>
  <c r="L265" i="10"/>
  <c r="I265" i="10"/>
  <c r="L264" i="10"/>
  <c r="I264" i="10"/>
  <c r="L263" i="10"/>
  <c r="I263" i="10"/>
  <c r="L262" i="10"/>
  <c r="I262" i="10"/>
  <c r="L261" i="10"/>
  <c r="I261" i="10"/>
  <c r="L260" i="10"/>
  <c r="I260" i="10"/>
  <c r="L259" i="10"/>
  <c r="I259" i="10"/>
  <c r="L258" i="10"/>
  <c r="I258" i="10"/>
  <c r="L257" i="10"/>
  <c r="I257" i="10"/>
  <c r="L256" i="10"/>
  <c r="I256" i="10"/>
  <c r="L255" i="10"/>
  <c r="I255" i="10"/>
  <c r="L254" i="10"/>
  <c r="I254" i="10"/>
  <c r="L253" i="10"/>
  <c r="I253" i="10"/>
  <c r="L252" i="10"/>
  <c r="I252" i="10"/>
  <c r="L251" i="10"/>
  <c r="I251" i="10"/>
  <c r="L250" i="10"/>
  <c r="I250" i="10"/>
  <c r="L249" i="10"/>
  <c r="I249" i="10"/>
  <c r="L248" i="10"/>
  <c r="I248" i="10"/>
  <c r="L247" i="10"/>
  <c r="I247" i="10"/>
  <c r="L246" i="10"/>
  <c r="I246" i="10"/>
  <c r="L245" i="10"/>
  <c r="I245" i="10"/>
  <c r="L244" i="10"/>
  <c r="I244" i="10"/>
  <c r="L243" i="10"/>
  <c r="I243" i="10"/>
  <c r="L242" i="10"/>
  <c r="I242" i="10"/>
  <c r="L241" i="10"/>
  <c r="I241" i="10"/>
  <c r="L240" i="10"/>
  <c r="I240" i="10"/>
  <c r="L239" i="10"/>
  <c r="I239" i="10"/>
  <c r="L238" i="10"/>
  <c r="I238" i="10"/>
  <c r="L237" i="10"/>
  <c r="I237" i="10"/>
  <c r="L236" i="10"/>
  <c r="I236" i="10"/>
  <c r="L235" i="10"/>
  <c r="I235" i="10"/>
  <c r="L234" i="10"/>
  <c r="I234" i="10"/>
  <c r="L233" i="10"/>
  <c r="I233" i="10"/>
  <c r="L232" i="10"/>
  <c r="I232" i="10"/>
  <c r="L231" i="10"/>
  <c r="I231" i="10"/>
  <c r="L230" i="10"/>
  <c r="I230" i="10"/>
  <c r="L229" i="10"/>
  <c r="I229" i="10"/>
  <c r="L228" i="10"/>
  <c r="I228" i="10"/>
  <c r="L227" i="10"/>
  <c r="I227" i="10"/>
  <c r="L226" i="10"/>
  <c r="I226" i="10"/>
  <c r="L225" i="10"/>
  <c r="I225" i="10"/>
  <c r="L224" i="10"/>
  <c r="I224" i="10"/>
  <c r="L223" i="10"/>
  <c r="I223" i="10"/>
  <c r="L222" i="10"/>
  <c r="I222" i="10"/>
  <c r="L221" i="10"/>
  <c r="I221" i="10"/>
  <c r="L220" i="10"/>
  <c r="I220" i="10"/>
  <c r="L219" i="10"/>
  <c r="I219" i="10"/>
  <c r="L218" i="10"/>
  <c r="I218" i="10"/>
  <c r="L217" i="10"/>
  <c r="I217" i="10"/>
  <c r="L216" i="10"/>
  <c r="I216" i="10"/>
  <c r="L215" i="10"/>
  <c r="I215" i="10"/>
  <c r="L214" i="10"/>
  <c r="I214" i="10"/>
  <c r="L213" i="10"/>
  <c r="I213" i="10"/>
  <c r="L212" i="10"/>
  <c r="I212" i="10"/>
  <c r="L211" i="10"/>
  <c r="I211" i="10"/>
  <c r="L210" i="10"/>
  <c r="I210" i="10"/>
  <c r="L209" i="10"/>
  <c r="I209" i="10"/>
  <c r="L208" i="10"/>
  <c r="I208" i="10"/>
  <c r="L207" i="10"/>
  <c r="I207" i="10"/>
  <c r="L206" i="10"/>
  <c r="I206" i="10"/>
  <c r="L205" i="10"/>
  <c r="I205" i="10"/>
  <c r="L204" i="10"/>
  <c r="I204" i="10"/>
  <c r="L203" i="10"/>
  <c r="I203" i="10"/>
  <c r="L202" i="10"/>
  <c r="I202" i="10"/>
  <c r="L201" i="10"/>
  <c r="I201" i="10"/>
  <c r="L200" i="10"/>
  <c r="I200" i="10"/>
  <c r="L199" i="10"/>
  <c r="I199" i="10"/>
  <c r="L198" i="10"/>
  <c r="I198" i="10"/>
  <c r="L197" i="10"/>
  <c r="I197" i="10"/>
  <c r="L196" i="10"/>
  <c r="I196" i="10"/>
  <c r="L195" i="10"/>
  <c r="I195" i="10"/>
  <c r="L194" i="10"/>
  <c r="I194" i="10"/>
  <c r="L193" i="10"/>
  <c r="I193" i="10"/>
  <c r="L192" i="10"/>
  <c r="I192" i="10"/>
  <c r="L191" i="10"/>
  <c r="I191" i="10"/>
  <c r="L190" i="10"/>
  <c r="I190" i="10"/>
  <c r="L189" i="10"/>
  <c r="I189" i="10"/>
  <c r="L188" i="10"/>
  <c r="I188" i="10"/>
  <c r="L187" i="10"/>
  <c r="I187" i="10"/>
  <c r="L186" i="10"/>
  <c r="I186" i="10"/>
  <c r="L185" i="10"/>
  <c r="I185" i="10"/>
  <c r="L184" i="10"/>
  <c r="I184" i="10"/>
  <c r="L183" i="10"/>
  <c r="I183" i="10"/>
  <c r="L182" i="10"/>
  <c r="I182" i="10"/>
  <c r="L181" i="10"/>
  <c r="I181" i="10"/>
  <c r="L180" i="10"/>
  <c r="I180" i="10"/>
  <c r="L179" i="10"/>
  <c r="I179" i="10"/>
  <c r="L178" i="10"/>
  <c r="I178" i="10"/>
  <c r="L177" i="10"/>
  <c r="I177" i="10"/>
  <c r="L176" i="10"/>
  <c r="I176" i="10"/>
  <c r="L175" i="10"/>
  <c r="I175" i="10"/>
  <c r="L174" i="10"/>
  <c r="I174" i="10"/>
  <c r="L173" i="10"/>
  <c r="I173" i="10"/>
  <c r="L172" i="10"/>
  <c r="I172" i="10"/>
  <c r="L171" i="10"/>
  <c r="I171" i="10"/>
  <c r="L170" i="10"/>
  <c r="I170" i="10"/>
  <c r="L169" i="10"/>
  <c r="I169" i="10"/>
  <c r="L168" i="10"/>
  <c r="I168" i="10"/>
  <c r="L167" i="10"/>
  <c r="I167" i="10"/>
  <c r="L166" i="10"/>
  <c r="I166" i="10"/>
  <c r="L165" i="10"/>
  <c r="I165" i="10"/>
  <c r="L164" i="10"/>
  <c r="I164" i="10"/>
  <c r="L163" i="10"/>
  <c r="I163" i="10"/>
  <c r="L162" i="10"/>
  <c r="I162" i="10"/>
  <c r="L161" i="10"/>
  <c r="I161" i="10"/>
  <c r="L160" i="10"/>
  <c r="I160" i="10"/>
  <c r="L159" i="10"/>
  <c r="I159" i="10"/>
  <c r="L158" i="10"/>
  <c r="I158" i="10"/>
  <c r="L157" i="10"/>
  <c r="I157" i="10"/>
  <c r="L156" i="10"/>
  <c r="I156" i="10"/>
  <c r="L155" i="10"/>
  <c r="I155" i="10"/>
  <c r="L154" i="10"/>
  <c r="I154" i="10"/>
  <c r="L153" i="10"/>
  <c r="I153" i="10"/>
  <c r="L152" i="10"/>
  <c r="I152" i="10"/>
  <c r="L151" i="10"/>
  <c r="I151" i="10"/>
  <c r="L150" i="10"/>
  <c r="I150" i="10"/>
  <c r="L149" i="10"/>
  <c r="I149" i="10"/>
  <c r="L148" i="10"/>
  <c r="I148" i="10"/>
  <c r="L147" i="10"/>
  <c r="I147" i="10"/>
  <c r="L146" i="10"/>
  <c r="I146" i="10"/>
  <c r="L145" i="10"/>
  <c r="I145" i="10"/>
  <c r="L144" i="10"/>
  <c r="I144" i="10"/>
  <c r="L143" i="10"/>
  <c r="I143" i="10"/>
  <c r="L142" i="10"/>
  <c r="I142" i="10"/>
  <c r="L141" i="10"/>
  <c r="I141" i="10"/>
  <c r="L140" i="10"/>
  <c r="I140" i="10"/>
  <c r="L139" i="10"/>
  <c r="I139" i="10"/>
  <c r="L138" i="10"/>
  <c r="I138" i="10"/>
  <c r="L137" i="10"/>
  <c r="I137" i="10"/>
  <c r="L136" i="10"/>
  <c r="I136" i="10"/>
  <c r="L135" i="10"/>
  <c r="I135" i="10"/>
  <c r="L134" i="10"/>
  <c r="I134" i="10"/>
  <c r="L133" i="10"/>
  <c r="I133" i="10"/>
  <c r="L132" i="10"/>
  <c r="I132" i="10"/>
  <c r="L131" i="10"/>
  <c r="I131" i="10"/>
  <c r="L130" i="10"/>
  <c r="I130" i="10"/>
  <c r="L129" i="10"/>
  <c r="I129" i="10"/>
  <c r="L128" i="10"/>
  <c r="I128" i="10"/>
  <c r="L127" i="10"/>
  <c r="I127" i="10"/>
  <c r="L126" i="10"/>
  <c r="I126" i="10"/>
  <c r="L125" i="10"/>
  <c r="I125" i="10"/>
  <c r="L124" i="10"/>
  <c r="I124" i="10"/>
  <c r="L123" i="10"/>
  <c r="I123" i="10"/>
  <c r="L122" i="10"/>
  <c r="I122" i="10"/>
  <c r="L121" i="10"/>
  <c r="I121" i="10"/>
  <c r="L120" i="10"/>
  <c r="I120" i="10"/>
  <c r="L119" i="10"/>
  <c r="I119" i="10"/>
  <c r="L118" i="10"/>
  <c r="I118" i="10"/>
  <c r="L117" i="10"/>
  <c r="I117" i="10"/>
  <c r="L116" i="10"/>
  <c r="I116" i="10"/>
  <c r="L115" i="10"/>
  <c r="I115" i="10"/>
  <c r="L114" i="10"/>
  <c r="I114" i="10"/>
  <c r="L113" i="10"/>
  <c r="I113" i="10"/>
  <c r="L112" i="10"/>
  <c r="I112" i="10"/>
  <c r="L111" i="10"/>
  <c r="I111" i="10"/>
  <c r="L110" i="10"/>
  <c r="I110" i="10"/>
  <c r="L109" i="10"/>
  <c r="I109" i="10"/>
  <c r="L108" i="10"/>
  <c r="I108" i="10"/>
  <c r="L107" i="10"/>
  <c r="I107" i="10"/>
  <c r="L106" i="10"/>
  <c r="I106" i="10"/>
  <c r="L105" i="10"/>
  <c r="I105" i="10"/>
  <c r="L104" i="10"/>
  <c r="I104" i="10"/>
  <c r="L103" i="10"/>
  <c r="I103" i="10"/>
  <c r="L102" i="10"/>
  <c r="I102" i="10"/>
  <c r="L101" i="10"/>
  <c r="I101" i="10"/>
  <c r="L100" i="10"/>
  <c r="I100" i="10"/>
  <c r="L99" i="10"/>
  <c r="I99" i="10"/>
  <c r="L98" i="10"/>
  <c r="I98" i="10"/>
  <c r="L97" i="10"/>
  <c r="I97" i="10"/>
  <c r="L96" i="10"/>
  <c r="I96" i="10"/>
  <c r="L95" i="10"/>
  <c r="I95" i="10"/>
  <c r="L94" i="10"/>
  <c r="I94" i="10"/>
  <c r="L93" i="10"/>
  <c r="I93" i="10"/>
  <c r="L92" i="10"/>
  <c r="I92" i="10"/>
  <c r="L91" i="10"/>
  <c r="I91" i="10"/>
  <c r="L90" i="10"/>
  <c r="I90" i="10"/>
  <c r="L89" i="10"/>
  <c r="I89" i="10"/>
  <c r="L88" i="10"/>
  <c r="I88" i="10"/>
  <c r="L87" i="10"/>
  <c r="I87" i="10"/>
  <c r="L86" i="10"/>
  <c r="I86" i="10"/>
  <c r="L85" i="10"/>
  <c r="I85" i="10"/>
  <c r="L84" i="10"/>
  <c r="I84" i="10"/>
  <c r="L83" i="10"/>
  <c r="I83" i="10"/>
  <c r="L82" i="10"/>
  <c r="I82" i="10"/>
  <c r="L81" i="10"/>
  <c r="I81" i="10"/>
  <c r="L80" i="10"/>
  <c r="I80" i="10"/>
  <c r="L79" i="10"/>
  <c r="I79" i="10"/>
  <c r="L78" i="10"/>
  <c r="I78" i="10"/>
  <c r="L77" i="10"/>
  <c r="I77" i="10"/>
  <c r="L76" i="10"/>
  <c r="I76" i="10"/>
  <c r="L75" i="10"/>
  <c r="I75" i="10"/>
  <c r="L74" i="10"/>
  <c r="I74" i="10"/>
  <c r="L73" i="10"/>
  <c r="I73" i="10"/>
  <c r="L72" i="10"/>
  <c r="I72" i="10"/>
  <c r="L71" i="10"/>
  <c r="I71" i="10"/>
  <c r="L70" i="10"/>
  <c r="I70" i="10"/>
  <c r="L69" i="10"/>
  <c r="I69" i="10"/>
  <c r="L68" i="10"/>
  <c r="I68" i="10"/>
  <c r="L67" i="10"/>
  <c r="I67" i="10"/>
  <c r="L66" i="10"/>
  <c r="I66" i="10"/>
  <c r="L65" i="10"/>
  <c r="I65" i="10"/>
  <c r="L64" i="10"/>
  <c r="I64" i="10"/>
  <c r="L63" i="10"/>
  <c r="I63" i="10"/>
  <c r="L62" i="10"/>
  <c r="I62" i="10"/>
  <c r="L61" i="10"/>
  <c r="I61" i="10"/>
  <c r="L60" i="10"/>
  <c r="I60" i="10"/>
  <c r="L59" i="10"/>
  <c r="I59" i="10"/>
  <c r="L58" i="10"/>
  <c r="I58" i="10"/>
  <c r="L57" i="10"/>
  <c r="I57" i="10"/>
  <c r="L56" i="10"/>
  <c r="I56" i="10"/>
  <c r="L55" i="10"/>
  <c r="I55" i="10"/>
  <c r="L54" i="10"/>
  <c r="I54" i="10"/>
  <c r="L53" i="10"/>
  <c r="I53" i="10"/>
  <c r="L52" i="10"/>
  <c r="I52" i="10"/>
  <c r="L51" i="10"/>
  <c r="I51" i="10"/>
  <c r="L50" i="10"/>
  <c r="I50" i="10"/>
  <c r="L49" i="10"/>
  <c r="I49" i="10"/>
  <c r="L48" i="10"/>
  <c r="I48" i="10"/>
  <c r="L47" i="10"/>
  <c r="I47" i="10"/>
  <c r="L46" i="10"/>
  <c r="I46" i="10"/>
  <c r="L45" i="10"/>
  <c r="I45" i="10"/>
  <c r="L44" i="10"/>
  <c r="I44" i="10"/>
  <c r="L43" i="10"/>
  <c r="I43" i="10"/>
  <c r="L42" i="10"/>
  <c r="I42" i="10"/>
  <c r="L41" i="10"/>
  <c r="I41" i="10"/>
  <c r="L40" i="10"/>
  <c r="I40" i="10"/>
  <c r="L39" i="10"/>
  <c r="I39" i="10"/>
  <c r="L38" i="10"/>
  <c r="I38" i="10"/>
  <c r="L37" i="10"/>
  <c r="I37" i="10"/>
  <c r="L36" i="10"/>
  <c r="I36" i="10"/>
  <c r="L35" i="10"/>
  <c r="I35" i="10"/>
  <c r="L34" i="10"/>
  <c r="I34" i="10"/>
  <c r="L33" i="10"/>
  <c r="I33" i="10"/>
  <c r="L32" i="10"/>
  <c r="I32" i="10"/>
  <c r="L31" i="10"/>
  <c r="I31" i="10"/>
  <c r="L30" i="10"/>
  <c r="I30" i="10"/>
  <c r="L29" i="10"/>
  <c r="I29" i="10"/>
  <c r="L28" i="10"/>
  <c r="I28" i="10"/>
  <c r="L27" i="10"/>
  <c r="I27" i="10"/>
  <c r="L26" i="10"/>
  <c r="I26" i="10"/>
  <c r="L25" i="10"/>
  <c r="I25" i="10"/>
  <c r="L24" i="10"/>
  <c r="I24" i="10"/>
  <c r="L23" i="10"/>
  <c r="I23" i="10"/>
  <c r="L22" i="10"/>
  <c r="I22" i="10"/>
  <c r="L21" i="10"/>
  <c r="I21" i="10"/>
  <c r="L20" i="10"/>
  <c r="I20" i="10"/>
  <c r="L19" i="10"/>
  <c r="I19" i="10"/>
  <c r="L18" i="10"/>
  <c r="I18" i="10"/>
  <c r="L17" i="10"/>
  <c r="I17" i="10"/>
  <c r="L16" i="10"/>
  <c r="I16" i="10"/>
  <c r="L15" i="10"/>
  <c r="I15" i="10"/>
  <c r="L14" i="10"/>
  <c r="I14" i="10"/>
  <c r="L13" i="10"/>
  <c r="I13" i="10"/>
  <c r="L12" i="10"/>
  <c r="I12" i="10"/>
  <c r="L11" i="10"/>
  <c r="I11" i="10"/>
  <c r="L10" i="10"/>
  <c r="I10" i="10"/>
  <c r="L9" i="10"/>
  <c r="I9" i="10"/>
  <c r="L8" i="10"/>
  <c r="I8" i="10"/>
  <c r="L7" i="10"/>
  <c r="I7" i="10"/>
  <c r="L6" i="10"/>
  <c r="I6" i="10"/>
  <c r="L5" i="10"/>
  <c r="I5" i="10"/>
  <c r="L4" i="10"/>
  <c r="I4" i="10"/>
  <c r="L3" i="10"/>
  <c r="I3" i="10"/>
  <c r="L2" i="10"/>
  <c r="I2" i="10"/>
  <c r="H1236" i="9" l="1"/>
  <c r="I1236" i="9" s="1"/>
  <c r="H1235" i="9"/>
  <c r="I1235" i="9" s="1"/>
  <c r="H1234" i="9"/>
  <c r="I1234" i="9" s="1"/>
  <c r="H1233" i="9"/>
  <c r="I1233" i="9" s="1"/>
  <c r="H1232" i="9"/>
  <c r="I1232" i="9" s="1"/>
  <c r="H1231" i="9"/>
  <c r="I1231" i="9" s="1"/>
  <c r="H1230" i="9"/>
  <c r="I1230" i="9" s="1"/>
  <c r="H1229" i="9"/>
  <c r="I1229" i="9" s="1"/>
  <c r="H1228" i="9"/>
  <c r="I1228" i="9" s="1"/>
  <c r="H1227" i="9"/>
  <c r="I1227" i="9" s="1"/>
  <c r="H1226" i="9"/>
  <c r="I1226" i="9" s="1"/>
  <c r="H1225" i="9"/>
  <c r="I1225" i="9" s="1"/>
  <c r="H1224" i="9"/>
  <c r="I1224" i="9" s="1"/>
  <c r="H1223" i="9"/>
  <c r="I1223" i="9" s="1"/>
  <c r="H1222" i="9"/>
  <c r="I1222" i="9" s="1"/>
  <c r="H1221" i="9"/>
  <c r="I1221" i="9" s="1"/>
  <c r="H1220" i="9"/>
  <c r="I1220" i="9" s="1"/>
  <c r="H1219" i="9"/>
  <c r="I1219" i="9" s="1"/>
  <c r="H1218" i="9"/>
  <c r="I1218" i="9" s="1"/>
  <c r="H1217" i="9"/>
  <c r="I1217" i="9" s="1"/>
  <c r="H1216" i="9"/>
  <c r="I1216" i="9" s="1"/>
  <c r="H1215" i="9"/>
  <c r="I1215" i="9" s="1"/>
  <c r="H1214" i="9"/>
  <c r="I1214" i="9" s="1"/>
  <c r="H1213" i="9"/>
  <c r="I1213" i="9" s="1"/>
  <c r="H1212" i="9"/>
  <c r="I1212" i="9" s="1"/>
  <c r="H1211" i="9"/>
  <c r="I1211" i="9" s="1"/>
  <c r="H1210" i="9"/>
  <c r="I1210" i="9" s="1"/>
  <c r="H1209" i="9"/>
  <c r="I1209" i="9" s="1"/>
  <c r="H1208" i="9"/>
  <c r="I1208" i="9" s="1"/>
  <c r="H1207" i="9"/>
  <c r="I1207" i="9" s="1"/>
  <c r="H1206" i="9"/>
  <c r="I1206" i="9" s="1"/>
  <c r="H1205" i="9"/>
  <c r="I1205" i="9" s="1"/>
  <c r="H1204" i="9"/>
  <c r="I1204" i="9" s="1"/>
  <c r="H1203" i="9"/>
  <c r="I1203" i="9" s="1"/>
  <c r="H1202" i="9"/>
  <c r="I1202" i="9" s="1"/>
  <c r="H1201" i="9"/>
  <c r="I1201" i="9" s="1"/>
  <c r="H1200" i="9"/>
  <c r="I1200" i="9" s="1"/>
  <c r="H1199" i="9"/>
  <c r="I1199" i="9" s="1"/>
  <c r="H1198" i="9"/>
  <c r="I1198" i="9" s="1"/>
  <c r="H1197" i="9"/>
  <c r="I1197" i="9" s="1"/>
  <c r="H1196" i="9"/>
  <c r="I1196" i="9" s="1"/>
  <c r="H1195" i="9"/>
  <c r="I1195" i="9" s="1"/>
  <c r="H1194" i="9"/>
  <c r="I1194" i="9" s="1"/>
  <c r="H1193" i="9"/>
  <c r="I1193" i="9" s="1"/>
  <c r="H1192" i="9"/>
  <c r="I1192" i="9" s="1"/>
  <c r="H1191" i="9"/>
  <c r="I1191" i="9" s="1"/>
  <c r="H1190" i="9"/>
  <c r="I1190" i="9" s="1"/>
  <c r="H1189" i="9"/>
  <c r="I1189" i="9" s="1"/>
  <c r="H1188" i="9"/>
  <c r="I1188" i="9" s="1"/>
  <c r="H1187" i="9"/>
  <c r="I1187" i="9" s="1"/>
  <c r="H1186" i="9"/>
  <c r="I1186" i="9" s="1"/>
  <c r="H1185" i="9"/>
  <c r="I1185" i="9" s="1"/>
  <c r="H1184" i="9"/>
  <c r="I1184" i="9" s="1"/>
  <c r="H1183" i="9"/>
  <c r="I1183" i="9" s="1"/>
  <c r="H1182" i="9"/>
  <c r="I1182" i="9" s="1"/>
  <c r="H1181" i="9"/>
  <c r="I1181" i="9" s="1"/>
  <c r="H1180" i="9"/>
  <c r="I1180" i="9" s="1"/>
  <c r="H1179" i="9"/>
  <c r="I1179" i="9" s="1"/>
  <c r="H1178" i="9"/>
  <c r="I1178" i="9" s="1"/>
  <c r="H1177" i="9"/>
  <c r="I1177" i="9" s="1"/>
  <c r="H1176" i="9"/>
  <c r="I1176" i="9" s="1"/>
  <c r="H1175" i="9"/>
  <c r="I1175" i="9" s="1"/>
  <c r="H1174" i="9"/>
  <c r="I1174" i="9" s="1"/>
  <c r="H1173" i="9"/>
  <c r="I1173" i="9" s="1"/>
  <c r="H1172" i="9"/>
  <c r="I1172" i="9" s="1"/>
  <c r="H1171" i="9"/>
  <c r="I1171" i="9" s="1"/>
  <c r="H1170" i="9"/>
  <c r="I1170" i="9" s="1"/>
  <c r="H1169" i="9"/>
  <c r="I1169" i="9" s="1"/>
  <c r="H1168" i="9"/>
  <c r="I1168" i="9" s="1"/>
  <c r="H1167" i="9"/>
  <c r="I1167" i="9" s="1"/>
  <c r="H1166" i="9"/>
  <c r="I1166" i="9" s="1"/>
  <c r="H1165" i="9"/>
  <c r="I1165" i="9" s="1"/>
  <c r="H1164" i="9"/>
  <c r="I1164" i="9" s="1"/>
  <c r="H1163" i="9"/>
  <c r="I1163" i="9" s="1"/>
  <c r="H1162" i="9"/>
  <c r="I1162" i="9" s="1"/>
  <c r="H1161" i="9"/>
  <c r="I1161" i="9" s="1"/>
  <c r="H1160" i="9"/>
  <c r="I1160" i="9" s="1"/>
  <c r="H1159" i="9"/>
  <c r="I1159" i="9" s="1"/>
  <c r="H1158" i="9"/>
  <c r="I1158" i="9" s="1"/>
  <c r="H1157" i="9"/>
  <c r="I1157" i="9" s="1"/>
  <c r="H1156" i="9"/>
  <c r="I1156" i="9" s="1"/>
  <c r="H1155" i="9"/>
  <c r="I1155" i="9" s="1"/>
  <c r="H1154" i="9"/>
  <c r="I1154" i="9" s="1"/>
  <c r="H1153" i="9"/>
  <c r="I1153" i="9" s="1"/>
  <c r="H1152" i="9"/>
  <c r="I1152" i="9" s="1"/>
  <c r="H1151" i="9"/>
  <c r="I1151" i="9" s="1"/>
  <c r="H1150" i="9"/>
  <c r="I1150" i="9" s="1"/>
  <c r="H1149" i="9"/>
  <c r="I1149" i="9" s="1"/>
  <c r="H1148" i="9"/>
  <c r="I1148" i="9" s="1"/>
  <c r="H1147" i="9"/>
  <c r="I1147" i="9" s="1"/>
  <c r="H1146" i="9"/>
  <c r="I1146" i="9" s="1"/>
  <c r="H1145" i="9"/>
  <c r="I1145" i="9" s="1"/>
  <c r="H1144" i="9"/>
  <c r="I1144" i="9" s="1"/>
  <c r="H1143" i="9"/>
  <c r="I1143" i="9" s="1"/>
  <c r="H1142" i="9"/>
  <c r="I1142" i="9" s="1"/>
  <c r="H1141" i="9"/>
  <c r="I1141" i="9" s="1"/>
  <c r="H1140" i="9"/>
  <c r="I1140" i="9" s="1"/>
  <c r="H1139" i="9"/>
  <c r="I1139" i="9" s="1"/>
  <c r="H1138" i="9"/>
  <c r="I1138" i="9" s="1"/>
  <c r="H1137" i="9"/>
  <c r="I1137" i="9" s="1"/>
  <c r="H1136" i="9"/>
  <c r="I1136" i="9" s="1"/>
  <c r="H1135" i="9"/>
  <c r="I1135" i="9" s="1"/>
  <c r="H1134" i="9"/>
  <c r="I1134" i="9" s="1"/>
  <c r="H1133" i="9"/>
  <c r="I1133" i="9" s="1"/>
  <c r="H1132" i="9"/>
  <c r="I1132" i="9" s="1"/>
  <c r="H1131" i="9"/>
  <c r="I1131" i="9" s="1"/>
  <c r="H1130" i="9"/>
  <c r="I1130" i="9" s="1"/>
  <c r="H1129" i="9"/>
  <c r="I1129" i="9" s="1"/>
  <c r="H1128" i="9"/>
  <c r="I1128" i="9" s="1"/>
  <c r="H1127" i="9"/>
  <c r="I1127" i="9" s="1"/>
  <c r="H1126" i="9"/>
  <c r="I1126" i="9" s="1"/>
  <c r="H1125" i="9"/>
  <c r="I1125" i="9" s="1"/>
  <c r="H1124" i="9"/>
  <c r="I1124" i="9" s="1"/>
  <c r="H1123" i="9"/>
  <c r="I1123" i="9" s="1"/>
  <c r="H1122" i="9"/>
  <c r="I1122" i="9" s="1"/>
  <c r="H1121" i="9"/>
  <c r="I1121" i="9" s="1"/>
  <c r="H1120" i="9"/>
  <c r="I1120" i="9" s="1"/>
  <c r="H1119" i="9"/>
  <c r="I1119" i="9" s="1"/>
  <c r="H1118" i="9"/>
  <c r="I1118" i="9" s="1"/>
  <c r="H1117" i="9"/>
  <c r="I1117" i="9" s="1"/>
  <c r="H1116" i="9"/>
  <c r="I1116" i="9" s="1"/>
  <c r="H1115" i="9"/>
  <c r="I1115" i="9" s="1"/>
  <c r="H1114" i="9"/>
  <c r="I1114" i="9" s="1"/>
  <c r="H1113" i="9"/>
  <c r="I1113" i="9" s="1"/>
  <c r="H1112" i="9"/>
  <c r="I1112" i="9" s="1"/>
  <c r="H1111" i="9"/>
  <c r="I1111" i="9" s="1"/>
  <c r="H1110" i="9"/>
  <c r="I1110" i="9" s="1"/>
  <c r="H1109" i="9"/>
  <c r="I1109" i="9" s="1"/>
  <c r="H1108" i="9"/>
  <c r="I1108" i="9" s="1"/>
  <c r="H1107" i="9"/>
  <c r="I1107" i="9" s="1"/>
  <c r="H1106" i="9"/>
  <c r="I1106" i="9" s="1"/>
  <c r="H1105" i="9"/>
  <c r="I1105" i="9" s="1"/>
  <c r="H1104" i="9"/>
  <c r="I1104" i="9" s="1"/>
  <c r="H1103" i="9"/>
  <c r="I1103" i="9" s="1"/>
  <c r="H1102" i="9"/>
  <c r="I1102" i="9" s="1"/>
  <c r="H1101" i="9"/>
  <c r="I1101" i="9" s="1"/>
  <c r="H1100" i="9"/>
  <c r="I1100" i="9" s="1"/>
  <c r="H1099" i="9"/>
  <c r="I1099" i="9" s="1"/>
  <c r="H1098" i="9"/>
  <c r="I1098" i="9" s="1"/>
  <c r="H1097" i="9"/>
  <c r="I1097" i="9" s="1"/>
  <c r="H1096" i="9"/>
  <c r="I1096" i="9" s="1"/>
  <c r="H1095" i="9"/>
  <c r="I1095" i="9" s="1"/>
  <c r="H1094" i="9"/>
  <c r="I1094" i="9" s="1"/>
  <c r="H1093" i="9"/>
  <c r="I1093" i="9" s="1"/>
  <c r="H1092" i="9"/>
  <c r="I1092" i="9" s="1"/>
  <c r="H1091" i="9"/>
  <c r="I1091" i="9" s="1"/>
  <c r="H1090" i="9"/>
  <c r="I1090" i="9" s="1"/>
  <c r="H1089" i="9"/>
  <c r="I1089" i="9" s="1"/>
  <c r="H1088" i="9"/>
  <c r="I1088" i="9" s="1"/>
  <c r="H1087" i="9"/>
  <c r="I1087" i="9" s="1"/>
  <c r="H1086" i="9"/>
  <c r="I1086" i="9" s="1"/>
  <c r="H1085" i="9"/>
  <c r="I1085" i="9" s="1"/>
  <c r="H1084" i="9"/>
  <c r="I1084" i="9" s="1"/>
  <c r="H1083" i="9"/>
  <c r="I1083" i="9" s="1"/>
  <c r="H1082" i="9"/>
  <c r="I1082" i="9" s="1"/>
  <c r="H1081" i="9"/>
  <c r="I1081" i="9" s="1"/>
  <c r="H1080" i="9"/>
  <c r="I1080" i="9" s="1"/>
  <c r="H1079" i="9"/>
  <c r="I1079" i="9" s="1"/>
  <c r="H1078" i="9"/>
  <c r="I1078" i="9" s="1"/>
  <c r="H1077" i="9"/>
  <c r="I1077" i="9" s="1"/>
  <c r="H1076" i="9"/>
  <c r="I1076" i="9" s="1"/>
  <c r="H1075" i="9"/>
  <c r="I1075" i="9" s="1"/>
  <c r="H1074" i="9"/>
  <c r="I1074" i="9" s="1"/>
  <c r="H1073" i="9"/>
  <c r="I1073" i="9" s="1"/>
  <c r="H1072" i="9"/>
  <c r="I1072" i="9" s="1"/>
  <c r="H1071" i="9"/>
  <c r="I1071" i="9" s="1"/>
  <c r="H1070" i="9"/>
  <c r="I1070" i="9" s="1"/>
  <c r="H1069" i="9"/>
  <c r="I1069" i="9" s="1"/>
  <c r="H1068" i="9"/>
  <c r="I1068" i="9" s="1"/>
  <c r="H1067" i="9"/>
  <c r="I1067" i="9" s="1"/>
  <c r="H1066" i="9"/>
  <c r="I1066" i="9" s="1"/>
  <c r="H1065" i="9"/>
  <c r="I1065" i="9" s="1"/>
  <c r="H1064" i="9"/>
  <c r="I1064" i="9" s="1"/>
  <c r="H1063" i="9"/>
  <c r="I1063" i="9" s="1"/>
  <c r="H1062" i="9"/>
  <c r="I1062" i="9" s="1"/>
  <c r="H1061" i="9"/>
  <c r="I1061" i="9" s="1"/>
  <c r="H1060" i="9"/>
  <c r="I1060" i="9" s="1"/>
  <c r="H1059" i="9"/>
  <c r="I1059" i="9" s="1"/>
  <c r="H1058" i="9"/>
  <c r="I1058" i="9" s="1"/>
  <c r="H1057" i="9"/>
  <c r="I1057" i="9" s="1"/>
  <c r="H1056" i="9"/>
  <c r="I1056" i="9" s="1"/>
  <c r="H1055" i="9"/>
  <c r="I1055" i="9" s="1"/>
  <c r="H1054" i="9"/>
  <c r="I1054" i="9" s="1"/>
  <c r="H1053" i="9"/>
  <c r="I1053" i="9" s="1"/>
  <c r="H1052" i="9"/>
  <c r="I1052" i="9" s="1"/>
  <c r="H1051" i="9"/>
  <c r="I1051" i="9" s="1"/>
  <c r="H1050" i="9"/>
  <c r="I1050" i="9" s="1"/>
  <c r="H1049" i="9"/>
  <c r="I1049" i="9" s="1"/>
  <c r="H1048" i="9"/>
  <c r="I1048" i="9" s="1"/>
  <c r="H1047" i="9"/>
  <c r="I1047" i="9" s="1"/>
  <c r="H1046" i="9"/>
  <c r="I1046" i="9" s="1"/>
  <c r="H1045" i="9"/>
  <c r="I1045" i="9" s="1"/>
  <c r="H1044" i="9"/>
  <c r="I1044" i="9" s="1"/>
  <c r="H1043" i="9"/>
  <c r="I1043" i="9" s="1"/>
  <c r="H1042" i="9"/>
  <c r="I1042" i="9" s="1"/>
  <c r="H1041" i="9"/>
  <c r="I1041" i="9" s="1"/>
  <c r="H1040" i="9"/>
  <c r="I1040" i="9" s="1"/>
  <c r="H1039" i="9"/>
  <c r="I1039" i="9" s="1"/>
  <c r="H1038" i="9"/>
  <c r="I1038" i="9" s="1"/>
  <c r="H1037" i="9"/>
  <c r="I1037" i="9" s="1"/>
  <c r="H1036" i="9"/>
  <c r="I1036" i="9" s="1"/>
  <c r="H1035" i="9"/>
  <c r="I1035" i="9" s="1"/>
  <c r="H1034" i="9"/>
  <c r="I1034" i="9" s="1"/>
  <c r="H1033" i="9"/>
  <c r="I1033" i="9" s="1"/>
  <c r="H1032" i="9"/>
  <c r="I1032" i="9" s="1"/>
  <c r="H1031" i="9"/>
  <c r="I1031" i="9" s="1"/>
  <c r="H1030" i="9"/>
  <c r="I1030" i="9" s="1"/>
  <c r="H1029" i="9"/>
  <c r="I1029" i="9" s="1"/>
  <c r="H1028" i="9"/>
  <c r="I1028" i="9" s="1"/>
  <c r="H1027" i="9"/>
  <c r="I1027" i="9" s="1"/>
  <c r="H1026" i="9"/>
  <c r="I1026" i="9" s="1"/>
  <c r="H1025" i="9"/>
  <c r="I1025" i="9" s="1"/>
  <c r="H1024" i="9"/>
  <c r="I1024" i="9" s="1"/>
  <c r="H1023" i="9"/>
  <c r="I1023" i="9" s="1"/>
  <c r="H1022" i="9"/>
  <c r="I1022" i="9" s="1"/>
  <c r="H1021" i="9"/>
  <c r="I1021" i="9" s="1"/>
  <c r="H1020" i="9"/>
  <c r="I1020" i="9" s="1"/>
  <c r="H1019" i="9"/>
  <c r="I1019" i="9" s="1"/>
  <c r="H1018" i="9"/>
  <c r="I1018" i="9" s="1"/>
  <c r="H1017" i="9"/>
  <c r="I1017" i="9" s="1"/>
  <c r="H1016" i="9"/>
  <c r="I1016" i="9" s="1"/>
  <c r="H1015" i="9"/>
  <c r="I1015" i="9" s="1"/>
  <c r="H1014" i="9"/>
  <c r="I1014" i="9" s="1"/>
  <c r="H1013" i="9"/>
  <c r="I1013" i="9" s="1"/>
  <c r="H1012" i="9"/>
  <c r="I1012" i="9" s="1"/>
  <c r="H1011" i="9"/>
  <c r="I1011" i="9" s="1"/>
  <c r="H1010" i="9"/>
  <c r="I1010" i="9" s="1"/>
  <c r="H1009" i="9"/>
  <c r="I1009" i="9" s="1"/>
  <c r="H1008" i="9"/>
  <c r="I1008" i="9" s="1"/>
  <c r="H1007" i="9"/>
  <c r="I1007" i="9" s="1"/>
  <c r="H1006" i="9"/>
  <c r="I1006" i="9" s="1"/>
  <c r="H1005" i="9"/>
  <c r="I1005" i="9" s="1"/>
  <c r="H1004" i="9"/>
  <c r="I1004" i="9" s="1"/>
  <c r="H1003" i="9"/>
  <c r="I1003" i="9" s="1"/>
  <c r="H1002" i="9"/>
  <c r="I1002" i="9" s="1"/>
  <c r="H1001" i="9"/>
  <c r="I1001" i="9" s="1"/>
  <c r="H1000" i="9"/>
  <c r="I1000" i="9" s="1"/>
  <c r="H999" i="9"/>
  <c r="I999" i="9" s="1"/>
  <c r="H998" i="9"/>
  <c r="I998" i="9" s="1"/>
  <c r="H997" i="9"/>
  <c r="I997" i="9" s="1"/>
  <c r="H996" i="9"/>
  <c r="I996" i="9" s="1"/>
  <c r="H995" i="9"/>
  <c r="I995" i="9" s="1"/>
  <c r="H994" i="9"/>
  <c r="I994" i="9" s="1"/>
  <c r="H993" i="9"/>
  <c r="I993" i="9" s="1"/>
  <c r="H992" i="9"/>
  <c r="I992" i="9" s="1"/>
  <c r="H991" i="9"/>
  <c r="I991" i="9" s="1"/>
  <c r="H990" i="9"/>
  <c r="I990" i="9" s="1"/>
  <c r="H989" i="9"/>
  <c r="I989" i="9" s="1"/>
  <c r="H988" i="9"/>
  <c r="I988" i="9" s="1"/>
  <c r="H987" i="9"/>
  <c r="I987" i="9" s="1"/>
  <c r="H986" i="9"/>
  <c r="I986" i="9" s="1"/>
  <c r="H985" i="9"/>
  <c r="I985" i="9" s="1"/>
  <c r="H984" i="9"/>
  <c r="I984" i="9" s="1"/>
  <c r="H983" i="9"/>
  <c r="I983" i="9" s="1"/>
  <c r="H982" i="9"/>
  <c r="I982" i="9" s="1"/>
  <c r="H981" i="9"/>
  <c r="I981" i="9" s="1"/>
  <c r="H980" i="9"/>
  <c r="I980" i="9" s="1"/>
  <c r="H979" i="9"/>
  <c r="I979" i="9" s="1"/>
  <c r="H978" i="9"/>
  <c r="I978" i="9" s="1"/>
  <c r="H977" i="9"/>
  <c r="I977" i="9" s="1"/>
  <c r="H976" i="9"/>
  <c r="I976" i="9" s="1"/>
  <c r="H975" i="9"/>
  <c r="I975" i="9" s="1"/>
  <c r="H974" i="9"/>
  <c r="I974" i="9" s="1"/>
  <c r="H973" i="9"/>
  <c r="I973" i="9" s="1"/>
  <c r="H972" i="9"/>
  <c r="I972" i="9" s="1"/>
  <c r="H971" i="9"/>
  <c r="I971" i="9" s="1"/>
  <c r="H970" i="9"/>
  <c r="I970" i="9" s="1"/>
  <c r="H969" i="9"/>
  <c r="I969" i="9" s="1"/>
  <c r="H968" i="9"/>
  <c r="I968" i="9" s="1"/>
  <c r="H967" i="9"/>
  <c r="I967" i="9" s="1"/>
  <c r="H966" i="9"/>
  <c r="I966" i="9" s="1"/>
  <c r="H965" i="9"/>
  <c r="I965" i="9" s="1"/>
  <c r="H964" i="9"/>
  <c r="I964" i="9" s="1"/>
  <c r="H963" i="9"/>
  <c r="I963" i="9" s="1"/>
  <c r="H962" i="9"/>
  <c r="I962" i="9" s="1"/>
  <c r="H961" i="9"/>
  <c r="I961" i="9" s="1"/>
  <c r="H960" i="9"/>
  <c r="I960" i="9" s="1"/>
  <c r="H959" i="9"/>
  <c r="I959" i="9" s="1"/>
  <c r="H958" i="9"/>
  <c r="I958" i="9" s="1"/>
  <c r="H957" i="9"/>
  <c r="I957" i="9" s="1"/>
  <c r="H956" i="9"/>
  <c r="I956" i="9" s="1"/>
  <c r="H955" i="9"/>
  <c r="I955" i="9" s="1"/>
  <c r="H954" i="9"/>
  <c r="I954" i="9" s="1"/>
  <c r="H953" i="9"/>
  <c r="I953" i="9" s="1"/>
  <c r="H952" i="9"/>
  <c r="I952" i="9" s="1"/>
  <c r="H951" i="9"/>
  <c r="I951" i="9" s="1"/>
  <c r="H950" i="9"/>
  <c r="I950" i="9" s="1"/>
  <c r="H949" i="9"/>
  <c r="I949" i="9" s="1"/>
  <c r="H948" i="9"/>
  <c r="I948" i="9" s="1"/>
  <c r="H947" i="9"/>
  <c r="I947" i="9" s="1"/>
  <c r="H946" i="9"/>
  <c r="I946" i="9" s="1"/>
  <c r="H945" i="9"/>
  <c r="I945" i="9" s="1"/>
  <c r="H944" i="9"/>
  <c r="I944" i="9" s="1"/>
  <c r="H943" i="9"/>
  <c r="I943" i="9" s="1"/>
  <c r="H942" i="9"/>
  <c r="I942" i="9" s="1"/>
  <c r="H941" i="9"/>
  <c r="I941" i="9" s="1"/>
  <c r="H940" i="9"/>
  <c r="I940" i="9" s="1"/>
  <c r="H939" i="9"/>
  <c r="I939" i="9" s="1"/>
  <c r="H938" i="9"/>
  <c r="I938" i="9" s="1"/>
  <c r="H937" i="9"/>
  <c r="I937" i="9" s="1"/>
  <c r="H936" i="9"/>
  <c r="I936" i="9" s="1"/>
  <c r="H935" i="9"/>
  <c r="I935" i="9" s="1"/>
  <c r="H934" i="9"/>
  <c r="I934" i="9" s="1"/>
  <c r="H933" i="9"/>
  <c r="I933" i="9" s="1"/>
  <c r="H932" i="9"/>
  <c r="I932" i="9" s="1"/>
  <c r="H931" i="9"/>
  <c r="I931" i="9" s="1"/>
  <c r="H930" i="9"/>
  <c r="I930" i="9" s="1"/>
  <c r="H929" i="9"/>
  <c r="I929" i="9" s="1"/>
  <c r="H928" i="9"/>
  <c r="I928" i="9" s="1"/>
  <c r="H927" i="9"/>
  <c r="I927" i="9" s="1"/>
  <c r="H926" i="9"/>
  <c r="I926" i="9" s="1"/>
  <c r="H925" i="9"/>
  <c r="I925" i="9" s="1"/>
  <c r="H924" i="9"/>
  <c r="I924" i="9" s="1"/>
  <c r="H923" i="9"/>
  <c r="I923" i="9" s="1"/>
  <c r="H922" i="9"/>
  <c r="I922" i="9" s="1"/>
  <c r="H921" i="9"/>
  <c r="I921" i="9" s="1"/>
  <c r="H920" i="9"/>
  <c r="I920" i="9" s="1"/>
  <c r="H919" i="9"/>
  <c r="I919" i="9" s="1"/>
  <c r="H918" i="9"/>
  <c r="I918" i="9" s="1"/>
  <c r="H917" i="9"/>
  <c r="I917" i="9" s="1"/>
  <c r="H916" i="9"/>
  <c r="I916" i="9" s="1"/>
  <c r="H915" i="9"/>
  <c r="I915" i="9" s="1"/>
  <c r="H914" i="9"/>
  <c r="I914" i="9" s="1"/>
  <c r="H913" i="9"/>
  <c r="I913" i="9" s="1"/>
  <c r="H912" i="9"/>
  <c r="I912" i="9" s="1"/>
  <c r="H911" i="9"/>
  <c r="I911" i="9" s="1"/>
  <c r="H910" i="9"/>
  <c r="I910" i="9" s="1"/>
  <c r="H909" i="9"/>
  <c r="I909" i="9" s="1"/>
  <c r="H908" i="9"/>
  <c r="I908" i="9" s="1"/>
  <c r="H907" i="9"/>
  <c r="I907" i="9" s="1"/>
  <c r="H906" i="9"/>
  <c r="I906" i="9" s="1"/>
  <c r="H905" i="9"/>
  <c r="I905" i="9" s="1"/>
  <c r="H904" i="9"/>
  <c r="I904" i="9" s="1"/>
  <c r="H903" i="9"/>
  <c r="I903" i="9" s="1"/>
  <c r="H902" i="9"/>
  <c r="I902" i="9" s="1"/>
  <c r="H901" i="9"/>
  <c r="I901" i="9" s="1"/>
  <c r="H900" i="9"/>
  <c r="I900" i="9" s="1"/>
  <c r="H899" i="9"/>
  <c r="I899" i="9" s="1"/>
  <c r="H898" i="9"/>
  <c r="I898" i="9" s="1"/>
  <c r="H897" i="9"/>
  <c r="I897" i="9" s="1"/>
  <c r="H896" i="9"/>
  <c r="I896" i="9" s="1"/>
  <c r="H895" i="9"/>
  <c r="I895" i="9" s="1"/>
  <c r="H894" i="9"/>
  <c r="I894" i="9" s="1"/>
  <c r="H893" i="9"/>
  <c r="I893" i="9" s="1"/>
  <c r="H892" i="9"/>
  <c r="I892" i="9" s="1"/>
  <c r="H891" i="9"/>
  <c r="I891" i="9" s="1"/>
  <c r="H890" i="9"/>
  <c r="I890" i="9" s="1"/>
  <c r="H889" i="9"/>
  <c r="I889" i="9" s="1"/>
  <c r="H888" i="9"/>
  <c r="I888" i="9" s="1"/>
  <c r="H887" i="9"/>
  <c r="I887" i="9" s="1"/>
  <c r="H886" i="9"/>
  <c r="I886" i="9" s="1"/>
  <c r="H885" i="9"/>
  <c r="I885" i="9" s="1"/>
  <c r="H884" i="9"/>
  <c r="I884" i="9" s="1"/>
  <c r="H883" i="9"/>
  <c r="I883" i="9" s="1"/>
  <c r="H882" i="9"/>
  <c r="I882" i="9" s="1"/>
  <c r="H881" i="9"/>
  <c r="I881" i="9" s="1"/>
  <c r="H880" i="9"/>
  <c r="I880" i="9" s="1"/>
  <c r="H879" i="9"/>
  <c r="I879" i="9" s="1"/>
  <c r="H878" i="9"/>
  <c r="I878" i="9" s="1"/>
  <c r="H877" i="9"/>
  <c r="I877" i="9" s="1"/>
  <c r="H876" i="9"/>
  <c r="I876" i="9" s="1"/>
  <c r="H875" i="9"/>
  <c r="I875" i="9" s="1"/>
  <c r="H874" i="9"/>
  <c r="I874" i="9" s="1"/>
  <c r="H873" i="9"/>
  <c r="I873" i="9" s="1"/>
  <c r="H872" i="9"/>
  <c r="I872" i="9" s="1"/>
  <c r="H871" i="9"/>
  <c r="I871" i="9" s="1"/>
  <c r="H870" i="9"/>
  <c r="I870" i="9" s="1"/>
  <c r="H869" i="9"/>
  <c r="I869" i="9" s="1"/>
  <c r="H868" i="9"/>
  <c r="I868" i="9" s="1"/>
  <c r="H867" i="9"/>
  <c r="I867" i="9" s="1"/>
  <c r="H866" i="9"/>
  <c r="I866" i="9" s="1"/>
  <c r="H865" i="9"/>
  <c r="I865" i="9" s="1"/>
  <c r="H864" i="9"/>
  <c r="I864" i="9" s="1"/>
  <c r="H863" i="9"/>
  <c r="I863" i="9" s="1"/>
  <c r="H862" i="9"/>
  <c r="I862" i="9" s="1"/>
  <c r="H861" i="9"/>
  <c r="I861" i="9" s="1"/>
  <c r="H860" i="9"/>
  <c r="I860" i="9" s="1"/>
  <c r="H859" i="9"/>
  <c r="I859" i="9" s="1"/>
  <c r="H858" i="9"/>
  <c r="I858" i="9" s="1"/>
  <c r="H857" i="9"/>
  <c r="I857" i="9" s="1"/>
  <c r="H856" i="9"/>
  <c r="I856" i="9" s="1"/>
  <c r="H855" i="9"/>
  <c r="I855" i="9" s="1"/>
  <c r="H854" i="9"/>
  <c r="I854" i="9" s="1"/>
  <c r="H853" i="9"/>
  <c r="I853" i="9" s="1"/>
  <c r="H852" i="9"/>
  <c r="I852" i="9" s="1"/>
  <c r="H851" i="9"/>
  <c r="I851" i="9" s="1"/>
  <c r="H850" i="9"/>
  <c r="I850" i="9" s="1"/>
  <c r="H849" i="9"/>
  <c r="I849" i="9" s="1"/>
  <c r="H848" i="9"/>
  <c r="I848" i="9" s="1"/>
  <c r="H847" i="9"/>
  <c r="I847" i="9" s="1"/>
  <c r="H846" i="9"/>
  <c r="I846" i="9" s="1"/>
  <c r="H845" i="9"/>
  <c r="I845" i="9" s="1"/>
  <c r="H844" i="9"/>
  <c r="I844" i="9" s="1"/>
  <c r="H843" i="9"/>
  <c r="I843" i="9" s="1"/>
  <c r="H842" i="9"/>
  <c r="I842" i="9" s="1"/>
  <c r="H841" i="9"/>
  <c r="I841" i="9" s="1"/>
  <c r="H840" i="9"/>
  <c r="I840" i="9" s="1"/>
  <c r="H839" i="9"/>
  <c r="I839" i="9" s="1"/>
  <c r="H838" i="9"/>
  <c r="I838" i="9" s="1"/>
  <c r="H837" i="9"/>
  <c r="I837" i="9" s="1"/>
  <c r="H836" i="9"/>
  <c r="I836" i="9" s="1"/>
  <c r="H835" i="9"/>
  <c r="I835" i="9" s="1"/>
  <c r="H834" i="9"/>
  <c r="I834" i="9" s="1"/>
  <c r="H833" i="9"/>
  <c r="I833" i="9" s="1"/>
  <c r="H832" i="9"/>
  <c r="I832" i="9" s="1"/>
  <c r="H831" i="9"/>
  <c r="I831" i="9" s="1"/>
  <c r="H830" i="9"/>
  <c r="I830" i="9" s="1"/>
  <c r="H829" i="9"/>
  <c r="I829" i="9" s="1"/>
  <c r="H828" i="9"/>
  <c r="I828" i="9" s="1"/>
  <c r="H827" i="9"/>
  <c r="I827" i="9" s="1"/>
  <c r="H826" i="9"/>
  <c r="I826" i="9" s="1"/>
  <c r="H825" i="9"/>
  <c r="I825" i="9" s="1"/>
  <c r="H824" i="9"/>
  <c r="I824" i="9" s="1"/>
  <c r="H823" i="9"/>
  <c r="I823" i="9" s="1"/>
  <c r="H822" i="9"/>
  <c r="I822" i="9" s="1"/>
  <c r="H821" i="9"/>
  <c r="I821" i="9" s="1"/>
  <c r="H820" i="9"/>
  <c r="I820" i="9" s="1"/>
  <c r="H819" i="9"/>
  <c r="I819" i="9" s="1"/>
  <c r="H818" i="9"/>
  <c r="I818" i="9" s="1"/>
  <c r="H817" i="9"/>
  <c r="I817" i="9" s="1"/>
  <c r="H816" i="9"/>
  <c r="I816" i="9" s="1"/>
  <c r="H815" i="9"/>
  <c r="I815" i="9" s="1"/>
  <c r="H814" i="9"/>
  <c r="I814" i="9" s="1"/>
  <c r="H813" i="9"/>
  <c r="I813" i="9" s="1"/>
  <c r="H812" i="9"/>
  <c r="I812" i="9" s="1"/>
  <c r="H811" i="9"/>
  <c r="I811" i="9" s="1"/>
  <c r="H810" i="9"/>
  <c r="I810" i="9" s="1"/>
  <c r="H809" i="9"/>
  <c r="I809" i="9" s="1"/>
  <c r="H808" i="9"/>
  <c r="I808" i="9" s="1"/>
  <c r="H807" i="9"/>
  <c r="I807" i="9" s="1"/>
  <c r="H806" i="9"/>
  <c r="I806" i="9" s="1"/>
  <c r="H805" i="9"/>
  <c r="I805" i="9" s="1"/>
  <c r="H804" i="9"/>
  <c r="I804" i="9" s="1"/>
  <c r="H803" i="9"/>
  <c r="I803" i="9" s="1"/>
  <c r="H802" i="9"/>
  <c r="I802" i="9" s="1"/>
  <c r="H801" i="9"/>
  <c r="I801" i="9" s="1"/>
  <c r="H800" i="9"/>
  <c r="I800" i="9" s="1"/>
  <c r="H799" i="9"/>
  <c r="I799" i="9" s="1"/>
  <c r="H798" i="9"/>
  <c r="I798" i="9" s="1"/>
  <c r="H797" i="9"/>
  <c r="I797" i="9" s="1"/>
  <c r="H796" i="9"/>
  <c r="I796" i="9" s="1"/>
  <c r="H795" i="9"/>
  <c r="I795" i="9" s="1"/>
  <c r="H794" i="9"/>
  <c r="I794" i="9" s="1"/>
  <c r="H793" i="9"/>
  <c r="I793" i="9" s="1"/>
  <c r="H792" i="9"/>
  <c r="I792" i="9" s="1"/>
  <c r="H791" i="9"/>
  <c r="I791" i="9" s="1"/>
  <c r="H790" i="9"/>
  <c r="I790" i="9" s="1"/>
  <c r="H789" i="9"/>
  <c r="I789" i="9" s="1"/>
  <c r="H788" i="9"/>
  <c r="I788" i="9" s="1"/>
  <c r="H787" i="9"/>
  <c r="I787" i="9" s="1"/>
  <c r="H786" i="9"/>
  <c r="I786" i="9" s="1"/>
  <c r="H785" i="9"/>
  <c r="I785" i="9" s="1"/>
  <c r="H784" i="9"/>
  <c r="I784" i="9" s="1"/>
  <c r="H783" i="9"/>
  <c r="I783" i="9" s="1"/>
  <c r="H782" i="9"/>
  <c r="I782" i="9" s="1"/>
  <c r="H781" i="9"/>
  <c r="I781" i="9" s="1"/>
  <c r="H780" i="9"/>
  <c r="I780" i="9" s="1"/>
  <c r="H779" i="9"/>
  <c r="I779" i="9" s="1"/>
  <c r="H778" i="9"/>
  <c r="I778" i="9" s="1"/>
  <c r="H777" i="9"/>
  <c r="I777" i="9" s="1"/>
  <c r="H776" i="9"/>
  <c r="I776" i="9" s="1"/>
  <c r="H775" i="9"/>
  <c r="I775" i="9" s="1"/>
  <c r="H774" i="9"/>
  <c r="I774" i="9" s="1"/>
  <c r="H773" i="9"/>
  <c r="I773" i="9" s="1"/>
  <c r="H772" i="9"/>
  <c r="I772" i="9" s="1"/>
  <c r="H771" i="9"/>
  <c r="I771" i="9" s="1"/>
  <c r="H770" i="9"/>
  <c r="I770" i="9" s="1"/>
  <c r="H769" i="9"/>
  <c r="I769" i="9" s="1"/>
  <c r="H768" i="9"/>
  <c r="I768" i="9" s="1"/>
  <c r="H767" i="9"/>
  <c r="I767" i="9" s="1"/>
  <c r="H766" i="9"/>
  <c r="I766" i="9" s="1"/>
  <c r="H765" i="9"/>
  <c r="I765" i="9" s="1"/>
  <c r="H764" i="9"/>
  <c r="I764" i="9" s="1"/>
  <c r="H763" i="9"/>
  <c r="I763" i="9" s="1"/>
  <c r="H762" i="9"/>
  <c r="I762" i="9" s="1"/>
  <c r="H761" i="9"/>
  <c r="I761" i="9" s="1"/>
  <c r="H760" i="9"/>
  <c r="I760" i="9" s="1"/>
  <c r="H759" i="9"/>
  <c r="I759" i="9" s="1"/>
  <c r="H758" i="9"/>
  <c r="I758" i="9" s="1"/>
  <c r="H757" i="9"/>
  <c r="I757" i="9" s="1"/>
  <c r="H756" i="9"/>
  <c r="I756" i="9" s="1"/>
  <c r="H755" i="9"/>
  <c r="I755" i="9" s="1"/>
  <c r="H754" i="9"/>
  <c r="I754" i="9" s="1"/>
  <c r="H753" i="9"/>
  <c r="I753" i="9" s="1"/>
  <c r="H752" i="9"/>
  <c r="I752" i="9" s="1"/>
  <c r="H751" i="9"/>
  <c r="I751" i="9" s="1"/>
  <c r="H750" i="9"/>
  <c r="I750" i="9" s="1"/>
  <c r="H749" i="9"/>
  <c r="I749" i="9" s="1"/>
  <c r="H748" i="9"/>
  <c r="I748" i="9" s="1"/>
  <c r="H747" i="9"/>
  <c r="I747" i="9" s="1"/>
  <c r="H746" i="9"/>
  <c r="I746" i="9" s="1"/>
  <c r="H745" i="9"/>
  <c r="I745" i="9" s="1"/>
  <c r="H744" i="9"/>
  <c r="I744" i="9" s="1"/>
  <c r="H743" i="9"/>
  <c r="I743" i="9" s="1"/>
  <c r="H742" i="9"/>
  <c r="I742" i="9" s="1"/>
  <c r="H741" i="9"/>
  <c r="I741" i="9" s="1"/>
  <c r="H740" i="9"/>
  <c r="I740" i="9" s="1"/>
  <c r="H739" i="9"/>
  <c r="I739" i="9" s="1"/>
  <c r="H738" i="9"/>
  <c r="I738" i="9" s="1"/>
  <c r="H737" i="9"/>
  <c r="I737" i="9" s="1"/>
  <c r="H736" i="9"/>
  <c r="I736" i="9" s="1"/>
  <c r="H735" i="9"/>
  <c r="I735" i="9" s="1"/>
  <c r="H734" i="9"/>
  <c r="I734" i="9" s="1"/>
  <c r="H733" i="9"/>
  <c r="I733" i="9" s="1"/>
  <c r="H732" i="9"/>
  <c r="I732" i="9" s="1"/>
  <c r="H731" i="9"/>
  <c r="I731" i="9" s="1"/>
  <c r="H730" i="9"/>
  <c r="I730" i="9" s="1"/>
  <c r="H729" i="9"/>
  <c r="I729" i="9" s="1"/>
  <c r="H728" i="9"/>
  <c r="I728" i="9" s="1"/>
  <c r="H727" i="9"/>
  <c r="I727" i="9" s="1"/>
  <c r="H726" i="9"/>
  <c r="I726" i="9" s="1"/>
  <c r="H725" i="9"/>
  <c r="I725" i="9" s="1"/>
  <c r="H724" i="9"/>
  <c r="I724" i="9" s="1"/>
  <c r="H723" i="9"/>
  <c r="I723" i="9" s="1"/>
  <c r="H722" i="9"/>
  <c r="I722" i="9" s="1"/>
  <c r="H721" i="9"/>
  <c r="I721" i="9" s="1"/>
  <c r="H720" i="9"/>
  <c r="I720" i="9" s="1"/>
  <c r="H719" i="9"/>
  <c r="I719" i="9" s="1"/>
  <c r="H718" i="9"/>
  <c r="I718" i="9" s="1"/>
  <c r="H717" i="9"/>
  <c r="I717" i="9" s="1"/>
  <c r="H716" i="9"/>
  <c r="I716" i="9" s="1"/>
  <c r="H715" i="9"/>
  <c r="I715" i="9" s="1"/>
  <c r="H714" i="9"/>
  <c r="I714" i="9" s="1"/>
  <c r="H713" i="9"/>
  <c r="I713" i="9" s="1"/>
  <c r="H712" i="9"/>
  <c r="I712" i="9" s="1"/>
  <c r="H711" i="9"/>
  <c r="I711" i="9" s="1"/>
  <c r="H710" i="9"/>
  <c r="I710" i="9" s="1"/>
  <c r="H709" i="9"/>
  <c r="I709" i="9" s="1"/>
  <c r="H708" i="9"/>
  <c r="I708" i="9" s="1"/>
  <c r="H707" i="9"/>
  <c r="I707" i="9" s="1"/>
  <c r="H706" i="9"/>
  <c r="I706" i="9" s="1"/>
  <c r="H705" i="9"/>
  <c r="I705" i="9" s="1"/>
  <c r="H704" i="9"/>
  <c r="I704" i="9" s="1"/>
  <c r="H703" i="9"/>
  <c r="I703" i="9" s="1"/>
  <c r="H702" i="9"/>
  <c r="I702" i="9" s="1"/>
  <c r="H701" i="9"/>
  <c r="I701" i="9" s="1"/>
  <c r="H700" i="9"/>
  <c r="I700" i="9" s="1"/>
  <c r="H699" i="9"/>
  <c r="I699" i="9" s="1"/>
  <c r="I698" i="9"/>
  <c r="H698" i="9"/>
  <c r="H697" i="9"/>
  <c r="I697" i="9" s="1"/>
  <c r="H696" i="9"/>
  <c r="I696" i="9" s="1"/>
  <c r="H695" i="9"/>
  <c r="I695" i="9" s="1"/>
  <c r="H694" i="9"/>
  <c r="I694" i="9" s="1"/>
  <c r="H693" i="9"/>
  <c r="I693" i="9" s="1"/>
  <c r="H692" i="9"/>
  <c r="I692" i="9" s="1"/>
  <c r="H691" i="9"/>
  <c r="I691" i="9" s="1"/>
  <c r="H690" i="9"/>
  <c r="I690" i="9" s="1"/>
  <c r="H689" i="9"/>
  <c r="I689" i="9" s="1"/>
  <c r="H688" i="9"/>
  <c r="I688" i="9" s="1"/>
  <c r="H687" i="9"/>
  <c r="I687" i="9" s="1"/>
  <c r="H686" i="9"/>
  <c r="I686" i="9" s="1"/>
  <c r="H685" i="9"/>
  <c r="I685" i="9" s="1"/>
  <c r="H684" i="9"/>
  <c r="I684" i="9" s="1"/>
  <c r="H683" i="9"/>
  <c r="I683" i="9" s="1"/>
  <c r="H682" i="9"/>
  <c r="I682" i="9" s="1"/>
  <c r="H681" i="9"/>
  <c r="I681" i="9" s="1"/>
  <c r="H680" i="9"/>
  <c r="I680" i="9" s="1"/>
  <c r="H679" i="9"/>
  <c r="I679" i="9" s="1"/>
  <c r="H678" i="9"/>
  <c r="I678" i="9" s="1"/>
  <c r="H677" i="9"/>
  <c r="I677" i="9" s="1"/>
  <c r="H676" i="9"/>
  <c r="I676" i="9" s="1"/>
  <c r="H675" i="9"/>
  <c r="I675" i="9" s="1"/>
  <c r="H674" i="9"/>
  <c r="I674" i="9" s="1"/>
  <c r="H673" i="9"/>
  <c r="I673" i="9" s="1"/>
  <c r="H672" i="9"/>
  <c r="I672" i="9" s="1"/>
  <c r="H671" i="9"/>
  <c r="I671" i="9" s="1"/>
  <c r="H670" i="9"/>
  <c r="I670" i="9" s="1"/>
  <c r="H669" i="9"/>
  <c r="I669" i="9" s="1"/>
  <c r="H668" i="9"/>
  <c r="I668" i="9" s="1"/>
  <c r="H667" i="9"/>
  <c r="I667" i="9" s="1"/>
  <c r="H666" i="9"/>
  <c r="I666" i="9" s="1"/>
  <c r="H665" i="9"/>
  <c r="I665" i="9" s="1"/>
  <c r="H664" i="9"/>
  <c r="I664" i="9" s="1"/>
  <c r="H663" i="9"/>
  <c r="I663" i="9" s="1"/>
  <c r="H662" i="9"/>
  <c r="I662" i="9" s="1"/>
  <c r="H661" i="9"/>
  <c r="I661" i="9" s="1"/>
  <c r="H660" i="9"/>
  <c r="I660" i="9" s="1"/>
  <c r="H659" i="9"/>
  <c r="I659" i="9" s="1"/>
  <c r="H658" i="9"/>
  <c r="I658" i="9" s="1"/>
  <c r="H657" i="9"/>
  <c r="I657" i="9" s="1"/>
  <c r="H656" i="9"/>
  <c r="I656" i="9" s="1"/>
  <c r="H655" i="9"/>
  <c r="I655" i="9" s="1"/>
  <c r="H654" i="9"/>
  <c r="I654" i="9" s="1"/>
  <c r="H653" i="9"/>
  <c r="I653" i="9" s="1"/>
  <c r="H652" i="9"/>
  <c r="I652" i="9" s="1"/>
  <c r="H651" i="9"/>
  <c r="I651" i="9" s="1"/>
  <c r="H650" i="9"/>
  <c r="I650" i="9" s="1"/>
  <c r="H649" i="9"/>
  <c r="I649" i="9" s="1"/>
  <c r="H648" i="9"/>
  <c r="I648" i="9" s="1"/>
  <c r="H647" i="9"/>
  <c r="I647" i="9" s="1"/>
  <c r="H646" i="9"/>
  <c r="I646" i="9" s="1"/>
  <c r="H645" i="9"/>
  <c r="I645" i="9" s="1"/>
  <c r="H644" i="9"/>
  <c r="I644" i="9" s="1"/>
  <c r="H643" i="9"/>
  <c r="I643" i="9" s="1"/>
  <c r="H642" i="9"/>
  <c r="I642" i="9" s="1"/>
  <c r="H641" i="9"/>
  <c r="I641" i="9" s="1"/>
  <c r="H640" i="9"/>
  <c r="I640" i="9" s="1"/>
  <c r="H639" i="9"/>
  <c r="I639" i="9" s="1"/>
  <c r="H638" i="9"/>
  <c r="I638" i="9" s="1"/>
  <c r="H637" i="9"/>
  <c r="I637" i="9" s="1"/>
  <c r="H636" i="9"/>
  <c r="I636" i="9" s="1"/>
  <c r="H635" i="9"/>
  <c r="I635" i="9" s="1"/>
  <c r="I634" i="9"/>
  <c r="H634" i="9"/>
  <c r="H633" i="9"/>
  <c r="I633" i="9" s="1"/>
  <c r="H632" i="9"/>
  <c r="I632" i="9" s="1"/>
  <c r="H631" i="9"/>
  <c r="I631" i="9" s="1"/>
  <c r="H630" i="9"/>
  <c r="I630" i="9" s="1"/>
  <c r="H629" i="9"/>
  <c r="I629" i="9" s="1"/>
  <c r="H628" i="9"/>
  <c r="I628" i="9" s="1"/>
  <c r="H627" i="9"/>
  <c r="I627" i="9" s="1"/>
  <c r="H626" i="9"/>
  <c r="I626" i="9" s="1"/>
  <c r="H625" i="9"/>
  <c r="I625" i="9" s="1"/>
  <c r="H624" i="9"/>
  <c r="I624" i="9" s="1"/>
  <c r="H623" i="9"/>
  <c r="I623" i="9" s="1"/>
  <c r="H622" i="9"/>
  <c r="I622" i="9" s="1"/>
  <c r="I621" i="9"/>
  <c r="H621" i="9"/>
  <c r="H620" i="9"/>
  <c r="I620" i="9" s="1"/>
  <c r="H619" i="9"/>
  <c r="I619" i="9" s="1"/>
  <c r="H618" i="9"/>
  <c r="I618" i="9" s="1"/>
  <c r="H617" i="9"/>
  <c r="I617" i="9" s="1"/>
  <c r="H616" i="9"/>
  <c r="I616" i="9" s="1"/>
  <c r="H615" i="9"/>
  <c r="I615" i="9" s="1"/>
  <c r="H614" i="9"/>
  <c r="I614" i="9" s="1"/>
  <c r="H613" i="9"/>
  <c r="I613" i="9" s="1"/>
  <c r="H612" i="9"/>
  <c r="I612" i="9" s="1"/>
  <c r="H611" i="9"/>
  <c r="I611" i="9" s="1"/>
  <c r="H610" i="9"/>
  <c r="I610" i="9" s="1"/>
  <c r="H609" i="9"/>
  <c r="I609" i="9" s="1"/>
  <c r="H608" i="9"/>
  <c r="I608" i="9" s="1"/>
  <c r="H607" i="9"/>
  <c r="I607" i="9" s="1"/>
  <c r="H606" i="9"/>
  <c r="I606" i="9" s="1"/>
  <c r="H605" i="9"/>
  <c r="I605" i="9" s="1"/>
  <c r="H604" i="9"/>
  <c r="I604" i="9" s="1"/>
  <c r="H603" i="9"/>
  <c r="I603" i="9" s="1"/>
  <c r="H602" i="9"/>
  <c r="I602" i="9" s="1"/>
  <c r="H601" i="9"/>
  <c r="I601" i="9" s="1"/>
  <c r="H600" i="9"/>
  <c r="I600" i="9" s="1"/>
  <c r="H599" i="9"/>
  <c r="I599" i="9" s="1"/>
  <c r="H598" i="9"/>
  <c r="I598" i="9" s="1"/>
  <c r="H597" i="9"/>
  <c r="I597" i="9" s="1"/>
  <c r="H596" i="9"/>
  <c r="I596" i="9" s="1"/>
  <c r="H595" i="9"/>
  <c r="I595" i="9" s="1"/>
  <c r="H594" i="9"/>
  <c r="I594" i="9" s="1"/>
  <c r="H593" i="9"/>
  <c r="I593" i="9" s="1"/>
  <c r="H592" i="9"/>
  <c r="I592" i="9" s="1"/>
  <c r="H591" i="9"/>
  <c r="I591" i="9" s="1"/>
  <c r="H590" i="9"/>
  <c r="I590" i="9" s="1"/>
  <c r="H589" i="9"/>
  <c r="I589" i="9" s="1"/>
  <c r="H588" i="9"/>
  <c r="I588" i="9" s="1"/>
  <c r="H587" i="9"/>
  <c r="I587" i="9" s="1"/>
  <c r="H586" i="9"/>
  <c r="I586" i="9" s="1"/>
  <c r="H585" i="9"/>
  <c r="I585" i="9" s="1"/>
  <c r="H584" i="9"/>
  <c r="I584" i="9" s="1"/>
  <c r="H583" i="9"/>
  <c r="I583" i="9" s="1"/>
  <c r="H582" i="9"/>
  <c r="I582" i="9" s="1"/>
  <c r="H581" i="9"/>
  <c r="I581" i="9" s="1"/>
  <c r="H580" i="9"/>
  <c r="I580" i="9" s="1"/>
  <c r="H579" i="9"/>
  <c r="I579" i="9" s="1"/>
  <c r="H578" i="9"/>
  <c r="I578" i="9" s="1"/>
  <c r="H577" i="9"/>
  <c r="I577" i="9" s="1"/>
  <c r="H576" i="9"/>
  <c r="I576" i="9" s="1"/>
  <c r="H575" i="9"/>
  <c r="I575" i="9" s="1"/>
  <c r="H574" i="9"/>
  <c r="I574" i="9" s="1"/>
  <c r="H573" i="9"/>
  <c r="I573" i="9" s="1"/>
  <c r="H572" i="9"/>
  <c r="I572" i="9" s="1"/>
  <c r="H571" i="9"/>
  <c r="I571" i="9" s="1"/>
  <c r="I570" i="9"/>
  <c r="H570" i="9"/>
  <c r="H569" i="9"/>
  <c r="I569" i="9" s="1"/>
  <c r="H568" i="9"/>
  <c r="I568" i="9" s="1"/>
  <c r="H567" i="9"/>
  <c r="I567" i="9" s="1"/>
  <c r="H566" i="9"/>
  <c r="I566" i="9" s="1"/>
  <c r="H565" i="9"/>
  <c r="I565" i="9" s="1"/>
  <c r="H564" i="9"/>
  <c r="I564" i="9" s="1"/>
  <c r="H563" i="9"/>
  <c r="I563" i="9" s="1"/>
  <c r="H562" i="9"/>
  <c r="I562" i="9" s="1"/>
  <c r="H561" i="9"/>
  <c r="I561" i="9" s="1"/>
  <c r="H560" i="9"/>
  <c r="I560" i="9" s="1"/>
  <c r="H559" i="9"/>
  <c r="I559" i="9" s="1"/>
  <c r="H558" i="9"/>
  <c r="I558" i="9" s="1"/>
  <c r="I557" i="9"/>
  <c r="H557" i="9"/>
  <c r="H556" i="9"/>
  <c r="I556" i="9" s="1"/>
  <c r="H555" i="9"/>
  <c r="I555" i="9" s="1"/>
  <c r="H554" i="9"/>
  <c r="I554" i="9" s="1"/>
  <c r="H553" i="9"/>
  <c r="I553" i="9" s="1"/>
  <c r="H552" i="9"/>
  <c r="I552" i="9" s="1"/>
  <c r="H551" i="9"/>
  <c r="I551" i="9" s="1"/>
  <c r="H550" i="9"/>
  <c r="I550" i="9" s="1"/>
  <c r="H549" i="9"/>
  <c r="I549" i="9" s="1"/>
  <c r="H548" i="9"/>
  <c r="I548" i="9" s="1"/>
  <c r="H547" i="9"/>
  <c r="I547" i="9" s="1"/>
  <c r="H546" i="9"/>
  <c r="I546" i="9" s="1"/>
  <c r="H545" i="9"/>
  <c r="I545" i="9" s="1"/>
  <c r="H544" i="9"/>
  <c r="I544" i="9" s="1"/>
  <c r="H543" i="9"/>
  <c r="I543" i="9" s="1"/>
  <c r="H542" i="9"/>
  <c r="I542" i="9" s="1"/>
  <c r="I541" i="9"/>
  <c r="H541" i="9"/>
  <c r="H540" i="9"/>
  <c r="I540" i="9" s="1"/>
  <c r="H539" i="9"/>
  <c r="I539" i="9" s="1"/>
  <c r="H538" i="9"/>
  <c r="I538" i="9" s="1"/>
  <c r="H537" i="9"/>
  <c r="I537" i="9" s="1"/>
  <c r="H536" i="9"/>
  <c r="I536" i="9" s="1"/>
  <c r="H535" i="9"/>
  <c r="I535" i="9" s="1"/>
  <c r="H534" i="9"/>
  <c r="I534" i="9" s="1"/>
  <c r="H533" i="9"/>
  <c r="I533" i="9" s="1"/>
  <c r="H532" i="9"/>
  <c r="I532" i="9" s="1"/>
  <c r="H531" i="9"/>
  <c r="I531" i="9" s="1"/>
  <c r="H530" i="9"/>
  <c r="I530" i="9" s="1"/>
  <c r="H529" i="9"/>
  <c r="K22" i="9" s="1"/>
  <c r="H528" i="9"/>
  <c r="I528" i="9" s="1"/>
  <c r="H527" i="9"/>
  <c r="I527" i="9" s="1"/>
  <c r="H526" i="9"/>
  <c r="I526" i="9" s="1"/>
  <c r="I525" i="9"/>
  <c r="H525" i="9"/>
  <c r="H524" i="9"/>
  <c r="I524" i="9" s="1"/>
  <c r="H523" i="9"/>
  <c r="I523" i="9" s="1"/>
  <c r="H522" i="9"/>
  <c r="I522" i="9" s="1"/>
  <c r="H521" i="9"/>
  <c r="I521" i="9" s="1"/>
  <c r="H520" i="9"/>
  <c r="I520" i="9" s="1"/>
  <c r="H519" i="9"/>
  <c r="I519" i="9" s="1"/>
  <c r="H518" i="9"/>
  <c r="I518" i="9" s="1"/>
  <c r="H517" i="9"/>
  <c r="I517" i="9" s="1"/>
  <c r="H516" i="9"/>
  <c r="I516" i="9" s="1"/>
  <c r="H515" i="9"/>
  <c r="I515" i="9" s="1"/>
  <c r="H514" i="9"/>
  <c r="I514" i="9" s="1"/>
  <c r="H513" i="9"/>
  <c r="I513" i="9" s="1"/>
  <c r="H512" i="9"/>
  <c r="I512" i="9" s="1"/>
  <c r="H511" i="9"/>
  <c r="I511" i="9" s="1"/>
  <c r="H510" i="9"/>
  <c r="I510" i="9" s="1"/>
  <c r="H509" i="9"/>
  <c r="I509" i="9" s="1"/>
  <c r="H508" i="9"/>
  <c r="I508" i="9" s="1"/>
  <c r="H507" i="9"/>
  <c r="I507" i="9" s="1"/>
  <c r="H506" i="9"/>
  <c r="I506" i="9" s="1"/>
  <c r="H505" i="9"/>
  <c r="I505" i="9" s="1"/>
  <c r="H504" i="9"/>
  <c r="I504" i="9" s="1"/>
  <c r="H503" i="9"/>
  <c r="I503" i="9" s="1"/>
  <c r="H502" i="9"/>
  <c r="I502" i="9" s="1"/>
  <c r="H501" i="9"/>
  <c r="I501" i="9" s="1"/>
  <c r="H500" i="9"/>
  <c r="I500" i="9" s="1"/>
  <c r="H499" i="9"/>
  <c r="I499" i="9" s="1"/>
  <c r="H498" i="9"/>
  <c r="I498" i="9" s="1"/>
  <c r="H497" i="9"/>
  <c r="I497" i="9" s="1"/>
  <c r="H496" i="9"/>
  <c r="I496" i="9" s="1"/>
  <c r="H495" i="9"/>
  <c r="I495" i="9" s="1"/>
  <c r="H494" i="9"/>
  <c r="I494" i="9" s="1"/>
  <c r="H493" i="9"/>
  <c r="I493" i="9" s="1"/>
  <c r="H492" i="9"/>
  <c r="I492" i="9" s="1"/>
  <c r="H491" i="9"/>
  <c r="I491" i="9" s="1"/>
  <c r="H490" i="9"/>
  <c r="I490" i="9" s="1"/>
  <c r="H489" i="9"/>
  <c r="I489" i="9" s="1"/>
  <c r="H488" i="9"/>
  <c r="I488" i="9" s="1"/>
  <c r="H487" i="9"/>
  <c r="I487" i="9" s="1"/>
  <c r="H486" i="9"/>
  <c r="I486" i="9" s="1"/>
  <c r="H485" i="9"/>
  <c r="I485" i="9" s="1"/>
  <c r="H484" i="9"/>
  <c r="I484" i="9" s="1"/>
  <c r="H483" i="9"/>
  <c r="I483" i="9" s="1"/>
  <c r="H482" i="9"/>
  <c r="I482" i="9" s="1"/>
  <c r="H481" i="9"/>
  <c r="I481" i="9" s="1"/>
  <c r="H480" i="9"/>
  <c r="I480" i="9" s="1"/>
  <c r="H479" i="9"/>
  <c r="I479" i="9" s="1"/>
  <c r="H478" i="9"/>
  <c r="I478" i="9" s="1"/>
  <c r="H477" i="9"/>
  <c r="I477" i="9" s="1"/>
  <c r="H476" i="9"/>
  <c r="I476" i="9" s="1"/>
  <c r="H475" i="9"/>
  <c r="I475" i="9" s="1"/>
  <c r="H474" i="9"/>
  <c r="I474" i="9" s="1"/>
  <c r="H473" i="9"/>
  <c r="I473" i="9" s="1"/>
  <c r="H472" i="9"/>
  <c r="I472" i="9" s="1"/>
  <c r="H471" i="9"/>
  <c r="I471" i="9" s="1"/>
  <c r="H470" i="9"/>
  <c r="I470" i="9" s="1"/>
  <c r="H469" i="9"/>
  <c r="I469" i="9" s="1"/>
  <c r="H468" i="9"/>
  <c r="I468" i="9" s="1"/>
  <c r="H467" i="9"/>
  <c r="I467" i="9" s="1"/>
  <c r="H466" i="9"/>
  <c r="I466" i="9" s="1"/>
  <c r="H465" i="9"/>
  <c r="I465" i="9" s="1"/>
  <c r="H464" i="9"/>
  <c r="I464" i="9" s="1"/>
  <c r="H463" i="9"/>
  <c r="I463" i="9" s="1"/>
  <c r="H462" i="9"/>
  <c r="I462" i="9" s="1"/>
  <c r="H461" i="9"/>
  <c r="I461" i="9" s="1"/>
  <c r="H460" i="9"/>
  <c r="I460" i="9" s="1"/>
  <c r="H459" i="9"/>
  <c r="I459" i="9" s="1"/>
  <c r="H458" i="9"/>
  <c r="I458" i="9" s="1"/>
  <c r="H457" i="9"/>
  <c r="I457" i="9" s="1"/>
  <c r="H456" i="9"/>
  <c r="I456" i="9" s="1"/>
  <c r="H455" i="9"/>
  <c r="I455" i="9" s="1"/>
  <c r="H454" i="9"/>
  <c r="I454" i="9" s="1"/>
  <c r="H453" i="9"/>
  <c r="I453" i="9" s="1"/>
  <c r="H452" i="9"/>
  <c r="I452" i="9" s="1"/>
  <c r="H451" i="9"/>
  <c r="I451" i="9" s="1"/>
  <c r="H450" i="9"/>
  <c r="I450" i="9" s="1"/>
  <c r="H449" i="9"/>
  <c r="I449" i="9" s="1"/>
  <c r="H448" i="9"/>
  <c r="I448" i="9" s="1"/>
  <c r="H447" i="9"/>
  <c r="I447" i="9" s="1"/>
  <c r="H446" i="9"/>
  <c r="I446" i="9" s="1"/>
  <c r="H445" i="9"/>
  <c r="I445" i="9" s="1"/>
  <c r="H444" i="9"/>
  <c r="I444" i="9" s="1"/>
  <c r="H443" i="9"/>
  <c r="I443" i="9" s="1"/>
  <c r="H442" i="9"/>
  <c r="I442" i="9" s="1"/>
  <c r="H441" i="9"/>
  <c r="I441" i="9" s="1"/>
  <c r="H440" i="9"/>
  <c r="I440" i="9" s="1"/>
  <c r="H439" i="9"/>
  <c r="I439" i="9" s="1"/>
  <c r="H438" i="9"/>
  <c r="I438" i="9" s="1"/>
  <c r="H437" i="9"/>
  <c r="I437" i="9" s="1"/>
  <c r="H436" i="9"/>
  <c r="I436" i="9" s="1"/>
  <c r="H435" i="9"/>
  <c r="I435" i="9" s="1"/>
  <c r="H434" i="9"/>
  <c r="I434" i="9" s="1"/>
  <c r="H433" i="9"/>
  <c r="I433" i="9" s="1"/>
  <c r="H432" i="9"/>
  <c r="I432" i="9" s="1"/>
  <c r="H431" i="9"/>
  <c r="I431" i="9" s="1"/>
  <c r="H430" i="9"/>
  <c r="I430" i="9" s="1"/>
  <c r="H429" i="9"/>
  <c r="I429" i="9" s="1"/>
  <c r="H428" i="9"/>
  <c r="I428" i="9" s="1"/>
  <c r="H427" i="9"/>
  <c r="I427" i="9" s="1"/>
  <c r="H426" i="9"/>
  <c r="I426" i="9" s="1"/>
  <c r="H425" i="9"/>
  <c r="I425" i="9" s="1"/>
  <c r="H424" i="9"/>
  <c r="I424" i="9" s="1"/>
  <c r="H423" i="9"/>
  <c r="I423" i="9" s="1"/>
  <c r="H422" i="9"/>
  <c r="I422" i="9" s="1"/>
  <c r="H421" i="9"/>
  <c r="I421" i="9" s="1"/>
  <c r="H420" i="9"/>
  <c r="I420" i="9" s="1"/>
  <c r="H419" i="9"/>
  <c r="I419" i="9" s="1"/>
  <c r="H418" i="9"/>
  <c r="I418" i="9" s="1"/>
  <c r="H417" i="9"/>
  <c r="I417" i="9" s="1"/>
  <c r="H416" i="9"/>
  <c r="I416" i="9" s="1"/>
  <c r="H415" i="9"/>
  <c r="I415" i="9" s="1"/>
  <c r="H414" i="9"/>
  <c r="I414" i="9" s="1"/>
  <c r="H413" i="9"/>
  <c r="I413" i="9" s="1"/>
  <c r="H412" i="9"/>
  <c r="I412" i="9" s="1"/>
  <c r="H411" i="9"/>
  <c r="I411" i="9" s="1"/>
  <c r="H410" i="9"/>
  <c r="I410" i="9" s="1"/>
  <c r="H409" i="9"/>
  <c r="I409" i="9" s="1"/>
  <c r="H408" i="9"/>
  <c r="I408" i="9" s="1"/>
  <c r="H407" i="9"/>
  <c r="I407" i="9" s="1"/>
  <c r="H406" i="9"/>
  <c r="I406" i="9" s="1"/>
  <c r="H405" i="9"/>
  <c r="I405" i="9" s="1"/>
  <c r="H404" i="9"/>
  <c r="I404" i="9" s="1"/>
  <c r="H403" i="9"/>
  <c r="I403" i="9" s="1"/>
  <c r="H402" i="9"/>
  <c r="I402" i="9" s="1"/>
  <c r="H401" i="9"/>
  <c r="I401" i="9" s="1"/>
  <c r="H400" i="9"/>
  <c r="I400" i="9" s="1"/>
  <c r="H399" i="9"/>
  <c r="I399" i="9" s="1"/>
  <c r="H398" i="9"/>
  <c r="I398" i="9" s="1"/>
  <c r="H397" i="9"/>
  <c r="I397" i="9" s="1"/>
  <c r="H396" i="9"/>
  <c r="I396" i="9" s="1"/>
  <c r="H395" i="9"/>
  <c r="I395" i="9" s="1"/>
  <c r="H394" i="9"/>
  <c r="I394" i="9" s="1"/>
  <c r="H393" i="9"/>
  <c r="I393" i="9" s="1"/>
  <c r="H392" i="9"/>
  <c r="I392" i="9" s="1"/>
  <c r="H391" i="9"/>
  <c r="I391" i="9" s="1"/>
  <c r="H390" i="9"/>
  <c r="I390" i="9" s="1"/>
  <c r="H389" i="9"/>
  <c r="I389" i="9" s="1"/>
  <c r="H388" i="9"/>
  <c r="I388" i="9" s="1"/>
  <c r="H387" i="9"/>
  <c r="I387" i="9" s="1"/>
  <c r="H386" i="9"/>
  <c r="I386" i="9" s="1"/>
  <c r="H385" i="9"/>
  <c r="I385" i="9" s="1"/>
  <c r="H384" i="9"/>
  <c r="I384" i="9" s="1"/>
  <c r="H383" i="9"/>
  <c r="I383" i="9" s="1"/>
  <c r="H382" i="9"/>
  <c r="I382" i="9" s="1"/>
  <c r="H381" i="9"/>
  <c r="I381" i="9" s="1"/>
  <c r="H380" i="9"/>
  <c r="I380" i="9" s="1"/>
  <c r="H379" i="9"/>
  <c r="I379" i="9" s="1"/>
  <c r="H378" i="9"/>
  <c r="I378" i="9" s="1"/>
  <c r="H377" i="9"/>
  <c r="I377" i="9" s="1"/>
  <c r="H376" i="9"/>
  <c r="I376" i="9" s="1"/>
  <c r="H375" i="9"/>
  <c r="I375" i="9" s="1"/>
  <c r="H374" i="9"/>
  <c r="I374" i="9" s="1"/>
  <c r="H373" i="9"/>
  <c r="I373" i="9" s="1"/>
  <c r="H372" i="9"/>
  <c r="I372" i="9" s="1"/>
  <c r="H371" i="9"/>
  <c r="I371" i="9" s="1"/>
  <c r="H370" i="9"/>
  <c r="I370" i="9" s="1"/>
  <c r="H369" i="9"/>
  <c r="I369" i="9" s="1"/>
  <c r="H368" i="9"/>
  <c r="I368" i="9" s="1"/>
  <c r="H367" i="9"/>
  <c r="I367" i="9" s="1"/>
  <c r="H366" i="9"/>
  <c r="I366" i="9" s="1"/>
  <c r="H365" i="9"/>
  <c r="I365" i="9" s="1"/>
  <c r="H364" i="9"/>
  <c r="I364" i="9" s="1"/>
  <c r="H363" i="9"/>
  <c r="I363" i="9" s="1"/>
  <c r="H362" i="9"/>
  <c r="I362" i="9" s="1"/>
  <c r="H361" i="9"/>
  <c r="I361" i="9" s="1"/>
  <c r="H360" i="9"/>
  <c r="I360" i="9" s="1"/>
  <c r="H359" i="9"/>
  <c r="I359" i="9" s="1"/>
  <c r="H358" i="9"/>
  <c r="I358" i="9" s="1"/>
  <c r="H357" i="9"/>
  <c r="I357" i="9" s="1"/>
  <c r="H356" i="9"/>
  <c r="I356" i="9" s="1"/>
  <c r="H355" i="9"/>
  <c r="I355" i="9" s="1"/>
  <c r="H354" i="9"/>
  <c r="I354" i="9" s="1"/>
  <c r="H353" i="9"/>
  <c r="I353" i="9" s="1"/>
  <c r="H352" i="9"/>
  <c r="I352" i="9" s="1"/>
  <c r="H351" i="9"/>
  <c r="I351" i="9" s="1"/>
  <c r="H350" i="9"/>
  <c r="I350" i="9" s="1"/>
  <c r="H349" i="9"/>
  <c r="I349" i="9" s="1"/>
  <c r="H348" i="9"/>
  <c r="I348" i="9" s="1"/>
  <c r="I347" i="9"/>
  <c r="H347" i="9"/>
  <c r="H346" i="9"/>
  <c r="I346" i="9" s="1"/>
  <c r="H345" i="9"/>
  <c r="I345" i="9" s="1"/>
  <c r="H344" i="9"/>
  <c r="I344" i="9" s="1"/>
  <c r="H343" i="9"/>
  <c r="I343" i="9" s="1"/>
  <c r="H342" i="9"/>
  <c r="I342" i="9" s="1"/>
  <c r="H341" i="9"/>
  <c r="I341" i="9" s="1"/>
  <c r="H340" i="9"/>
  <c r="I340" i="9" s="1"/>
  <c r="H339" i="9"/>
  <c r="I339" i="9" s="1"/>
  <c r="H338" i="9"/>
  <c r="I338" i="9" s="1"/>
  <c r="H337" i="9"/>
  <c r="I337" i="9" s="1"/>
  <c r="H336" i="9"/>
  <c r="I336" i="9" s="1"/>
  <c r="H335" i="9"/>
  <c r="I335" i="9" s="1"/>
  <c r="H334" i="9"/>
  <c r="I334" i="9" s="1"/>
  <c r="H333" i="9"/>
  <c r="I333" i="9" s="1"/>
  <c r="H332" i="9"/>
  <c r="I332" i="9" s="1"/>
  <c r="H331" i="9"/>
  <c r="I331" i="9" s="1"/>
  <c r="H330" i="9"/>
  <c r="I330" i="9" s="1"/>
  <c r="H329" i="9"/>
  <c r="I329" i="9" s="1"/>
  <c r="H328" i="9"/>
  <c r="I328" i="9" s="1"/>
  <c r="H327" i="9"/>
  <c r="I327" i="9" s="1"/>
  <c r="H326" i="9"/>
  <c r="I326" i="9" s="1"/>
  <c r="H325" i="9"/>
  <c r="I325" i="9" s="1"/>
  <c r="H324" i="9"/>
  <c r="I324" i="9" s="1"/>
  <c r="H323" i="9"/>
  <c r="I323" i="9" s="1"/>
  <c r="H322" i="9"/>
  <c r="I322" i="9" s="1"/>
  <c r="H321" i="9"/>
  <c r="I321" i="9" s="1"/>
  <c r="H320" i="9"/>
  <c r="I320" i="9" s="1"/>
  <c r="H319" i="9"/>
  <c r="I319" i="9" s="1"/>
  <c r="H318" i="9"/>
  <c r="I318" i="9" s="1"/>
  <c r="H317" i="9"/>
  <c r="I317" i="9" s="1"/>
  <c r="H316" i="9"/>
  <c r="I316" i="9" s="1"/>
  <c r="H315" i="9"/>
  <c r="I315" i="9" s="1"/>
  <c r="H314" i="9"/>
  <c r="I314" i="9" s="1"/>
  <c r="H313" i="9"/>
  <c r="I313" i="9" s="1"/>
  <c r="H312" i="9"/>
  <c r="I312" i="9" s="1"/>
  <c r="H311" i="9"/>
  <c r="I311" i="9" s="1"/>
  <c r="H310" i="9"/>
  <c r="I310" i="9" s="1"/>
  <c r="H309" i="9"/>
  <c r="I309" i="9" s="1"/>
  <c r="H308" i="9"/>
  <c r="I308" i="9" s="1"/>
  <c r="H307" i="9"/>
  <c r="I307" i="9" s="1"/>
  <c r="H306" i="9"/>
  <c r="I306" i="9" s="1"/>
  <c r="H305" i="9"/>
  <c r="I305" i="9" s="1"/>
  <c r="H304" i="9"/>
  <c r="I304" i="9" s="1"/>
  <c r="H303" i="9"/>
  <c r="I303" i="9" s="1"/>
  <c r="H302" i="9"/>
  <c r="I302" i="9" s="1"/>
  <c r="H301" i="9"/>
  <c r="I301" i="9" s="1"/>
  <c r="H300" i="9"/>
  <c r="I300" i="9" s="1"/>
  <c r="H299" i="9"/>
  <c r="I299" i="9" s="1"/>
  <c r="H298" i="9"/>
  <c r="I298" i="9" s="1"/>
  <c r="H297" i="9"/>
  <c r="I297" i="9" s="1"/>
  <c r="H296" i="9"/>
  <c r="I296" i="9" s="1"/>
  <c r="H295" i="9"/>
  <c r="I295" i="9" s="1"/>
  <c r="H294" i="9"/>
  <c r="I294" i="9" s="1"/>
  <c r="H293" i="9"/>
  <c r="I293" i="9" s="1"/>
  <c r="H292" i="9"/>
  <c r="I292" i="9" s="1"/>
  <c r="H291" i="9"/>
  <c r="I291" i="9" s="1"/>
  <c r="H290" i="9"/>
  <c r="I290" i="9" s="1"/>
  <c r="H289" i="9"/>
  <c r="I289" i="9" s="1"/>
  <c r="H288" i="9"/>
  <c r="I288" i="9" s="1"/>
  <c r="H287" i="9"/>
  <c r="I287" i="9" s="1"/>
  <c r="H286" i="9"/>
  <c r="I286" i="9" s="1"/>
  <c r="H285" i="9"/>
  <c r="I285" i="9" s="1"/>
  <c r="H284" i="9"/>
  <c r="I284" i="9" s="1"/>
  <c r="H283" i="9"/>
  <c r="I283" i="9" s="1"/>
  <c r="H282" i="9"/>
  <c r="I282" i="9" s="1"/>
  <c r="H281" i="9"/>
  <c r="I281" i="9" s="1"/>
  <c r="H280" i="9"/>
  <c r="I280" i="9" s="1"/>
  <c r="H279" i="9"/>
  <c r="I279" i="9" s="1"/>
  <c r="H278" i="9"/>
  <c r="I278" i="9" s="1"/>
  <c r="H277" i="9"/>
  <c r="I277" i="9" s="1"/>
  <c r="H276" i="9"/>
  <c r="I276" i="9" s="1"/>
  <c r="H275" i="9"/>
  <c r="I275" i="9" s="1"/>
  <c r="H274" i="9"/>
  <c r="I274" i="9" s="1"/>
  <c r="H273" i="9"/>
  <c r="I273" i="9" s="1"/>
  <c r="H272" i="9"/>
  <c r="I272" i="9" s="1"/>
  <c r="H271" i="9"/>
  <c r="I271" i="9" s="1"/>
  <c r="H270" i="9"/>
  <c r="I270" i="9" s="1"/>
  <c r="H269" i="9"/>
  <c r="I269" i="9" s="1"/>
  <c r="H268" i="9"/>
  <c r="I268" i="9" s="1"/>
  <c r="H267" i="9"/>
  <c r="I267" i="9" s="1"/>
  <c r="H266" i="9"/>
  <c r="I266" i="9" s="1"/>
  <c r="H265" i="9"/>
  <c r="I265" i="9" s="1"/>
  <c r="H264" i="9"/>
  <c r="I264" i="9" s="1"/>
  <c r="H263" i="9"/>
  <c r="I263" i="9" s="1"/>
  <c r="H262" i="9"/>
  <c r="I262" i="9" s="1"/>
  <c r="H261" i="9"/>
  <c r="I261" i="9" s="1"/>
  <c r="H260" i="9"/>
  <c r="I260" i="9" s="1"/>
  <c r="H259" i="9"/>
  <c r="I259" i="9" s="1"/>
  <c r="H258" i="9"/>
  <c r="I258" i="9" s="1"/>
  <c r="H257" i="9"/>
  <c r="I257" i="9" s="1"/>
  <c r="H256" i="9"/>
  <c r="I256" i="9" s="1"/>
  <c r="H255" i="9"/>
  <c r="I255" i="9" s="1"/>
  <c r="H254" i="9"/>
  <c r="I254" i="9" s="1"/>
  <c r="H253" i="9"/>
  <c r="I253" i="9" s="1"/>
  <c r="H252" i="9"/>
  <c r="I252" i="9" s="1"/>
  <c r="H251" i="9"/>
  <c r="I251" i="9" s="1"/>
  <c r="H250" i="9"/>
  <c r="I250" i="9" s="1"/>
  <c r="H249" i="9"/>
  <c r="I249" i="9" s="1"/>
  <c r="H248" i="9"/>
  <c r="I248" i="9" s="1"/>
  <c r="H247" i="9"/>
  <c r="I247" i="9" s="1"/>
  <c r="H246" i="9"/>
  <c r="I246" i="9" s="1"/>
  <c r="H245" i="9"/>
  <c r="I245" i="9" s="1"/>
  <c r="H244" i="9"/>
  <c r="I244" i="9" s="1"/>
  <c r="H243" i="9"/>
  <c r="I243" i="9" s="1"/>
  <c r="H242" i="9"/>
  <c r="I242" i="9" s="1"/>
  <c r="H241" i="9"/>
  <c r="I241" i="9" s="1"/>
  <c r="H240" i="9"/>
  <c r="I240" i="9" s="1"/>
  <c r="H239" i="9"/>
  <c r="I239" i="9" s="1"/>
  <c r="H238" i="9"/>
  <c r="I238" i="9" s="1"/>
  <c r="H237" i="9"/>
  <c r="I237" i="9" s="1"/>
  <c r="H236" i="9"/>
  <c r="I236" i="9" s="1"/>
  <c r="H235" i="9"/>
  <c r="I235" i="9" s="1"/>
  <c r="H234" i="9"/>
  <c r="I234" i="9" s="1"/>
  <c r="H233" i="9"/>
  <c r="I233" i="9" s="1"/>
  <c r="H232" i="9"/>
  <c r="I232" i="9" s="1"/>
  <c r="H231" i="9"/>
  <c r="I231" i="9" s="1"/>
  <c r="H230" i="9"/>
  <c r="I230" i="9" s="1"/>
  <c r="H229" i="9"/>
  <c r="I229" i="9" s="1"/>
  <c r="H228" i="9"/>
  <c r="I228" i="9" s="1"/>
  <c r="H227" i="9"/>
  <c r="I227" i="9" s="1"/>
  <c r="H226" i="9"/>
  <c r="I226" i="9" s="1"/>
  <c r="H225" i="9"/>
  <c r="I225" i="9" s="1"/>
  <c r="H224" i="9"/>
  <c r="I224" i="9" s="1"/>
  <c r="H223" i="9"/>
  <c r="I223" i="9" s="1"/>
  <c r="H222" i="9"/>
  <c r="I222" i="9" s="1"/>
  <c r="H221" i="9"/>
  <c r="I221" i="9" s="1"/>
  <c r="H220" i="9"/>
  <c r="I220" i="9" s="1"/>
  <c r="H219" i="9"/>
  <c r="I219" i="9" s="1"/>
  <c r="H218" i="9"/>
  <c r="I218" i="9" s="1"/>
  <c r="H217" i="9"/>
  <c r="I217" i="9" s="1"/>
  <c r="H216" i="9"/>
  <c r="I216" i="9" s="1"/>
  <c r="H215" i="9"/>
  <c r="I215" i="9" s="1"/>
  <c r="H214" i="9"/>
  <c r="I214" i="9" s="1"/>
  <c r="H213" i="9"/>
  <c r="I213" i="9" s="1"/>
  <c r="H212" i="9"/>
  <c r="I212" i="9" s="1"/>
  <c r="H211" i="9"/>
  <c r="I211" i="9" s="1"/>
  <c r="H210" i="9"/>
  <c r="I210" i="9" s="1"/>
  <c r="H209" i="9"/>
  <c r="I209" i="9" s="1"/>
  <c r="H208" i="9"/>
  <c r="I208" i="9" s="1"/>
  <c r="H207" i="9"/>
  <c r="I207" i="9" s="1"/>
  <c r="H206" i="9"/>
  <c r="I206" i="9" s="1"/>
  <c r="H205" i="9"/>
  <c r="I205" i="9" s="1"/>
  <c r="H204" i="9"/>
  <c r="I204" i="9" s="1"/>
  <c r="H203" i="9"/>
  <c r="I203" i="9" s="1"/>
  <c r="H202" i="9"/>
  <c r="I202" i="9" s="1"/>
  <c r="H201" i="9"/>
  <c r="I201" i="9" s="1"/>
  <c r="H200" i="9"/>
  <c r="I200" i="9" s="1"/>
  <c r="H199" i="9"/>
  <c r="I199" i="9" s="1"/>
  <c r="H198" i="9"/>
  <c r="I198" i="9" s="1"/>
  <c r="H197" i="9"/>
  <c r="I197" i="9" s="1"/>
  <c r="H196" i="9"/>
  <c r="I196" i="9" s="1"/>
  <c r="H195" i="9"/>
  <c r="I195" i="9" s="1"/>
  <c r="H194" i="9"/>
  <c r="I194" i="9" s="1"/>
  <c r="H193" i="9"/>
  <c r="I193" i="9" s="1"/>
  <c r="H192" i="9"/>
  <c r="I192" i="9" s="1"/>
  <c r="H191" i="9"/>
  <c r="I191" i="9" s="1"/>
  <c r="H190" i="9"/>
  <c r="I190" i="9" s="1"/>
  <c r="H189" i="9"/>
  <c r="I189" i="9" s="1"/>
  <c r="H188" i="9"/>
  <c r="I188" i="9" s="1"/>
  <c r="H187" i="9"/>
  <c r="I187" i="9" s="1"/>
  <c r="H186" i="9"/>
  <c r="I186" i="9" s="1"/>
  <c r="H185" i="9"/>
  <c r="I185" i="9" s="1"/>
  <c r="H184" i="9"/>
  <c r="I184" i="9" s="1"/>
  <c r="H183" i="9"/>
  <c r="I183" i="9" s="1"/>
  <c r="H182" i="9"/>
  <c r="I182" i="9" s="1"/>
  <c r="H181" i="9"/>
  <c r="I181" i="9" s="1"/>
  <c r="H180" i="9"/>
  <c r="I180" i="9" s="1"/>
  <c r="H179" i="9"/>
  <c r="I179" i="9" s="1"/>
  <c r="H178" i="9"/>
  <c r="I178" i="9" s="1"/>
  <c r="H177" i="9"/>
  <c r="I177" i="9" s="1"/>
  <c r="H176" i="9"/>
  <c r="I176" i="9" s="1"/>
  <c r="H175" i="9"/>
  <c r="I175" i="9" s="1"/>
  <c r="H174" i="9"/>
  <c r="I174" i="9" s="1"/>
  <c r="H173" i="9"/>
  <c r="I173" i="9" s="1"/>
  <c r="H172" i="9"/>
  <c r="I172" i="9" s="1"/>
  <c r="H171" i="9"/>
  <c r="I171" i="9" s="1"/>
  <c r="H170" i="9"/>
  <c r="I170" i="9" s="1"/>
  <c r="H169" i="9"/>
  <c r="I169" i="9" s="1"/>
  <c r="H168" i="9"/>
  <c r="I168" i="9" s="1"/>
  <c r="H167" i="9"/>
  <c r="I167" i="9" s="1"/>
  <c r="H166" i="9"/>
  <c r="I166" i="9" s="1"/>
  <c r="H165" i="9"/>
  <c r="I165" i="9" s="1"/>
  <c r="H164" i="9"/>
  <c r="I164" i="9" s="1"/>
  <c r="H163" i="9"/>
  <c r="I163" i="9" s="1"/>
  <c r="H162" i="9"/>
  <c r="I162" i="9" s="1"/>
  <c r="H161" i="9"/>
  <c r="I161" i="9" s="1"/>
  <c r="H160" i="9"/>
  <c r="I160" i="9" s="1"/>
  <c r="H159" i="9"/>
  <c r="I159" i="9" s="1"/>
  <c r="H158" i="9"/>
  <c r="I158" i="9" s="1"/>
  <c r="H157" i="9"/>
  <c r="I157" i="9" s="1"/>
  <c r="H156" i="9"/>
  <c r="I156" i="9" s="1"/>
  <c r="H155" i="9"/>
  <c r="I155" i="9" s="1"/>
  <c r="H154" i="9"/>
  <c r="I154" i="9" s="1"/>
  <c r="H153" i="9"/>
  <c r="I153" i="9" s="1"/>
  <c r="H152" i="9"/>
  <c r="I152" i="9" s="1"/>
  <c r="H151" i="9"/>
  <c r="I151" i="9" s="1"/>
  <c r="H150" i="9"/>
  <c r="I150" i="9" s="1"/>
  <c r="H149" i="9"/>
  <c r="I149" i="9" s="1"/>
  <c r="H148" i="9"/>
  <c r="I148" i="9" s="1"/>
  <c r="H147" i="9"/>
  <c r="I147" i="9" s="1"/>
  <c r="H146" i="9"/>
  <c r="I146" i="9" s="1"/>
  <c r="H145" i="9"/>
  <c r="I145" i="9" s="1"/>
  <c r="H144" i="9"/>
  <c r="I144" i="9" s="1"/>
  <c r="H143" i="9"/>
  <c r="I143" i="9" s="1"/>
  <c r="H142" i="9"/>
  <c r="I142" i="9" s="1"/>
  <c r="H141" i="9"/>
  <c r="I141" i="9" s="1"/>
  <c r="H140" i="9"/>
  <c r="I140" i="9" s="1"/>
  <c r="H139" i="9"/>
  <c r="I139" i="9" s="1"/>
  <c r="H138" i="9"/>
  <c r="I138" i="9" s="1"/>
  <c r="H137" i="9"/>
  <c r="I137" i="9" s="1"/>
  <c r="H136" i="9"/>
  <c r="I136" i="9" s="1"/>
  <c r="H135" i="9"/>
  <c r="I135" i="9" s="1"/>
  <c r="H134" i="9"/>
  <c r="I134" i="9" s="1"/>
  <c r="H133" i="9"/>
  <c r="I133" i="9" s="1"/>
  <c r="H132" i="9"/>
  <c r="I132" i="9" s="1"/>
  <c r="H131" i="9"/>
  <c r="I131" i="9" s="1"/>
  <c r="H130" i="9"/>
  <c r="I130" i="9" s="1"/>
  <c r="H129" i="9"/>
  <c r="I129" i="9" s="1"/>
  <c r="H128" i="9"/>
  <c r="I128" i="9" s="1"/>
  <c r="H127" i="9"/>
  <c r="I127" i="9" s="1"/>
  <c r="H126" i="9"/>
  <c r="I126" i="9" s="1"/>
  <c r="H125" i="9"/>
  <c r="I125" i="9" s="1"/>
  <c r="H124" i="9"/>
  <c r="I124" i="9" s="1"/>
  <c r="H123" i="9"/>
  <c r="I123" i="9" s="1"/>
  <c r="H122" i="9"/>
  <c r="I122" i="9" s="1"/>
  <c r="H121" i="9"/>
  <c r="I121" i="9" s="1"/>
  <c r="H120" i="9"/>
  <c r="I120" i="9" s="1"/>
  <c r="H119" i="9"/>
  <c r="I119" i="9" s="1"/>
  <c r="H118" i="9"/>
  <c r="I118" i="9" s="1"/>
  <c r="H117" i="9"/>
  <c r="I117" i="9" s="1"/>
  <c r="H116" i="9"/>
  <c r="I116" i="9" s="1"/>
  <c r="H115" i="9"/>
  <c r="I115" i="9" s="1"/>
  <c r="H114" i="9"/>
  <c r="I114" i="9" s="1"/>
  <c r="H113" i="9"/>
  <c r="I113" i="9" s="1"/>
  <c r="H112" i="9"/>
  <c r="I112" i="9" s="1"/>
  <c r="H111" i="9"/>
  <c r="I111" i="9" s="1"/>
  <c r="H110" i="9"/>
  <c r="I110" i="9" s="1"/>
  <c r="H109" i="9"/>
  <c r="I109" i="9" s="1"/>
  <c r="H108" i="9"/>
  <c r="I108" i="9" s="1"/>
  <c r="H107" i="9"/>
  <c r="I107" i="9" s="1"/>
  <c r="H106" i="9"/>
  <c r="I106" i="9" s="1"/>
  <c r="H105" i="9"/>
  <c r="I105" i="9" s="1"/>
  <c r="H104" i="9"/>
  <c r="I104" i="9" s="1"/>
  <c r="H103" i="9"/>
  <c r="I103" i="9" s="1"/>
  <c r="H102" i="9"/>
  <c r="I102" i="9" s="1"/>
  <c r="H101" i="9"/>
  <c r="I101" i="9" s="1"/>
  <c r="H100" i="9"/>
  <c r="I100" i="9" s="1"/>
  <c r="H99" i="9"/>
  <c r="I99" i="9" s="1"/>
  <c r="H98" i="9"/>
  <c r="I98" i="9" s="1"/>
  <c r="H97" i="9"/>
  <c r="I97" i="9" s="1"/>
  <c r="H96" i="9"/>
  <c r="I96" i="9" s="1"/>
  <c r="H95" i="9"/>
  <c r="I95" i="9" s="1"/>
  <c r="H94" i="9"/>
  <c r="I94" i="9" s="1"/>
  <c r="H93" i="9"/>
  <c r="I93" i="9" s="1"/>
  <c r="H92" i="9"/>
  <c r="I92" i="9" s="1"/>
  <c r="H91" i="9"/>
  <c r="I91" i="9" s="1"/>
  <c r="H90" i="9"/>
  <c r="I90" i="9" s="1"/>
  <c r="H89" i="9"/>
  <c r="I89" i="9" s="1"/>
  <c r="H88" i="9"/>
  <c r="I88" i="9" s="1"/>
  <c r="H87" i="9"/>
  <c r="I87" i="9" s="1"/>
  <c r="H86" i="9"/>
  <c r="I86" i="9" s="1"/>
  <c r="H85" i="9"/>
  <c r="I85" i="9" s="1"/>
  <c r="H84" i="9"/>
  <c r="I84" i="9" s="1"/>
  <c r="H83" i="9"/>
  <c r="I83" i="9" s="1"/>
  <c r="H82" i="9"/>
  <c r="I82" i="9" s="1"/>
  <c r="H81" i="9"/>
  <c r="I81" i="9" s="1"/>
  <c r="H80" i="9"/>
  <c r="I80" i="9" s="1"/>
  <c r="H79" i="9"/>
  <c r="I79" i="9" s="1"/>
  <c r="H78" i="9"/>
  <c r="I78" i="9" s="1"/>
  <c r="H77" i="9"/>
  <c r="I77" i="9" s="1"/>
  <c r="H76" i="9"/>
  <c r="I76" i="9" s="1"/>
  <c r="H75" i="9"/>
  <c r="I75" i="9" s="1"/>
  <c r="H74" i="9"/>
  <c r="I74" i="9" s="1"/>
  <c r="H73" i="9"/>
  <c r="I73" i="9" s="1"/>
  <c r="H72" i="9"/>
  <c r="I72" i="9" s="1"/>
  <c r="H71" i="9"/>
  <c r="I71" i="9" s="1"/>
  <c r="H70" i="9"/>
  <c r="I70" i="9" s="1"/>
  <c r="H69" i="9"/>
  <c r="I69" i="9" s="1"/>
  <c r="H68" i="9"/>
  <c r="I68" i="9" s="1"/>
  <c r="H67" i="9"/>
  <c r="I67" i="9" s="1"/>
  <c r="H66" i="9"/>
  <c r="I66" i="9" s="1"/>
  <c r="H65" i="9"/>
  <c r="I65" i="9" s="1"/>
  <c r="H64" i="9"/>
  <c r="I64" i="9" s="1"/>
  <c r="H63" i="9"/>
  <c r="I63" i="9" s="1"/>
  <c r="H62" i="9"/>
  <c r="I62" i="9" s="1"/>
  <c r="H61" i="9"/>
  <c r="I61" i="9" s="1"/>
  <c r="H60" i="9"/>
  <c r="I60" i="9" s="1"/>
  <c r="H59" i="9"/>
  <c r="I59" i="9" s="1"/>
  <c r="H58" i="9"/>
  <c r="I58" i="9" s="1"/>
  <c r="H57" i="9"/>
  <c r="I57" i="9" s="1"/>
  <c r="H56" i="9"/>
  <c r="I56" i="9" s="1"/>
  <c r="H55" i="9"/>
  <c r="I55" i="9" s="1"/>
  <c r="H54" i="9"/>
  <c r="I54" i="9" s="1"/>
  <c r="H53" i="9"/>
  <c r="I53" i="9" s="1"/>
  <c r="H52" i="9"/>
  <c r="I52" i="9" s="1"/>
  <c r="H51" i="9"/>
  <c r="I51" i="9" s="1"/>
  <c r="H50" i="9"/>
  <c r="I50" i="9" s="1"/>
  <c r="H49" i="9"/>
  <c r="I49" i="9" s="1"/>
  <c r="H48" i="9"/>
  <c r="I48" i="9" s="1"/>
  <c r="H47" i="9"/>
  <c r="I47" i="9" s="1"/>
  <c r="H46" i="9"/>
  <c r="I46" i="9" s="1"/>
  <c r="H45" i="9"/>
  <c r="I45" i="9" s="1"/>
  <c r="H44" i="9"/>
  <c r="I44" i="9" s="1"/>
  <c r="H43" i="9"/>
  <c r="I43" i="9" s="1"/>
  <c r="H42" i="9"/>
  <c r="I42" i="9" s="1"/>
  <c r="H41" i="9"/>
  <c r="I41" i="9" s="1"/>
  <c r="H40" i="9"/>
  <c r="I40" i="9" s="1"/>
  <c r="H39" i="9"/>
  <c r="I39" i="9" s="1"/>
  <c r="H38" i="9"/>
  <c r="I38" i="9" s="1"/>
  <c r="H37" i="9"/>
  <c r="I37" i="9" s="1"/>
  <c r="H36" i="9"/>
  <c r="I36" i="9" s="1"/>
  <c r="H35" i="9"/>
  <c r="I35" i="9" s="1"/>
  <c r="H34" i="9"/>
  <c r="I34" i="9" s="1"/>
  <c r="H33" i="9"/>
  <c r="I33" i="9" s="1"/>
  <c r="H32" i="9"/>
  <c r="I32" i="9" s="1"/>
  <c r="H31" i="9"/>
  <c r="I31" i="9" s="1"/>
  <c r="H30" i="9"/>
  <c r="I30" i="9" s="1"/>
  <c r="H29" i="9"/>
  <c r="I29" i="9" s="1"/>
  <c r="H28" i="9"/>
  <c r="I28" i="9" s="1"/>
  <c r="H27" i="9"/>
  <c r="I27" i="9" s="1"/>
  <c r="H26" i="9"/>
  <c r="I26" i="9" s="1"/>
  <c r="H25" i="9"/>
  <c r="I25" i="9" s="1"/>
  <c r="H24" i="9"/>
  <c r="I24" i="9" s="1"/>
  <c r="K23" i="9"/>
  <c r="H23" i="9"/>
  <c r="I23" i="9" s="1"/>
  <c r="H22" i="9"/>
  <c r="I22" i="9" s="1"/>
  <c r="K21" i="9"/>
  <c r="H21" i="9"/>
  <c r="I21" i="9" s="1"/>
  <c r="K20" i="9"/>
  <c r="H20" i="9"/>
  <c r="I20" i="9" s="1"/>
  <c r="H19" i="9"/>
  <c r="I19" i="9" s="1"/>
  <c r="H18" i="9"/>
  <c r="I18" i="9" s="1"/>
  <c r="H17" i="9"/>
  <c r="I17" i="9" s="1"/>
  <c r="N16" i="9"/>
  <c r="H16" i="9"/>
  <c r="I16" i="9" s="1"/>
  <c r="I15" i="9"/>
  <c r="H15" i="9"/>
  <c r="I14" i="9"/>
  <c r="H14" i="9"/>
  <c r="H13" i="9"/>
  <c r="I13" i="9" s="1"/>
  <c r="H12" i="9"/>
  <c r="I12" i="9" s="1"/>
  <c r="H11" i="9"/>
  <c r="I11" i="9" s="1"/>
  <c r="I10" i="9"/>
  <c r="H10" i="9"/>
  <c r="I9" i="9"/>
  <c r="H9" i="9"/>
  <c r="H8" i="9"/>
  <c r="I8" i="9" s="1"/>
  <c r="H7" i="9"/>
  <c r="I7" i="9" s="1"/>
  <c r="H6" i="9"/>
  <c r="I6" i="9" s="1"/>
  <c r="H5" i="9"/>
  <c r="I5" i="9" s="1"/>
  <c r="I4" i="9"/>
  <c r="H4" i="9"/>
  <c r="H3" i="9"/>
  <c r="I3" i="9" s="1"/>
  <c r="H2" i="9"/>
  <c r="I2" i="9" s="1"/>
  <c r="K18" i="9" l="1"/>
  <c r="K19" i="9"/>
  <c r="I529" i="9"/>
  <c r="F52" i="7" l="1"/>
  <c r="G51" i="7"/>
  <c r="H51" i="7" s="1"/>
  <c r="G50" i="7"/>
  <c r="H50" i="7" s="1"/>
  <c r="G49" i="7"/>
  <c r="H49" i="7" s="1"/>
  <c r="G48" i="7"/>
  <c r="H48" i="7" s="1"/>
  <c r="G47" i="7"/>
  <c r="H47" i="7" s="1"/>
  <c r="G46" i="7"/>
  <c r="H46" i="7" s="1"/>
  <c r="G45" i="7"/>
  <c r="H45" i="7" s="1"/>
  <c r="G44" i="7"/>
  <c r="H44" i="7" s="1"/>
  <c r="G43" i="7"/>
  <c r="H43" i="7" s="1"/>
  <c r="G42" i="7"/>
  <c r="H42" i="7" s="1"/>
  <c r="G41" i="7"/>
  <c r="H41" i="7" s="1"/>
  <c r="H40" i="7"/>
  <c r="G40" i="7"/>
  <c r="G39" i="7"/>
  <c r="H39" i="7" s="1"/>
  <c r="G38" i="7"/>
  <c r="H38" i="7" s="1"/>
  <c r="G37" i="7"/>
  <c r="H37" i="7" s="1"/>
  <c r="G36" i="7"/>
  <c r="H36" i="7" s="1"/>
  <c r="G35" i="7"/>
  <c r="H35" i="7" s="1"/>
  <c r="G34" i="7"/>
  <c r="H34" i="7" s="1"/>
  <c r="G33" i="7"/>
  <c r="H33" i="7" s="1"/>
  <c r="H32" i="7"/>
  <c r="G32" i="7"/>
  <c r="G31" i="7"/>
  <c r="H31" i="7" s="1"/>
  <c r="G30" i="7"/>
  <c r="H30" i="7" s="1"/>
  <c r="H29" i="7"/>
  <c r="G29" i="7"/>
  <c r="G28" i="7"/>
  <c r="H28" i="7" s="1"/>
  <c r="G27" i="7"/>
  <c r="H27" i="7" s="1"/>
  <c r="G26" i="7"/>
  <c r="H26" i="7" s="1"/>
  <c r="G25" i="7"/>
  <c r="H25" i="7" s="1"/>
  <c r="G24" i="7"/>
  <c r="H24" i="7" s="1"/>
  <c r="G23" i="7"/>
  <c r="H23" i="7" s="1"/>
  <c r="G22" i="7"/>
  <c r="H22" i="7" s="1"/>
  <c r="G21" i="7"/>
  <c r="H21" i="7" s="1"/>
  <c r="G20" i="7"/>
  <c r="H20" i="7" s="1"/>
  <c r="G19" i="7"/>
  <c r="H19" i="7" s="1"/>
  <c r="G18" i="7"/>
  <c r="H18" i="7" s="1"/>
  <c r="G17" i="7"/>
  <c r="H17" i="7" s="1"/>
  <c r="G16" i="7"/>
  <c r="H16" i="7" s="1"/>
  <c r="G15" i="7"/>
  <c r="H15" i="7" s="1"/>
  <c r="G14" i="7"/>
  <c r="H14" i="7" s="1"/>
  <c r="G13" i="7"/>
  <c r="H13" i="7" s="1"/>
  <c r="G12" i="7"/>
  <c r="H12" i="7" s="1"/>
  <c r="G11" i="7"/>
  <c r="H11" i="7" s="1"/>
  <c r="G10" i="7"/>
  <c r="H10" i="7" s="1"/>
  <c r="G9" i="7"/>
  <c r="H9" i="7" s="1"/>
  <c r="H8" i="7"/>
  <c r="G8" i="7"/>
  <c r="G7" i="7"/>
  <c r="H7" i="7" s="1"/>
  <c r="G6" i="7"/>
  <c r="H6" i="7" s="1"/>
  <c r="G5" i="7"/>
  <c r="H5" i="7" s="1"/>
  <c r="G4" i="7"/>
  <c r="H4" i="7" s="1"/>
  <c r="G3" i="7"/>
  <c r="H3" i="7" s="1"/>
  <c r="G2" i="7"/>
  <c r="H2" i="7" s="1"/>
  <c r="G52" i="7" l="1"/>
  <c r="J32" i="6"/>
  <c r="I32" i="6" a="1"/>
  <c r="I32" i="6" s="1"/>
  <c r="H32" i="6"/>
  <c r="L32" i="6" s="1" a="1"/>
  <c r="L32" i="6" s="1"/>
  <c r="M32" i="6" s="1"/>
  <c r="J31" i="6"/>
  <c r="I31" i="6" a="1"/>
  <c r="I31" i="6" s="1"/>
  <c r="H31" i="6"/>
  <c r="L31" i="6" s="1" a="1"/>
  <c r="L31" i="6" s="1"/>
  <c r="M31" i="6" s="1"/>
  <c r="J30" i="6"/>
  <c r="I30" i="6" a="1"/>
  <c r="I30" i="6" s="1"/>
  <c r="H30" i="6"/>
  <c r="L30" i="6" s="1" a="1"/>
  <c r="L30" i="6" s="1"/>
  <c r="M30" i="6" s="1"/>
  <c r="J29" i="6"/>
  <c r="I29" i="6" a="1"/>
  <c r="I29" i="6" s="1"/>
  <c r="H29" i="6"/>
  <c r="L29" i="6" s="1" a="1"/>
  <c r="L29" i="6" s="1"/>
  <c r="M29" i="6" s="1"/>
  <c r="J28" i="6"/>
  <c r="I28" i="6" a="1"/>
  <c r="I28" i="6" s="1"/>
  <c r="H28" i="6"/>
  <c r="L28" i="6" s="1" a="1"/>
  <c r="L28" i="6" s="1"/>
  <c r="M28" i="6" s="1"/>
  <c r="J27" i="6"/>
  <c r="I27" i="6" a="1"/>
  <c r="I27" i="6" s="1"/>
  <c r="H27" i="6"/>
  <c r="L27" i="6" s="1" a="1"/>
  <c r="L27" i="6" s="1"/>
  <c r="M27" i="6" s="1"/>
  <c r="J26" i="6"/>
  <c r="I26" i="6" a="1"/>
  <c r="I26" i="6" s="1"/>
  <c r="H26" i="6"/>
  <c r="L26" i="6" s="1" a="1"/>
  <c r="L26" i="6" s="1"/>
  <c r="M26" i="6" s="1"/>
  <c r="J25" i="6"/>
  <c r="I25" i="6" a="1"/>
  <c r="I25" i="6" s="1"/>
  <c r="H25" i="6"/>
  <c r="L25" i="6" s="1" a="1"/>
  <c r="L25" i="6" s="1"/>
  <c r="M25" i="6" s="1"/>
  <c r="J24" i="6"/>
  <c r="I24" i="6" a="1"/>
  <c r="I24" i="6" s="1"/>
  <c r="H24" i="6"/>
  <c r="L24" i="6" s="1" a="1"/>
  <c r="L24" i="6" s="1"/>
  <c r="M24" i="6" s="1"/>
  <c r="J23" i="6"/>
  <c r="I23" i="6" a="1"/>
  <c r="I23" i="6" s="1"/>
  <c r="H23" i="6"/>
  <c r="K23" i="6" s="1"/>
  <c r="J22" i="6"/>
  <c r="I22" i="6" a="1"/>
  <c r="I22" i="6" s="1"/>
  <c r="H22" i="6"/>
  <c r="L22" i="6" s="1" a="1"/>
  <c r="L22" i="6" s="1"/>
  <c r="M22" i="6" s="1"/>
  <c r="J21" i="6"/>
  <c r="I21" i="6" a="1"/>
  <c r="I21" i="6" s="1"/>
  <c r="H21" i="6"/>
  <c r="L21" i="6" s="1" a="1"/>
  <c r="L21" i="6" s="1"/>
  <c r="M21" i="6" s="1"/>
  <c r="J20" i="6"/>
  <c r="I20" i="6" a="1"/>
  <c r="I20" i="6" s="1"/>
  <c r="H20" i="6"/>
  <c r="L20" i="6" s="1" a="1"/>
  <c r="L20" i="6" s="1"/>
  <c r="M20" i="6" s="1"/>
  <c r="J19" i="6"/>
  <c r="I19" i="6" a="1"/>
  <c r="I19" i="6" s="1"/>
  <c r="H19" i="6"/>
  <c r="K19" i="6" s="1"/>
  <c r="J18" i="6"/>
  <c r="I18" i="6" a="1"/>
  <c r="I18" i="6" s="1"/>
  <c r="H18" i="6"/>
  <c r="L18" i="6" s="1" a="1"/>
  <c r="L18" i="6" s="1"/>
  <c r="M18" i="6" s="1"/>
  <c r="J17" i="6"/>
  <c r="I17" i="6" a="1"/>
  <c r="I17" i="6" s="1"/>
  <c r="H17" i="6"/>
  <c r="L17" i="6" s="1" a="1"/>
  <c r="L17" i="6" s="1"/>
  <c r="M17" i="6" s="1"/>
  <c r="J16" i="6"/>
  <c r="I16" i="6" a="1"/>
  <c r="I16" i="6" s="1"/>
  <c r="H16" i="6"/>
  <c r="L16" i="6" s="1" a="1"/>
  <c r="L16" i="6" s="1"/>
  <c r="M16" i="6" s="1"/>
  <c r="J15" i="6"/>
  <c r="I15" i="6" a="1"/>
  <c r="I15" i="6" s="1"/>
  <c r="H15" i="6"/>
  <c r="L15" i="6" s="1" a="1"/>
  <c r="L15" i="6" s="1"/>
  <c r="M15" i="6" s="1"/>
  <c r="J14" i="6"/>
  <c r="I14" i="6" a="1"/>
  <c r="I14" i="6" s="1"/>
  <c r="H14" i="6"/>
  <c r="L14" i="6" s="1" a="1"/>
  <c r="L14" i="6" s="1"/>
  <c r="M14" i="6" s="1"/>
  <c r="J13" i="6"/>
  <c r="I13" i="6" a="1"/>
  <c r="I13" i="6" s="1"/>
  <c r="H13" i="6"/>
  <c r="L13" i="6" s="1" a="1"/>
  <c r="L13" i="6" s="1"/>
  <c r="M13" i="6" s="1"/>
  <c r="J12" i="6"/>
  <c r="I12" i="6" a="1"/>
  <c r="I12" i="6" s="1"/>
  <c r="H12" i="6"/>
  <c r="L12" i="6" s="1" a="1"/>
  <c r="L12" i="6" s="1"/>
  <c r="M12" i="6" s="1"/>
  <c r="J11" i="6"/>
  <c r="I11" i="6" a="1"/>
  <c r="I11" i="6" s="1"/>
  <c r="H11" i="6"/>
  <c r="K11" i="6" s="1"/>
  <c r="J10" i="6"/>
  <c r="I10" i="6" a="1"/>
  <c r="I10" i="6" s="1"/>
  <c r="H10" i="6"/>
  <c r="L10" i="6" s="1" a="1"/>
  <c r="L10" i="6" s="1"/>
  <c r="M10" i="6" s="1"/>
  <c r="J9" i="6"/>
  <c r="I9" i="6" a="1"/>
  <c r="I9" i="6" s="1"/>
  <c r="H9" i="6"/>
  <c r="L9" i="6" s="1" a="1"/>
  <c r="L9" i="6" s="1"/>
  <c r="M9" i="6" s="1"/>
  <c r="J8" i="6"/>
  <c r="I8" i="6" a="1"/>
  <c r="I8" i="6" s="1"/>
  <c r="H8" i="6"/>
  <c r="L8" i="6" s="1" a="1"/>
  <c r="L8" i="6" s="1"/>
  <c r="M8" i="6" s="1"/>
  <c r="J7" i="6"/>
  <c r="I7" i="6" a="1"/>
  <c r="I7" i="6" s="1"/>
  <c r="H7" i="6"/>
  <c r="L7" i="6" s="1" a="1"/>
  <c r="L7" i="6" s="1"/>
  <c r="M7" i="6" s="1"/>
  <c r="J6" i="6"/>
  <c r="I6" i="6" a="1"/>
  <c r="I6" i="6" s="1"/>
  <c r="H6" i="6"/>
  <c r="L6" i="6" s="1" a="1"/>
  <c r="L6" i="6" s="1"/>
  <c r="M6" i="6" s="1"/>
  <c r="J5" i="6"/>
  <c r="I5" i="6" a="1"/>
  <c r="I5" i="6" s="1"/>
  <c r="H5" i="6"/>
  <c r="L5" i="6" s="1" a="1"/>
  <c r="L5" i="6" s="1"/>
  <c r="M5" i="6" s="1"/>
  <c r="J4" i="6"/>
  <c r="I4" i="6" a="1"/>
  <c r="I4" i="6" s="1"/>
  <c r="H4" i="6"/>
  <c r="L4" i="6" s="1" a="1"/>
  <c r="L4" i="6" s="1"/>
  <c r="M4" i="6" s="1"/>
  <c r="J3" i="6"/>
  <c r="I3" i="6" a="1"/>
  <c r="I3" i="6" s="1"/>
  <c r="H3" i="6"/>
  <c r="K3" i="6" s="1"/>
  <c r="J2" i="6"/>
  <c r="I2" i="6" a="1"/>
  <c r="I2" i="6" s="1"/>
  <c r="H2" i="6"/>
  <c r="L2" i="6" s="1" a="1"/>
  <c r="L2" i="6" s="1"/>
  <c r="M2" i="6" s="1"/>
  <c r="L3" i="6" l="1" a="1"/>
  <c r="L3" i="6" s="1"/>
  <c r="M3" i="6" s="1"/>
  <c r="K7" i="6"/>
  <c r="K9" i="6"/>
  <c r="K13" i="6"/>
  <c r="K17" i="6"/>
  <c r="K21" i="6"/>
  <c r="K25" i="6"/>
  <c r="K27" i="6"/>
  <c r="K31" i="6"/>
  <c r="L11" i="6" a="1"/>
  <c r="L11" i="6" s="1"/>
  <c r="M11" i="6" s="1"/>
  <c r="L19" i="6" a="1"/>
  <c r="L19" i="6" s="1"/>
  <c r="M19" i="6" s="1"/>
  <c r="L23" i="6" a="1"/>
  <c r="L23" i="6" s="1"/>
  <c r="M23" i="6" s="1"/>
  <c r="K5" i="6"/>
  <c r="K15" i="6"/>
  <c r="K29" i="6"/>
  <c r="K2" i="6"/>
  <c r="K4" i="6"/>
  <c r="K6" i="6"/>
  <c r="K8" i="6"/>
  <c r="K10" i="6"/>
  <c r="K12" i="6"/>
  <c r="K14" i="6"/>
  <c r="K16" i="6"/>
  <c r="K18" i="6"/>
  <c r="K20" i="6"/>
  <c r="K22" i="6"/>
  <c r="K24" i="6"/>
  <c r="K26" i="6"/>
  <c r="K28" i="6"/>
  <c r="K30" i="6"/>
  <c r="K32" i="6"/>
  <c r="B96" i="5" l="1"/>
  <c r="A96" i="5" s="1"/>
  <c r="B95" i="5"/>
  <c r="A95" i="5" s="1"/>
  <c r="B94" i="5"/>
  <c r="A94" i="5" s="1"/>
  <c r="B93" i="5"/>
  <c r="A93" i="5" s="1"/>
  <c r="B92" i="5"/>
  <c r="A92" i="5"/>
  <c r="B91" i="5"/>
  <c r="A91" i="5"/>
  <c r="B90" i="5"/>
  <c r="A90" i="5" s="1"/>
  <c r="B89" i="5"/>
  <c r="A89" i="5" s="1"/>
  <c r="B88" i="5"/>
  <c r="A88" i="5" s="1"/>
  <c r="B87" i="5"/>
  <c r="A87" i="5" s="1"/>
  <c r="B86" i="5"/>
  <c r="A86" i="5" s="1"/>
  <c r="B85" i="5"/>
  <c r="A85" i="5" s="1"/>
  <c r="B84" i="5"/>
  <c r="A84" i="5" s="1"/>
  <c r="B83" i="5"/>
  <c r="A83" i="5"/>
  <c r="B82" i="5"/>
  <c r="A82" i="5" s="1"/>
  <c r="B81" i="5"/>
  <c r="A81" i="5"/>
  <c r="B80" i="5"/>
  <c r="A80" i="5" s="1"/>
  <c r="B79" i="5"/>
  <c r="A79" i="5" s="1"/>
  <c r="B78" i="5"/>
  <c r="A78" i="5" s="1"/>
  <c r="B77" i="5"/>
  <c r="A77" i="5" s="1"/>
  <c r="B76" i="5"/>
  <c r="A76" i="5"/>
  <c r="B75" i="5"/>
  <c r="A75" i="5"/>
  <c r="B74" i="5"/>
  <c r="A74" i="5" s="1"/>
  <c r="B73" i="5"/>
  <c r="A73" i="5" s="1"/>
  <c r="B72" i="5"/>
  <c r="A72" i="5" s="1"/>
  <c r="B71" i="5"/>
  <c r="A71" i="5" s="1"/>
  <c r="B70" i="5"/>
  <c r="A70" i="5" s="1"/>
  <c r="B69" i="5"/>
  <c r="A69" i="5" s="1"/>
  <c r="B68" i="5"/>
  <c r="A68" i="5"/>
  <c r="B67" i="5"/>
  <c r="A67" i="5"/>
  <c r="B66" i="5"/>
  <c r="A66" i="5" s="1"/>
  <c r="B65" i="5"/>
  <c r="A65" i="5"/>
  <c r="B64" i="5"/>
  <c r="A64" i="5" s="1"/>
  <c r="B63" i="5"/>
  <c r="A63" i="5" s="1"/>
  <c r="B62" i="5"/>
  <c r="A62" i="5" s="1"/>
  <c r="B61" i="5"/>
  <c r="A61" i="5" s="1"/>
  <c r="B60" i="5"/>
  <c r="A60" i="5"/>
  <c r="B59" i="5"/>
  <c r="A59" i="5"/>
  <c r="B58" i="5"/>
  <c r="A58" i="5" s="1"/>
  <c r="B57" i="5"/>
  <c r="A57" i="5"/>
  <c r="B56" i="5"/>
  <c r="A56" i="5" s="1"/>
  <c r="B55" i="5"/>
  <c r="A55" i="5" s="1"/>
  <c r="B54" i="5"/>
  <c r="A54" i="5" s="1"/>
  <c r="B53" i="5"/>
  <c r="A53" i="5" s="1"/>
  <c r="B52" i="5"/>
  <c r="A52" i="5"/>
  <c r="B51" i="5"/>
  <c r="A51" i="5" s="1"/>
  <c r="B50" i="5"/>
  <c r="A50" i="5" s="1"/>
  <c r="B49" i="5"/>
  <c r="A49" i="5"/>
  <c r="B48" i="5"/>
  <c r="A48" i="5" s="1"/>
  <c r="B47" i="5"/>
  <c r="A47" i="5" s="1"/>
  <c r="B46" i="5"/>
  <c r="A46" i="5" s="1"/>
  <c r="B45" i="5"/>
  <c r="A45" i="5" s="1"/>
  <c r="B44" i="5"/>
  <c r="A44" i="5"/>
  <c r="B43" i="5"/>
  <c r="A43" i="5" s="1"/>
  <c r="B42" i="5"/>
  <c r="A42" i="5" s="1"/>
  <c r="B41" i="5"/>
  <c r="A41" i="5"/>
  <c r="B40" i="5"/>
  <c r="A40" i="5" s="1"/>
  <c r="B39" i="5"/>
  <c r="A39" i="5" s="1"/>
  <c r="B38" i="5"/>
  <c r="A38" i="5" s="1"/>
  <c r="B37" i="5"/>
  <c r="A37" i="5" s="1"/>
  <c r="B36" i="5"/>
  <c r="A36" i="5"/>
  <c r="B35" i="5"/>
  <c r="A35" i="5" s="1"/>
  <c r="B34" i="5"/>
  <c r="A34" i="5" s="1"/>
  <c r="B33" i="5"/>
  <c r="A33" i="5"/>
  <c r="B32" i="5"/>
  <c r="A32" i="5" s="1"/>
  <c r="B31" i="5"/>
  <c r="A31" i="5" s="1"/>
  <c r="B30" i="5"/>
  <c r="A30" i="5" s="1"/>
  <c r="B29" i="5"/>
  <c r="A29" i="5" s="1"/>
  <c r="B28" i="5"/>
  <c r="A28" i="5"/>
  <c r="B27" i="5"/>
  <c r="A27" i="5"/>
  <c r="B26" i="5"/>
  <c r="A26" i="5" s="1"/>
  <c r="K18" i="5" s="1" a="1"/>
  <c r="K18" i="5" s="1"/>
  <c r="B25" i="5"/>
  <c r="A25" i="5"/>
  <c r="B24" i="5"/>
  <c r="A24" i="5" s="1"/>
  <c r="B23" i="5"/>
  <c r="A23" i="5" s="1"/>
  <c r="B22" i="5"/>
  <c r="A22" i="5" s="1"/>
  <c r="L21" i="5"/>
  <c r="B21" i="5"/>
  <c r="A21" i="5" s="1"/>
  <c r="B20" i="5"/>
  <c r="A20" i="5" s="1"/>
  <c r="B19" i="5"/>
  <c r="A19" i="5" s="1"/>
  <c r="B18" i="5"/>
  <c r="A18" i="5" s="1"/>
  <c r="B17" i="5"/>
  <c r="A17" i="5" s="1"/>
  <c r="B16" i="5"/>
  <c r="A16" i="5" s="1"/>
  <c r="B15" i="5"/>
  <c r="A15" i="5"/>
  <c r="B14" i="5"/>
  <c r="A14" i="5" s="1"/>
  <c r="B13" i="5"/>
  <c r="A13" i="5" s="1"/>
  <c r="B12" i="5"/>
  <c r="A12" i="5" s="1"/>
  <c r="B11" i="5"/>
  <c r="A11" i="5"/>
  <c r="B10" i="5"/>
  <c r="A10" i="5" s="1"/>
  <c r="B9" i="5"/>
  <c r="A9" i="5" s="1"/>
  <c r="B8" i="5"/>
  <c r="A8" i="5" s="1"/>
  <c r="B7" i="5"/>
  <c r="A7" i="5" s="1"/>
  <c r="B6" i="5"/>
  <c r="A6" i="5"/>
  <c r="B5" i="5"/>
  <c r="A5" i="5" s="1"/>
  <c r="B4" i="5"/>
  <c r="A4" i="5" s="1"/>
  <c r="B3" i="5"/>
  <c r="A3" i="5" s="1"/>
  <c r="B2" i="5"/>
  <c r="A2" i="5" s="1"/>
  <c r="E22" i="4"/>
  <c r="B22" i="4"/>
  <c r="D22" i="4" s="1" a="1"/>
  <c r="D22" i="4" s="1"/>
  <c r="E21" i="4"/>
  <c r="B21" i="4"/>
  <c r="D21" i="4" s="1" a="1"/>
  <c r="D21" i="4" s="1"/>
  <c r="E20" i="4"/>
  <c r="B20" i="4"/>
  <c r="D20" i="4" s="1" a="1"/>
  <c r="D20" i="4" s="1"/>
  <c r="E19" i="4"/>
  <c r="B19" i="4"/>
  <c r="D19" i="4" s="1" a="1"/>
  <c r="D19" i="4" s="1"/>
  <c r="E18" i="4"/>
  <c r="B18" i="4"/>
  <c r="D18" i="4" s="1" a="1"/>
  <c r="D18" i="4" s="1"/>
  <c r="E17" i="4"/>
  <c r="B17" i="4"/>
  <c r="D17" i="4" s="1" a="1"/>
  <c r="D17" i="4" s="1"/>
  <c r="E16" i="4"/>
  <c r="B16" i="4"/>
  <c r="C16" i="4" s="1"/>
  <c r="E15" i="4"/>
  <c r="B15" i="4"/>
  <c r="C15" i="4" s="1"/>
  <c r="E14" i="4"/>
  <c r="B14" i="4"/>
  <c r="C14" i="4" s="1"/>
  <c r="E13" i="4"/>
  <c r="B13" i="4"/>
  <c r="D13" i="4" s="1" a="1"/>
  <c r="D13" i="4" s="1"/>
  <c r="E12" i="4"/>
  <c r="B12" i="4"/>
  <c r="D12" i="4" s="1" a="1"/>
  <c r="D12" i="4" s="1"/>
  <c r="E11" i="4"/>
  <c r="B11" i="4"/>
  <c r="D11" i="4" s="1" a="1"/>
  <c r="D11" i="4" s="1"/>
  <c r="E10" i="4"/>
  <c r="B10" i="4"/>
  <c r="C10" i="4" s="1"/>
  <c r="E9" i="4"/>
  <c r="B9" i="4"/>
  <c r="D9" i="4" s="1" a="1"/>
  <c r="D9" i="4" s="1"/>
  <c r="E8" i="4"/>
  <c r="D8" i="4" a="1"/>
  <c r="D8" i="4" s="1"/>
  <c r="C8" i="4"/>
  <c r="E7" i="4"/>
  <c r="B7" i="4"/>
  <c r="D7" i="4" s="1" a="1"/>
  <c r="D7" i="4" s="1"/>
  <c r="E6" i="4"/>
  <c r="B6" i="4"/>
  <c r="D6" i="4" s="1" a="1"/>
  <c r="D6" i="4" s="1"/>
  <c r="E5" i="4"/>
  <c r="B5" i="4"/>
  <c r="D5" i="4" s="1" a="1"/>
  <c r="D5" i="4" s="1"/>
  <c r="E4" i="4"/>
  <c r="B4" i="4"/>
  <c r="D4" i="4" s="1" a="1"/>
  <c r="D4" i="4" s="1"/>
  <c r="I97" i="3"/>
  <c r="H97" i="3"/>
  <c r="I96" i="3"/>
  <c r="H96" i="3"/>
  <c r="J96" i="3" s="1"/>
  <c r="K96" i="3" s="1"/>
  <c r="L96" i="3" s="1"/>
  <c r="I95" i="3"/>
  <c r="J95" i="3" s="1"/>
  <c r="K95" i="3" s="1"/>
  <c r="L95" i="3" s="1"/>
  <c r="H95" i="3"/>
  <c r="I94" i="3"/>
  <c r="H94" i="3"/>
  <c r="J94" i="3" s="1"/>
  <c r="K94" i="3" s="1"/>
  <c r="L94" i="3" s="1"/>
  <c r="I93" i="3"/>
  <c r="J93" i="3" s="1"/>
  <c r="K93" i="3" s="1"/>
  <c r="L93" i="3" s="1"/>
  <c r="H93" i="3"/>
  <c r="I92" i="3"/>
  <c r="H92" i="3"/>
  <c r="J92" i="3" s="1"/>
  <c r="K92" i="3" s="1"/>
  <c r="L92" i="3" s="1"/>
  <c r="J91" i="3"/>
  <c r="K91" i="3" s="1"/>
  <c r="L91" i="3" s="1"/>
  <c r="I91" i="3"/>
  <c r="H91" i="3"/>
  <c r="I90" i="3"/>
  <c r="H90" i="3"/>
  <c r="I89" i="3"/>
  <c r="J89" i="3" s="1"/>
  <c r="K89" i="3" s="1"/>
  <c r="L89" i="3" s="1"/>
  <c r="H89" i="3"/>
  <c r="I88" i="3"/>
  <c r="J88" i="3" s="1"/>
  <c r="K88" i="3" s="1"/>
  <c r="L88" i="3" s="1"/>
  <c r="H88" i="3"/>
  <c r="I87" i="3"/>
  <c r="J87" i="3" s="1"/>
  <c r="K87" i="3" s="1"/>
  <c r="L87" i="3" s="1"/>
  <c r="H87" i="3"/>
  <c r="I86" i="3"/>
  <c r="H86" i="3"/>
  <c r="I85" i="3"/>
  <c r="H85" i="3"/>
  <c r="J84" i="3"/>
  <c r="K84" i="3" s="1"/>
  <c r="L84" i="3" s="1"/>
  <c r="I84" i="3"/>
  <c r="H84" i="3"/>
  <c r="I83" i="3"/>
  <c r="H83" i="3"/>
  <c r="J83" i="3" s="1"/>
  <c r="K83" i="3" s="1"/>
  <c r="L83" i="3" s="1"/>
  <c r="I82" i="3"/>
  <c r="H82" i="3"/>
  <c r="J82" i="3" s="1"/>
  <c r="K82" i="3" s="1"/>
  <c r="L82" i="3" s="1"/>
  <c r="I81" i="3"/>
  <c r="H81" i="3"/>
  <c r="I80" i="3"/>
  <c r="J80" i="3" s="1"/>
  <c r="K80" i="3" s="1"/>
  <c r="L80" i="3" s="1"/>
  <c r="H80" i="3"/>
  <c r="I79" i="3"/>
  <c r="H79" i="3"/>
  <c r="J79" i="3" s="1"/>
  <c r="K79" i="3" s="1"/>
  <c r="L79" i="3" s="1"/>
  <c r="I78" i="3"/>
  <c r="H78" i="3"/>
  <c r="I77" i="3"/>
  <c r="J77" i="3" s="1"/>
  <c r="K77" i="3" s="1"/>
  <c r="L77" i="3" s="1"/>
  <c r="H77" i="3"/>
  <c r="I76" i="3"/>
  <c r="H76" i="3"/>
  <c r="J76" i="3" s="1"/>
  <c r="K76" i="3" s="1"/>
  <c r="L76" i="3" s="1"/>
  <c r="I75" i="3"/>
  <c r="J75" i="3" s="1"/>
  <c r="K75" i="3" s="1"/>
  <c r="L75" i="3" s="1"/>
  <c r="H75" i="3"/>
  <c r="I74" i="3"/>
  <c r="H74" i="3"/>
  <c r="J74" i="3" s="1"/>
  <c r="K74" i="3" s="1"/>
  <c r="L74" i="3" s="1"/>
  <c r="J73" i="3"/>
  <c r="K73" i="3" s="1"/>
  <c r="L73" i="3" s="1"/>
  <c r="I73" i="3"/>
  <c r="H73" i="3"/>
  <c r="I72" i="3"/>
  <c r="H72" i="3"/>
  <c r="K71" i="3"/>
  <c r="L71" i="3" s="1"/>
  <c r="J71" i="3"/>
  <c r="I71" i="3"/>
  <c r="H71" i="3"/>
  <c r="I70" i="3"/>
  <c r="H70" i="3"/>
  <c r="I69" i="3"/>
  <c r="H69" i="3"/>
  <c r="J69" i="3" s="1"/>
  <c r="K69" i="3" s="1"/>
  <c r="L69" i="3" s="1"/>
  <c r="I68" i="3"/>
  <c r="H68" i="3"/>
  <c r="J68" i="3" s="1"/>
  <c r="K68" i="3" s="1"/>
  <c r="L68" i="3" s="1"/>
  <c r="I67" i="3"/>
  <c r="H67" i="3"/>
  <c r="I66" i="3"/>
  <c r="H66" i="3"/>
  <c r="J66" i="3" s="1"/>
  <c r="K66" i="3" s="1"/>
  <c r="L66" i="3" s="1"/>
  <c r="I65" i="3"/>
  <c r="H65" i="3"/>
  <c r="I64" i="3"/>
  <c r="J64" i="3" s="1"/>
  <c r="K64" i="3" s="1"/>
  <c r="L64" i="3" s="1"/>
  <c r="H64" i="3"/>
  <c r="I63" i="3"/>
  <c r="J63" i="3" s="1"/>
  <c r="K63" i="3" s="1"/>
  <c r="L63" i="3" s="1"/>
  <c r="H63" i="3"/>
  <c r="I62" i="3"/>
  <c r="H62" i="3"/>
  <c r="I61" i="3"/>
  <c r="H61" i="3"/>
  <c r="I60" i="3"/>
  <c r="H60" i="3"/>
  <c r="I59" i="3"/>
  <c r="H59" i="3"/>
  <c r="J59" i="3" s="1"/>
  <c r="K59" i="3" s="1"/>
  <c r="L59" i="3" s="1"/>
  <c r="I58" i="3"/>
  <c r="H58" i="3"/>
  <c r="I57" i="3"/>
  <c r="H57" i="3"/>
  <c r="J57" i="3" s="1"/>
  <c r="K57" i="3" s="1"/>
  <c r="L57" i="3" s="1"/>
  <c r="I56" i="3"/>
  <c r="J56" i="3" s="1"/>
  <c r="K56" i="3" s="1"/>
  <c r="L56" i="3" s="1"/>
  <c r="H56" i="3"/>
  <c r="I55" i="3"/>
  <c r="H55" i="3"/>
  <c r="J55" i="3" s="1"/>
  <c r="K55" i="3" s="1"/>
  <c r="L55" i="3" s="1"/>
  <c r="I54" i="3"/>
  <c r="J54" i="3" s="1"/>
  <c r="K54" i="3" s="1"/>
  <c r="L54" i="3" s="1"/>
  <c r="H54" i="3"/>
  <c r="I53" i="3"/>
  <c r="H53" i="3"/>
  <c r="J53" i="3" s="1"/>
  <c r="K53" i="3" s="1"/>
  <c r="L53" i="3" s="1"/>
  <c r="J52" i="3"/>
  <c r="K52" i="3" s="1"/>
  <c r="L52" i="3" s="1"/>
  <c r="I52" i="3"/>
  <c r="H52" i="3"/>
  <c r="I51" i="3"/>
  <c r="H51" i="3"/>
  <c r="I50" i="3"/>
  <c r="H50" i="3"/>
  <c r="J50" i="3" s="1"/>
  <c r="K50" i="3" s="1"/>
  <c r="L50" i="3" s="1"/>
  <c r="I49" i="3"/>
  <c r="H49" i="3"/>
  <c r="J49" i="3" s="1"/>
  <c r="K49" i="3" s="1"/>
  <c r="L49" i="3" s="1"/>
  <c r="I48" i="3"/>
  <c r="H48" i="3"/>
  <c r="J48" i="3" s="1"/>
  <c r="K48" i="3" s="1"/>
  <c r="L48" i="3" s="1"/>
  <c r="J47" i="3"/>
  <c r="K47" i="3" s="1"/>
  <c r="L47" i="3" s="1"/>
  <c r="I47" i="3"/>
  <c r="H47" i="3"/>
  <c r="I46" i="3"/>
  <c r="H46" i="3"/>
  <c r="J46" i="3" s="1"/>
  <c r="K46" i="3" s="1"/>
  <c r="L46" i="3" s="1"/>
  <c r="I45" i="3"/>
  <c r="J45" i="3" s="1"/>
  <c r="K45" i="3" s="1"/>
  <c r="L45" i="3" s="1"/>
  <c r="H45" i="3"/>
  <c r="I44" i="3"/>
  <c r="H44" i="3"/>
  <c r="I43" i="3"/>
  <c r="J43" i="3" s="1"/>
  <c r="K43" i="3" s="1"/>
  <c r="L43" i="3" s="1"/>
  <c r="H43" i="3"/>
  <c r="I42" i="3"/>
  <c r="H42" i="3"/>
  <c r="I41" i="3"/>
  <c r="H41" i="3"/>
  <c r="J41" i="3" s="1"/>
  <c r="K41" i="3" s="1"/>
  <c r="L41" i="3" s="1"/>
  <c r="I40" i="3"/>
  <c r="H40" i="3"/>
  <c r="J39" i="3"/>
  <c r="K39" i="3" s="1"/>
  <c r="L39" i="3" s="1"/>
  <c r="I39" i="3"/>
  <c r="H39" i="3"/>
  <c r="I38" i="3"/>
  <c r="J38" i="3" s="1"/>
  <c r="K38" i="3" s="1"/>
  <c r="L38" i="3" s="1"/>
  <c r="H38" i="3"/>
  <c r="I37" i="3"/>
  <c r="H37" i="3"/>
  <c r="J37" i="3" s="1"/>
  <c r="K37" i="3" s="1"/>
  <c r="L37" i="3" s="1"/>
  <c r="I36" i="3"/>
  <c r="J36" i="3" s="1"/>
  <c r="K36" i="3" s="1"/>
  <c r="L36" i="3" s="1"/>
  <c r="H36" i="3"/>
  <c r="I35" i="3"/>
  <c r="H35" i="3"/>
  <c r="J35" i="3" s="1"/>
  <c r="K35" i="3" s="1"/>
  <c r="L35" i="3" s="1"/>
  <c r="I34" i="3"/>
  <c r="H34" i="3"/>
  <c r="I33" i="3"/>
  <c r="H33" i="3"/>
  <c r="J33" i="3" s="1"/>
  <c r="K33" i="3" s="1"/>
  <c r="L33" i="3" s="1"/>
  <c r="J32" i="3"/>
  <c r="K32" i="3" s="1"/>
  <c r="L32" i="3" s="1"/>
  <c r="I32" i="3"/>
  <c r="H32" i="3"/>
  <c r="I31" i="3"/>
  <c r="H31" i="3"/>
  <c r="J31" i="3" s="1"/>
  <c r="K31" i="3" s="1"/>
  <c r="L31" i="3" s="1"/>
  <c r="I30" i="3"/>
  <c r="H30" i="3"/>
  <c r="I29" i="3"/>
  <c r="J29" i="3" s="1"/>
  <c r="K29" i="3" s="1"/>
  <c r="L29" i="3" s="1"/>
  <c r="H29" i="3"/>
  <c r="I28" i="3"/>
  <c r="H28" i="3"/>
  <c r="J28" i="3" s="1"/>
  <c r="K28" i="3" s="1"/>
  <c r="L28" i="3" s="1"/>
  <c r="J27" i="3"/>
  <c r="K27" i="3" s="1"/>
  <c r="L27" i="3" s="1"/>
  <c r="I27" i="3"/>
  <c r="H27" i="3"/>
  <c r="I26" i="3"/>
  <c r="H26" i="3"/>
  <c r="J26" i="3" s="1"/>
  <c r="K26" i="3" s="1"/>
  <c r="L26" i="3" s="1"/>
  <c r="J25" i="3"/>
  <c r="K25" i="3" s="1"/>
  <c r="L25" i="3" s="1"/>
  <c r="I25" i="3"/>
  <c r="H25" i="3"/>
  <c r="I24" i="3"/>
  <c r="H24" i="3"/>
  <c r="I23" i="3"/>
  <c r="J23" i="3" s="1"/>
  <c r="K23" i="3" s="1"/>
  <c r="L23" i="3" s="1"/>
  <c r="H23" i="3"/>
  <c r="I22" i="3"/>
  <c r="H22" i="3"/>
  <c r="I21" i="3"/>
  <c r="H21" i="3"/>
  <c r="I20" i="3"/>
  <c r="H20" i="3"/>
  <c r="J20" i="3" s="1"/>
  <c r="K20" i="3" s="1"/>
  <c r="L20" i="3" s="1"/>
  <c r="I19" i="3"/>
  <c r="H19" i="3"/>
  <c r="I18" i="3"/>
  <c r="H18" i="3"/>
  <c r="I17" i="3"/>
  <c r="H17" i="3"/>
  <c r="J17" i="3" s="1"/>
  <c r="K17" i="3" s="1"/>
  <c r="L17" i="3" s="1"/>
  <c r="I16" i="3"/>
  <c r="J16" i="3" s="1"/>
  <c r="K16" i="3" s="1"/>
  <c r="L16" i="3" s="1"/>
  <c r="H16" i="3"/>
  <c r="I15" i="3"/>
  <c r="H15" i="3"/>
  <c r="J15" i="3" s="1"/>
  <c r="K15" i="3" s="1"/>
  <c r="L15" i="3" s="1"/>
  <c r="I14" i="3"/>
  <c r="H14" i="3"/>
  <c r="J14" i="3" s="1"/>
  <c r="K14" i="3" s="1"/>
  <c r="L14" i="3" s="1"/>
  <c r="I13" i="3"/>
  <c r="H13" i="3"/>
  <c r="I12" i="3"/>
  <c r="H12" i="3"/>
  <c r="I11" i="3"/>
  <c r="H11" i="3"/>
  <c r="J11" i="3" s="1"/>
  <c r="K11" i="3" s="1"/>
  <c r="L11" i="3" s="1"/>
  <c r="I10" i="3"/>
  <c r="H10" i="3"/>
  <c r="J9" i="3"/>
  <c r="K9" i="3" s="1"/>
  <c r="L9" i="3" s="1"/>
  <c r="I9" i="3"/>
  <c r="H9" i="3"/>
  <c r="I8" i="3"/>
  <c r="H8" i="3"/>
  <c r="I7" i="3"/>
  <c r="H7" i="3"/>
  <c r="J7" i="3" s="1"/>
  <c r="K7" i="3" s="1"/>
  <c r="L7" i="3" s="1"/>
  <c r="I6" i="3"/>
  <c r="J6" i="3" s="1"/>
  <c r="K6" i="3" s="1"/>
  <c r="L6" i="3" s="1"/>
  <c r="H6" i="3"/>
  <c r="I5" i="3"/>
  <c r="H5" i="3"/>
  <c r="I4" i="3"/>
  <c r="J4" i="3" s="1"/>
  <c r="K4" i="3" s="1"/>
  <c r="L4" i="3" s="1"/>
  <c r="H4" i="3"/>
  <c r="I3" i="3"/>
  <c r="H3" i="3"/>
  <c r="F28" i="2"/>
  <c r="H28" i="2" s="1"/>
  <c r="F27" i="2"/>
  <c r="H27" i="2" s="1"/>
  <c r="F26" i="2"/>
  <c r="H26" i="2" s="1"/>
  <c r="F25" i="2"/>
  <c r="H25" i="2" s="1"/>
  <c r="F24" i="2"/>
  <c r="H24" i="2" s="1"/>
  <c r="F23" i="2"/>
  <c r="H23" i="2" s="1"/>
  <c r="K23" i="2" s="1"/>
  <c r="F22" i="2"/>
  <c r="H22" i="2" s="1"/>
  <c r="F21" i="2"/>
  <c r="H21" i="2" s="1"/>
  <c r="F20" i="2"/>
  <c r="H20" i="2" s="1"/>
  <c r="F19" i="2"/>
  <c r="H19" i="2" s="1"/>
  <c r="F18" i="2"/>
  <c r="H18" i="2" s="1"/>
  <c r="K18" i="2" s="1"/>
  <c r="F17" i="2"/>
  <c r="H17" i="2" s="1"/>
  <c r="F16" i="2"/>
  <c r="H16" i="2" s="1"/>
  <c r="K16" i="2" s="1"/>
  <c r="F15" i="2"/>
  <c r="H15" i="2" s="1"/>
  <c r="F14" i="2"/>
  <c r="H14" i="2" s="1"/>
  <c r="F13" i="2"/>
  <c r="H13" i="2" s="1"/>
  <c r="F12" i="2"/>
  <c r="H12" i="2" s="1"/>
  <c r="F11" i="2"/>
  <c r="H11" i="2" s="1"/>
  <c r="J11" i="2" s="1"/>
  <c r="F10" i="2"/>
  <c r="H10" i="2" s="1"/>
  <c r="F9" i="2"/>
  <c r="H9" i="2" s="1"/>
  <c r="F8" i="2"/>
  <c r="H8" i="2" s="1"/>
  <c r="F7" i="2"/>
  <c r="H7" i="2" s="1"/>
  <c r="K7" i="2" s="1"/>
  <c r="F6" i="2"/>
  <c r="H6" i="2" s="1"/>
  <c r="F5" i="2"/>
  <c r="H5" i="2" s="1"/>
  <c r="F4" i="2"/>
  <c r="H4" i="2" s="1"/>
  <c r="F3" i="2"/>
  <c r="H3" i="2" s="1"/>
  <c r="F2" i="2"/>
  <c r="H2" i="2" s="1"/>
  <c r="I2" i="2" s="1"/>
  <c r="J10" i="3" l="1"/>
  <c r="K10" i="3" s="1"/>
  <c r="L10" i="3" s="1"/>
  <c r="J30" i="3"/>
  <c r="K30" i="3" s="1"/>
  <c r="L30" i="3" s="1"/>
  <c r="J5" i="3"/>
  <c r="K5" i="3" s="1"/>
  <c r="L5" i="3" s="1"/>
  <c r="J18" i="3"/>
  <c r="K18" i="3" s="1"/>
  <c r="L18" i="3" s="1"/>
  <c r="J24" i="3"/>
  <c r="K24" i="3" s="1"/>
  <c r="L24" i="3" s="1"/>
  <c r="J44" i="3"/>
  <c r="K44" i="3" s="1"/>
  <c r="L44" i="3" s="1"/>
  <c r="J51" i="3"/>
  <c r="K51" i="3" s="1"/>
  <c r="L51" i="3" s="1"/>
  <c r="J90" i="3"/>
  <c r="K90" i="3" s="1"/>
  <c r="L90" i="3" s="1"/>
  <c r="J97" i="3"/>
  <c r="K97" i="3" s="1"/>
  <c r="L97" i="3" s="1"/>
  <c r="J70" i="3"/>
  <c r="K70" i="3" s="1"/>
  <c r="L70" i="3" s="1"/>
  <c r="J12" i="3"/>
  <c r="K12" i="3" s="1"/>
  <c r="L12" i="3" s="1"/>
  <c r="J19" i="3"/>
  <c r="K19" i="3" s="1"/>
  <c r="L19" i="3" s="1"/>
  <c r="J58" i="3"/>
  <c r="K58" i="3" s="1"/>
  <c r="L58" i="3" s="1"/>
  <c r="J78" i="3"/>
  <c r="K78" i="3" s="1"/>
  <c r="L78" i="3" s="1"/>
  <c r="J65" i="3"/>
  <c r="K65" i="3" s="1"/>
  <c r="L65" i="3" s="1"/>
  <c r="J85" i="3"/>
  <c r="K85" i="3" s="1"/>
  <c r="L85" i="3" s="1"/>
  <c r="J72" i="3"/>
  <c r="K72" i="3" s="1"/>
  <c r="L72" i="3" s="1"/>
  <c r="J13" i="3"/>
  <c r="K13" i="3" s="1"/>
  <c r="L13" i="3" s="1"/>
  <c r="J86" i="3"/>
  <c r="K86" i="3" s="1"/>
  <c r="L86" i="3" s="1"/>
  <c r="J21" i="3"/>
  <c r="K21" i="3" s="1"/>
  <c r="L21" i="3" s="1"/>
  <c r="J34" i="3"/>
  <c r="K34" i="3" s="1"/>
  <c r="L34" i="3" s="1"/>
  <c r="J40" i="3"/>
  <c r="K40" i="3" s="1"/>
  <c r="L40" i="3" s="1"/>
  <c r="J60" i="3"/>
  <c r="K60" i="3" s="1"/>
  <c r="L60" i="3" s="1"/>
  <c r="J67" i="3"/>
  <c r="K67" i="3" s="1"/>
  <c r="L67" i="3" s="1"/>
  <c r="J8" i="3"/>
  <c r="K8" i="3" s="1"/>
  <c r="L8" i="3" s="1"/>
  <c r="J22" i="3"/>
  <c r="K22" i="3" s="1"/>
  <c r="L22" i="3" s="1"/>
  <c r="J61" i="3"/>
  <c r="K61" i="3" s="1"/>
  <c r="L61" i="3" s="1"/>
  <c r="J81" i="3"/>
  <c r="K81" i="3" s="1"/>
  <c r="L81" i="3" s="1"/>
  <c r="J3" i="3"/>
  <c r="K3" i="3" s="1"/>
  <c r="L3" i="3" s="1"/>
  <c r="J42" i="3"/>
  <c r="K42" i="3" s="1"/>
  <c r="L42" i="3" s="1"/>
  <c r="J62" i="3"/>
  <c r="K62" i="3" s="1"/>
  <c r="L62" i="3" s="1"/>
  <c r="I6" i="2"/>
  <c r="K6" i="2"/>
  <c r="J6" i="2"/>
  <c r="K14" i="2"/>
  <c r="I14" i="2"/>
  <c r="J9" i="2"/>
  <c r="K9" i="2"/>
  <c r="J27" i="2"/>
  <c r="K27" i="2"/>
  <c r="C11" i="4"/>
  <c r="C13" i="4"/>
  <c r="D15" i="4" a="1"/>
  <c r="D15" i="4" s="1"/>
  <c r="I22" i="2"/>
  <c r="K22" i="2"/>
  <c r="J22" i="2"/>
  <c r="J25" i="2"/>
  <c r="K25" i="2"/>
  <c r="I25" i="2"/>
  <c r="I5" i="2"/>
  <c r="K5" i="2"/>
  <c r="J5" i="2"/>
  <c r="K11" i="2"/>
  <c r="D10" i="4" a="1"/>
  <c r="D10" i="4" s="1"/>
  <c r="D14" i="4" a="1"/>
  <c r="D14" i="4" s="1"/>
  <c r="C21" i="4"/>
  <c r="I9" i="2"/>
  <c r="C6" i="4"/>
  <c r="C12" i="4"/>
  <c r="D16" i="4" a="1"/>
  <c r="D16" i="4" s="1"/>
  <c r="J13" i="2"/>
  <c r="K13" i="2"/>
  <c r="I13" i="2"/>
  <c r="K15" i="2"/>
  <c r="J15" i="2"/>
  <c r="I15" i="2"/>
  <c r="I8" i="2"/>
  <c r="J8" i="2"/>
  <c r="K8" i="2"/>
  <c r="K12" i="2"/>
  <c r="J12" i="2"/>
  <c r="I12" i="2"/>
  <c r="J17" i="2"/>
  <c r="K17" i="2"/>
  <c r="I17" i="2"/>
  <c r="I26" i="2"/>
  <c r="K26" i="2"/>
  <c r="J26" i="2"/>
  <c r="K3" i="2"/>
  <c r="I3" i="2"/>
  <c r="J3" i="2"/>
  <c r="K4" i="2"/>
  <c r="J4" i="2"/>
  <c r="I4" i="2"/>
  <c r="I19" i="2"/>
  <c r="K19" i="2"/>
  <c r="J19" i="2"/>
  <c r="I24" i="2"/>
  <c r="K24" i="2"/>
  <c r="J24" i="2"/>
  <c r="I10" i="2"/>
  <c r="K10" i="2"/>
  <c r="J10" i="2"/>
  <c r="K20" i="2"/>
  <c r="J20" i="2"/>
  <c r="I20" i="2"/>
  <c r="J21" i="2"/>
  <c r="I21" i="2"/>
  <c r="K21" i="2"/>
  <c r="K28" i="2"/>
  <c r="J28" i="2"/>
  <c r="I28" i="2"/>
  <c r="C7" i="4"/>
  <c r="C20" i="4"/>
  <c r="J2" i="2"/>
  <c r="J18" i="2"/>
  <c r="C4" i="4"/>
  <c r="C17" i="4"/>
  <c r="I18" i="2"/>
  <c r="K2" i="2"/>
  <c r="I16" i="2"/>
  <c r="C5" i="4"/>
  <c r="C18" i="4"/>
  <c r="J16" i="2"/>
  <c r="I7" i="2"/>
  <c r="I23" i="2"/>
  <c r="C9" i="4"/>
  <c r="J7" i="2"/>
  <c r="J23" i="2"/>
  <c r="C22" i="4"/>
  <c r="C19" i="4"/>
  <c r="I11" i="2"/>
  <c r="J14" i="2"/>
  <c r="I27" i="2"/>
  <c r="H97" i="1" l="1"/>
  <c r="I97" i="1" s="1"/>
  <c r="H96" i="1"/>
  <c r="I96" i="1" s="1"/>
  <c r="H95" i="1"/>
  <c r="I95" i="1" s="1"/>
  <c r="H94" i="1"/>
  <c r="I94" i="1" s="1"/>
  <c r="H93" i="1"/>
  <c r="I93" i="1" s="1"/>
  <c r="H92" i="1"/>
  <c r="I92" i="1" s="1"/>
  <c r="H91" i="1"/>
  <c r="I91" i="1" s="1"/>
  <c r="H90" i="1"/>
  <c r="I90" i="1" s="1"/>
  <c r="H89" i="1"/>
  <c r="I89" i="1" s="1"/>
  <c r="H88" i="1"/>
  <c r="I88" i="1" s="1"/>
  <c r="H87" i="1"/>
  <c r="I87" i="1" s="1"/>
  <c r="I86" i="1"/>
  <c r="H86" i="1"/>
  <c r="H85" i="1"/>
  <c r="I85" i="1" s="1"/>
  <c r="H84" i="1"/>
  <c r="I84" i="1" s="1"/>
  <c r="H83" i="1"/>
  <c r="I83" i="1" s="1"/>
  <c r="H82" i="1"/>
  <c r="I82" i="1" s="1"/>
  <c r="H81" i="1"/>
  <c r="I81" i="1" s="1"/>
  <c r="H80" i="1"/>
  <c r="I80" i="1" s="1"/>
  <c r="H79" i="1"/>
  <c r="I79" i="1" s="1"/>
  <c r="H78" i="1"/>
  <c r="I78" i="1" s="1"/>
  <c r="I77" i="1"/>
  <c r="H77" i="1"/>
  <c r="H76" i="1"/>
  <c r="I76" i="1" s="1"/>
  <c r="H75" i="1"/>
  <c r="I75" i="1" s="1"/>
  <c r="H74" i="1"/>
  <c r="I74" i="1" s="1"/>
  <c r="H73" i="1"/>
  <c r="I73" i="1" s="1"/>
  <c r="H72" i="1"/>
  <c r="I72" i="1" s="1"/>
  <c r="H71" i="1"/>
  <c r="I71" i="1" s="1"/>
  <c r="H70" i="1"/>
  <c r="I70" i="1" s="1"/>
  <c r="H69" i="1"/>
  <c r="I69" i="1" s="1"/>
  <c r="H68" i="1"/>
  <c r="I68" i="1" s="1"/>
  <c r="H67" i="1"/>
  <c r="I67" i="1" s="1"/>
  <c r="H66" i="1"/>
  <c r="I66" i="1" s="1"/>
  <c r="I65" i="1"/>
  <c r="H65" i="1"/>
  <c r="H64" i="1"/>
  <c r="I64" i="1" s="1"/>
  <c r="H63" i="1"/>
  <c r="I63" i="1" s="1"/>
  <c r="H62" i="1"/>
  <c r="I62" i="1" s="1"/>
  <c r="H61" i="1"/>
  <c r="I61" i="1" s="1"/>
  <c r="H60" i="1"/>
  <c r="I60" i="1" s="1"/>
  <c r="H59" i="1"/>
  <c r="I59" i="1" s="1"/>
  <c r="H58" i="1"/>
  <c r="I58" i="1" s="1"/>
  <c r="H57" i="1"/>
  <c r="I57" i="1" s="1"/>
  <c r="I56" i="1"/>
  <c r="H56" i="1"/>
  <c r="H55" i="1"/>
  <c r="I55" i="1" s="1"/>
  <c r="H54" i="1"/>
  <c r="I54" i="1" s="1"/>
  <c r="H53" i="1"/>
  <c r="I53" i="1" s="1"/>
  <c r="H52" i="1"/>
  <c r="I52" i="1" s="1"/>
  <c r="H51" i="1"/>
  <c r="I51" i="1" s="1"/>
  <c r="H50" i="1"/>
  <c r="I50" i="1" s="1"/>
  <c r="I49" i="1"/>
  <c r="H49" i="1"/>
  <c r="H48" i="1"/>
  <c r="I48" i="1" s="1"/>
  <c r="I47" i="1"/>
  <c r="H47" i="1"/>
  <c r="H46" i="1"/>
  <c r="I46" i="1" s="1"/>
  <c r="H45" i="1"/>
  <c r="I45" i="1" s="1"/>
  <c r="H44" i="1"/>
  <c r="I44" i="1" s="1"/>
  <c r="H43" i="1"/>
  <c r="I43" i="1" s="1"/>
  <c r="H42" i="1"/>
  <c r="I42" i="1" s="1"/>
  <c r="H41" i="1"/>
  <c r="I41" i="1" s="1"/>
  <c r="I40" i="1"/>
  <c r="H40" i="1"/>
  <c r="H39" i="1"/>
  <c r="I39" i="1" s="1"/>
  <c r="I38" i="1"/>
  <c r="H38" i="1"/>
  <c r="H37" i="1"/>
  <c r="I37" i="1" s="1"/>
  <c r="H36" i="1"/>
  <c r="I36" i="1" s="1"/>
  <c r="H35" i="1"/>
  <c r="I35" i="1" s="1"/>
  <c r="K34" i="1" a="1"/>
  <c r="K34" i="1" s="1"/>
  <c r="H34" i="1"/>
  <c r="I34" i="1" s="1"/>
  <c r="K33" i="1" a="1"/>
  <c r="K33" i="1" s="1"/>
  <c r="H33" i="1"/>
  <c r="I33" i="1" s="1"/>
  <c r="K32" i="1" a="1"/>
  <c r="K32" i="1" s="1"/>
  <c r="H32" i="1"/>
  <c r="I32" i="1" s="1"/>
  <c r="K31" i="1" a="1"/>
  <c r="K31" i="1" s="1"/>
  <c r="H31" i="1"/>
  <c r="I31" i="1" s="1"/>
  <c r="K30" i="1" a="1"/>
  <c r="K30" i="1" s="1"/>
  <c r="H30" i="1"/>
  <c r="I30" i="1" s="1"/>
  <c r="K29" i="1" a="1"/>
  <c r="K29" i="1" s="1"/>
  <c r="H29" i="1"/>
  <c r="I29" i="1" s="1"/>
  <c r="K28" i="1" a="1"/>
  <c r="K28" i="1" s="1"/>
  <c r="H28" i="1"/>
  <c r="I28" i="1" s="1"/>
  <c r="K27" i="1" a="1"/>
  <c r="K27" i="1" s="1"/>
  <c r="I27" i="1"/>
  <c r="H27" i="1"/>
  <c r="H26" i="1"/>
  <c r="I26" i="1" s="1"/>
  <c r="I25" i="1"/>
  <c r="H25" i="1"/>
  <c r="H24" i="1"/>
  <c r="I24" i="1" s="1"/>
  <c r="L23" i="1"/>
  <c r="H23" i="1"/>
  <c r="I23" i="1" s="1"/>
  <c r="H22" i="1"/>
  <c r="I22" i="1" s="1"/>
  <c r="H21" i="1"/>
  <c r="I21" i="1" s="1"/>
  <c r="H20" i="1"/>
  <c r="I20" i="1" s="1"/>
  <c r="L19" i="1"/>
  <c r="H19" i="1"/>
  <c r="I19" i="1" s="1"/>
  <c r="H18" i="1"/>
  <c r="I18" i="1" s="1"/>
  <c r="I17" i="1"/>
  <c r="H17" i="1"/>
  <c r="H16" i="1"/>
  <c r="I16" i="1" s="1"/>
  <c r="H15" i="1"/>
  <c r="I15" i="1" s="1"/>
  <c r="H14" i="1"/>
  <c r="I14" i="1" s="1"/>
  <c r="H13" i="1"/>
  <c r="I13" i="1" s="1"/>
  <c r="H12" i="1"/>
  <c r="I12" i="1" s="1"/>
  <c r="H11" i="1"/>
  <c r="I11" i="1" s="1"/>
  <c r="H10" i="1"/>
  <c r="I10" i="1" s="1"/>
  <c r="I9" i="1"/>
  <c r="H9" i="1"/>
  <c r="H8" i="1"/>
  <c r="I8" i="1" s="1"/>
  <c r="I7" i="1"/>
  <c r="H7" i="1"/>
  <c r="H6" i="1"/>
  <c r="I6" i="1" s="1"/>
  <c r="H5" i="1"/>
  <c r="I5" i="1" s="1"/>
  <c r="H4" i="1"/>
  <c r="I4" i="1" s="1"/>
  <c r="H3" i="1"/>
  <c r="I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<sst xmlns="http://schemas.openxmlformats.org/spreadsheetml/2006/main" count="16161" uniqueCount="2756">
  <si>
    <t>Last Name</t>
  </si>
  <si>
    <t>First Name</t>
  </si>
  <si>
    <t>UserID</t>
  </si>
  <si>
    <t>Test 1</t>
  </si>
  <si>
    <t>Test 2</t>
  </si>
  <si>
    <t>Test 3</t>
  </si>
  <si>
    <t>Test 4</t>
  </si>
  <si>
    <t>Average</t>
  </si>
  <si>
    <t>Grade</t>
  </si>
  <si>
    <t>Using Index and Match functions</t>
  </si>
  <si>
    <t>Goodwin</t>
  </si>
  <si>
    <t xml:space="preserve"> Jon</t>
  </si>
  <si>
    <t>ZAA852</t>
  </si>
  <si>
    <t>Wood</t>
  </si>
  <si>
    <t xml:space="preserve"> Tristian</t>
  </si>
  <si>
    <t>RXC606</t>
  </si>
  <si>
    <t>Match function will match a value and get the row or column</t>
  </si>
  <si>
    <t>Ahmad</t>
  </si>
  <si>
    <t xml:space="preserve"> Kalel</t>
  </si>
  <si>
    <t>RXP479</t>
  </si>
  <si>
    <t>Index function can be used to find values in a row / column.</t>
  </si>
  <si>
    <t>Hensley</t>
  </si>
  <si>
    <t xml:space="preserve"> Lauren</t>
  </si>
  <si>
    <t>RXT321</t>
  </si>
  <si>
    <t>Match function can be used inside Index function</t>
  </si>
  <si>
    <t>Bryant</t>
  </si>
  <si>
    <t xml:space="preserve"> Hunter</t>
  </si>
  <si>
    <t>SJP626</t>
  </si>
  <si>
    <t>Wurz</t>
  </si>
  <si>
    <t xml:space="preserve"> Alexandria</t>
  </si>
  <si>
    <t>KXV638</t>
  </si>
  <si>
    <t>Nwaekwe</t>
  </si>
  <si>
    <t xml:space="preserve"> Dallas</t>
  </si>
  <si>
    <t>LWB217</t>
  </si>
  <si>
    <t>King</t>
  </si>
  <si>
    <t xml:space="preserve"> Miles</t>
  </si>
  <si>
    <t>LXC481</t>
  </si>
  <si>
    <t>Grades</t>
  </si>
  <si>
    <t>Baugh</t>
  </si>
  <si>
    <t xml:space="preserve"> Winnie</t>
  </si>
  <si>
    <t>LXL805</t>
  </si>
  <si>
    <t>F</t>
  </si>
  <si>
    <t>Baqatyan</t>
  </si>
  <si>
    <t xml:space="preserve"> Charli</t>
  </si>
  <si>
    <t>LXM682</t>
  </si>
  <si>
    <t>D</t>
  </si>
  <si>
    <t>Verma</t>
  </si>
  <si>
    <t xml:space="preserve"> Zaniyah</t>
  </si>
  <si>
    <t>MDS517</t>
  </si>
  <si>
    <t>C</t>
  </si>
  <si>
    <t>Harry</t>
  </si>
  <si>
    <t xml:space="preserve"> Melany</t>
  </si>
  <si>
    <t>MJW651</t>
  </si>
  <si>
    <t>B</t>
  </si>
  <si>
    <t>Govindappa</t>
  </si>
  <si>
    <t xml:space="preserve"> Talon</t>
  </si>
  <si>
    <t>MXA820</t>
  </si>
  <si>
    <t>A</t>
  </si>
  <si>
    <t>McMillan</t>
  </si>
  <si>
    <t xml:space="preserve"> Melvin</t>
  </si>
  <si>
    <t>MXG453</t>
  </si>
  <si>
    <t>Danalian</t>
  </si>
  <si>
    <t>Aditi</t>
  </si>
  <si>
    <t>MXJ869</t>
  </si>
  <si>
    <r>
      <t xml:space="preserve">2. Find a particular data (Select a </t>
    </r>
    <r>
      <rPr>
        <sz val="12"/>
        <color rgb="FF00B0F0"/>
        <rFont val="Calibri"/>
        <family val="2"/>
      </rPr>
      <t>User ID</t>
    </r>
    <r>
      <rPr>
        <sz val="12"/>
        <rFont val="Calibri"/>
        <family val="2"/>
      </rPr>
      <t xml:space="preserve"> and a </t>
    </r>
    <r>
      <rPr>
        <sz val="12"/>
        <color rgb="FF00B0F0"/>
        <rFont val="Calibri"/>
        <family val="2"/>
      </rPr>
      <t>column heading</t>
    </r>
    <r>
      <rPr>
        <sz val="12"/>
        <rFont val="Calibri"/>
        <family val="2"/>
      </rPr>
      <t xml:space="preserve">) </t>
    </r>
  </si>
  <si>
    <t>Moran</t>
  </si>
  <si>
    <t xml:space="preserve"> Maisie</t>
  </si>
  <si>
    <t>MXM259</t>
  </si>
  <si>
    <t>User id</t>
  </si>
  <si>
    <t>Schuhmacher</t>
  </si>
  <si>
    <t xml:space="preserve"> Helena</t>
  </si>
  <si>
    <t>MXR447</t>
  </si>
  <si>
    <t>Shepherd</t>
  </si>
  <si>
    <t xml:space="preserve"> Manuel</t>
  </si>
  <si>
    <t>MXS535</t>
  </si>
  <si>
    <t>Singh</t>
  </si>
  <si>
    <t xml:space="preserve"> Emory</t>
  </si>
  <si>
    <t>SUK436</t>
  </si>
  <si>
    <t>Mathew</t>
  </si>
  <si>
    <t xml:space="preserve"> Kinley</t>
  </si>
  <si>
    <t>SVD773</t>
  </si>
  <si>
    <t xml:space="preserve">3.  Find the max </t>
  </si>
  <si>
    <t>Waldrop</t>
  </si>
  <si>
    <t xml:space="preserve"> Alma</t>
  </si>
  <si>
    <t>SXA553</t>
  </si>
  <si>
    <t>Aird</t>
  </si>
  <si>
    <t xml:space="preserve"> Reign</t>
  </si>
  <si>
    <t>SXB257</t>
  </si>
  <si>
    <t>Mandaogane</t>
  </si>
  <si>
    <t xml:space="preserve"> Justice</t>
  </si>
  <si>
    <t>SXB664</t>
  </si>
  <si>
    <t>Tao</t>
  </si>
  <si>
    <t xml:space="preserve"> Paris</t>
  </si>
  <si>
    <t>SXF387</t>
  </si>
  <si>
    <t>4.  Get a random sample of UserID's</t>
  </si>
  <si>
    <t>Robinson</t>
  </si>
  <si>
    <t xml:space="preserve"> Lyric</t>
  </si>
  <si>
    <t>SXG809</t>
  </si>
  <si>
    <t>Morris</t>
  </si>
  <si>
    <t xml:space="preserve"> Brandon</t>
  </si>
  <si>
    <t>SXJ351</t>
  </si>
  <si>
    <t>Zhu</t>
  </si>
  <si>
    <t xml:space="preserve"> Estella</t>
  </si>
  <si>
    <t>SXK544</t>
  </si>
  <si>
    <t>Swaim</t>
  </si>
  <si>
    <t>Shruti</t>
  </si>
  <si>
    <t>SXN566</t>
  </si>
  <si>
    <t>Yang</t>
  </si>
  <si>
    <t xml:space="preserve"> Ayan</t>
  </si>
  <si>
    <t>SXP361</t>
  </si>
  <si>
    <t>Darrow</t>
  </si>
  <si>
    <t xml:space="preserve"> Maren</t>
  </si>
  <si>
    <t>SXP449</t>
  </si>
  <si>
    <t>Braughton</t>
  </si>
  <si>
    <t xml:space="preserve"> Daniela</t>
  </si>
  <si>
    <t>SXP668</t>
  </si>
  <si>
    <t>Redfield</t>
  </si>
  <si>
    <t xml:space="preserve"> Logan</t>
  </si>
  <si>
    <t>SXP681</t>
  </si>
  <si>
    <t>Taylor</t>
  </si>
  <si>
    <t xml:space="preserve"> Gatlin</t>
  </si>
  <si>
    <t>SXS383</t>
  </si>
  <si>
    <t>Garcia</t>
  </si>
  <si>
    <t xml:space="preserve"> Addilyn</t>
  </si>
  <si>
    <t>SXT233</t>
  </si>
  <si>
    <t>Robles</t>
  </si>
  <si>
    <t xml:space="preserve"> Mustafa</t>
  </si>
  <si>
    <t>SXV495</t>
  </si>
  <si>
    <t>Lloyd</t>
  </si>
  <si>
    <t xml:space="preserve"> Graham</t>
  </si>
  <si>
    <t>TXH402</t>
  </si>
  <si>
    <t>Michael</t>
  </si>
  <si>
    <t xml:space="preserve"> Sasha</t>
  </si>
  <si>
    <t>TXM635</t>
  </si>
  <si>
    <t>Sandlin</t>
  </si>
  <si>
    <t xml:space="preserve"> Angie</t>
  </si>
  <si>
    <t>UBP787</t>
  </si>
  <si>
    <t>Alvarez</t>
  </si>
  <si>
    <t xml:space="preserve"> Sekani</t>
  </si>
  <si>
    <t>VXN727</t>
  </si>
  <si>
    <t>Browne</t>
  </si>
  <si>
    <t>MXZ575</t>
  </si>
  <si>
    <t>Fernandez</t>
  </si>
  <si>
    <t xml:space="preserve"> Rylie</t>
  </si>
  <si>
    <t>NAG620</t>
  </si>
  <si>
    <t>Fields</t>
  </si>
  <si>
    <t xml:space="preserve"> Meadow</t>
  </si>
  <si>
    <t>NVB255</t>
  </si>
  <si>
    <t>Jain</t>
  </si>
  <si>
    <t>AAJ534</t>
  </si>
  <si>
    <t>Jon-Ubabuco</t>
  </si>
  <si>
    <t xml:space="preserve"> Casen</t>
  </si>
  <si>
    <t>AHS446</t>
  </si>
  <si>
    <t>Mackey</t>
  </si>
  <si>
    <t xml:space="preserve"> Creed</t>
  </si>
  <si>
    <t>AMB350</t>
  </si>
  <si>
    <t>Shurtleff</t>
  </si>
  <si>
    <t xml:space="preserve"> Andrew</t>
  </si>
  <si>
    <t>AMB556</t>
  </si>
  <si>
    <t>Johnson</t>
  </si>
  <si>
    <t xml:space="preserve"> Demetrius</t>
  </si>
  <si>
    <t>AXA770</t>
  </si>
  <si>
    <t>Bumber</t>
  </si>
  <si>
    <t xml:space="preserve"> Phoenix</t>
  </si>
  <si>
    <t>AXP686</t>
  </si>
  <si>
    <t>Cole</t>
  </si>
  <si>
    <t xml:space="preserve"> Harlem</t>
  </si>
  <si>
    <t>AXS620</t>
  </si>
  <si>
    <t>Antone</t>
  </si>
  <si>
    <t xml:space="preserve"> Jayson</t>
  </si>
  <si>
    <t>AXS822</t>
  </si>
  <si>
    <t>Xu</t>
  </si>
  <si>
    <t>Li</t>
  </si>
  <si>
    <t>AXZ533</t>
  </si>
  <si>
    <t>Lima</t>
  </si>
  <si>
    <t>Sahana</t>
  </si>
  <si>
    <t>BXR386</t>
  </si>
  <si>
    <t>Nolen</t>
  </si>
  <si>
    <t xml:space="preserve"> Larry</t>
  </si>
  <si>
    <t>BXR550</t>
  </si>
  <si>
    <t>Krider</t>
  </si>
  <si>
    <t>CXR719</t>
  </si>
  <si>
    <t>Catral</t>
  </si>
  <si>
    <t xml:space="preserve"> Rex</t>
  </si>
  <si>
    <t>DAD399</t>
  </si>
  <si>
    <t>Soppin</t>
  </si>
  <si>
    <t xml:space="preserve"> Kaysen</t>
  </si>
  <si>
    <t>DRR238</t>
  </si>
  <si>
    <t>Chen</t>
  </si>
  <si>
    <t xml:space="preserve"> Ryker</t>
  </si>
  <si>
    <t>DXG717</t>
  </si>
  <si>
    <t>Hollister</t>
  </si>
  <si>
    <t xml:space="preserve"> Cannon</t>
  </si>
  <si>
    <t>FHS576</t>
  </si>
  <si>
    <t>Koroma</t>
  </si>
  <si>
    <t xml:space="preserve"> Clay</t>
  </si>
  <si>
    <t>GXN577</t>
  </si>
  <si>
    <t>Kaskas</t>
  </si>
  <si>
    <t xml:space="preserve"> Pablo</t>
  </si>
  <si>
    <t>GXS618</t>
  </si>
  <si>
    <t>Omana</t>
  </si>
  <si>
    <t xml:space="preserve"> Clarissa</t>
  </si>
  <si>
    <t>HXG564</t>
  </si>
  <si>
    <t>White</t>
  </si>
  <si>
    <t>Rajesh</t>
  </si>
  <si>
    <t>HXM394</t>
  </si>
  <si>
    <t>Bradley</t>
  </si>
  <si>
    <t xml:space="preserve"> Jesse</t>
  </si>
  <si>
    <t>HXP686</t>
  </si>
  <si>
    <t>McCartt</t>
  </si>
  <si>
    <t xml:space="preserve"> Brantley</t>
  </si>
  <si>
    <t>ISG568</t>
  </si>
  <si>
    <t>Glover</t>
  </si>
  <si>
    <t xml:space="preserve"> Cassandra</t>
  </si>
  <si>
    <t>JMS697</t>
  </si>
  <si>
    <t>Vu</t>
  </si>
  <si>
    <t xml:space="preserve"> Bodie</t>
  </si>
  <si>
    <t>JXK790</t>
  </si>
  <si>
    <t>Song</t>
  </si>
  <si>
    <t xml:space="preserve"> Makenzie</t>
  </si>
  <si>
    <t>JXP275</t>
  </si>
  <si>
    <t>User</t>
  </si>
  <si>
    <t xml:space="preserve"> Ezra</t>
  </si>
  <si>
    <t>JXS554</t>
  </si>
  <si>
    <t>Kimbrell</t>
  </si>
  <si>
    <t xml:space="preserve"> Boston</t>
  </si>
  <si>
    <t>JXZ272</t>
  </si>
  <si>
    <t>Melton</t>
  </si>
  <si>
    <t xml:space="preserve"> Atlas</t>
  </si>
  <si>
    <t>JZF635</t>
  </si>
  <si>
    <t>Okulate</t>
  </si>
  <si>
    <t xml:space="preserve"> Ibrahim</t>
  </si>
  <si>
    <t>KMS675</t>
  </si>
  <si>
    <t>Kaiser</t>
  </si>
  <si>
    <t xml:space="preserve"> Sebastian</t>
  </si>
  <si>
    <t>KXB306</t>
  </si>
  <si>
    <t xml:space="preserve"> Zaiden</t>
  </si>
  <si>
    <t>CAE227</t>
  </si>
  <si>
    <t>Mcbride</t>
  </si>
  <si>
    <t xml:space="preserve"> Brecken</t>
  </si>
  <si>
    <t>CDE565</t>
  </si>
  <si>
    <t>Yao</t>
  </si>
  <si>
    <t>Ahmed</t>
  </si>
  <si>
    <t>CJL660</t>
  </si>
  <si>
    <t>Corley</t>
  </si>
  <si>
    <t xml:space="preserve"> Felix</t>
  </si>
  <si>
    <t>CRE281</t>
  </si>
  <si>
    <t>Mahapatra</t>
  </si>
  <si>
    <t xml:space="preserve"> Cadence</t>
  </si>
  <si>
    <t>CSM231</t>
  </si>
  <si>
    <t>Whitaker</t>
  </si>
  <si>
    <t xml:space="preserve"> Ayleen</t>
  </si>
  <si>
    <t>KXD878</t>
  </si>
  <si>
    <t>Buquet</t>
  </si>
  <si>
    <t xml:space="preserve"> Oscar</t>
  </si>
  <si>
    <t>KXH384</t>
  </si>
  <si>
    <t>Aziz</t>
  </si>
  <si>
    <t xml:space="preserve"> John</t>
  </si>
  <si>
    <t>KXN807</t>
  </si>
  <si>
    <t>Baer</t>
  </si>
  <si>
    <t xml:space="preserve"> Leland</t>
  </si>
  <si>
    <t>KXR253</t>
  </si>
  <si>
    <t>Price</t>
  </si>
  <si>
    <t xml:space="preserve"> Lian</t>
  </si>
  <si>
    <t>KXS249</t>
  </si>
  <si>
    <t>Tsai</t>
  </si>
  <si>
    <t>Dilip</t>
  </si>
  <si>
    <t>NXA657</t>
  </si>
  <si>
    <t>Shah</t>
  </si>
  <si>
    <t xml:space="preserve"> Jaylin</t>
  </si>
  <si>
    <t>NXA694</t>
  </si>
  <si>
    <t>Jurecki</t>
  </si>
  <si>
    <t xml:space="preserve"> Oaklee</t>
  </si>
  <si>
    <t>NXK520</t>
  </si>
  <si>
    <t>Marchese</t>
  </si>
  <si>
    <t xml:space="preserve"> Xander</t>
  </si>
  <si>
    <t>PTD394</t>
  </si>
  <si>
    <t>Naik</t>
  </si>
  <si>
    <t xml:space="preserve"> Henrik</t>
  </si>
  <si>
    <t>PVB370</t>
  </si>
  <si>
    <t>Krueger</t>
  </si>
  <si>
    <t xml:space="preserve"> Mohamed</t>
  </si>
  <si>
    <t>PXS327</t>
  </si>
  <si>
    <t>Chism</t>
  </si>
  <si>
    <t xml:space="preserve"> Jakob</t>
  </si>
  <si>
    <t>RDS268</t>
  </si>
  <si>
    <t>Rusek</t>
  </si>
  <si>
    <t xml:space="preserve"> Justin</t>
  </si>
  <si>
    <t>VXY427</t>
  </si>
  <si>
    <t xml:space="preserve"> Kamryn</t>
  </si>
  <si>
    <t>WCB260</t>
  </si>
  <si>
    <t>Torres</t>
  </si>
  <si>
    <t xml:space="preserve"> Serena</t>
  </si>
  <si>
    <t>WXH806</t>
  </si>
  <si>
    <t>Cangelosi</t>
  </si>
  <si>
    <t xml:space="preserve"> Yaretzi</t>
  </si>
  <si>
    <t>YAS519</t>
  </si>
  <si>
    <t>Sturm</t>
  </si>
  <si>
    <t xml:space="preserve"> Ariel</t>
  </si>
  <si>
    <t>YDN893</t>
  </si>
  <si>
    <t>Canessa</t>
  </si>
  <si>
    <t xml:space="preserve"> Edison</t>
  </si>
  <si>
    <t>YXT355</t>
  </si>
  <si>
    <t>Date</t>
  </si>
  <si>
    <t>Product</t>
  </si>
  <si>
    <t>Region</t>
  </si>
  <si>
    <t>Employee</t>
  </si>
  <si>
    <t>Customer</t>
  </si>
  <si>
    <t>Units</t>
  </si>
  <si>
    <t>Sales</t>
  </si>
  <si>
    <t>$ Commission</t>
  </si>
  <si>
    <t>AND</t>
  </si>
  <si>
    <t>OR</t>
  </si>
  <si>
    <t>Shorts</t>
  </si>
  <si>
    <t>South</t>
  </si>
  <si>
    <t>Jack</t>
  </si>
  <si>
    <t>ZAT</t>
  </si>
  <si>
    <t>Commission = 3% if Sales &gt;= $800.  2% otherwise</t>
  </si>
  <si>
    <t>Cap</t>
  </si>
  <si>
    <t>East</t>
  </si>
  <si>
    <t>Mark</t>
  </si>
  <si>
    <t>WSD</t>
  </si>
  <si>
    <t>T-Shirt</t>
  </si>
  <si>
    <t>MidWest</t>
  </si>
  <si>
    <t>John</t>
  </si>
  <si>
    <t>T</t>
  </si>
  <si>
    <t>Put "Yes" if South sold ≥$400</t>
  </si>
  <si>
    <t>Socks</t>
  </si>
  <si>
    <t>Jackie</t>
  </si>
  <si>
    <t>PCC</t>
  </si>
  <si>
    <r>
      <t xml:space="preserve">Put "Yes" if South or sale is </t>
    </r>
    <r>
      <rPr>
        <sz val="12"/>
        <color theme="1"/>
        <rFont val="Aptos Narrow"/>
        <family val="2"/>
      </rPr>
      <t>≥</t>
    </r>
    <r>
      <rPr>
        <sz val="12"/>
        <color theme="1"/>
        <rFont val="Calibri"/>
        <family val="2"/>
      </rPr>
      <t>$400</t>
    </r>
  </si>
  <si>
    <t>MBG</t>
  </si>
  <si>
    <t>West</t>
  </si>
  <si>
    <t>Cathy</t>
  </si>
  <si>
    <t>ITTW</t>
  </si>
  <si>
    <t>YTR</t>
  </si>
  <si>
    <t>Sweat Shirt</t>
  </si>
  <si>
    <t>JAQ</t>
  </si>
  <si>
    <t>Stephanie</t>
  </si>
  <si>
    <t>GRR</t>
  </si>
  <si>
    <t>EPP</t>
  </si>
  <si>
    <t>BBT</t>
  </si>
  <si>
    <t>DDH</t>
  </si>
  <si>
    <t>TRU</t>
  </si>
  <si>
    <t>QT</t>
  </si>
  <si>
    <t>HHH</t>
  </si>
  <si>
    <t>KPSA</t>
  </si>
  <si>
    <t>FRED</t>
  </si>
  <si>
    <t>DFGH</t>
  </si>
  <si>
    <t>FM</t>
  </si>
  <si>
    <t>WT</t>
  </si>
  <si>
    <t>Bonus 1</t>
  </si>
  <si>
    <t>Bonus 2</t>
  </si>
  <si>
    <t>Comments</t>
  </si>
  <si>
    <t>Bonus 1:  5 if the highest score is above 90,  but the score shouldn't go past 100</t>
  </si>
  <si>
    <t>Bonus 2:  8 if lowest score is below 60</t>
  </si>
  <si>
    <t>Use Vlookup to assign grades</t>
  </si>
  <si>
    <t>comments</t>
  </si>
  <si>
    <t>Bad</t>
  </si>
  <si>
    <t>Need to work hard</t>
  </si>
  <si>
    <t>Good</t>
  </si>
  <si>
    <t>Excellent</t>
  </si>
  <si>
    <t>Function ---&gt;</t>
  </si>
  <si>
    <t>IF</t>
  </si>
  <si>
    <t xml:space="preserve">IFS </t>
  </si>
  <si>
    <t>Vlookup</t>
  </si>
  <si>
    <t>Gender</t>
  </si>
  <si>
    <t>Scores</t>
  </si>
  <si>
    <t>Pass / Fail</t>
  </si>
  <si>
    <t>Female</t>
  </si>
  <si>
    <t>Male</t>
  </si>
  <si>
    <t>Undeclared</t>
  </si>
  <si>
    <t>Pass &gt;=75</t>
  </si>
  <si>
    <t>Name</t>
  </si>
  <si>
    <t>XLookup Function</t>
  </si>
  <si>
    <t xml:space="preserve">Xlookup is an advanced version of Vlookup.  It is very flexible.  </t>
  </si>
  <si>
    <t>For example, we can assign grades using Lookup Table 1 or Lookup Table 2</t>
  </si>
  <si>
    <t>Lookup Table 1</t>
  </si>
  <si>
    <t>We can also retrive a whole record, and can look left ot right.</t>
  </si>
  <si>
    <t>Avanti</t>
  </si>
  <si>
    <t>Lisa</t>
  </si>
  <si>
    <t>Lookup Table 2</t>
  </si>
  <si>
    <t>Amount Sold</t>
  </si>
  <si>
    <t>Shipping Cost (Use IFS)</t>
  </si>
  <si>
    <t>Shipping cost (Use Vlookup)</t>
  </si>
  <si>
    <t>Percent Commission (Vlookup)</t>
  </si>
  <si>
    <t>Percent Commission (IFS)</t>
  </si>
  <si>
    <t>Commission Earned</t>
  </si>
  <si>
    <t>DFR</t>
  </si>
  <si>
    <t xml:space="preserve">Make proper lookup tables </t>
  </si>
  <si>
    <t>Jill</t>
  </si>
  <si>
    <t>TTT</t>
  </si>
  <si>
    <t xml:space="preserve">Shipping cost / order:  East - $10, West - $15, North - $12, South - $8. </t>
  </si>
  <si>
    <t>North</t>
  </si>
  <si>
    <t>PLOT</t>
  </si>
  <si>
    <t>ET</t>
  </si>
  <si>
    <t>Percent Commission on Amount sold:</t>
  </si>
  <si>
    <t>Percent</t>
  </si>
  <si>
    <t>Bracket</t>
  </si>
  <si>
    <t>0 - $299</t>
  </si>
  <si>
    <t>KBTB</t>
  </si>
  <si>
    <t>$300 - $799</t>
  </si>
  <si>
    <t>$800 - $1,499</t>
  </si>
  <si>
    <t>LOP</t>
  </si>
  <si>
    <t>$1,500 and more</t>
  </si>
  <si>
    <t>WFMI</t>
  </si>
  <si>
    <t>AA</t>
  </si>
  <si>
    <t>HII</t>
  </si>
  <si>
    <t>Amount</t>
  </si>
  <si>
    <t>Comission</t>
  </si>
  <si>
    <t>Working with Tables</t>
  </si>
  <si>
    <t xml:space="preserve">1. convert to table, name it UTD11, add a total row.  </t>
  </si>
  <si>
    <t>Ashley</t>
  </si>
  <si>
    <t>2. Add a column to compute the amount of each sale.</t>
  </si>
  <si>
    <t>3. Add a commission column (5% commission on the amount)</t>
  </si>
  <si>
    <t>4. Add slicers</t>
  </si>
  <si>
    <t>PSA</t>
  </si>
  <si>
    <t>ITW</t>
  </si>
  <si>
    <t>Total</t>
  </si>
  <si>
    <t>Invoice</t>
  </si>
  <si>
    <t>Commission  $</t>
  </si>
  <si>
    <t>Lookup and If set of functions</t>
  </si>
  <si>
    <t>Pants</t>
  </si>
  <si>
    <t>Riya</t>
  </si>
  <si>
    <t>Invoice = Sales + Shipping</t>
  </si>
  <si>
    <t>Commission on invoice amount</t>
  </si>
  <si>
    <t>Shipping cost / unit</t>
  </si>
  <si>
    <t>Riya - 6%</t>
  </si>
  <si>
    <t xml:space="preserve">Riya </t>
  </si>
  <si>
    <t>North - $2</t>
  </si>
  <si>
    <t>Cathy - 5%</t>
  </si>
  <si>
    <t>South - $3</t>
  </si>
  <si>
    <t>Mark - 7%</t>
  </si>
  <si>
    <t xml:space="preserve">Mark </t>
  </si>
  <si>
    <t>East - $1</t>
  </si>
  <si>
    <t>John - 5%</t>
  </si>
  <si>
    <t xml:space="preserve">John </t>
  </si>
  <si>
    <t>West - $4</t>
  </si>
  <si>
    <t>Jack - 6%</t>
  </si>
  <si>
    <t xml:space="preserve">Jack </t>
  </si>
  <si>
    <t>Stephanie - 7%</t>
  </si>
  <si>
    <t xml:space="preserve">Stephanie </t>
  </si>
  <si>
    <t>Jill - 5%</t>
  </si>
  <si>
    <t xml:space="preserve">Jill </t>
  </si>
  <si>
    <t xml:space="preserve">Answer question:  </t>
  </si>
  <si>
    <t>Total commission earned by Riya</t>
  </si>
  <si>
    <t>Total invoiced amount of T-shirts sold by Jack</t>
  </si>
  <si>
    <t>Number of invoices from North and South</t>
  </si>
  <si>
    <t>Total units of Pants and Shorts sold by Stephanie</t>
  </si>
  <si>
    <t>Total invoiced amount in December 2024</t>
  </si>
  <si>
    <t>Total units of Pants sold in 2025</t>
  </si>
  <si>
    <t xml:space="preserve">Use Conditional formating to identifying the invoices </t>
  </si>
  <si>
    <t>Green:  if $1000 and more</t>
  </si>
  <si>
    <t>Red: if $600 and less</t>
  </si>
  <si>
    <t>APS</t>
  </si>
  <si>
    <t>AST</t>
  </si>
  <si>
    <t>Date Sold</t>
  </si>
  <si>
    <t>City</t>
  </si>
  <si>
    <t>Total Sales</t>
  </si>
  <si>
    <t>Method</t>
  </si>
  <si>
    <t>Commission</t>
  </si>
  <si>
    <t>Column1</t>
  </si>
  <si>
    <t>Pivot table</t>
  </si>
  <si>
    <t>H-4546-11</t>
  </si>
  <si>
    <t>Purse</t>
  </si>
  <si>
    <t>Frisco</t>
  </si>
  <si>
    <t>Credit card</t>
  </si>
  <si>
    <t>Column Labels</t>
  </si>
  <si>
    <t>C-1202-11</t>
  </si>
  <si>
    <t>Hoddie</t>
  </si>
  <si>
    <t>Plano</t>
  </si>
  <si>
    <t>HTE</t>
  </si>
  <si>
    <t>Cash</t>
  </si>
  <si>
    <t>Total Sum of Units</t>
  </si>
  <si>
    <t>Total Sum of Total Sales</t>
  </si>
  <si>
    <t>D-9800-11</t>
  </si>
  <si>
    <t>Scarf</t>
  </si>
  <si>
    <t>Dallas</t>
  </si>
  <si>
    <t>ARP</t>
  </si>
  <si>
    <t>Row Labels</t>
  </si>
  <si>
    <t>Sum of Units</t>
  </si>
  <si>
    <t>Sum of Total Sales</t>
  </si>
  <si>
    <t>A-4986-11</t>
  </si>
  <si>
    <t>Diya</t>
  </si>
  <si>
    <t>Hat</t>
  </si>
  <si>
    <t>A-9544-12</t>
  </si>
  <si>
    <t>Richardson</t>
  </si>
  <si>
    <t>PKH</t>
  </si>
  <si>
    <t>B-1559-12</t>
  </si>
  <si>
    <t>Skirt</t>
  </si>
  <si>
    <t>Allen</t>
  </si>
  <si>
    <t>HNP</t>
  </si>
  <si>
    <t>Jacket</t>
  </si>
  <si>
    <t>H-7091-12</t>
  </si>
  <si>
    <t>Jeans</t>
  </si>
  <si>
    <t>C-1331-13</t>
  </si>
  <si>
    <t>F-6855-13</t>
  </si>
  <si>
    <t>TAP</t>
  </si>
  <si>
    <t>G-4825-13</t>
  </si>
  <si>
    <t>D-1167-13</t>
  </si>
  <si>
    <t>MSP</t>
  </si>
  <si>
    <t>Sweater</t>
  </si>
  <si>
    <t>H-4383-13</t>
  </si>
  <si>
    <t>Check</t>
  </si>
  <si>
    <t>E-4550-13</t>
  </si>
  <si>
    <t>ATP</t>
  </si>
  <si>
    <t>Grand Total</t>
  </si>
  <si>
    <t>B-9588-13</t>
  </si>
  <si>
    <t>B-2845-14</t>
  </si>
  <si>
    <t>B-7248-14</t>
  </si>
  <si>
    <t>KQR</t>
  </si>
  <si>
    <t>A-6269-14</t>
  </si>
  <si>
    <t>Coppell</t>
  </si>
  <si>
    <t>ZAA</t>
  </si>
  <si>
    <t>G-7715-14</t>
  </si>
  <si>
    <t>Gift card</t>
  </si>
  <si>
    <t>B-4450-14</t>
  </si>
  <si>
    <t>TSQ</t>
  </si>
  <si>
    <t>E-6864-14</t>
  </si>
  <si>
    <t>McKinney</t>
  </si>
  <si>
    <t>TSA</t>
  </si>
  <si>
    <t>E-4417-15</t>
  </si>
  <si>
    <t>D-2913-15</t>
  </si>
  <si>
    <t>PFF</t>
  </si>
  <si>
    <t>A-2871-15</t>
  </si>
  <si>
    <t>A-2730-15</t>
  </si>
  <si>
    <t>A-7076-15</t>
  </si>
  <si>
    <t>D-9803-15</t>
  </si>
  <si>
    <t>SAT</t>
  </si>
  <si>
    <t>E-8259-15</t>
  </si>
  <si>
    <t>G-2424-15</t>
  </si>
  <si>
    <t>D-5784-15</t>
  </si>
  <si>
    <t>G-1737-16</t>
  </si>
  <si>
    <t>B-3090-16</t>
  </si>
  <si>
    <t>B-3490-16</t>
  </si>
  <si>
    <t>G-7486-16</t>
  </si>
  <si>
    <t>AKJ</t>
  </si>
  <si>
    <t>D-4062-16</t>
  </si>
  <si>
    <t>A-8553-16</t>
  </si>
  <si>
    <t>JKA</t>
  </si>
  <si>
    <t>D-3082-16</t>
  </si>
  <si>
    <t>B-7616-16</t>
  </si>
  <si>
    <t>A-1457-16</t>
  </si>
  <si>
    <t>A-8299-16</t>
  </si>
  <si>
    <t>F-5001-16</t>
  </si>
  <si>
    <t>F-6790-17</t>
  </si>
  <si>
    <t>F-3844-17</t>
  </si>
  <si>
    <t>H-9531-17</t>
  </si>
  <si>
    <t>E-3324-17</t>
  </si>
  <si>
    <t>C-8431-17</t>
  </si>
  <si>
    <t>B-1951-18</t>
  </si>
  <si>
    <t>C-2273-18</t>
  </si>
  <si>
    <t>F-1862-18</t>
  </si>
  <si>
    <t>H-2792-19</t>
  </si>
  <si>
    <t>E-3741-19</t>
  </si>
  <si>
    <t>H-8627-19</t>
  </si>
  <si>
    <t>A-5266-19</t>
  </si>
  <si>
    <t>F-2498-19</t>
  </si>
  <si>
    <t>A-9471-19</t>
  </si>
  <si>
    <t>D-7513-19</t>
  </si>
  <si>
    <t>D-4325-19</t>
  </si>
  <si>
    <t>F-2754-19</t>
  </si>
  <si>
    <t>G-9190-19</t>
  </si>
  <si>
    <t>F-9722-20</t>
  </si>
  <si>
    <t>D-8576-20</t>
  </si>
  <si>
    <t>A-8384-20</t>
  </si>
  <si>
    <t>H-5092-20</t>
  </si>
  <si>
    <t>SMH</t>
  </si>
  <si>
    <t>E-3732-20</t>
  </si>
  <si>
    <t>C-1597-20</t>
  </si>
  <si>
    <t>A-1358-20</t>
  </si>
  <si>
    <t>D-9921-20</t>
  </si>
  <si>
    <t>D-8628-20</t>
  </si>
  <si>
    <t>E-4820-20</t>
  </si>
  <si>
    <t>E-5457-20</t>
  </si>
  <si>
    <t>G-6116-20</t>
  </si>
  <si>
    <t>E-5859-20</t>
  </si>
  <si>
    <t>A-8730-20</t>
  </si>
  <si>
    <t>D-5063-20</t>
  </si>
  <si>
    <t>B-1566-20</t>
  </si>
  <si>
    <t>D-2031-20</t>
  </si>
  <si>
    <t>E-3827-20</t>
  </si>
  <si>
    <t>F-8660-20</t>
  </si>
  <si>
    <t>B-7247-20</t>
  </si>
  <si>
    <t>F-3466-20</t>
  </si>
  <si>
    <t>C-1265-20</t>
  </si>
  <si>
    <t>G-2692-21</t>
  </si>
  <si>
    <t>H-8771-22</t>
  </si>
  <si>
    <t>D-3085-22</t>
  </si>
  <si>
    <t>F-1335-22</t>
  </si>
  <si>
    <t>B-9814-22</t>
  </si>
  <si>
    <t>C-6856-22</t>
  </si>
  <si>
    <t>F-8287-22</t>
  </si>
  <si>
    <t>H-4003-23</t>
  </si>
  <si>
    <t>A-8227-23</t>
  </si>
  <si>
    <t>A-6085-23</t>
  </si>
  <si>
    <t>F-8579-24</t>
  </si>
  <si>
    <t>A-9195-24</t>
  </si>
  <si>
    <t>G-2776-24</t>
  </si>
  <si>
    <t>G-5287-24</t>
  </si>
  <si>
    <t>F-3726-25</t>
  </si>
  <si>
    <t>H-2211-25</t>
  </si>
  <si>
    <t>D-7548-25</t>
  </si>
  <si>
    <t>A-5925-25</t>
  </si>
  <si>
    <t>E-1668-25</t>
  </si>
  <si>
    <t>C-8118-25</t>
  </si>
  <si>
    <t>E-8492-25</t>
  </si>
  <si>
    <t>D-2392-25</t>
  </si>
  <si>
    <t>F-4379-25</t>
  </si>
  <si>
    <t>C-6520-26</t>
  </si>
  <si>
    <t>H-5426-26</t>
  </si>
  <si>
    <t>E-4948-26</t>
  </si>
  <si>
    <t>C-9644-26</t>
  </si>
  <si>
    <t>G-4614-26</t>
  </si>
  <si>
    <t>E-5320-27</t>
  </si>
  <si>
    <t>H-8215-27</t>
  </si>
  <si>
    <t>G-8087-27</t>
  </si>
  <si>
    <t>C-8275-27</t>
  </si>
  <si>
    <t>E-1728-28</t>
  </si>
  <si>
    <t>F-7801-28</t>
  </si>
  <si>
    <t>C-3989-28</t>
  </si>
  <si>
    <t>C-1671-28</t>
  </si>
  <si>
    <t>F-6281-28</t>
  </si>
  <si>
    <t>A-3228-28</t>
  </si>
  <si>
    <t>C-1265-28</t>
  </si>
  <si>
    <t>B-8625-28</t>
  </si>
  <si>
    <t>F-1594-28</t>
  </si>
  <si>
    <t>G-7736-28</t>
  </si>
  <si>
    <t>F-8345-28</t>
  </si>
  <si>
    <t>C-9455-28</t>
  </si>
  <si>
    <t>H-2210-28</t>
  </si>
  <si>
    <t>D-2955-28</t>
  </si>
  <si>
    <t>F-3717-28</t>
  </si>
  <si>
    <t>C-7798-28</t>
  </si>
  <si>
    <t>E-8145-28</t>
  </si>
  <si>
    <t>D-2828-28</t>
  </si>
  <si>
    <t>E-1211-28</t>
  </si>
  <si>
    <t>E-7678-28</t>
  </si>
  <si>
    <t>A-7343-28</t>
  </si>
  <si>
    <t>F-7026-28</t>
  </si>
  <si>
    <t>G-3342-28</t>
  </si>
  <si>
    <t>B-6455-29</t>
  </si>
  <si>
    <t>E-2596-29</t>
  </si>
  <si>
    <t>A-8774-30</t>
  </si>
  <si>
    <t>G-8803-30</t>
  </si>
  <si>
    <t>DK-5835-1</t>
  </si>
  <si>
    <t>DK-6437-2</t>
  </si>
  <si>
    <t>AK-6267-2</t>
  </si>
  <si>
    <t>DK-2427-2</t>
  </si>
  <si>
    <t>BK-3279-2</t>
  </si>
  <si>
    <t>GK-2051-2</t>
  </si>
  <si>
    <t>BK-5645-3</t>
  </si>
  <si>
    <t>CK-3701-3</t>
  </si>
  <si>
    <t>CK-9568-3</t>
  </si>
  <si>
    <t>EK-4937-3</t>
  </si>
  <si>
    <t>HK-2003-3</t>
  </si>
  <si>
    <t>BK-2177-3</t>
  </si>
  <si>
    <t>DK-3500-3</t>
  </si>
  <si>
    <t>HK-1630-3</t>
  </si>
  <si>
    <t>HK-5072-3</t>
  </si>
  <si>
    <t>DK-8774-3</t>
  </si>
  <si>
    <t>AK-6545-3</t>
  </si>
  <si>
    <t>EK-9577-3</t>
  </si>
  <si>
    <t>AK-5918-3</t>
  </si>
  <si>
    <t>HK-3451-3</t>
  </si>
  <si>
    <t>CK-8055-3</t>
  </si>
  <si>
    <t>EK-8218-3</t>
  </si>
  <si>
    <t>BK-7715-3</t>
  </si>
  <si>
    <t>FK-6807-3</t>
  </si>
  <si>
    <t>AK-6498-3</t>
  </si>
  <si>
    <t>DK-4266-3</t>
  </si>
  <si>
    <t>EK-5112-4</t>
  </si>
  <si>
    <t>DK-5213-5</t>
  </si>
  <si>
    <t>FK-1876-5</t>
  </si>
  <si>
    <t>GK-6775-5</t>
  </si>
  <si>
    <t>BK-2522-5</t>
  </si>
  <si>
    <t>BK-2649-6</t>
  </si>
  <si>
    <t>GK-2154-7</t>
  </si>
  <si>
    <t>DK-6073-7</t>
  </si>
  <si>
    <t>EK-9896-7</t>
  </si>
  <si>
    <t>DK-5336-7</t>
  </si>
  <si>
    <t>DK-8001-7</t>
  </si>
  <si>
    <t>EK-8019-7</t>
  </si>
  <si>
    <t>HK-7567-7</t>
  </si>
  <si>
    <t>FK-9630-7</t>
  </si>
  <si>
    <t>HK-2689-7</t>
  </si>
  <si>
    <t>FK-3824-7</t>
  </si>
  <si>
    <t>CK-7706-7</t>
  </si>
  <si>
    <t>AK-5384-7</t>
  </si>
  <si>
    <t>CK-1983-7</t>
  </si>
  <si>
    <t>AK-2366-7</t>
  </si>
  <si>
    <t>AK-1155-7</t>
  </si>
  <si>
    <t>CK-7416-7</t>
  </si>
  <si>
    <t>EK-5110-7</t>
  </si>
  <si>
    <t>CK-4586-7</t>
  </si>
  <si>
    <t>CK-4765-7</t>
  </si>
  <si>
    <t>CK-8427-7</t>
  </si>
  <si>
    <t>HK-5907-7</t>
  </si>
  <si>
    <t>EK-8995-7</t>
  </si>
  <si>
    <t>DK-2359-7</t>
  </si>
  <si>
    <t>HK-7714-7</t>
  </si>
  <si>
    <t>BK-5262-7</t>
  </si>
  <si>
    <t>EK-7010-7</t>
  </si>
  <si>
    <t>CK-5587-7</t>
  </si>
  <si>
    <t>AK-9294-7</t>
  </si>
  <si>
    <t>GK-7599-7</t>
  </si>
  <si>
    <t>HK-2195-8</t>
  </si>
  <si>
    <t>GK-2772-8</t>
  </si>
  <si>
    <t>CK-1520-8</t>
  </si>
  <si>
    <t>DK-7178-8</t>
  </si>
  <si>
    <t>DK-2821-9</t>
  </si>
  <si>
    <t>DK-5875-9</t>
  </si>
  <si>
    <t>CK-9872-9</t>
  </si>
  <si>
    <t>HK-5962-9</t>
  </si>
  <si>
    <t>EK-4046-9</t>
  </si>
  <si>
    <t>GK-8378-9</t>
  </si>
  <si>
    <t>DK-8453-9</t>
  </si>
  <si>
    <t>DK-9629-9</t>
  </si>
  <si>
    <t>DK-6768-9</t>
  </si>
  <si>
    <t>A-2500-10</t>
  </si>
  <si>
    <t>H-3673-10</t>
  </si>
  <si>
    <t>C-3162-10</t>
  </si>
  <si>
    <t>A-4372-10</t>
  </si>
  <si>
    <t>B-8679-11</t>
  </si>
  <si>
    <t>C-8479-11</t>
  </si>
  <si>
    <t>H-3122-12</t>
  </si>
  <si>
    <t>G-4327-13</t>
  </si>
  <si>
    <t>G-8159-13</t>
  </si>
  <si>
    <t>B-8113-13</t>
  </si>
  <si>
    <t>D-7817-14</t>
  </si>
  <si>
    <t>D-3286-14</t>
  </si>
  <si>
    <t>C-3215-14</t>
  </si>
  <si>
    <t>D-3675-14</t>
  </si>
  <si>
    <t>F-1685-14</t>
  </si>
  <si>
    <t>A-3956-14</t>
  </si>
  <si>
    <t>A-7890-14</t>
  </si>
  <si>
    <t>D-6975-15</t>
  </si>
  <si>
    <t>E-7115-15</t>
  </si>
  <si>
    <t>B-9454-15</t>
  </si>
  <si>
    <t>C-1607-15</t>
  </si>
  <si>
    <t>H-6756-15</t>
  </si>
  <si>
    <t>B-9866-15</t>
  </si>
  <si>
    <t>G-8247-15</t>
  </si>
  <si>
    <t>C-5816-15</t>
  </si>
  <si>
    <t>E-1198-15</t>
  </si>
  <si>
    <t>C-5558-15</t>
  </si>
  <si>
    <t>D-9800-15</t>
  </si>
  <si>
    <t>B-1286-16</t>
  </si>
  <si>
    <t>E-2531-17</t>
  </si>
  <si>
    <t>D-7520-17</t>
  </si>
  <si>
    <t>B-9277-18</t>
  </si>
  <si>
    <t>A-1451-18</t>
  </si>
  <si>
    <t>G-4013-18</t>
  </si>
  <si>
    <t>G-3621-18</t>
  </si>
  <si>
    <t>C-8288-18</t>
  </si>
  <si>
    <t>F-8722-18</t>
  </si>
  <si>
    <t>D-5438-18</t>
  </si>
  <si>
    <t>B-4067-18</t>
  </si>
  <si>
    <t>A-7500-18</t>
  </si>
  <si>
    <t>H-5297-18</t>
  </si>
  <si>
    <t>C-5304-18</t>
  </si>
  <si>
    <t>H-8153-18</t>
  </si>
  <si>
    <t>A-8524-18</t>
  </si>
  <si>
    <t>C-1592-18</t>
  </si>
  <si>
    <t>F-1292-18</t>
  </si>
  <si>
    <t>H-7947-18</t>
  </si>
  <si>
    <t>E-8735-18</t>
  </si>
  <si>
    <t>G-7680-18</t>
  </si>
  <si>
    <t>C-1896-18</t>
  </si>
  <si>
    <t>G-6818-18</t>
  </si>
  <si>
    <t>E-7340-18</t>
  </si>
  <si>
    <t>C-3788-18</t>
  </si>
  <si>
    <t>C-4579-18</t>
  </si>
  <si>
    <t>E-8748-19</t>
  </si>
  <si>
    <t>A-5748-19</t>
  </si>
  <si>
    <t>F-7577-20</t>
  </si>
  <si>
    <t>B-2507-20</t>
  </si>
  <si>
    <t>C-5093-20</t>
  </si>
  <si>
    <t>G-9974-20</t>
  </si>
  <si>
    <t>E-2245-20</t>
  </si>
  <si>
    <t>C-1872-21</t>
  </si>
  <si>
    <t>C-6430-21</t>
  </si>
  <si>
    <t>F-4678-21</t>
  </si>
  <si>
    <t>H-9195-22</t>
  </si>
  <si>
    <t>A-3589-22</t>
  </si>
  <si>
    <t>B-7739-22</t>
  </si>
  <si>
    <t>F-6187-22</t>
  </si>
  <si>
    <t>G-9943-22</t>
  </si>
  <si>
    <t>F-3857-22</t>
  </si>
  <si>
    <t>B-4363-22</t>
  </si>
  <si>
    <t>B-8603-22</t>
  </si>
  <si>
    <t>B-1816-22</t>
  </si>
  <si>
    <t>G-4736-22</t>
  </si>
  <si>
    <t>G-9806-22</t>
  </si>
  <si>
    <t>H-5329-23</t>
  </si>
  <si>
    <t>G-8208-23</t>
  </si>
  <si>
    <t>A-9867-23</t>
  </si>
  <si>
    <t>B-3005-23</t>
  </si>
  <si>
    <t>A-2891-23</t>
  </si>
  <si>
    <t>E-9078-23</t>
  </si>
  <si>
    <t>D-6412-24</t>
  </si>
  <si>
    <t>G-2220-24</t>
  </si>
  <si>
    <t>D-9509-24</t>
  </si>
  <si>
    <t>A-1200-24</t>
  </si>
  <si>
    <t>F-2370-24</t>
  </si>
  <si>
    <t>H-9345-24</t>
  </si>
  <si>
    <t>D-1689-25</t>
  </si>
  <si>
    <t>F-5230-25</t>
  </si>
  <si>
    <t>F-7801-25</t>
  </si>
  <si>
    <t>E-6191-26</t>
  </si>
  <si>
    <t>B-1391-26</t>
  </si>
  <si>
    <t>B-6077-26</t>
  </si>
  <si>
    <t>E-4688-26</t>
  </si>
  <si>
    <t>A-1866-26</t>
  </si>
  <si>
    <t>D-7908-27</t>
  </si>
  <si>
    <t>E-9497-27</t>
  </si>
  <si>
    <t>C-7868-27</t>
  </si>
  <si>
    <t>B-4107-27</t>
  </si>
  <si>
    <t>B-7625-27</t>
  </si>
  <si>
    <t>C-4235-27</t>
  </si>
  <si>
    <t>H-6074-27</t>
  </si>
  <si>
    <t>F-7377-27</t>
  </si>
  <si>
    <t>D-8094-27</t>
  </si>
  <si>
    <t>H-1997-27</t>
  </si>
  <si>
    <t>G-3574-27</t>
  </si>
  <si>
    <t>D-8403-27</t>
  </si>
  <si>
    <t>F-2259-27</t>
  </si>
  <si>
    <t>F-1818-27</t>
  </si>
  <si>
    <t>F-8092-27</t>
  </si>
  <si>
    <t>H-1763-27</t>
  </si>
  <si>
    <t>C-4682-27</t>
  </si>
  <si>
    <t>H-4159-27</t>
  </si>
  <si>
    <t>C-9839-27</t>
  </si>
  <si>
    <t>C-4247-27</t>
  </si>
  <si>
    <t>C-1862-27</t>
  </si>
  <si>
    <t>F-8944-28</t>
  </si>
  <si>
    <t>E-4977-28</t>
  </si>
  <si>
    <t>H-1540-29</t>
  </si>
  <si>
    <t>G-2662-29</t>
  </si>
  <si>
    <t>B-6060-29</t>
  </si>
  <si>
    <t>F-4592-30</t>
  </si>
  <si>
    <t>G-8825-30</t>
  </si>
  <si>
    <t>C-9802-30</t>
  </si>
  <si>
    <t>E-9864-30</t>
  </si>
  <si>
    <t>F-1588-30</t>
  </si>
  <si>
    <t>B-4065-31</t>
  </si>
  <si>
    <t>AK-9029-1</t>
  </si>
  <si>
    <t>BK-3365-2</t>
  </si>
  <si>
    <t>BK-4365-2</t>
  </si>
  <si>
    <t>HK-8542-2</t>
  </si>
  <si>
    <t>HK-4668-2</t>
  </si>
  <si>
    <t>EK-6646-3</t>
  </si>
  <si>
    <t>FK-9788-4</t>
  </si>
  <si>
    <t>AK-7544-4</t>
  </si>
  <si>
    <t>AK-8091-4</t>
  </si>
  <si>
    <t>HK-3730-4</t>
  </si>
  <si>
    <t>AK-2951-4</t>
  </si>
  <si>
    <t>HK-2276-4</t>
  </si>
  <si>
    <t>FK-9446-4</t>
  </si>
  <si>
    <t>CK-4400-4</t>
  </si>
  <si>
    <t>DK-2591-4</t>
  </si>
  <si>
    <t>AK-4511-4</t>
  </si>
  <si>
    <t>BK-2516-4</t>
  </si>
  <si>
    <t>CK-5129-4</t>
  </si>
  <si>
    <t>GK-3598-4</t>
  </si>
  <si>
    <t>GK-3174-4</t>
  </si>
  <si>
    <t>EK-8421-4</t>
  </si>
  <si>
    <t>EK-8662-4</t>
  </si>
  <si>
    <t>FK-2176-4</t>
  </si>
  <si>
    <t>EK-6353-4</t>
  </si>
  <si>
    <t>FK-1656-5</t>
  </si>
  <si>
    <t>EK-9350-5</t>
  </si>
  <si>
    <t>EK-9619-5</t>
  </si>
  <si>
    <t>DK-9815-5</t>
  </si>
  <si>
    <t>GK-5137-5</t>
  </si>
  <si>
    <t>AK-8048-5</t>
  </si>
  <si>
    <t>CK-5635-5</t>
  </si>
  <si>
    <t>EK-1218-5</t>
  </si>
  <si>
    <t>AK-5388-6</t>
  </si>
  <si>
    <t>AK-2304-6</t>
  </si>
  <si>
    <t>DK-2522-6</t>
  </si>
  <si>
    <t>AK-2511-6</t>
  </si>
  <si>
    <t>BK-3408-6</t>
  </si>
  <si>
    <t>GK-4782-6</t>
  </si>
  <si>
    <t>BK-4343-6</t>
  </si>
  <si>
    <t>EK-7232-6</t>
  </si>
  <si>
    <t>FK-1633-6</t>
  </si>
  <si>
    <t>GK-5785-6</t>
  </si>
  <si>
    <t>DK-1593-7</t>
  </si>
  <si>
    <t>BK-5444-7</t>
  </si>
  <si>
    <t>FK-7815-7</t>
  </si>
  <si>
    <t>GK-2899-7</t>
  </si>
  <si>
    <t>CK-7059-7</t>
  </si>
  <si>
    <t>GK-4548-7</t>
  </si>
  <si>
    <t>FK-8664-7</t>
  </si>
  <si>
    <t>CK-8803-7</t>
  </si>
  <si>
    <t>GK-8908-7</t>
  </si>
  <si>
    <t>BK-6589-8</t>
  </si>
  <si>
    <t>GK-2793-8</t>
  </si>
  <si>
    <t>BK-4710-8</t>
  </si>
  <si>
    <t>DK-1730-9</t>
  </si>
  <si>
    <t>DK-3612-9</t>
  </si>
  <si>
    <t>DK-2595-9</t>
  </si>
  <si>
    <t>AK-8628-9</t>
  </si>
  <si>
    <t>HK-5930-9</t>
  </si>
  <si>
    <t>CK-7352-9</t>
  </si>
  <si>
    <t>B-3675-10</t>
  </si>
  <si>
    <t>H-8713-10</t>
  </si>
  <si>
    <t>F-8198-10</t>
  </si>
  <si>
    <t>C-4387-11</t>
  </si>
  <si>
    <t>E-5361-12</t>
  </si>
  <si>
    <t>E-4155-12</t>
  </si>
  <si>
    <t>E-2219-12</t>
  </si>
  <si>
    <t>C-3280-12</t>
  </si>
  <si>
    <t>C-8638-12</t>
  </si>
  <si>
    <t>A-9567-12</t>
  </si>
  <si>
    <t>A-1148-12</t>
  </si>
  <si>
    <t>A-1201-12</t>
  </si>
  <si>
    <t>D-4860-12</t>
  </si>
  <si>
    <t>C-9259-12</t>
  </si>
  <si>
    <t>A-2472-12</t>
  </si>
  <si>
    <t>A-8775-12</t>
  </si>
  <si>
    <t>G-9909-12</t>
  </si>
  <si>
    <t>D-9403-12</t>
  </si>
  <si>
    <t>G-5751-12</t>
  </si>
  <si>
    <t>D-6412-12</t>
  </si>
  <si>
    <t>E-5475-12</t>
  </si>
  <si>
    <t>H-9360-12</t>
  </si>
  <si>
    <t>E-2596-12</t>
  </si>
  <si>
    <t>G-9668-12</t>
  </si>
  <si>
    <t>G-1266-12</t>
  </si>
  <si>
    <t>G-9599-12</t>
  </si>
  <si>
    <t>C-7233-12</t>
  </si>
  <si>
    <t>H-4672-12</t>
  </si>
  <si>
    <t>G-3836-12</t>
  </si>
  <si>
    <t>H-2948-12</t>
  </si>
  <si>
    <t>C-4318-12</t>
  </si>
  <si>
    <t>G-4676-12</t>
  </si>
  <si>
    <t>D-3465-12</t>
  </si>
  <si>
    <t>E-1749-12</t>
  </si>
  <si>
    <t>C-2684-12</t>
  </si>
  <si>
    <t>D-4093-12</t>
  </si>
  <si>
    <t>G-8626-12</t>
  </si>
  <si>
    <t>B-1136-12</t>
  </si>
  <si>
    <t>F-2112-12</t>
  </si>
  <si>
    <t>B-9730-12</t>
  </si>
  <si>
    <t>A-7986-13</t>
  </si>
  <si>
    <t>G-8485-13</t>
  </si>
  <si>
    <t>E-8570-13</t>
  </si>
  <si>
    <t>D-1705-14</t>
  </si>
  <si>
    <t>D-9393-14</t>
  </si>
  <si>
    <t>B-1320-14</t>
  </si>
  <si>
    <t>H-6692-14</t>
  </si>
  <si>
    <t>B-7080-14</t>
  </si>
  <si>
    <t>G-5332-14</t>
  </si>
  <si>
    <t>A-7743-14</t>
  </si>
  <si>
    <t>G-4829-14</t>
  </si>
  <si>
    <t>F-8036-14</t>
  </si>
  <si>
    <t>F-4531-14</t>
  </si>
  <si>
    <t>A-5722-14</t>
  </si>
  <si>
    <t>C-4409-14</t>
  </si>
  <si>
    <t>A-5500-14</t>
  </si>
  <si>
    <t>G-2546-14</t>
  </si>
  <si>
    <t>E-8183-14</t>
  </si>
  <si>
    <t>G-1739-14</t>
  </si>
  <si>
    <t>D-9746-14</t>
  </si>
  <si>
    <t>F-1754-14</t>
  </si>
  <si>
    <t>B-1916-14</t>
  </si>
  <si>
    <t>F-9699-14</t>
  </si>
  <si>
    <t>D-6042-14</t>
  </si>
  <si>
    <t>A-1671-15</t>
  </si>
  <si>
    <t>D-3169-16</t>
  </si>
  <si>
    <t>B-7720-16</t>
  </si>
  <si>
    <t>B-5804-16</t>
  </si>
  <si>
    <t>B-1985-16</t>
  </si>
  <si>
    <t>E-7257-16</t>
  </si>
  <si>
    <t>G-6190-16</t>
  </si>
  <si>
    <t>C-7081-16</t>
  </si>
  <si>
    <t>H-2229-16</t>
  </si>
  <si>
    <t>C-7288-16</t>
  </si>
  <si>
    <t>E-5027-16</t>
  </si>
  <si>
    <t>A-9615-16</t>
  </si>
  <si>
    <t>H-8458-16</t>
  </si>
  <si>
    <t>B-6281-17</t>
  </si>
  <si>
    <t>B-3751-17</t>
  </si>
  <si>
    <t>E-6165-17</t>
  </si>
  <si>
    <t>F-8649-17</t>
  </si>
  <si>
    <t>G-3437-18</t>
  </si>
  <si>
    <t>B-7095-18</t>
  </si>
  <si>
    <t>H-6047-18</t>
  </si>
  <si>
    <t>D-3700-18</t>
  </si>
  <si>
    <t>F-2500-18</t>
  </si>
  <si>
    <t>B-6103-18</t>
  </si>
  <si>
    <t>C-2934-18</t>
  </si>
  <si>
    <t>B-9870-19</t>
  </si>
  <si>
    <t>C-3244-19</t>
  </si>
  <si>
    <t>E-7335-20</t>
  </si>
  <si>
    <t>B-4331-20</t>
  </si>
  <si>
    <t>B-6254-20</t>
  </si>
  <si>
    <t>H-9202-21</t>
  </si>
  <si>
    <t>E-3239-22</t>
  </si>
  <si>
    <t>G-3277-22</t>
  </si>
  <si>
    <t>E-7698-22</t>
  </si>
  <si>
    <t>F-5076-22</t>
  </si>
  <si>
    <t>G-7802-22</t>
  </si>
  <si>
    <t>E-4040-23</t>
  </si>
  <si>
    <t>E-9857-23</t>
  </si>
  <si>
    <t>C-7949-23</t>
  </si>
  <si>
    <t>B-4128-23</t>
  </si>
  <si>
    <t>H-3091-23</t>
  </si>
  <si>
    <t>G-4811-23</t>
  </si>
  <si>
    <t>A-7845-23</t>
  </si>
  <si>
    <t>D-4055-23</t>
  </si>
  <si>
    <t>H-3310-23</t>
  </si>
  <si>
    <t>A-7724-23</t>
  </si>
  <si>
    <t>B-6713-24</t>
  </si>
  <si>
    <t>G-5665-24</t>
  </si>
  <si>
    <t>B-1219-24</t>
  </si>
  <si>
    <t>A-1615-24</t>
  </si>
  <si>
    <t>D-8845-24</t>
  </si>
  <si>
    <t>F-2731-24</t>
  </si>
  <si>
    <t>C-7331-24</t>
  </si>
  <si>
    <t>C-8004-24</t>
  </si>
  <si>
    <t>C-2137-24</t>
  </si>
  <si>
    <t>D-1370-24</t>
  </si>
  <si>
    <t>G-6763-24</t>
  </si>
  <si>
    <t>F-4770-24</t>
  </si>
  <si>
    <t>B-9765-24</t>
  </si>
  <si>
    <t>G-2432-25</t>
  </si>
  <si>
    <t>E-1696-25</t>
  </si>
  <si>
    <t>H-9432-25</t>
  </si>
  <si>
    <t>C-1183-25</t>
  </si>
  <si>
    <t>D-5044-25</t>
  </si>
  <si>
    <t>D-6123-25</t>
  </si>
  <si>
    <t>D-3426-25</t>
  </si>
  <si>
    <t>E-6180-26</t>
  </si>
  <si>
    <t>B-4111-27</t>
  </si>
  <si>
    <t>D-9906-27</t>
  </si>
  <si>
    <t>G-8518-27</t>
  </si>
  <si>
    <t>D-4862-27</t>
  </si>
  <si>
    <t>B-1290-27</t>
  </si>
  <si>
    <t>A-1409-27</t>
  </si>
  <si>
    <t>E-1112-27</t>
  </si>
  <si>
    <t>B-4448-27</t>
  </si>
  <si>
    <t>D-7576-27</t>
  </si>
  <si>
    <t>H-8418-27</t>
  </si>
  <si>
    <t>F-7005-27</t>
  </si>
  <si>
    <t>G-8122-27</t>
  </si>
  <si>
    <t>D-5863-28</t>
  </si>
  <si>
    <t>G-4670-28</t>
  </si>
  <si>
    <t>B-7296-28</t>
  </si>
  <si>
    <t>G-5993-28</t>
  </si>
  <si>
    <t>G-9128-28</t>
  </si>
  <si>
    <t>C-5965-28</t>
  </si>
  <si>
    <t>E-4928-28</t>
  </si>
  <si>
    <t>A-9605-29</t>
  </si>
  <si>
    <t>D-7126-29</t>
  </si>
  <si>
    <t>A-3006-29</t>
  </si>
  <si>
    <t>C-9582-30</t>
  </si>
  <si>
    <t>F-2577-30</t>
  </si>
  <si>
    <t>D-7837-30</t>
  </si>
  <si>
    <t>E-3389-30</t>
  </si>
  <si>
    <t>C-6531-30</t>
  </si>
  <si>
    <t>E-1696-30</t>
  </si>
  <si>
    <t>H-2122-30</t>
  </si>
  <si>
    <t>B-1908-30</t>
  </si>
  <si>
    <t>H-6633-30</t>
  </si>
  <si>
    <t>B-2711-30</t>
  </si>
  <si>
    <t>F-2456-30</t>
  </si>
  <si>
    <t>B-5198-31</t>
  </si>
  <si>
    <t>F-3014-31</t>
  </si>
  <si>
    <t>EK-3967-1</t>
  </si>
  <si>
    <t>GK-2982-1</t>
  </si>
  <si>
    <t>FK-9299-1</t>
  </si>
  <si>
    <t>BK-6031-1</t>
  </si>
  <si>
    <t>EK-1276-1</t>
  </si>
  <si>
    <t>HK-3043-1</t>
  </si>
  <si>
    <t>EK-6733-2</t>
  </si>
  <si>
    <t>GK-4789-2</t>
  </si>
  <si>
    <t>EK-5023-2</t>
  </si>
  <si>
    <t>FK-4284-2</t>
  </si>
  <si>
    <t>DK-7025-3</t>
  </si>
  <si>
    <t>DK-4869-3</t>
  </si>
  <si>
    <t>BK-6916-4</t>
  </si>
  <si>
    <t>CK-8325-4</t>
  </si>
  <si>
    <t>CK-5357-5</t>
  </si>
  <si>
    <t>BK-9467-5</t>
  </si>
  <si>
    <t>BK-5718-5</t>
  </si>
  <si>
    <t>EK-3619-5</t>
  </si>
  <si>
    <t>FK-6379-5</t>
  </si>
  <si>
    <t>AK-8461-5</t>
  </si>
  <si>
    <t>CK-1475-6</t>
  </si>
  <si>
    <t>DK-9976-6</t>
  </si>
  <si>
    <t>DK-2199-7</t>
  </si>
  <si>
    <t>DK-8884-7</t>
  </si>
  <si>
    <t>DK-2163-7</t>
  </si>
  <si>
    <t>DK-7784-7</t>
  </si>
  <si>
    <t>AK-9082-7</t>
  </si>
  <si>
    <t>FK-6202-7</t>
  </si>
  <si>
    <t>HK-5799-7</t>
  </si>
  <si>
    <t>BK-5472-7</t>
  </si>
  <si>
    <t>FK-7633-7</t>
  </si>
  <si>
    <t>AK-4128-7</t>
  </si>
  <si>
    <t>DK-6365-7</t>
  </si>
  <si>
    <t>DK-9887-8</t>
  </si>
  <si>
    <t>EK-5625-8</t>
  </si>
  <si>
    <t>HK-9185-8</t>
  </si>
  <si>
    <t>AK-6759-8</t>
  </si>
  <si>
    <t>GK-3347-8</t>
  </si>
  <si>
    <t>HK-4875-8</t>
  </si>
  <si>
    <t>HK-1682-8</t>
  </si>
  <si>
    <t>EK-2573-8</t>
  </si>
  <si>
    <t>GK-9401-8</t>
  </si>
  <si>
    <t>DK-2001-8</t>
  </si>
  <si>
    <t>EK-9789-8</t>
  </si>
  <si>
    <t>CK-9106-8</t>
  </si>
  <si>
    <t>DK-8725-8</t>
  </si>
  <si>
    <t>EK-1415-8</t>
  </si>
  <si>
    <t>EK-3709-8</t>
  </si>
  <si>
    <t>CK-4036-8</t>
  </si>
  <si>
    <t>DK-4724-8</t>
  </si>
  <si>
    <t>GK-9303-8</t>
  </si>
  <si>
    <t>FK-6473-9</t>
  </si>
  <si>
    <t>D-3640-10</t>
  </si>
  <si>
    <t>C-2255-10</t>
  </si>
  <si>
    <t>D-2784-10</t>
  </si>
  <si>
    <t>G-1394-10</t>
  </si>
  <si>
    <t>A-3537-10</t>
  </si>
  <si>
    <t>H-9798-10</t>
  </si>
  <si>
    <t>E-2526-10</t>
  </si>
  <si>
    <t>F-1937-10</t>
  </si>
  <si>
    <t>B-9255-10</t>
  </si>
  <si>
    <t>D-2451-10</t>
  </si>
  <si>
    <t>C-5100-10</t>
  </si>
  <si>
    <t>D-9932-10</t>
  </si>
  <si>
    <t>E-6813-10</t>
  </si>
  <si>
    <t>E-4901-10</t>
  </si>
  <si>
    <t>B-5848-10</t>
  </si>
  <si>
    <t>H-5691-10</t>
  </si>
  <si>
    <t>H-5307-10</t>
  </si>
  <si>
    <t>B-4632-10</t>
  </si>
  <si>
    <t>D-5350-10</t>
  </si>
  <si>
    <t>F-3743-10</t>
  </si>
  <si>
    <t>B-5988-10</t>
  </si>
  <si>
    <t>F-5206-11</t>
  </si>
  <si>
    <t>F-2031-11</t>
  </si>
  <si>
    <t>D-8387-11</t>
  </si>
  <si>
    <t>G-1710-11</t>
  </si>
  <si>
    <t>C-7062-11</t>
  </si>
  <si>
    <t>B-5680-12</t>
  </si>
  <si>
    <t>C-9923-12</t>
  </si>
  <si>
    <t>C-9974-12</t>
  </si>
  <si>
    <t>B-8334-12</t>
  </si>
  <si>
    <t>F-1616-12</t>
  </si>
  <si>
    <t>A-2062-12</t>
  </si>
  <si>
    <t>F-8361-12</t>
  </si>
  <si>
    <t>E-9161-12</t>
  </si>
  <si>
    <t>G-6980-12</t>
  </si>
  <si>
    <t>C-1827-13</t>
  </si>
  <si>
    <t>H-2284-13</t>
  </si>
  <si>
    <t>A-3151-13</t>
  </si>
  <si>
    <t>E-8292-13</t>
  </si>
  <si>
    <t>D-4814-13</t>
  </si>
  <si>
    <t>D-5274-13</t>
  </si>
  <si>
    <t>H-8921-13</t>
  </si>
  <si>
    <t>F-5060-13</t>
  </si>
  <si>
    <t>G-3354-13</t>
  </si>
  <si>
    <t>H-9120-13</t>
  </si>
  <si>
    <t>E-9449-14</t>
  </si>
  <si>
    <t>G-1951-15</t>
  </si>
  <si>
    <t>F-9833-15</t>
  </si>
  <si>
    <t>B-5594-15</t>
  </si>
  <si>
    <t>F-2237-15</t>
  </si>
  <si>
    <t>C-1507-15</t>
  </si>
  <si>
    <t>H-1724-15</t>
  </si>
  <si>
    <t>G-9589-15</t>
  </si>
  <si>
    <t>F-2146-15</t>
  </si>
  <si>
    <t>B-2485-15</t>
  </si>
  <si>
    <t>A-8561-15</t>
  </si>
  <si>
    <t>E-1973-15</t>
  </si>
  <si>
    <t>C-2575-15</t>
  </si>
  <si>
    <t>F-1408-16</t>
  </si>
  <si>
    <t>F-7593-16</t>
  </si>
  <si>
    <t>G-9773-16</t>
  </si>
  <si>
    <t>A-3637-16</t>
  </si>
  <si>
    <t>E-9377-16</t>
  </si>
  <si>
    <t>E-2445-17</t>
  </si>
  <si>
    <t>F-8326-17</t>
  </si>
  <si>
    <t>D-5080-18</t>
  </si>
  <si>
    <t>H-6655-18</t>
  </si>
  <si>
    <t>B-2634-18</t>
  </si>
  <si>
    <t>C-5256-18</t>
  </si>
  <si>
    <t>D-6751-18</t>
  </si>
  <si>
    <t>A-7027-19</t>
  </si>
  <si>
    <t>B-9216-19</t>
  </si>
  <si>
    <t>D-5653-19</t>
  </si>
  <si>
    <t>B-5071-19</t>
  </si>
  <si>
    <t>A-5990-20</t>
  </si>
  <si>
    <t>C-2988-20</t>
  </si>
  <si>
    <t>H-7138-20</t>
  </si>
  <si>
    <t>D-7753-20</t>
  </si>
  <si>
    <t>B-2729-20</t>
  </si>
  <si>
    <t>A-8052-20</t>
  </si>
  <si>
    <t>E-3156-20</t>
  </si>
  <si>
    <t>B-8352-20</t>
  </si>
  <si>
    <t>A-6540-21</t>
  </si>
  <si>
    <t>G-5792-21</t>
  </si>
  <si>
    <t>A-9461-21</t>
  </si>
  <si>
    <t>A-9384-21</t>
  </si>
  <si>
    <t>H-1901-21</t>
  </si>
  <si>
    <t>G-8543-21</t>
  </si>
  <si>
    <t>C-5827-22</t>
  </si>
  <si>
    <t>B-9755-23</t>
  </si>
  <si>
    <t>A-3397-23</t>
  </si>
  <si>
    <t>D-2654-23</t>
  </si>
  <si>
    <t>B-8289-23</t>
  </si>
  <si>
    <t>F-8959-23</t>
  </si>
  <si>
    <t>A-9801-23</t>
  </si>
  <si>
    <t>F-7391-23</t>
  </si>
  <si>
    <t>C-5676-23</t>
  </si>
  <si>
    <t>C-7062-23</t>
  </si>
  <si>
    <t>H-3794-23</t>
  </si>
  <si>
    <t>G-8822-24</t>
  </si>
  <si>
    <t>G-6764-24</t>
  </si>
  <si>
    <t>B-7942-24</t>
  </si>
  <si>
    <t>D-7149-24</t>
  </si>
  <si>
    <t>C-7312-24</t>
  </si>
  <si>
    <t>B-2139-24</t>
  </si>
  <si>
    <t>F-3760-24</t>
  </si>
  <si>
    <t>A-7109-24</t>
  </si>
  <si>
    <t>H-3727-24</t>
  </si>
  <si>
    <t>A-3611-24</t>
  </si>
  <si>
    <t>E-9911-24</t>
  </si>
  <si>
    <t>D-3829-24</t>
  </si>
  <si>
    <t>G-6459-24</t>
  </si>
  <si>
    <t>B-9035-24</t>
  </si>
  <si>
    <t>E-4407-24</t>
  </si>
  <si>
    <t>F-4120-25</t>
  </si>
  <si>
    <t>A-4157-25</t>
  </si>
  <si>
    <t>D-7379-25</t>
  </si>
  <si>
    <t>F-2201-25</t>
  </si>
  <si>
    <t>H-4610-26</t>
  </si>
  <si>
    <t>D-8415-27</t>
  </si>
  <si>
    <t>A-8370-27</t>
  </si>
  <si>
    <t>B-5256-28</t>
  </si>
  <si>
    <t>E-4834-28</t>
  </si>
  <si>
    <t>E-3039-28</t>
  </si>
  <si>
    <t>H-3123-28</t>
  </si>
  <si>
    <t>G-9353-28</t>
  </si>
  <si>
    <t>F-4940-28</t>
  </si>
  <si>
    <t>E-7772-28</t>
  </si>
  <si>
    <t>A-7396-28</t>
  </si>
  <si>
    <t>B-5994-28</t>
  </si>
  <si>
    <t>H-5035-28</t>
  </si>
  <si>
    <t>B-5673-28</t>
  </si>
  <si>
    <t>H-8854-28</t>
  </si>
  <si>
    <t>G-2325-28</t>
  </si>
  <si>
    <t>E-5747-29</t>
  </si>
  <si>
    <t>G-8471-29</t>
  </si>
  <si>
    <t>B-9189-29</t>
  </si>
  <si>
    <t>F-9069-29</t>
  </si>
  <si>
    <t>B-5795-29</t>
  </si>
  <si>
    <t>G-3498-29</t>
  </si>
  <si>
    <t>E-7059-30</t>
  </si>
  <si>
    <t>G-7869-30</t>
  </si>
  <si>
    <t>B-4423-30</t>
  </si>
  <si>
    <t>H-6321-30</t>
  </si>
  <si>
    <t>A-4221-30</t>
  </si>
  <si>
    <t>E-9208-30</t>
  </si>
  <si>
    <t>F-3283-30</t>
  </si>
  <si>
    <t>HK-2365-1</t>
  </si>
  <si>
    <t>GK-1304-1</t>
  </si>
  <si>
    <t>AK-7202-1</t>
  </si>
  <si>
    <t>DK-7169-1</t>
  </si>
  <si>
    <t>DK-6784-1</t>
  </si>
  <si>
    <t>CK-1573-1</t>
  </si>
  <si>
    <t>BK-2630-1</t>
  </si>
  <si>
    <t>BK-1512-1</t>
  </si>
  <si>
    <t>FK-7331-1</t>
  </si>
  <si>
    <t>AK-5074-1</t>
  </si>
  <si>
    <t>GK-1549-1</t>
  </si>
  <si>
    <t>CK-5588-2</t>
  </si>
  <si>
    <t>BK-4182-2</t>
  </si>
  <si>
    <t>HK-1218-2</t>
  </si>
  <si>
    <t>HK-5888-2</t>
  </si>
  <si>
    <t>CK-7951-2</t>
  </si>
  <si>
    <t>AK-5163-2</t>
  </si>
  <si>
    <t>HK-9598-2</t>
  </si>
  <si>
    <t>EK-7780-2</t>
  </si>
  <si>
    <t>BK-8588-2</t>
  </si>
  <si>
    <t>EK-2054-2</t>
  </si>
  <si>
    <t>GK-5861-2</t>
  </si>
  <si>
    <t>GK-1895-2</t>
  </si>
  <si>
    <t>GK-4844-2</t>
  </si>
  <si>
    <t>BK-6385-2</t>
  </si>
  <si>
    <t>GK-2803-2</t>
  </si>
  <si>
    <t>BK-1326-2</t>
  </si>
  <si>
    <t>HK-8473-3</t>
  </si>
  <si>
    <t>FK-5868-3</t>
  </si>
  <si>
    <t>DK-6770-3</t>
  </si>
  <si>
    <t>CK-3377-3</t>
  </si>
  <si>
    <t>CK-4807-3</t>
  </si>
  <si>
    <t>FK-2238-3</t>
  </si>
  <si>
    <t>DK-8735-3</t>
  </si>
  <si>
    <t>AK-4696-3</t>
  </si>
  <si>
    <t>HK-2340-3</t>
  </si>
  <si>
    <t>BK-6226-3</t>
  </si>
  <si>
    <t>FK-2583-3</t>
  </si>
  <si>
    <t>FK-4902-3</t>
  </si>
  <si>
    <t>CK-9440-3</t>
  </si>
  <si>
    <t>GK-7330-4</t>
  </si>
  <si>
    <t>FK-4815-4</t>
  </si>
  <si>
    <t>EK-4908-4</t>
  </si>
  <si>
    <t>FK-6086-4</t>
  </si>
  <si>
    <t>HK-6404-4</t>
  </si>
  <si>
    <t>AK-4572-4</t>
  </si>
  <si>
    <t>GK-8935-4</t>
  </si>
  <si>
    <t>FK-9751-4</t>
  </si>
  <si>
    <t>DK-6879-4</t>
  </si>
  <si>
    <t>EK-8624-4</t>
  </si>
  <si>
    <t>EK-9971-4</t>
  </si>
  <si>
    <t>DK-8857-4</t>
  </si>
  <si>
    <t>EK-1696-4</t>
  </si>
  <si>
    <t>GK-1739-4</t>
  </si>
  <si>
    <t>DK-8748-4</t>
  </si>
  <si>
    <t>BK-3059-4</t>
  </si>
  <si>
    <t>CK-7648-5</t>
  </si>
  <si>
    <t>BK-5416-5</t>
  </si>
  <si>
    <t>BK-8123-5</t>
  </si>
  <si>
    <t>EK-2243-5</t>
  </si>
  <si>
    <t>FK-7821-5</t>
  </si>
  <si>
    <t>GK-8520-5</t>
  </si>
  <si>
    <t>HK-9085-5</t>
  </si>
  <si>
    <t>EK-9162-5</t>
  </si>
  <si>
    <t>GK-2023-5</t>
  </si>
  <si>
    <t>DK-4803-5</t>
  </si>
  <si>
    <t>EK-7436-5</t>
  </si>
  <si>
    <t>AK-4042-5</t>
  </si>
  <si>
    <t>CK-2423-5</t>
  </si>
  <si>
    <t>GK-5560-5</t>
  </si>
  <si>
    <t>DK-7233-5</t>
  </si>
  <si>
    <t>BK-6819-5</t>
  </si>
  <si>
    <t>HK-4472-5</t>
  </si>
  <si>
    <t>BK-8277-6</t>
  </si>
  <si>
    <t>HK-9072-6</t>
  </si>
  <si>
    <t>FK-7361-6</t>
  </si>
  <si>
    <t>HK-2868-7</t>
  </si>
  <si>
    <t>HK-2406-7</t>
  </si>
  <si>
    <t>GK-1291-7</t>
  </si>
  <si>
    <t>BK-5500-7</t>
  </si>
  <si>
    <t>BK-5613-7</t>
  </si>
  <si>
    <t>BK-5545-7</t>
  </si>
  <si>
    <t>EK-8978-7</t>
  </si>
  <si>
    <t>FK-4850-7</t>
  </si>
  <si>
    <t>FK-2746-7</t>
  </si>
  <si>
    <t>FK-9596-7</t>
  </si>
  <si>
    <t>CK-4491-7</t>
  </si>
  <si>
    <t>AK-4579-7</t>
  </si>
  <si>
    <t>EK-7873-7</t>
  </si>
  <si>
    <t>GK-7515-7</t>
  </si>
  <si>
    <t>CK-2449-8</t>
  </si>
  <si>
    <t>CK-7432-8</t>
  </si>
  <si>
    <t>GK-8142-8</t>
  </si>
  <si>
    <t>CK-6273-9</t>
  </si>
  <si>
    <t>HK-7215-9</t>
  </si>
  <si>
    <t>HK-2654-9</t>
  </si>
  <si>
    <t>EK-6136-9</t>
  </si>
  <si>
    <t>HK-8398-9</t>
  </si>
  <si>
    <t>GK-5838-9</t>
  </si>
  <si>
    <t>FK-8516-9</t>
  </si>
  <si>
    <t>DK-3054-9</t>
  </si>
  <si>
    <t>GK-3139-9</t>
  </si>
  <si>
    <t>DK-6771-9</t>
  </si>
  <si>
    <t>GK-7130-9</t>
  </si>
  <si>
    <t>DK-1176-9</t>
  </si>
  <si>
    <t>BK-5889-9</t>
  </si>
  <si>
    <t>G-5678-10</t>
  </si>
  <si>
    <t>B-1693-10</t>
  </si>
  <si>
    <t>G-2998-10</t>
  </si>
  <si>
    <t>H-3385-10</t>
  </si>
  <si>
    <t>G-9594-10</t>
  </si>
  <si>
    <t>A-2666-10</t>
  </si>
  <si>
    <t>D-4220-10</t>
  </si>
  <si>
    <t>A-9652-10</t>
  </si>
  <si>
    <t>B-7240-10</t>
  </si>
  <si>
    <t>B-8195-10</t>
  </si>
  <si>
    <t>G-7544-11</t>
  </si>
  <si>
    <t>E-6798-11</t>
  </si>
  <si>
    <t>H-8200-11</t>
  </si>
  <si>
    <t>A-6068-11</t>
  </si>
  <si>
    <t>C-5593-11</t>
  </si>
  <si>
    <t>B-1449-11</t>
  </si>
  <si>
    <t>D-1897-12</t>
  </si>
  <si>
    <t>H-4299-12</t>
  </si>
  <si>
    <t>B-8579-12</t>
  </si>
  <si>
    <t>C-4483-12</t>
  </si>
  <si>
    <t>C-1228-12</t>
  </si>
  <si>
    <t>C-3116-12</t>
  </si>
  <si>
    <t>C-9761-12</t>
  </si>
  <si>
    <t>A-3184-12</t>
  </si>
  <si>
    <t>C-4207-12</t>
  </si>
  <si>
    <t>F-9538-12</t>
  </si>
  <si>
    <t>B-2218-12</t>
  </si>
  <si>
    <t>D-1985-12</t>
  </si>
  <si>
    <t>F-2467-12</t>
  </si>
  <si>
    <t>E-4677-13</t>
  </si>
  <si>
    <t>D-5506-13</t>
  </si>
  <si>
    <t>D-9541-13</t>
  </si>
  <si>
    <t>A-6173-13</t>
  </si>
  <si>
    <t>G-5883-13</t>
  </si>
  <si>
    <t>E-8025-13</t>
  </si>
  <si>
    <t>A-9677-13</t>
  </si>
  <si>
    <t>F-1739-13</t>
  </si>
  <si>
    <t>C-4952-14</t>
  </si>
  <si>
    <t>H-6680-15</t>
  </si>
  <si>
    <t>H-8686-15</t>
  </si>
  <si>
    <t>C-8422-15</t>
  </si>
  <si>
    <t>B-3711-15</t>
  </si>
  <si>
    <t>C-1491-15</t>
  </si>
  <si>
    <t>F-9851-15</t>
  </si>
  <si>
    <t>H-6718-15</t>
  </si>
  <si>
    <t>B-3967-15</t>
  </si>
  <si>
    <t>A-3099-15</t>
  </si>
  <si>
    <t>C-4090-16</t>
  </si>
  <si>
    <t>A-2907-16</t>
  </si>
  <si>
    <t>F-5221-16</t>
  </si>
  <si>
    <t>A-3243-16</t>
  </si>
  <si>
    <t>C-1269-16</t>
  </si>
  <si>
    <t>D-1233-16</t>
  </si>
  <si>
    <t>H-3210-16</t>
  </si>
  <si>
    <t>E-8489-17</t>
  </si>
  <si>
    <t>D-4787-17</t>
  </si>
  <si>
    <t>B-4415-17</t>
  </si>
  <si>
    <t>E-6713-17</t>
  </si>
  <si>
    <t>A-7068-17</t>
  </si>
  <si>
    <t>C-9712-17</t>
  </si>
  <si>
    <t>C-8033-17</t>
  </si>
  <si>
    <t>G-6105-17</t>
  </si>
  <si>
    <t>A-7270-17</t>
  </si>
  <si>
    <t>A-1186-17</t>
  </si>
  <si>
    <t>E-5052-17</t>
  </si>
  <si>
    <t>D-4144-17</t>
  </si>
  <si>
    <t>A-1408-18</t>
  </si>
  <si>
    <t>A-9692-18</t>
  </si>
  <si>
    <t>G-6900-18</t>
  </si>
  <si>
    <t>E-8231-18</t>
  </si>
  <si>
    <t>G-7632-18</t>
  </si>
  <si>
    <t>E-4301-18</t>
  </si>
  <si>
    <t>F-5358-18</t>
  </si>
  <si>
    <t>B-9647-18</t>
  </si>
  <si>
    <t>C-3304-18</t>
  </si>
  <si>
    <t>D-1859-18</t>
  </si>
  <si>
    <t>H-3933-18</t>
  </si>
  <si>
    <t>B-1197-19</t>
  </si>
  <si>
    <t>D-9676-19</t>
  </si>
  <si>
    <t>H-5613-19</t>
  </si>
  <si>
    <t>D-3727-19</t>
  </si>
  <si>
    <t>H-6020-19</t>
  </si>
  <si>
    <t>D-4109-19</t>
  </si>
  <si>
    <t>E-1149-19</t>
  </si>
  <si>
    <t>C-7175-19</t>
  </si>
  <si>
    <t>B-6343-19</t>
  </si>
  <si>
    <t>B-4389-19</t>
  </si>
  <si>
    <t>A-3527-19</t>
  </si>
  <si>
    <t>B-4281-19</t>
  </si>
  <si>
    <t>A-3608-19</t>
  </si>
  <si>
    <t>D-4317-19</t>
  </si>
  <si>
    <t>H-5888-19</t>
  </si>
  <si>
    <t>G-8931-19</t>
  </si>
  <si>
    <t>A-6255-19</t>
  </si>
  <si>
    <t>C-1957-19</t>
  </si>
  <si>
    <t>G-8726-19</t>
  </si>
  <si>
    <t>C-4832-19</t>
  </si>
  <si>
    <t>G-3812-19</t>
  </si>
  <si>
    <t>C-7746-19</t>
  </si>
  <si>
    <t>E-4472-19</t>
  </si>
  <si>
    <t>F-2017-19</t>
  </si>
  <si>
    <t>A-6209-19</t>
  </si>
  <si>
    <t>E-8566-19</t>
  </si>
  <si>
    <t>H-1743-19</t>
  </si>
  <si>
    <t>A-4076-19</t>
  </si>
  <si>
    <t>G-6384-19</t>
  </si>
  <si>
    <t>B-2330-19</t>
  </si>
  <si>
    <t>E-9343-20</t>
  </si>
  <si>
    <t>G-1427-20</t>
  </si>
  <si>
    <t>A-5939-20</t>
  </si>
  <si>
    <t>B-1746-20</t>
  </si>
  <si>
    <t>G-2090-20</t>
  </si>
  <si>
    <t>F-5040-21</t>
  </si>
  <si>
    <t>D-2433-21</t>
  </si>
  <si>
    <t>F-5565-21</t>
  </si>
  <si>
    <t>G-8452-22</t>
  </si>
  <si>
    <t>H-1770-22</t>
  </si>
  <si>
    <t>H-7960-22</t>
  </si>
  <si>
    <t>E-9287-22</t>
  </si>
  <si>
    <t>B-8593-22</t>
  </si>
  <si>
    <t>F-7774-22</t>
  </si>
  <si>
    <t>C-6544-22</t>
  </si>
  <si>
    <t>B-7883-22</t>
  </si>
  <si>
    <t>H-5508-22</t>
  </si>
  <si>
    <t>E-4175-22</t>
  </si>
  <si>
    <t>E-1179-22</t>
  </si>
  <si>
    <t>G-3511-22</t>
  </si>
  <si>
    <t>D-6333-22</t>
  </si>
  <si>
    <t>E-6109-22</t>
  </si>
  <si>
    <t>E-6379-22</t>
  </si>
  <si>
    <t>E-5867-22</t>
  </si>
  <si>
    <t>H-6413-22</t>
  </si>
  <si>
    <t>D-5009-23</t>
  </si>
  <si>
    <t>B-1724-23</t>
  </si>
  <si>
    <t>G-3297-23</t>
  </si>
  <si>
    <t>D-6705-23</t>
  </si>
  <si>
    <t>A-7035-23</t>
  </si>
  <si>
    <t>F-4295-23</t>
  </si>
  <si>
    <t>A-9240-23</t>
  </si>
  <si>
    <t>B-2154-23</t>
  </si>
  <si>
    <t>E-8673-24</t>
  </si>
  <si>
    <t>C-8752-24</t>
  </si>
  <si>
    <t>G-7622-24</t>
  </si>
  <si>
    <t>E-7834-24</t>
  </si>
  <si>
    <t>C-6376-24</t>
  </si>
  <si>
    <t>F-1642-25</t>
  </si>
  <si>
    <t>D-3856-25</t>
  </si>
  <si>
    <t>E-2216-25</t>
  </si>
  <si>
    <t>B-8654-25</t>
  </si>
  <si>
    <t>D-4338-25</t>
  </si>
  <si>
    <t>D-9981-25</t>
  </si>
  <si>
    <t>B-6202-26</t>
  </si>
  <si>
    <t>G-2655-27</t>
  </si>
  <si>
    <t>H-8670-27</t>
  </si>
  <si>
    <t>H-7698-27</t>
  </si>
  <si>
    <t>F-7648-27</t>
  </si>
  <si>
    <t>F-9881-27</t>
  </si>
  <si>
    <t>H-2797-27</t>
  </si>
  <si>
    <t>B-9202-27</t>
  </si>
  <si>
    <t>D-2496-28</t>
  </si>
  <si>
    <t>F-7474-28</t>
  </si>
  <si>
    <t>A-3363-28</t>
  </si>
  <si>
    <t>E-8248-29</t>
  </si>
  <si>
    <t>D-8959-29</t>
  </si>
  <si>
    <t>B-6034-29</t>
  </si>
  <si>
    <t>G-4019-29</t>
  </si>
  <si>
    <t>G-5529-29</t>
  </si>
  <si>
    <t>B-3029-29</t>
  </si>
  <si>
    <t>H-4212-29</t>
  </si>
  <si>
    <t>A-2136-29</t>
  </si>
  <si>
    <t>H-2878-29</t>
  </si>
  <si>
    <t>B-1985-29</t>
  </si>
  <si>
    <t>H-4722-29</t>
  </si>
  <si>
    <t>D-8203-29</t>
  </si>
  <si>
    <t>E-7333-29</t>
  </si>
  <si>
    <t>A-4255-29</t>
  </si>
  <si>
    <t>H-8844-29</t>
  </si>
  <si>
    <t>C-9214-29</t>
  </si>
  <si>
    <t>C-6866-29</t>
  </si>
  <si>
    <t>C-8083-29</t>
  </si>
  <si>
    <t>H-2535-29</t>
  </si>
  <si>
    <t>B-9705-30</t>
  </si>
  <si>
    <t>G-6283-30</t>
  </si>
  <si>
    <t>D-8715-30</t>
  </si>
  <si>
    <t>B-4453-30</t>
  </si>
  <si>
    <t>E-7931-30</t>
  </si>
  <si>
    <t>A-1457-30</t>
  </si>
  <si>
    <t>H-7901-30</t>
  </si>
  <si>
    <t>A-4190-30</t>
  </si>
  <si>
    <t>C-6925-31</t>
  </si>
  <si>
    <t>D-3939-31</t>
  </si>
  <si>
    <t>D-4477-31</t>
  </si>
  <si>
    <t>B-9616-31</t>
  </si>
  <si>
    <t>H-4342-31</t>
  </si>
  <si>
    <t>A-5138-31</t>
  </si>
  <si>
    <t>B-7817-31</t>
  </si>
  <si>
    <t>D-5105-31</t>
  </si>
  <si>
    <t>C-5231-31</t>
  </si>
  <si>
    <t>A-3721-31</t>
  </si>
  <si>
    <t>G-2551-31</t>
  </si>
  <si>
    <t>F-2250-31</t>
  </si>
  <si>
    <t>E-3226-31</t>
  </si>
  <si>
    <t>G-1609-31</t>
  </si>
  <si>
    <t>C-4964-31</t>
  </si>
  <si>
    <t>F-9020-31</t>
  </si>
  <si>
    <t>F-8851-31</t>
  </si>
  <si>
    <t>F-1458-31</t>
  </si>
  <si>
    <t>A-4152-31</t>
  </si>
  <si>
    <t>A-9901-31</t>
  </si>
  <si>
    <t>C-4489-31</t>
  </si>
  <si>
    <t>A-1525-31</t>
  </si>
  <si>
    <t>E-6773-31</t>
  </si>
  <si>
    <t>G-1387-31</t>
  </si>
  <si>
    <t>A-9642-31</t>
  </si>
  <si>
    <t>F-7338-31</t>
  </si>
  <si>
    <t>D-1116-31</t>
  </si>
  <si>
    <t>D-3753-31</t>
  </si>
  <si>
    <t>AK-4698-1</t>
  </si>
  <si>
    <t>GK-4980-1</t>
  </si>
  <si>
    <t>HK-7415-1</t>
  </si>
  <si>
    <t>CK-2358-1</t>
  </si>
  <si>
    <t>AK-7983-1</t>
  </si>
  <si>
    <t>AK-6925-1</t>
  </si>
  <si>
    <t>AK-1456-1</t>
  </si>
  <si>
    <t>DK-6113-1</t>
  </si>
  <si>
    <t>FK-7924-1</t>
  </si>
  <si>
    <t>GK-6114-2</t>
  </si>
  <si>
    <t>AK-5346-2</t>
  </si>
  <si>
    <t>DK-4701-2</t>
  </si>
  <si>
    <t>BK-3403-2</t>
  </si>
  <si>
    <t>BK-1761-2</t>
  </si>
  <si>
    <t>EK-6591-2</t>
  </si>
  <si>
    <t>GK-9231-2</t>
  </si>
  <si>
    <t>HK-2787-2</t>
  </si>
  <si>
    <t>GK-7484-2</t>
  </si>
  <si>
    <t>HK-1887-2</t>
  </si>
  <si>
    <t>CK-9325-2</t>
  </si>
  <si>
    <t>HK-4797-2</t>
  </si>
  <si>
    <t>FK-4028-2</t>
  </si>
  <si>
    <t>EK-9345-3</t>
  </si>
  <si>
    <t>AK-4260-3</t>
  </si>
  <si>
    <t>DK-8880-3</t>
  </si>
  <si>
    <t>FK-3748-3</t>
  </si>
  <si>
    <t>AK-2314-3</t>
  </si>
  <si>
    <t>AK-7426-3</t>
  </si>
  <si>
    <t>DK-6575-3</t>
  </si>
  <si>
    <t>BK-2553-4</t>
  </si>
  <si>
    <t>FK-8584-4</t>
  </si>
  <si>
    <t>EK-3125-4</t>
  </si>
  <si>
    <t>DK-2834-4</t>
  </si>
  <si>
    <t>AK-2645-4</t>
  </si>
  <si>
    <t>HK-3926-4</t>
  </si>
  <si>
    <t>EK-4065-4</t>
  </si>
  <si>
    <t>FK-9034-4</t>
  </si>
  <si>
    <t>BK-6780-4</t>
  </si>
  <si>
    <t>CK-4662-4</t>
  </si>
  <si>
    <t>DK-9020-4</t>
  </si>
  <si>
    <t>GK-9752-4</t>
  </si>
  <si>
    <t>GK-3832-4</t>
  </si>
  <si>
    <t>BK-7087-4</t>
  </si>
  <si>
    <t>AK-3222-4</t>
  </si>
  <si>
    <t>EK-8285-4</t>
  </si>
  <si>
    <t>BK-8859-4</t>
  </si>
  <si>
    <t>DK-5249-4</t>
  </si>
  <si>
    <t>EK-5510-5</t>
  </si>
  <si>
    <t>DK-1589-5</t>
  </si>
  <si>
    <t>DK-8736-6</t>
  </si>
  <si>
    <t>AK-2642-6</t>
  </si>
  <si>
    <t>FK-1274-6</t>
  </si>
  <si>
    <t>AK-3358-6</t>
  </si>
  <si>
    <t>DK-8038-6</t>
  </si>
  <si>
    <t>DK-9735-6</t>
  </si>
  <si>
    <t>CK-8273-6</t>
  </si>
  <si>
    <t>HK-4139-6</t>
  </si>
  <si>
    <t>FK-8467-6</t>
  </si>
  <si>
    <t>CK-8500-7</t>
  </si>
  <si>
    <t>CK-5161-7</t>
  </si>
  <si>
    <t>GK-9838-7</t>
  </si>
  <si>
    <t>HK-9940-7</t>
  </si>
  <si>
    <t>DK-5485-8</t>
  </si>
  <si>
    <t>BK-1943-8</t>
  </si>
  <si>
    <t>FK-1913-9</t>
  </si>
  <si>
    <t>CK-5314-9</t>
  </si>
  <si>
    <t>FK-9193-9</t>
  </si>
  <si>
    <t>D-4113-10</t>
  </si>
  <si>
    <t>H-3150-10</t>
  </si>
  <si>
    <t>H-3838-10</t>
  </si>
  <si>
    <t>E-6984-10</t>
  </si>
  <si>
    <t>E-7674-10</t>
  </si>
  <si>
    <t>H-5815-10</t>
  </si>
  <si>
    <t>F-2430-10</t>
  </si>
  <si>
    <t>A-3008-10</t>
  </si>
  <si>
    <t>E-1832-11</t>
  </si>
  <si>
    <t>D-1985-11</t>
  </si>
  <si>
    <t>B-7827-11</t>
  </si>
  <si>
    <t>E-6718-11</t>
  </si>
  <si>
    <t>C-9578-11</t>
  </si>
  <si>
    <t>B-2578-11</t>
  </si>
  <si>
    <t>B-9997-12</t>
  </si>
  <si>
    <t>C-8084-12</t>
  </si>
  <si>
    <t>E-8033-12</t>
  </si>
  <si>
    <t>E-9750-12</t>
  </si>
  <si>
    <t>C-8912-12</t>
  </si>
  <si>
    <t>A-7550-12</t>
  </si>
  <si>
    <t>H-9725-12</t>
  </si>
  <si>
    <t>A-2897-12</t>
  </si>
  <si>
    <t>B-9820-12</t>
  </si>
  <si>
    <t>A-8882-12</t>
  </si>
  <si>
    <t>G-3259-12</t>
  </si>
  <si>
    <t>G-6868-12</t>
  </si>
  <si>
    <t>B-2204-12</t>
  </si>
  <si>
    <t>B-6171-12</t>
  </si>
  <si>
    <t>G-5977-12</t>
  </si>
  <si>
    <t>G-7237-12</t>
  </si>
  <si>
    <t>F-3702-12</t>
  </si>
  <si>
    <t>C-7678-12</t>
  </si>
  <si>
    <t>F-4204-12</t>
  </si>
  <si>
    <t>D-4658-12</t>
  </si>
  <si>
    <t>E-5459-12</t>
  </si>
  <si>
    <t>D-4452-12</t>
  </si>
  <si>
    <t>F-8906-12</t>
  </si>
  <si>
    <t>F-7832-13</t>
  </si>
  <si>
    <t>D-3657-14</t>
  </si>
  <si>
    <t>F-7772-14</t>
  </si>
  <si>
    <t>H-2557-14</t>
  </si>
  <si>
    <t>G-7704-14</t>
  </si>
  <si>
    <t>D-6952-14</t>
  </si>
  <si>
    <t>D-3851-14</t>
  </si>
  <si>
    <t>G-6459-14</t>
  </si>
  <si>
    <t>D-5181-14</t>
  </si>
  <si>
    <t>E-5770-14</t>
  </si>
  <si>
    <t>B-7556-14</t>
  </si>
  <si>
    <t>D-1111-14</t>
  </si>
  <si>
    <t>E-6075-14</t>
  </si>
  <si>
    <t>A-3791-14</t>
  </si>
  <si>
    <t>C-5844-14</t>
  </si>
  <si>
    <t>E-9314-14</t>
  </si>
  <si>
    <t>F-3227-14</t>
  </si>
  <si>
    <t>F-4802-14</t>
  </si>
  <si>
    <t>G-4120-14</t>
  </si>
  <si>
    <t>F-3050-14</t>
  </si>
  <si>
    <t>D-7916-14</t>
  </si>
  <si>
    <t>G-5535-14</t>
  </si>
  <si>
    <t>C-6367-14</t>
  </si>
  <si>
    <t>A-1691-14</t>
  </si>
  <si>
    <t>F-4884-14</t>
  </si>
  <si>
    <t>A-3045-14</t>
  </si>
  <si>
    <t>F-9510-14</t>
  </si>
  <si>
    <t>F-7232-14</t>
  </si>
  <si>
    <t>C-2713-14</t>
  </si>
  <si>
    <t>B-6768-14</t>
  </si>
  <si>
    <t>B-6687-14</t>
  </si>
  <si>
    <t>D-6805-14</t>
  </si>
  <si>
    <t>F-3446-14</t>
  </si>
  <si>
    <t>H-2413-14</t>
  </si>
  <si>
    <t>E-9491-14</t>
  </si>
  <si>
    <t>Loan Amount</t>
  </si>
  <si>
    <t>Interest Rate</t>
  </si>
  <si>
    <t>Years to pay</t>
  </si>
  <si>
    <t>House Payment</t>
  </si>
  <si>
    <t>Payment</t>
  </si>
  <si>
    <t>Simulation</t>
  </si>
  <si>
    <t>Extra Payment</t>
  </si>
  <si>
    <t>Payment Schedule</t>
  </si>
  <si>
    <t>Month</t>
  </si>
  <si>
    <t>Beginning balance</t>
  </si>
  <si>
    <t>Interest charged</t>
  </si>
  <si>
    <t>Monthly Payment</t>
  </si>
  <si>
    <t>Extra payment</t>
  </si>
  <si>
    <t>Ending balance</t>
  </si>
  <si>
    <t>Data</t>
  </si>
  <si>
    <t>Log</t>
  </si>
  <si>
    <t xml:space="preserve">Analyze the original data by drawing Histogram and Box plot.  </t>
  </si>
  <si>
    <t xml:space="preserve">Find  Mean, Median, and skewness.  </t>
  </si>
  <si>
    <t xml:space="preserve">Convert into Log base 5 and do the same.  </t>
  </si>
  <si>
    <t>Using a VBA code, do the following</t>
  </si>
  <si>
    <t>Quantity</t>
  </si>
  <si>
    <t>Commission earned</t>
  </si>
  <si>
    <t>Calculate the  amount sold</t>
  </si>
  <si>
    <t>If a quantity is more than 10, change the font color to Blue</t>
  </si>
  <si>
    <t>If the amount is $200 or more, color it green</t>
  </si>
  <si>
    <t>Any sale of $200 or more earns 3% commsion</t>
  </si>
  <si>
    <t xml:space="preserve">Create a command button </t>
  </si>
  <si>
    <t>Save the file as a Macro-enabled file</t>
  </si>
  <si>
    <t>Sum of commision</t>
  </si>
  <si>
    <t>Average of commission</t>
  </si>
  <si>
    <t>sum of amount sold</t>
  </si>
  <si>
    <t>Use Mid function to get the class and the section (Like 6332-001)</t>
  </si>
  <si>
    <t>OPRE-6332-Sec-001-21344</t>
  </si>
  <si>
    <t>6332-001</t>
  </si>
  <si>
    <t>BUAN-6332-Sec-001-21345</t>
  </si>
  <si>
    <t>BUAN-6332-Sec-501-21346</t>
  </si>
  <si>
    <t>6332-501</t>
  </si>
  <si>
    <t>BUAN-6332-Sec-501-21347</t>
  </si>
  <si>
    <t>OPRE-6332-Sec-001-21348</t>
  </si>
  <si>
    <t>OPRE-6332-Sec-501-21349</t>
  </si>
  <si>
    <t>OPRE-6332-Sec-001-21350</t>
  </si>
  <si>
    <t>OPRE-6332-Sec-501-21351</t>
  </si>
  <si>
    <t>OPRE-6332-Sec-001-21352</t>
  </si>
  <si>
    <t>Sub practice()</t>
  </si>
  <si>
    <t>Password = InputBox("enter password")</t>
  </si>
  <si>
    <t>If Password &lt;&gt; "G" Then Application.Close</t>
  </si>
  <si>
    <t>Dim qty As Range</t>
  </si>
  <si>
    <t>Set qty = Range(Cells(4, 1), Cells(40, 1))</t>
  </si>
  <si>
    <t>Cells(10, 5).Value = "Sum of commision"</t>
  </si>
  <si>
    <t>Cells(11, 5) = "Average of commission"</t>
  </si>
  <si>
    <t>Cells(10, 6) = WorksheetFunction.Sum(qty)</t>
  </si>
  <si>
    <t>Cells(11, 6) = WorksheetFunction.Average(qty)</t>
  </si>
  <si>
    <t>For i = 4 To 40</t>
  </si>
  <si>
    <t xml:space="preserve">    For j = 1 To 4</t>
  </si>
  <si>
    <t xml:space="preserve">    Cells(i, j).Font.Color = vbBlack</t>
  </si>
  <si>
    <t xml:space="preserve">    Next j</t>
  </si>
  <si>
    <t>Next i</t>
  </si>
  <si>
    <t>Cells(i, 3).Value = Cells(i, 1).Value * Cells(i, 2).Value</t>
  </si>
  <si>
    <t>If Cells(i, 1).Value &gt; 10 Then Cells(i, 1).Font.Color = vbBlue</t>
  </si>
  <si>
    <t>If Cells(i, 3).Value &gt; 200 Then Cells(i, 3).Font.Color = vbGreen</t>
  </si>
  <si>
    <t>If Cells(i, 3) &gt; 200 Then Cells(i, 4).Value = Cells(i, 3).Value * 0.03 Else Cells(i, 4).Value = 0</t>
  </si>
  <si>
    <t>End Sub</t>
  </si>
  <si>
    <t>Sub blank()</t>
  </si>
  <si>
    <t xml:space="preserve">    For j = 3 To 4</t>
  </si>
  <si>
    <t xml:space="preserve">    Cells(i, j).Value = Null</t>
  </si>
  <si>
    <t>Sub practice2()</t>
  </si>
  <si>
    <t>Dim fulltext</t>
  </si>
  <si>
    <t>Dim course</t>
  </si>
  <si>
    <t>Dim section</t>
  </si>
  <si>
    <t>Dim result</t>
  </si>
  <si>
    <t>For j = 6 To 14</t>
  </si>
  <si>
    <t>fulltext = Cells(j, 2).Value</t>
  </si>
  <si>
    <t>course = Mid(fulltext, 6, 4)</t>
  </si>
  <si>
    <t>section = Mid(fulltext, 15, 3)</t>
  </si>
  <si>
    <t>result = course &amp; "-" &amp; section</t>
  </si>
  <si>
    <t>Cells(j, 4).Value = result</t>
  </si>
  <si>
    <t>Cells(j, 4).Font.Size = Cells(j, 2).Font.Size</t>
  </si>
  <si>
    <t>Next j</t>
  </si>
  <si>
    <t>Do a 4-period weighted moving average forecast and find the errors as shown below</t>
  </si>
  <si>
    <t xml:space="preserve">Weights: </t>
  </si>
  <si>
    <t>Forecast  WMA</t>
  </si>
  <si>
    <t>MAD</t>
  </si>
  <si>
    <t>MSE</t>
  </si>
  <si>
    <t>MAPE</t>
  </si>
  <si>
    <t xml:space="preserve"> </t>
  </si>
  <si>
    <t xml:space="preserve">1. Create UserID which consists of the 2nd and 3rd letter of the 1st name and the last 2 letters of the last name. </t>
  </si>
  <si>
    <t>Logan</t>
  </si>
  <si>
    <t xml:space="preserve">2. Find Average after  </t>
  </si>
  <si>
    <t>Jon</t>
  </si>
  <si>
    <t>a. adding 10 popints to the highest test score (but not going past 105)</t>
  </si>
  <si>
    <t>Zaniyah</t>
  </si>
  <si>
    <t>b. adding 12 to the lowest score</t>
  </si>
  <si>
    <t>Kalel</t>
  </si>
  <si>
    <t>3.  Assign grades unsing Vlookup.</t>
  </si>
  <si>
    <t>Oaklee</t>
  </si>
  <si>
    <t>0 to &lt; 60:   F;     60 to &lt;70:  D;      70 to &lt;  80:  C;    80 to &lt; 90:  B,   90 or more:  A</t>
  </si>
  <si>
    <t>Mohamed</t>
  </si>
  <si>
    <t>Tristian</t>
  </si>
  <si>
    <t>Melvin</t>
  </si>
  <si>
    <t xml:space="preserve">Do not change the original Scores!  </t>
  </si>
  <si>
    <t>Note:  Some of you may find it easier to do this using VBA.</t>
  </si>
  <si>
    <t>Alma</t>
  </si>
  <si>
    <t xml:space="preserve">Whatever approach you use is OK.  </t>
  </si>
  <si>
    <t>Manuel</t>
  </si>
  <si>
    <t>Gatlin</t>
  </si>
  <si>
    <t>Alexandria</t>
  </si>
  <si>
    <t>Winnie</t>
  </si>
  <si>
    <t xml:space="preserve">  </t>
  </si>
  <si>
    <t>Melany</t>
  </si>
  <si>
    <t>Brandon</t>
  </si>
  <si>
    <t>Miles</t>
  </si>
  <si>
    <t>Emory</t>
  </si>
  <si>
    <t>Talon</t>
  </si>
  <si>
    <t>25-year old Stephanie wants to retire in 30 years.  She wants to have a million dollar in her saving at the time of retirement.  How much should she save every month to reach that million dollar goal?  The annual return she expects is 6.5% which will be compounded monthly?  </t>
  </si>
  <si>
    <t>Oscar</t>
  </si>
  <si>
    <t>Felix</t>
  </si>
  <si>
    <t>If you invest $500 each month at an annual rate of 7%, in how many month will it become $300,000?  The answer could be in decimals.</t>
  </si>
  <si>
    <t>Lian</t>
  </si>
  <si>
    <t>Paris</t>
  </si>
  <si>
    <t>Someone will pay you:  year 1   $2500,   Year 3:  $4000,   year 4:  $5000.  What is the present value of it assuming 4.67% annual return?</t>
  </si>
  <si>
    <t>Lyric</t>
  </si>
  <si>
    <t>Lauren</t>
  </si>
  <si>
    <t>If you invest $273 each month for 10 years and the annual interest rate is 7.15%, what will be present value of this investment?  Interest is compounded monthly. </t>
  </si>
  <si>
    <t>Yaretzi</t>
  </si>
  <si>
    <t>Ariel</t>
  </si>
  <si>
    <t>Bill is investing $5,000 at an anuual interest rate of 7.24%.  In how many years, will this investment become 3.5 times of its current value? Use Log function. </t>
  </si>
  <si>
    <t>Hunter</t>
  </si>
  <si>
    <t>Atlas</t>
  </si>
  <si>
    <t>Jack is investing $15,000 at an anuual interest rate of 6.12%.  In how many years, this investment will become $40,000? Use Log function. </t>
  </si>
  <si>
    <t>Boston</t>
  </si>
  <si>
    <t>Serena</t>
  </si>
  <si>
    <t>Helena</t>
  </si>
  <si>
    <t>Kinley</t>
  </si>
  <si>
    <t>Reign</t>
  </si>
  <si>
    <t>Ezra</t>
  </si>
  <si>
    <t>H</t>
  </si>
  <si>
    <t>Rylie</t>
  </si>
  <si>
    <t>S</t>
  </si>
  <si>
    <t>EOQ</t>
  </si>
  <si>
    <t>Ayleen</t>
  </si>
  <si>
    <t>Edison</t>
  </si>
  <si>
    <t>Jaylin</t>
  </si>
  <si>
    <t>INGH</t>
  </si>
  <si>
    <t>Makenzie</t>
  </si>
  <si>
    <t>Leland</t>
  </si>
  <si>
    <t>!L</t>
  </si>
  <si>
    <t>Henrik</t>
  </si>
  <si>
    <t>Kamryn</t>
  </si>
  <si>
    <t>2nd B</t>
  </si>
  <si>
    <t>Angie</t>
  </si>
  <si>
    <t>Addilyn</t>
  </si>
  <si>
    <t>Jakob</t>
  </si>
  <si>
    <t>Creed</t>
  </si>
  <si>
    <t>Justin</t>
  </si>
  <si>
    <t>Cadence</t>
  </si>
  <si>
    <t>Charli</t>
  </si>
  <si>
    <t>Xander</t>
  </si>
  <si>
    <t>Estella</t>
  </si>
  <si>
    <t>Vuga</t>
  </si>
  <si>
    <t>Bodie</t>
  </si>
  <si>
    <t>Zaiden</t>
  </si>
  <si>
    <t>Ayan</t>
  </si>
  <si>
    <t>Mustafa</t>
  </si>
  <si>
    <t>Maisie</t>
  </si>
  <si>
    <t>Justice</t>
  </si>
  <si>
    <t>Harlem</t>
  </si>
  <si>
    <t>Sebastian</t>
  </si>
  <si>
    <t>Sasha</t>
  </si>
  <si>
    <t>Sekani</t>
  </si>
  <si>
    <t>Meadow</t>
  </si>
  <si>
    <t>Brecken</t>
  </si>
  <si>
    <t>Phoenix</t>
  </si>
  <si>
    <t>Maren</t>
  </si>
  <si>
    <t>Demetrius</t>
  </si>
  <si>
    <t>Graham</t>
  </si>
  <si>
    <t>Daniela</t>
  </si>
  <si>
    <t>Casen</t>
  </si>
  <si>
    <t>Ryker</t>
  </si>
  <si>
    <t>Ibrahim</t>
  </si>
  <si>
    <t>Andrew</t>
  </si>
  <si>
    <t>Jayson</t>
  </si>
  <si>
    <t>Xuan</t>
  </si>
  <si>
    <t>Cannon</t>
  </si>
  <si>
    <t>Larry</t>
  </si>
  <si>
    <t>Kaysen</t>
  </si>
  <si>
    <t>Pablo</t>
  </si>
  <si>
    <t>Rex</t>
  </si>
  <si>
    <t>Clarissa</t>
  </si>
  <si>
    <t>Clay</t>
  </si>
  <si>
    <t>Cassandra</t>
  </si>
  <si>
    <t>Jesse</t>
  </si>
  <si>
    <t>Brantley</t>
  </si>
  <si>
    <t xml:space="preserve">Each Company's amount due and sales date for a particualr invoice is given in the table below. </t>
  </si>
  <si>
    <t>The first Row has been Solved for your reference.</t>
  </si>
  <si>
    <t>Use advanced filter to get a list of the companies</t>
  </si>
  <si>
    <t>Calculate by how many days is the payment late for each invoice in Column G.</t>
  </si>
  <si>
    <t>Refer to the Penalty Criteria to calculate what Penalty percenatge applies to each Invoice in Column H.</t>
  </si>
  <si>
    <t>Last step would be calculating the Total penalty for each Invoice in Column I.</t>
  </si>
  <si>
    <t>Company Name</t>
  </si>
  <si>
    <t>Company Code</t>
  </si>
  <si>
    <t>Amount due</t>
  </si>
  <si>
    <t>Sales Date</t>
  </si>
  <si>
    <t>Today</t>
  </si>
  <si>
    <t>Days Late</t>
  </si>
  <si>
    <t>% Penalty (Use IFS)</t>
  </si>
  <si>
    <t>Penalty</t>
  </si>
  <si>
    <t>Penalty Criteria (computed on the whole amount; see the 1st line calculation and the example below)</t>
  </si>
  <si>
    <t>Valin Group</t>
  </si>
  <si>
    <t>INV58169-Q</t>
  </si>
  <si>
    <t>No penalty for 1st 30 days.</t>
  </si>
  <si>
    <t>JFE Steel</t>
  </si>
  <si>
    <t>INV54843-R</t>
  </si>
  <si>
    <t xml:space="preserve">1% penalty if more than 30 days  </t>
  </si>
  <si>
    <t>JSW Steel</t>
  </si>
  <si>
    <t>INV66640-Q</t>
  </si>
  <si>
    <t xml:space="preserve">2% penalty if 60 or more days  </t>
  </si>
  <si>
    <t>Gerdau</t>
  </si>
  <si>
    <t>INV21038-Y</t>
  </si>
  <si>
    <t>3% penalty if 80 or more days</t>
  </si>
  <si>
    <t>IMIDRO</t>
  </si>
  <si>
    <t>INV23109-F</t>
  </si>
  <si>
    <t>Example: On a $4,200 invoice overdue 87 days, Total penalty = $4200 * 0.03 = $126.</t>
  </si>
  <si>
    <t>U. S. Steel Corporation</t>
  </si>
  <si>
    <t>INV53537-Q</t>
  </si>
  <si>
    <t>INV11452-C</t>
  </si>
  <si>
    <t>Tata Steel Group</t>
  </si>
  <si>
    <t>INV32027-R</t>
  </si>
  <si>
    <t>INV28897-C</t>
  </si>
  <si>
    <t>Shagang Group</t>
  </si>
  <si>
    <t>INV55259-Q</t>
  </si>
  <si>
    <t>ArcelorMittal</t>
  </si>
  <si>
    <t>INV36080-Y</t>
  </si>
  <si>
    <t>INV54503-R</t>
  </si>
  <si>
    <t>INV29550-R</t>
  </si>
  <si>
    <t>Nucor Corporation</t>
  </si>
  <si>
    <t>INV20024-C</t>
  </si>
  <si>
    <t>INV11761-F</t>
  </si>
  <si>
    <t>Baowu Steel Group</t>
  </si>
  <si>
    <t>INV26576-F</t>
  </si>
  <si>
    <t>Total penality</t>
  </si>
  <si>
    <t>INV55069-Y</t>
  </si>
  <si>
    <t>Total penality JSW</t>
  </si>
  <si>
    <t>Total penality SAIL</t>
  </si>
  <si>
    <t>INV59333-R</t>
  </si>
  <si>
    <t>HBIS Group</t>
  </si>
  <si>
    <t>Benxi Steel</t>
  </si>
  <si>
    <t>ThyssenKrupp</t>
  </si>
  <si>
    <t>INV19148-K</t>
  </si>
  <si>
    <t>Ansteel Group</t>
  </si>
  <si>
    <t>INV19541-R</t>
  </si>
  <si>
    <t>INV43381-Y</t>
  </si>
  <si>
    <t>INV61344-F</t>
  </si>
  <si>
    <t>INV27558-Y</t>
  </si>
  <si>
    <t>INV18621-Q</t>
  </si>
  <si>
    <t>NLMK</t>
  </si>
  <si>
    <t>INV45174-Q</t>
  </si>
  <si>
    <t>INV29171-Y</t>
  </si>
  <si>
    <t>Maanshan Steel</t>
  </si>
  <si>
    <t>INV15039-K</t>
  </si>
  <si>
    <t>INV66374-C</t>
  </si>
  <si>
    <t>China Steel Corporation</t>
  </si>
  <si>
    <t>INV43125-K</t>
  </si>
  <si>
    <t>Hyundai Steel</t>
  </si>
  <si>
    <t>INV31054-F</t>
  </si>
  <si>
    <t>INV60648-R</t>
  </si>
  <si>
    <t>INV32811-C</t>
  </si>
  <si>
    <t>INV55663-C</t>
  </si>
  <si>
    <t>INV32036-Y</t>
  </si>
  <si>
    <t>SAIL</t>
  </si>
  <si>
    <t>INV31235-A</t>
  </si>
  <si>
    <t>INV11566-Q</t>
  </si>
  <si>
    <t>INV41211-A</t>
  </si>
  <si>
    <t>Shandong Steel Group</t>
  </si>
  <si>
    <t>INV50969-F</t>
  </si>
  <si>
    <t>INV44638-R</t>
  </si>
  <si>
    <t>INV33043-Y</t>
  </si>
  <si>
    <t>INV54933-Q</t>
  </si>
  <si>
    <t>Shougang Group</t>
  </si>
  <si>
    <t>INV55703-F</t>
  </si>
  <si>
    <t>INV55598-K</t>
  </si>
  <si>
    <t>INV41647-C</t>
  </si>
  <si>
    <t>INV43145-Q</t>
  </si>
  <si>
    <t>INV12291-C</t>
  </si>
  <si>
    <t>INV24123-R</t>
  </si>
  <si>
    <t>INV62784-F</t>
  </si>
  <si>
    <t>INV52221-C</t>
  </si>
  <si>
    <t>NSSMC Group</t>
  </si>
  <si>
    <t>INV47506-F</t>
  </si>
  <si>
    <t>INV23358-Q</t>
  </si>
  <si>
    <t>INV57742-F</t>
  </si>
  <si>
    <t>INV66626-C</t>
  </si>
  <si>
    <t>INV39292-F</t>
  </si>
  <si>
    <t>INV63403-K</t>
  </si>
  <si>
    <t>INV29834-F</t>
  </si>
  <si>
    <t>POSCO</t>
  </si>
  <si>
    <t>INV39939-K</t>
  </si>
  <si>
    <t>INV22278-C</t>
  </si>
  <si>
    <t>INV40853-C</t>
  </si>
  <si>
    <t>INV51479-K</t>
  </si>
  <si>
    <t>INV35196-F</t>
  </si>
  <si>
    <t>INV50101-C</t>
  </si>
  <si>
    <t>INV39105-C</t>
  </si>
  <si>
    <t>INV52570-R</t>
  </si>
  <si>
    <t>INV52413-K</t>
  </si>
  <si>
    <t>INV32513-A</t>
  </si>
  <si>
    <t>INV25781-A</t>
  </si>
  <si>
    <t>INV18194-A</t>
  </si>
  <si>
    <t>INV35615-Q</t>
  </si>
  <si>
    <t>INV42763-C</t>
  </si>
  <si>
    <t>INV31666-R</t>
  </si>
  <si>
    <t>INV54942-R</t>
  </si>
  <si>
    <t>INV27163-R</t>
  </si>
  <si>
    <t>INV21365-F</t>
  </si>
  <si>
    <t>INV50552-C</t>
  </si>
  <si>
    <t>INV27977-F</t>
  </si>
  <si>
    <t>INV39073-Y</t>
  </si>
  <si>
    <t>INV48397-C</t>
  </si>
  <si>
    <t>INV63045-A</t>
  </si>
  <si>
    <t>INV24960-Y</t>
  </si>
  <si>
    <t>INV24366-Y</t>
  </si>
  <si>
    <t>INV60620-K</t>
  </si>
  <si>
    <t>INV31879-Q</t>
  </si>
  <si>
    <t>INV25497-R</t>
  </si>
  <si>
    <t>INV27464-K</t>
  </si>
  <si>
    <t>INV53079-Y</t>
  </si>
  <si>
    <t>INV46809-Y</t>
  </si>
  <si>
    <t>INV23229-A</t>
  </si>
  <si>
    <t>INV13808-C</t>
  </si>
  <si>
    <t>INV12794-R</t>
  </si>
  <si>
    <t>INV35152-F</t>
  </si>
  <si>
    <t>INV18899-F</t>
  </si>
  <si>
    <t>INV29121-F</t>
  </si>
  <si>
    <t>INV46470-F</t>
  </si>
  <si>
    <t>INV55062-A</t>
  </si>
  <si>
    <t>INV50289-R</t>
  </si>
  <si>
    <t>INV23114-Q</t>
  </si>
  <si>
    <t>INV41030-A</t>
  </si>
  <si>
    <t>INV38678-K</t>
  </si>
  <si>
    <t>INV16755-Q</t>
  </si>
  <si>
    <t>INV61210-A</t>
  </si>
  <si>
    <t>INV26202-K</t>
  </si>
  <si>
    <t>INV19814-R</t>
  </si>
  <si>
    <t>INV11781-F</t>
  </si>
  <si>
    <t>INV62668-F</t>
  </si>
  <si>
    <t>INV65789-A</t>
  </si>
  <si>
    <t>INV45917-C</t>
  </si>
  <si>
    <t>INV24365-Q</t>
  </si>
  <si>
    <t>INV40202-Y</t>
  </si>
  <si>
    <t>INV16287-R</t>
  </si>
  <si>
    <t>INV65847-F</t>
  </si>
  <si>
    <t>INV25988-R</t>
  </si>
  <si>
    <t>INV57438-Q</t>
  </si>
  <si>
    <t>INV45341-Q</t>
  </si>
  <si>
    <t>INV57455-K</t>
  </si>
  <si>
    <t>INV24331-R</t>
  </si>
  <si>
    <t>INV15396-K</t>
  </si>
  <si>
    <t>INV48928-Q</t>
  </si>
  <si>
    <t>INV66242-Y</t>
  </si>
  <si>
    <t>INV37893-K</t>
  </si>
  <si>
    <t>INV44626-F</t>
  </si>
  <si>
    <t>INV20408-A</t>
  </si>
  <si>
    <t>INV26287-F</t>
  </si>
  <si>
    <t>INV44789-R</t>
  </si>
  <si>
    <t>INV13341-K</t>
  </si>
  <si>
    <t>INV11873-A</t>
  </si>
  <si>
    <t>INV56503-K</t>
  </si>
  <si>
    <t>INV50016-Y</t>
  </si>
  <si>
    <t>INV18914-Y</t>
  </si>
  <si>
    <t>INV62543-F</t>
  </si>
  <si>
    <t>INV33512-K</t>
  </si>
  <si>
    <t>INV37167-A</t>
  </si>
  <si>
    <t>INV63610-Q</t>
  </si>
  <si>
    <t>INV38912-Q</t>
  </si>
  <si>
    <t>INV64985-C</t>
  </si>
  <si>
    <t>INV39081-F</t>
  </si>
  <si>
    <t>INV40146-Q</t>
  </si>
  <si>
    <t>INV13870-A</t>
  </si>
  <si>
    <t>INV62310-K</t>
  </si>
  <si>
    <t>INV36435-K</t>
  </si>
  <si>
    <t>INV19879-A</t>
  </si>
  <si>
    <t>INV63462-Q</t>
  </si>
  <si>
    <t>INV20005-K</t>
  </si>
  <si>
    <t>INV18923-A</t>
  </si>
  <si>
    <t>INV58301-C</t>
  </si>
  <si>
    <t>INV14245-C</t>
  </si>
  <si>
    <t>INV51827-K</t>
  </si>
  <si>
    <t>INV43539-R</t>
  </si>
  <si>
    <t>INV45696-C</t>
  </si>
  <si>
    <t>INV31731-C</t>
  </si>
  <si>
    <t>INV60041-C</t>
  </si>
  <si>
    <t>INV17967-Y</t>
  </si>
  <si>
    <t>INV44162-R</t>
  </si>
  <si>
    <t>INV50158-Q</t>
  </si>
  <si>
    <t>INV54592-Q</t>
  </si>
  <si>
    <t>INV40323-Y</t>
  </si>
  <si>
    <t>INV29831-Q</t>
  </si>
  <si>
    <t>INV11784-F</t>
  </si>
  <si>
    <t>INV18416-F</t>
  </si>
  <si>
    <t>INV31758-F</t>
  </si>
  <si>
    <t>INV62405-A</t>
  </si>
  <si>
    <t>INV21453-Q</t>
  </si>
  <si>
    <t>INV25287-A</t>
  </si>
  <si>
    <t>INV64842-R</t>
  </si>
  <si>
    <t>INV35332-Y</t>
  </si>
  <si>
    <t>INV17506-R</t>
  </si>
  <si>
    <t>INV49613-A</t>
  </si>
  <si>
    <t>INV15089-Y</t>
  </si>
  <si>
    <t>INV35687-A</t>
  </si>
  <si>
    <t>INV21086-K</t>
  </si>
  <si>
    <t>Jianlong Group</t>
  </si>
  <si>
    <t>INV11876-C</t>
  </si>
  <si>
    <t>INV23959-K</t>
  </si>
  <si>
    <t>INV21426-R</t>
  </si>
  <si>
    <t>INV35511-Q</t>
  </si>
  <si>
    <t>INV40500-C</t>
  </si>
  <si>
    <t>INV12913-A</t>
  </si>
  <si>
    <t>INV32556-Q</t>
  </si>
  <si>
    <t>INV16570-F</t>
  </si>
  <si>
    <t>INV46558-F</t>
  </si>
  <si>
    <t>INV22231-C</t>
  </si>
  <si>
    <t>INV46048-F</t>
  </si>
  <si>
    <t>INV36915-F</t>
  </si>
  <si>
    <t>INV43262-Q</t>
  </si>
  <si>
    <t>INV55620-C</t>
  </si>
  <si>
    <t>INV64840-Q</t>
  </si>
  <si>
    <t>INV43570-A</t>
  </si>
  <si>
    <t>INV54457-K</t>
  </si>
  <si>
    <t>INV25425-F</t>
  </si>
  <si>
    <t>INV63606-A</t>
  </si>
  <si>
    <t>INV54781-Y</t>
  </si>
  <si>
    <t>INV47296-R</t>
  </si>
  <si>
    <t>INV41017-Q</t>
  </si>
  <si>
    <t>INV14145-F</t>
  </si>
  <si>
    <t>INV35583-C</t>
  </si>
  <si>
    <t>INV62973-R</t>
  </si>
  <si>
    <t>INV37978-K</t>
  </si>
  <si>
    <t>INV27232-K</t>
  </si>
  <si>
    <t>INV59604-Q</t>
  </si>
  <si>
    <t>INV55316-Q</t>
  </si>
  <si>
    <t>INV12015-Y</t>
  </si>
  <si>
    <t>INV63034-R</t>
  </si>
  <si>
    <t>INV67084-Y</t>
  </si>
  <si>
    <t>INV33736-A</t>
  </si>
  <si>
    <t>INV52841-R</t>
  </si>
  <si>
    <t>INV51434-Y</t>
  </si>
  <si>
    <t>INV28219-Q</t>
  </si>
  <si>
    <t>INV18567-Q</t>
  </si>
  <si>
    <t>INV36478-A</t>
  </si>
  <si>
    <t>INV35239-K</t>
  </si>
  <si>
    <t>INV33364-Y</t>
  </si>
  <si>
    <t>INV19466-C</t>
  </si>
  <si>
    <t>INV60991-F</t>
  </si>
  <si>
    <t>INV50092-Q</t>
  </si>
  <si>
    <t>INV33225-C</t>
  </si>
  <si>
    <t>INV40541-Q</t>
  </si>
  <si>
    <t>INV53265-Q</t>
  </si>
  <si>
    <t>INV40497-K</t>
  </si>
  <si>
    <t>INV39469-K</t>
  </si>
  <si>
    <t>INV62741-A</t>
  </si>
  <si>
    <t>INV37884-R</t>
  </si>
  <si>
    <t>INV42602-F</t>
  </si>
  <si>
    <t>INV52331-A</t>
  </si>
  <si>
    <t>INV17152-A</t>
  </si>
  <si>
    <t>INV11447-R</t>
  </si>
  <si>
    <t>INV65407-R</t>
  </si>
  <si>
    <t>INV22111-Q</t>
  </si>
  <si>
    <t>INV56268-Q</t>
  </si>
  <si>
    <t>INV32835-Y</t>
  </si>
  <si>
    <t>INV27171-Y</t>
  </si>
  <si>
    <t>INV27908-A</t>
  </si>
  <si>
    <t>INV41096-F</t>
  </si>
  <si>
    <t>INV27552-Q</t>
  </si>
  <si>
    <t>INV34538-K</t>
  </si>
  <si>
    <t>INV62608-Y</t>
  </si>
  <si>
    <t>INV53372-R</t>
  </si>
  <si>
    <t>INV57711-F</t>
  </si>
  <si>
    <t>INV50254-Y</t>
  </si>
  <si>
    <t>INV24617-K</t>
  </si>
  <si>
    <t>INV49634-K</t>
  </si>
  <si>
    <t>INV31859-Q</t>
  </si>
  <si>
    <t>INV30444-Y</t>
  </si>
  <si>
    <t>INV31472-K</t>
  </si>
  <si>
    <t>INV46746-A</t>
  </si>
  <si>
    <t>INV62821-Y</t>
  </si>
  <si>
    <t>INV55838-C</t>
  </si>
  <si>
    <t>INV22421-R</t>
  </si>
  <si>
    <t>INV43393-Y</t>
  </si>
  <si>
    <t>INV28439-Q</t>
  </si>
  <si>
    <t>INV28496-F</t>
  </si>
  <si>
    <t>INV26379-C</t>
  </si>
  <si>
    <t>INV63140-A</t>
  </si>
  <si>
    <t>INV34459-A</t>
  </si>
  <si>
    <t>INV31004-A</t>
  </si>
  <si>
    <t>INV53157-A</t>
  </si>
  <si>
    <t>INV58043-C</t>
  </si>
  <si>
    <t>INV55540-A</t>
  </si>
  <si>
    <t>INV22333-C</t>
  </si>
  <si>
    <t>INV49164-F</t>
  </si>
  <si>
    <t>INV40360-Y</t>
  </si>
  <si>
    <t>INV56942-K</t>
  </si>
  <si>
    <t>INV14819-Y</t>
  </si>
  <si>
    <t>INV24828-C</t>
  </si>
  <si>
    <t>INV57240-R</t>
  </si>
  <si>
    <t>INV32207-C</t>
  </si>
  <si>
    <t>INV16963-Y</t>
  </si>
  <si>
    <t>INV57715-K</t>
  </si>
  <si>
    <t>INV23300-K</t>
  </si>
  <si>
    <t>INV24661-C</t>
  </si>
  <si>
    <t>INV30243-Q</t>
  </si>
  <si>
    <t>INV19470-Y</t>
  </si>
  <si>
    <t>INV37072-Q</t>
  </si>
  <si>
    <t>INV24300-A</t>
  </si>
  <si>
    <t>INV21100-K</t>
  </si>
  <si>
    <t>INV32189-F</t>
  </si>
  <si>
    <t>INV55896-R</t>
  </si>
  <si>
    <t>INV34573-R</t>
  </si>
  <si>
    <t>INV17459-F</t>
  </si>
  <si>
    <t>INV63878-F</t>
  </si>
  <si>
    <t>INV40400-C</t>
  </si>
  <si>
    <t>INV12402-A</t>
  </si>
  <si>
    <t>INV51362-Y</t>
  </si>
  <si>
    <t>INV44366-A</t>
  </si>
  <si>
    <t>INV54467-K</t>
  </si>
  <si>
    <t>INV66498-R</t>
  </si>
  <si>
    <t>INV48629-R</t>
  </si>
  <si>
    <t>INV13452-Y</t>
  </si>
  <si>
    <t>INV39501-Y</t>
  </si>
  <si>
    <t>INV16204-C</t>
  </si>
  <si>
    <t>INV59342-K</t>
  </si>
  <si>
    <t>INV55051-R</t>
  </si>
  <si>
    <t>INV43518-Q</t>
  </si>
  <si>
    <t>INV55281-R</t>
  </si>
  <si>
    <t>INV46634-Q</t>
  </si>
  <si>
    <t>INV19033-R</t>
  </si>
  <si>
    <t>INV33610-C</t>
  </si>
  <si>
    <t>INV36557-F</t>
  </si>
  <si>
    <t>INV17193-A</t>
  </si>
  <si>
    <t>INV60518-Q</t>
  </si>
  <si>
    <t>INV15361-R</t>
  </si>
  <si>
    <t>INV13425-Q</t>
  </si>
  <si>
    <t>INV17260-A</t>
  </si>
  <si>
    <t>INV47591-R</t>
  </si>
  <si>
    <t>INV24625-A</t>
  </si>
  <si>
    <t>INV61783-A</t>
  </si>
  <si>
    <t>INV12740-C</t>
  </si>
  <si>
    <t>INV23329-C</t>
  </si>
  <si>
    <t>INV36621-K</t>
  </si>
  <si>
    <t>INV42118-F</t>
  </si>
  <si>
    <t>INV65455-Q</t>
  </si>
  <si>
    <t>INV32749-Q</t>
  </si>
  <si>
    <t>INV14715-A</t>
  </si>
  <si>
    <t>INV47433-R</t>
  </si>
  <si>
    <t>INV52031-Q</t>
  </si>
  <si>
    <t>INV60207-Q</t>
  </si>
  <si>
    <t>INV50637-Q</t>
  </si>
  <si>
    <t>INV59812-C</t>
  </si>
  <si>
    <t>INV35046-R</t>
  </si>
  <si>
    <t>INV11900-A</t>
  </si>
  <si>
    <t>INV64692-R</t>
  </si>
  <si>
    <t>INV37583-F</t>
  </si>
  <si>
    <t>INV57429-Y</t>
  </si>
  <si>
    <t xml:space="preserve">Drop the lowest test score and calculate the final average score for each student.  Use the weights given. </t>
  </si>
  <si>
    <t>Assign grades to every one (use Vlookup).  Make sure that your formulas matches the provided sample calculation for Ryann.</t>
  </si>
  <si>
    <t xml:space="preserve">Note:  Create a Vloookup table for grades to use it.   Answer quiz questions.    </t>
  </si>
  <si>
    <t>Student</t>
  </si>
  <si>
    <t>Section</t>
  </si>
  <si>
    <t>Status</t>
  </si>
  <si>
    <t>Quiz 1</t>
  </si>
  <si>
    <t>Quiz 2</t>
  </si>
  <si>
    <t>HW 1</t>
  </si>
  <si>
    <t>HW 2</t>
  </si>
  <si>
    <t>HW 3</t>
  </si>
  <si>
    <t>HW 4</t>
  </si>
  <si>
    <t>Avg</t>
  </si>
  <si>
    <t>Weight</t>
  </si>
  <si>
    <t xml:space="preserve">Test </t>
  </si>
  <si>
    <t>Ryann</t>
  </si>
  <si>
    <t>Sec-A</t>
  </si>
  <si>
    <t>Senior</t>
  </si>
  <si>
    <t>Quiz</t>
  </si>
  <si>
    <t>Sec-C</t>
  </si>
  <si>
    <t>Junior</t>
  </si>
  <si>
    <t>HW</t>
  </si>
  <si>
    <t>Lilly</t>
  </si>
  <si>
    <t>Sec-B</t>
  </si>
  <si>
    <t>Anaya</t>
  </si>
  <si>
    <t xml:space="preserve">Grades  </t>
  </si>
  <si>
    <t>Jason</t>
  </si>
  <si>
    <t>&lt; 65</t>
  </si>
  <si>
    <t>Vincenzo</t>
  </si>
  <si>
    <t>65 to &lt;73</t>
  </si>
  <si>
    <t>Arielle</t>
  </si>
  <si>
    <t>73 to &lt; 83</t>
  </si>
  <si>
    <t>Catherine</t>
  </si>
  <si>
    <t>83 to &lt; 90</t>
  </si>
  <si>
    <t>Jasper</t>
  </si>
  <si>
    <t>&gt;= 90</t>
  </si>
  <si>
    <t>Karsyn</t>
  </si>
  <si>
    <t>Maximo</t>
  </si>
  <si>
    <t>average</t>
  </si>
  <si>
    <t>Waylon</t>
  </si>
  <si>
    <t>avg sec C</t>
  </si>
  <si>
    <t>Aniyah</t>
  </si>
  <si>
    <t>high avg junior</t>
  </si>
  <si>
    <t>high avg senior</t>
  </si>
  <si>
    <t>Xinyue</t>
  </si>
  <si>
    <t>%of seniors sec-B</t>
  </si>
  <si>
    <t>Kyle</t>
  </si>
  <si>
    <t>avg score senior in sec b got C grade</t>
  </si>
  <si>
    <t>Marilyn</t>
  </si>
  <si>
    <t>senior, sec b, grad c, &gt;-80 in test1</t>
  </si>
  <si>
    <t>Sonali</t>
  </si>
  <si>
    <t>Brodie</t>
  </si>
  <si>
    <t>Julissa</t>
  </si>
  <si>
    <t>Harmony</t>
  </si>
  <si>
    <t>Kyson</t>
  </si>
  <si>
    <t>Edward</t>
  </si>
  <si>
    <t>Eliza</t>
  </si>
  <si>
    <t>Jessica</t>
  </si>
  <si>
    <t>Sergio</t>
  </si>
  <si>
    <t>Kynlee</t>
  </si>
  <si>
    <t>Freyja</t>
  </si>
  <si>
    <t>Kolton</t>
  </si>
  <si>
    <t>Elle</t>
  </si>
  <si>
    <t>Archer</t>
  </si>
  <si>
    <t>Arturo</t>
  </si>
  <si>
    <t>Felipe</t>
  </si>
  <si>
    <t>Maurice</t>
  </si>
  <si>
    <t>Eve</t>
  </si>
  <si>
    <t>Dior</t>
  </si>
  <si>
    <t>Blaire</t>
  </si>
  <si>
    <t>Alaiya</t>
  </si>
  <si>
    <t>Juliette</t>
  </si>
  <si>
    <t>Reid</t>
  </si>
  <si>
    <t>Joaquin</t>
  </si>
  <si>
    <t>Kristian</t>
  </si>
  <si>
    <t>Arian</t>
  </si>
  <si>
    <t>Frankie</t>
  </si>
  <si>
    <t>Kayden</t>
  </si>
  <si>
    <t>Marceline</t>
  </si>
  <si>
    <t>Christina</t>
  </si>
  <si>
    <t>Kiara</t>
  </si>
  <si>
    <t>Derek</t>
  </si>
  <si>
    <t>Kristopher</t>
  </si>
  <si>
    <t>Sawyer</t>
  </si>
  <si>
    <t>Nicolas</t>
  </si>
  <si>
    <t>Canaan</t>
  </si>
  <si>
    <t>Kylen</t>
  </si>
  <si>
    <t>Hadlee</t>
  </si>
  <si>
    <t>Camilo</t>
  </si>
  <si>
    <t>Alondra</t>
  </si>
  <si>
    <t>Novalee</t>
  </si>
  <si>
    <t>Rayna</t>
  </si>
  <si>
    <t>Apollo</t>
  </si>
  <si>
    <t>Bobby</t>
  </si>
  <si>
    <t>Noelle</t>
  </si>
  <si>
    <t>Rosemary</t>
  </si>
  <si>
    <t>Shane</t>
  </si>
  <si>
    <t>Kylo</t>
  </si>
  <si>
    <t>Jaxson</t>
  </si>
  <si>
    <t>Bexley</t>
  </si>
  <si>
    <t>Ares</t>
  </si>
  <si>
    <t>Lachlan</t>
  </si>
  <si>
    <t>Elliot</t>
  </si>
  <si>
    <t>Martha</t>
  </si>
  <si>
    <t>Jordan</t>
  </si>
  <si>
    <t>Wesley</t>
  </si>
  <si>
    <t>Paityn</t>
  </si>
  <si>
    <t>Liberty</t>
  </si>
  <si>
    <t>Ashish</t>
  </si>
  <si>
    <t>Ricardo</t>
  </si>
  <si>
    <t>Elina</t>
  </si>
  <si>
    <t>Manvi</t>
  </si>
  <si>
    <t>Ashlyn</t>
  </si>
  <si>
    <t>Hadleigh</t>
  </si>
  <si>
    <t>Alfredo</t>
  </si>
  <si>
    <t>Pearl</t>
  </si>
  <si>
    <t>Talia</t>
  </si>
  <si>
    <t>Dalton</t>
  </si>
  <si>
    <t>Aisha</t>
  </si>
  <si>
    <t>Donald</t>
  </si>
  <si>
    <t>Irene</t>
  </si>
  <si>
    <t>Drake</t>
  </si>
  <si>
    <t>Tru</t>
  </si>
  <si>
    <t>Karla</t>
  </si>
  <si>
    <t>Violette</t>
  </si>
  <si>
    <t>Adonis</t>
  </si>
  <si>
    <t>Jett</t>
  </si>
  <si>
    <t>Alana</t>
  </si>
  <si>
    <t>Abel</t>
  </si>
  <si>
    <t>Ameer</t>
  </si>
  <si>
    <t>Marlon</t>
  </si>
  <si>
    <t>Hector</t>
  </si>
  <si>
    <t>Royal</t>
  </si>
  <si>
    <t>Niko</t>
  </si>
  <si>
    <t>Alessandro</t>
  </si>
  <si>
    <t>Sage</t>
  </si>
  <si>
    <t>Ainhoa</t>
  </si>
  <si>
    <t>Kaiya</t>
  </si>
  <si>
    <t>April</t>
  </si>
  <si>
    <t>Kyrie</t>
  </si>
  <si>
    <t>Devon</t>
  </si>
  <si>
    <t>Rakesh</t>
  </si>
  <si>
    <t>Rayan</t>
  </si>
  <si>
    <t>Arianna</t>
  </si>
  <si>
    <t>Kendall</t>
  </si>
  <si>
    <t>Kori</t>
  </si>
  <si>
    <t>Vance</t>
  </si>
  <si>
    <t>Brooke</t>
  </si>
  <si>
    <t>Kamiyah</t>
  </si>
  <si>
    <t>Adam</t>
  </si>
  <si>
    <t>Cecelia</t>
  </si>
  <si>
    <t>Xavier</t>
  </si>
  <si>
    <t>Ellen</t>
  </si>
  <si>
    <t>Katelyn</t>
  </si>
  <si>
    <t>Lina</t>
  </si>
  <si>
    <t>Mylo</t>
  </si>
  <si>
    <t>Warren</t>
  </si>
  <si>
    <t>Keilani</t>
  </si>
  <si>
    <t>Dakari</t>
  </si>
  <si>
    <t>Juniper</t>
  </si>
  <si>
    <t>Dylan</t>
  </si>
  <si>
    <t>Rory</t>
  </si>
  <si>
    <t>Yehuda</t>
  </si>
  <si>
    <t>Hanna</t>
  </si>
  <si>
    <t>Rosalee</t>
  </si>
  <si>
    <t>Saint</t>
  </si>
  <si>
    <t>Mara</t>
  </si>
  <si>
    <t>Tomas</t>
  </si>
  <si>
    <t>Azalea</t>
  </si>
  <si>
    <t>Joe</t>
  </si>
  <si>
    <t>Michaela</t>
  </si>
  <si>
    <t>Mitchell</t>
  </si>
  <si>
    <t>Fletcher</t>
  </si>
  <si>
    <t>Anya</t>
  </si>
  <si>
    <t>Bianca</t>
  </si>
  <si>
    <t>Juan</t>
  </si>
  <si>
    <t>Zaire</t>
  </si>
  <si>
    <t>Cruz</t>
  </si>
  <si>
    <t>Avery</t>
  </si>
  <si>
    <t>Kenny</t>
  </si>
  <si>
    <t>Addilynn</t>
  </si>
  <si>
    <t>Mukesh</t>
  </si>
  <si>
    <t>Milan</t>
  </si>
  <si>
    <t>Riley</t>
  </si>
  <si>
    <t>Flynn</t>
  </si>
  <si>
    <t>Khalani</t>
  </si>
  <si>
    <t>Jeremy</t>
  </si>
  <si>
    <t>Gloria</t>
  </si>
  <si>
    <t>Maxton</t>
  </si>
  <si>
    <t>Aila</t>
  </si>
  <si>
    <t>Rebecca</t>
  </si>
  <si>
    <t>Rodrigo</t>
  </si>
  <si>
    <t>Kayleigh</t>
  </si>
  <si>
    <t>Magnus</t>
  </si>
  <si>
    <t>Vivian</t>
  </si>
  <si>
    <t>Hayley</t>
  </si>
  <si>
    <t>Haven</t>
  </si>
  <si>
    <t>Miley</t>
  </si>
  <si>
    <t>Juliet</t>
  </si>
  <si>
    <t>Finnegan</t>
  </si>
  <si>
    <t>Wilson</t>
  </si>
  <si>
    <t>Aubree</t>
  </si>
  <si>
    <t>Avalynn</t>
  </si>
  <si>
    <t>Faith</t>
  </si>
  <si>
    <t>Saoirse</t>
  </si>
  <si>
    <t>Tyson</t>
  </si>
  <si>
    <t>Damian</t>
  </si>
  <si>
    <t>Walter</t>
  </si>
  <si>
    <t>Brinley</t>
  </si>
  <si>
    <t>Beau</t>
  </si>
  <si>
    <t>Everett</t>
  </si>
  <si>
    <t>Jessie</t>
  </si>
  <si>
    <t>Tinsley</t>
  </si>
  <si>
    <t>Ivanna</t>
  </si>
  <si>
    <t>Emerie</t>
  </si>
  <si>
    <t>Barbara</t>
  </si>
  <si>
    <t>Kaleb</t>
  </si>
  <si>
    <t>Jamison</t>
  </si>
  <si>
    <t>Sterling</t>
  </si>
  <si>
    <t>Maliyah</t>
  </si>
  <si>
    <t>Moises</t>
  </si>
  <si>
    <t>Aiden</t>
  </si>
  <si>
    <t>Sagar</t>
  </si>
  <si>
    <t>Lilah</t>
  </si>
  <si>
    <t>Amina</t>
  </si>
  <si>
    <t>Indie</t>
  </si>
  <si>
    <t>Keaton</t>
  </si>
  <si>
    <t>Scott</t>
  </si>
  <si>
    <t>Ali</t>
  </si>
  <si>
    <t>Nico</t>
  </si>
  <si>
    <t>Zyaire</t>
  </si>
  <si>
    <t>Josue</t>
  </si>
  <si>
    <t>Kingston</t>
  </si>
  <si>
    <t>Kumar</t>
  </si>
  <si>
    <t>Xzavier</t>
  </si>
  <si>
    <t>Isabel</t>
  </si>
  <si>
    <t>Analia</t>
  </si>
  <si>
    <t>Gavin</t>
  </si>
  <si>
    <t>Noor</t>
  </si>
  <si>
    <t>Mazikeen</t>
  </si>
  <si>
    <t>Valeria</t>
  </si>
  <si>
    <t>Clayton</t>
  </si>
  <si>
    <t>Josie</t>
  </si>
  <si>
    <t>Santino</t>
  </si>
  <si>
    <t>Hudson</t>
  </si>
  <si>
    <t>Wade</t>
  </si>
  <si>
    <t>Annalise</t>
  </si>
  <si>
    <t>Jaxen</t>
  </si>
  <si>
    <t>Milani</t>
  </si>
  <si>
    <t>Muhammad</t>
  </si>
  <si>
    <t>Alivia</t>
  </si>
  <si>
    <t>Camryn</t>
  </si>
  <si>
    <t>Mack</t>
  </si>
  <si>
    <t>Cara</t>
  </si>
  <si>
    <t>Grant</t>
  </si>
  <si>
    <t>Leonidas</t>
  </si>
  <si>
    <t>Florence</t>
  </si>
  <si>
    <t>Knox</t>
  </si>
  <si>
    <t>Jonas</t>
  </si>
  <si>
    <t>Gracelynn</t>
  </si>
  <si>
    <t>SKU</t>
  </si>
  <si>
    <t>Total Units Sold</t>
  </si>
  <si>
    <t>Unit Cube</t>
  </si>
  <si>
    <t>Annual Popularity p_i</t>
  </si>
  <si>
    <t>Annual_Flow_f_i</t>
  </si>
  <si>
    <t>Sqrt Flow</t>
  </si>
  <si>
    <t>Prct. Space Allocated</t>
  </si>
  <si>
    <t>Actual Space allocated</t>
  </si>
  <si>
    <t>Labor Efficiency</t>
  </si>
  <si>
    <t>Labor Efficiency rank</t>
  </si>
  <si>
    <t>Included ? x_i</t>
  </si>
  <si>
    <t>Pick savings</t>
  </si>
  <si>
    <t>Annual replenishments</t>
  </si>
  <si>
    <t>Repl cost</t>
  </si>
  <si>
    <t>maximum Net benefit</t>
  </si>
  <si>
    <t>corresponding SKUs</t>
  </si>
  <si>
    <t>Size of Forward Area</t>
  </si>
  <si>
    <t>Cost per Pick from Reserve</t>
  </si>
  <si>
    <t>Cost per Pick from Forward</t>
  </si>
  <si>
    <t>Savings per Pick</t>
  </si>
  <si>
    <t>Cost per Replenishment</t>
  </si>
  <si>
    <t>#SKU included in Forward Area</t>
  </si>
  <si>
    <t>Aggregate Pick savings</t>
  </si>
  <si>
    <t>Aggregate Replinishment cost</t>
  </si>
  <si>
    <t>Overall Net benefits</t>
  </si>
  <si>
    <t>select options from yellow cells (drop down)</t>
  </si>
  <si>
    <t>For the grader's use only</t>
  </si>
  <si>
    <t>Work on this problem using VBA only.  Use the Dataset in Sheet Data</t>
  </si>
  <si>
    <r>
      <t>Use VBA worksheet functions such as in Sheet "</t>
    </r>
    <r>
      <rPr>
        <b/>
        <sz val="10"/>
        <color theme="1"/>
        <rFont val="Calibri"/>
        <family val="2"/>
        <scheme val="minor"/>
      </rPr>
      <t>VBA Statement</t>
    </r>
    <r>
      <rPr>
        <sz val="10"/>
        <color theme="1"/>
        <rFont val="Calibri"/>
        <family val="2"/>
        <scheme val="minor"/>
      </rPr>
      <t xml:space="preserve">" to do the following.  Also, </t>
    </r>
  </si>
  <si>
    <t xml:space="preserve">Use Excel's function to do the same calculations.  They should match if done correctly. </t>
  </si>
  <si>
    <t>VBA Command Button Here (Properly named)</t>
  </si>
  <si>
    <t>Note:  The Excel functions must be cell-referenced (not typed-in)</t>
  </si>
  <si>
    <t>VBA result</t>
  </si>
  <si>
    <t>Excel result</t>
  </si>
  <si>
    <t>Average Salary</t>
  </si>
  <si>
    <t>Max Salary</t>
  </si>
  <si>
    <t>Stdev (sample)  of the salaries</t>
  </si>
  <si>
    <t>Average Salary of Pittsburgh employees</t>
  </si>
  <si>
    <t>Max Finance employee salary</t>
  </si>
  <si>
    <t>Sum of the salaries of the Marketing employees</t>
  </si>
  <si>
    <t xml:space="preserve">Number of employees in Dallas </t>
  </si>
  <si>
    <t>Dept</t>
  </si>
  <si>
    <t>Salary</t>
  </si>
  <si>
    <t>Finance</t>
  </si>
  <si>
    <t>Seattle</t>
  </si>
  <si>
    <t>Boise</t>
  </si>
  <si>
    <t>Marketing</t>
  </si>
  <si>
    <t>Providence</t>
  </si>
  <si>
    <t>Analytics</t>
  </si>
  <si>
    <t>Wichita</t>
  </si>
  <si>
    <t>HR</t>
  </si>
  <si>
    <t>Operations</t>
  </si>
  <si>
    <t>Accounting</t>
  </si>
  <si>
    <t>Pittsburgh</t>
  </si>
  <si>
    <t>Los Angeles</t>
  </si>
  <si>
    <t xml:space="preserve">Test-1 </t>
  </si>
  <si>
    <t xml:space="preserve">Test-2 </t>
  </si>
  <si>
    <t xml:space="preserve">Test 3 </t>
  </si>
  <si>
    <t xml:space="preserve">Use VBA only for this problem. </t>
  </si>
  <si>
    <t>Kathleen</t>
  </si>
  <si>
    <t xml:space="preserve">Find the  average for each student
</t>
  </si>
  <si>
    <t>Nathan</t>
  </si>
  <si>
    <t xml:space="preserve">Assign grades.  Color red if F, Green if A. </t>
  </si>
  <si>
    <t>Sai Karan</t>
  </si>
  <si>
    <t>Akhtar</t>
  </si>
  <si>
    <t>Ankoor</t>
  </si>
  <si>
    <t>&lt;70</t>
  </si>
  <si>
    <t>Jacob</t>
  </si>
  <si>
    <t>70 to &lt;78</t>
  </si>
  <si>
    <t>Haijin</t>
  </si>
  <si>
    <t>78 to &lt;88</t>
  </si>
  <si>
    <t>Alvin</t>
  </si>
  <si>
    <t>88 - 100</t>
  </si>
  <si>
    <t>Qianyu</t>
  </si>
  <si>
    <t>Ryan</t>
  </si>
  <si>
    <t>Wei</t>
  </si>
  <si>
    <t>Count</t>
  </si>
  <si>
    <t>Tamish</t>
  </si>
  <si>
    <t>Champika</t>
  </si>
  <si>
    <t>Seyed</t>
  </si>
  <si>
    <t>Yun-Chiu</t>
  </si>
  <si>
    <t>Gottfried</t>
  </si>
  <si>
    <t>Highest Av.</t>
  </si>
  <si>
    <t>Gabriel</t>
  </si>
  <si>
    <t>Lowest Av.</t>
  </si>
  <si>
    <t>Tiffany</t>
  </si>
  <si>
    <t>Abdul</t>
  </si>
  <si>
    <t>Alexis</t>
  </si>
  <si>
    <t>Chunyan</t>
  </si>
  <si>
    <t>Dung</t>
  </si>
  <si>
    <t>Heath</t>
  </si>
  <si>
    <t>Juhi</t>
  </si>
  <si>
    <t>Olutobi</t>
  </si>
  <si>
    <t>Pravalika</t>
  </si>
  <si>
    <t>Raul</t>
  </si>
  <si>
    <t>Shijie</t>
  </si>
  <si>
    <t>Trudy</t>
  </si>
  <si>
    <t>Xiaoxue</t>
  </si>
  <si>
    <t>Demo</t>
  </si>
  <si>
    <t>Dipika</t>
  </si>
  <si>
    <t>Hao</t>
  </si>
  <si>
    <t>Haotian</t>
  </si>
  <si>
    <t>Nga</t>
  </si>
  <si>
    <t>Rohit</t>
  </si>
  <si>
    <t>Roslyn</t>
  </si>
  <si>
    <t>Ruohan</t>
  </si>
  <si>
    <t>Wisam</t>
  </si>
  <si>
    <t>Abigail</t>
  </si>
  <si>
    <t>Anutosh</t>
  </si>
  <si>
    <t>Ashok</t>
  </si>
  <si>
    <t>Bapi bal</t>
  </si>
  <si>
    <t>Chetan</t>
  </si>
  <si>
    <t>Christopher</t>
  </si>
  <si>
    <t>Daniel</t>
  </si>
  <si>
    <t>Gautham</t>
  </si>
  <si>
    <t>Luke</t>
  </si>
  <si>
    <t>Matthew</t>
  </si>
  <si>
    <t>Sarath</t>
  </si>
  <si>
    <t>Whitney</t>
  </si>
  <si>
    <t>Yanjun</t>
  </si>
  <si>
    <t>Yiru</t>
  </si>
  <si>
    <t>Zheng</t>
  </si>
  <si>
    <t>Chengcheng</t>
  </si>
  <si>
    <t>Claire</t>
  </si>
  <si>
    <t>Jaclyn</t>
  </si>
  <si>
    <t>Ran</t>
  </si>
  <si>
    <t>Rohan</t>
  </si>
  <si>
    <t>Shirin</t>
  </si>
  <si>
    <t>Thomas</t>
  </si>
  <si>
    <t>Xianglin</t>
  </si>
  <si>
    <t>Yaoqi</t>
  </si>
  <si>
    <t>Yu-Chuan</t>
  </si>
  <si>
    <t>Alicia</t>
  </si>
  <si>
    <t>Ismail</t>
  </si>
  <si>
    <t>Komal</t>
  </si>
  <si>
    <t>Laura</t>
  </si>
  <si>
    <t>Madison</t>
  </si>
  <si>
    <t>Megha</t>
  </si>
  <si>
    <t>Mengyuan</t>
  </si>
  <si>
    <t>Priya</t>
  </si>
  <si>
    <t>Richard</t>
  </si>
  <si>
    <t>Syed</t>
  </si>
  <si>
    <t>Valay</t>
  </si>
  <si>
    <t>Xuezhu</t>
  </si>
  <si>
    <t>Yingying</t>
  </si>
  <si>
    <t>Gibson</t>
  </si>
  <si>
    <t>James</t>
  </si>
  <si>
    <t>Jennifer</t>
  </si>
  <si>
    <t>Jesus</t>
  </si>
  <si>
    <t>Jonathan</t>
  </si>
  <si>
    <t>Khalil</t>
  </si>
  <si>
    <t>Kushagra</t>
  </si>
  <si>
    <t>Manasa</t>
  </si>
  <si>
    <t>Patrick</t>
  </si>
  <si>
    <t>Payal</t>
  </si>
  <si>
    <t>Rahul</t>
  </si>
  <si>
    <t>Shakeel</t>
  </si>
  <si>
    <t>Shamol</t>
  </si>
  <si>
    <t>Sumit</t>
  </si>
  <si>
    <t>Zuha</t>
  </si>
  <si>
    <t>Password: G</t>
  </si>
  <si>
    <t>Sub sheet_1()</t>
  </si>
  <si>
    <t>Dim salary As Range</t>
  </si>
  <si>
    <t>Dim city As Range</t>
  </si>
  <si>
    <t>Dim dept As Range</t>
  </si>
  <si>
    <t>Set salary = Range(Cells(20, 8), Cells(114, 8))</t>
  </si>
  <si>
    <t>Set city = Range(Cells(20, 9), Cells(114, 9))</t>
  </si>
  <si>
    <t>Set dept = Range(Cells(20, 7), Cells(114, 7))</t>
  </si>
  <si>
    <t>Cells(7, 7).Value = WorksheetFunction.average(salary)</t>
  </si>
  <si>
    <t>Cells(8, 7).Value = WorksheetFunction.Max(salary)</t>
  </si>
  <si>
    <t>Cells(9, 7).Value = WorksheetFunction.StDev_S(salary)</t>
  </si>
  <si>
    <t>Cells(10, 7).Value = WorksheetFunction.AverageIf(city, "Pittsburgh", salary)</t>
  </si>
  <si>
    <t>Cells(11, 7).Value = WorksheetFunction.MaxIfs(salary, dept, "finance")</t>
  </si>
  <si>
    <t>Cells(12, 7).Value = WorksheetFunction.SumIf(dept, "Marketing", salary)</t>
  </si>
  <si>
    <t>Cells(13, 7).Value = WorksheetFunction.CountIf(city, "Dallas")</t>
  </si>
  <si>
    <t>Sub sheet_2()</t>
  </si>
  <si>
    <t>Dim grade As Range</t>
  </si>
  <si>
    <t>Dim average As Range</t>
  </si>
  <si>
    <t>Set grade = Range(Cells(2, 11), Cells(104, 11))</t>
  </si>
  <si>
    <t>Set average = Range(Cells(2, 10), Cells(104, 10))</t>
  </si>
  <si>
    <t>For i = 2 To 104</t>
  </si>
  <si>
    <t>Cells(i, 10).Value = WorksheetFunction.average(Cells(i, 6), Cells(i, 7), Cells(i, 8), Cells(i, 9))</t>
  </si>
  <si>
    <t>If Cells(i, 10).Value &lt; 70 Then</t>
  </si>
  <si>
    <t>Cells(i, 11).Value = "F"</t>
  </si>
  <si>
    <t>ElseIf Cells(i, 10).Value &lt; 78 Then</t>
  </si>
  <si>
    <t>Cells(i, 11).Value = "C"</t>
  </si>
  <si>
    <t>ElseIf Cells(i, 10).Value &lt; 88 Then</t>
  </si>
  <si>
    <t>Cells(i, 11).Value = "B"</t>
  </si>
  <si>
    <t>ElseIf Cells(i, 10).Value &lt; 101 Then</t>
  </si>
  <si>
    <t>Cells(i, 11).Value = "A"</t>
  </si>
  <si>
    <t>End If</t>
  </si>
  <si>
    <t>If Cells(i, 11).Value = "F" Then Cells(i, 11).Font.Color = vbRed</t>
  </si>
  <si>
    <t>If Cells(i, 11).Value = "A" Then Cells(i, 11).Font.Color = vbGreen</t>
  </si>
  <si>
    <t>Cells(14, 14).Value = WorksheetFunction.CountIf(grade, "A")</t>
  </si>
  <si>
    <t>Cells(15, 14).Value = WorksheetFunction.CountIf(grade, "B")</t>
  </si>
  <si>
    <t>Cells(16, 14).Value = WorksheetFunction.CountIf(grade, "C")</t>
  </si>
  <si>
    <t>Cells(17, 14).Value = WorksheetFunction.CountIf(grade, "F")</t>
  </si>
  <si>
    <t>Cells(18, 14).Value = WorksheetFunction.Max(average)</t>
  </si>
  <si>
    <t>Cells(19, 14).Value = WorksheetFunction.Min(average)</t>
  </si>
  <si>
    <t>Created by: Venkata Bhadra Ganesh Vanapalli</t>
  </si>
  <si>
    <t>Owner:</t>
  </si>
  <si>
    <t>ganeshv9495@gmail.com</t>
  </si>
  <si>
    <t>(12) Venkata Bhadra Ganesh Vanapalli | LinkedIn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</si>
</sst>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 #,##0.00;[Red]&quot;₹&quot;\ \-#,##0.00"/>
    <numFmt numFmtId="43" formatCode="_ * #,##0.00_ ;_ * \-#,##0.00_ ;_ * &quot;-&quot;??_ ;_ @_ "/>
    <numFmt numFmtId="164" formatCode="0.0"/>
    <numFmt numFmtId="165" formatCode="&quot;$&quot;#,##0.00_);[Red]\(&quot;$&quot;#,##0.00\)"/>
    <numFmt numFmtId="166" formatCode="m/d/yy"/>
    <numFmt numFmtId="167" formatCode="_(&quot;$&quot;* #,##0.00_);_(&quot;$&quot;* \(#,##0.00\);_(&quot;$&quot;* &quot;-&quot;??_);_(@_)"/>
    <numFmt numFmtId="168" formatCode="&quot;$&quot;#,##0_);[Red]\(&quot;$&quot;#,##0\)"/>
    <numFmt numFmtId="169" formatCode="&quot;$&quot;#,##0.0_);\(&quot;$&quot;#,##0.0\)"/>
    <numFmt numFmtId="170" formatCode="&quot;$&quot;#,##0.00_);\(&quot;$&quot;#,##0.00\)"/>
    <numFmt numFmtId="171" formatCode="_(* #,##0.00_);_(* \(#,##0.00\);_(* &quot;-&quot;??_);_(@_)"/>
    <numFmt numFmtId="172" formatCode="0.000"/>
    <numFmt numFmtId="173" formatCode="_(&quot;$&quot;* #,##0_);_(&quot;$&quot;* \(#,##0\);_(&quot;$&quot;* &quot;-&quot;??_);_(@_)"/>
  </numFmts>
  <fonts count="42" x14ac:knownFonts="1">
    <font>
      <sz val="12"/>
      <color theme="1"/>
      <name val="Calibri"/>
      <family val="2"/>
    </font>
    <font>
      <sz val="11"/>
      <color theme="1"/>
      <name val="Calibri"/>
      <family val="2"/>
      <scheme val="minor"/>
    </font>
    <font>
      <sz val="11"/>
      <color theme="1"/>
      <name val="Calibri"/>
      <family val="2"/>
      <scheme val="minor"/>
    </font>
    <font>
      <b/>
      <sz val="11"/>
      <color theme="1"/>
      <name val="Calibri"/>
      <family val="2"/>
      <scheme val="minor"/>
    </font>
    <font>
      <sz val="12"/>
      <color theme="1"/>
      <name val="Calibri"/>
      <family val="2"/>
    </font>
    <font>
      <b/>
      <sz val="12"/>
      <name val="Calibri"/>
      <family val="2"/>
    </font>
    <font>
      <sz val="12"/>
      <name val="Calibri"/>
      <family val="2"/>
    </font>
    <font>
      <sz val="11"/>
      <name val="Calibri"/>
      <family val="2"/>
      <scheme val="minor"/>
    </font>
    <font>
      <sz val="12"/>
      <color rgb="FF00B0F0"/>
      <name val="Calibri"/>
      <family val="2"/>
    </font>
    <font>
      <b/>
      <sz val="11"/>
      <name val="Calibri"/>
      <family val="2"/>
    </font>
    <font>
      <sz val="12"/>
      <name val="Arial"/>
      <family val="2"/>
    </font>
    <font>
      <sz val="12"/>
      <color theme="1"/>
      <name val="Aptos Narrow"/>
      <family val="2"/>
    </font>
    <font>
      <b/>
      <sz val="12"/>
      <color theme="1"/>
      <name val="Calibri"/>
      <family val="2"/>
    </font>
    <font>
      <b/>
      <sz val="14"/>
      <color theme="1"/>
      <name val="Calibri"/>
      <family val="2"/>
    </font>
    <font>
      <sz val="14"/>
      <color theme="1"/>
      <name val="Calibri"/>
      <family val="2"/>
    </font>
    <font>
      <b/>
      <sz val="12"/>
      <name val="Calibri"/>
      <family val="2"/>
      <scheme val="minor"/>
    </font>
    <font>
      <b/>
      <sz val="12"/>
      <color theme="1"/>
      <name val="Calibri"/>
      <family val="2"/>
      <scheme val="minor"/>
    </font>
    <font>
      <sz val="12"/>
      <color theme="1"/>
      <name val="Calibri"/>
      <family val="2"/>
      <scheme val="minor"/>
    </font>
    <font>
      <sz val="12"/>
      <name val="Calibri"/>
      <family val="2"/>
      <scheme val="minor"/>
    </font>
    <font>
      <sz val="16"/>
      <color theme="1"/>
      <name val="Calibri"/>
      <family val="2"/>
    </font>
    <font>
      <sz val="11"/>
      <color rgb="FF000000"/>
      <name val="Calibri"/>
      <family val="2"/>
    </font>
    <font>
      <sz val="11"/>
      <color rgb="FF000000"/>
      <name val="Calibri"/>
      <family val="2"/>
      <scheme val="minor"/>
    </font>
    <font>
      <sz val="11"/>
      <color rgb="FF00FF00"/>
      <name val="Calibri"/>
      <family val="2"/>
      <scheme val="minor"/>
    </font>
    <font>
      <sz val="11"/>
      <color rgb="FF0000FF"/>
      <name val="Calibri"/>
      <family val="2"/>
      <scheme val="minor"/>
    </font>
    <font>
      <u/>
      <sz val="11"/>
      <color theme="10"/>
      <name val="Calibri"/>
      <family val="2"/>
      <scheme val="minor"/>
    </font>
    <font>
      <sz val="14"/>
      <color theme="1"/>
      <name val="Calibri"/>
      <family val="2"/>
      <scheme val="minor"/>
    </font>
    <font>
      <b/>
      <sz val="11"/>
      <name val="Calibri"/>
      <family val="2"/>
      <scheme val="minor"/>
    </font>
    <font>
      <sz val="7"/>
      <color rgb="FF000000"/>
      <name val="Arial"/>
      <family val="2"/>
    </font>
    <font>
      <sz val="7"/>
      <color theme="1"/>
      <name val="Arial"/>
      <family val="2"/>
    </font>
    <font>
      <b/>
      <i/>
      <sz val="12"/>
      <color theme="4" tint="-0.499984740745262"/>
      <name val="Calibri"/>
      <family val="2"/>
    </font>
    <font>
      <b/>
      <sz val="12"/>
      <color rgb="FFFF0000"/>
      <name val="Calibri"/>
      <family val="2"/>
    </font>
    <font>
      <b/>
      <sz val="16"/>
      <color rgb="FFFF0000"/>
      <name val="Calibri"/>
      <family val="2"/>
    </font>
    <font>
      <sz val="11"/>
      <color rgb="FFFF0000"/>
      <name val="Calibri"/>
      <family val="2"/>
      <scheme val="minor"/>
    </font>
    <font>
      <sz val="11"/>
      <color rgb="FF000000"/>
      <name val="Lucida Fax"/>
      <family val="1"/>
    </font>
    <font>
      <sz val="11"/>
      <color theme="1"/>
      <name val="Lucida Fax"/>
      <family val="2"/>
    </font>
    <font>
      <b/>
      <sz val="12"/>
      <color rgb="FFFF0000"/>
      <name val="Calibri"/>
      <family val="2"/>
      <scheme val="minor"/>
    </font>
    <font>
      <sz val="10"/>
      <color theme="1"/>
      <name val="Lucida Fax"/>
      <family val="2"/>
    </font>
    <font>
      <b/>
      <sz val="10"/>
      <color theme="1"/>
      <name val="Lucida Fax"/>
      <family val="1"/>
    </font>
    <font>
      <sz val="10"/>
      <color theme="1"/>
      <name val="Calibri"/>
      <family val="2"/>
      <scheme val="minor"/>
    </font>
    <font>
      <b/>
      <sz val="10"/>
      <color theme="1"/>
      <name val="Calibri"/>
      <family val="2"/>
      <scheme val="minor"/>
    </font>
    <font>
      <sz val="10"/>
      <name val="Arial"/>
      <family val="2"/>
    </font>
    <font>
      <sz val="12"/>
      <color rgb="FF000000"/>
      <name val="Calibri"/>
      <family val="2"/>
    </font>
  </fonts>
  <fills count="3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9FDD93"/>
        <bgColor indexed="64"/>
      </patternFill>
    </fill>
    <fill>
      <patternFill patternType="solid">
        <fgColor rgb="FFAEE0C1"/>
        <bgColor indexed="64"/>
      </patternFill>
    </fill>
    <fill>
      <patternFill patternType="solid">
        <fgColor rgb="FFB6E5AD"/>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A7D971"/>
        <bgColor indexed="64"/>
      </patternFill>
    </fill>
    <fill>
      <patternFill patternType="solid">
        <fgColor theme="7" tint="0.39997558519241921"/>
        <bgColor indexed="64"/>
      </patternFill>
    </fill>
    <fill>
      <patternFill patternType="solid">
        <fgColor rgb="FFCAE8AA"/>
        <bgColor indexed="64"/>
      </patternFill>
    </fill>
    <fill>
      <patternFill patternType="solid">
        <fgColor rgb="FFFFFFB3"/>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B483D9"/>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CADFF2"/>
        <bgColor indexed="64"/>
      </patternFill>
    </fill>
    <fill>
      <patternFill patternType="solid">
        <fgColor rgb="FFF4D5BE"/>
        <bgColor indexed="64"/>
      </patternFill>
    </fill>
    <fill>
      <patternFill patternType="solid">
        <fgColor rgb="FFEEF99F"/>
        <bgColor indexed="64"/>
      </patternFill>
    </fill>
    <fill>
      <patternFill patternType="solid">
        <fgColor rgb="FFCCE9AD"/>
        <bgColor indexed="64"/>
      </patternFill>
    </fill>
    <fill>
      <patternFill patternType="solid">
        <fgColor rgb="FFDEC8EE"/>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5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top style="medium">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10">
    <xf numFmtId="0" fontId="0" fillId="0" borderId="0"/>
    <xf numFmtId="0" fontId="2" fillId="0" borderId="0"/>
    <xf numFmtId="167" fontId="2" fillId="0" borderId="0" applyFont="0" applyFill="0" applyBorder="0" applyAlignment="0" applyProtection="0"/>
    <xf numFmtId="9" fontId="2" fillId="0" borderId="0" applyFont="0" applyFill="0" applyBorder="0" applyAlignment="0" applyProtection="0"/>
    <xf numFmtId="167" fontId="4" fillId="0" borderId="0" applyFont="0" applyFill="0" applyBorder="0" applyAlignment="0" applyProtection="0"/>
    <xf numFmtId="9" fontId="4" fillId="0" borderId="0" applyFont="0" applyFill="0" applyBorder="0" applyAlignment="0" applyProtection="0"/>
    <xf numFmtId="171" fontId="4" fillId="0" borderId="0" applyFont="0" applyFill="0" applyBorder="0" applyAlignment="0" applyProtection="0"/>
    <xf numFmtId="0" fontId="24" fillId="0" borderId="0" applyNumberFormat="0" applyFill="0" applyBorder="0" applyAlignment="0" applyProtection="0"/>
    <xf numFmtId="0" fontId="34" fillId="0" borderId="0"/>
    <xf numFmtId="167" fontId="34" fillId="0" borderId="0" applyFont="0" applyFill="0" applyBorder="0" applyAlignment="0" applyProtection="0"/>
  </cellStyleXfs>
  <cellXfs count="485">
    <xf numFmtId="0" fontId="0" fillId="0" borderId="0" xfId="0"/>
    <xf numFmtId="0" fontId="5" fillId="2" borderId="1" xfId="0" applyFont="1" applyFill="1" applyBorder="1" applyAlignment="1">
      <alignment vertical="center"/>
    </xf>
    <xf numFmtId="0" fontId="6" fillId="2" borderId="0" xfId="0" applyFont="1" applyFill="1"/>
    <xf numFmtId="0" fontId="7" fillId="2" borderId="2" xfId="0" applyFont="1" applyFill="1" applyBorder="1"/>
    <xf numFmtId="0" fontId="6" fillId="2" borderId="2" xfId="0" applyFont="1" applyFill="1" applyBorder="1"/>
    <xf numFmtId="1" fontId="6" fillId="2" borderId="2" xfId="0" applyNumberFormat="1" applyFont="1" applyFill="1" applyBorder="1" applyAlignment="1">
      <alignment horizontal="center" vertical="center"/>
    </xf>
    <xf numFmtId="164" fontId="6" fillId="2" borderId="2" xfId="0" applyNumberFormat="1" applyFont="1" applyFill="1" applyBorder="1" applyAlignment="1">
      <alignment horizontal="center"/>
    </xf>
    <xf numFmtId="0" fontId="6" fillId="2" borderId="2" xfId="0" applyFont="1" applyFill="1" applyBorder="1" applyAlignment="1">
      <alignment horizontal="left"/>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4" borderId="2" xfId="0" applyFont="1" applyFill="1" applyBorder="1"/>
    <xf numFmtId="164" fontId="6" fillId="2" borderId="0" xfId="0" applyNumberFormat="1" applyFont="1" applyFill="1"/>
    <xf numFmtId="0" fontId="6" fillId="2" borderId="0" xfId="0" applyFont="1" applyFill="1" applyAlignment="1">
      <alignment horizontal="center"/>
    </xf>
    <xf numFmtId="0" fontId="6" fillId="2" borderId="0" xfId="0" applyFont="1" applyFill="1" applyAlignment="1">
      <alignment horizontal="left"/>
    </xf>
    <xf numFmtId="0" fontId="9" fillId="5" borderId="2" xfId="0" applyFont="1" applyFill="1" applyBorder="1" applyAlignment="1">
      <alignment horizontal="center" vertical="center"/>
    </xf>
    <xf numFmtId="0" fontId="9" fillId="5" borderId="9" xfId="0" applyFont="1" applyFill="1" applyBorder="1" applyAlignment="1">
      <alignment horizontal="center" vertical="center"/>
    </xf>
    <xf numFmtId="0" fontId="9"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0" fillId="5" borderId="2" xfId="0" applyFill="1" applyBorder="1" applyAlignment="1">
      <alignment horizontal="center" vertical="center"/>
    </xf>
    <xf numFmtId="0" fontId="0" fillId="5" borderId="0" xfId="0" applyFill="1"/>
    <xf numFmtId="14" fontId="10" fillId="5" borderId="2" xfId="0" applyNumberFormat="1" applyFont="1" applyFill="1" applyBorder="1" applyAlignment="1">
      <alignment horizontal="center"/>
    </xf>
    <xf numFmtId="0" fontId="0" fillId="5" borderId="9" xfId="0" applyFill="1" applyBorder="1"/>
    <xf numFmtId="0" fontId="0" fillId="5" borderId="9" xfId="0" applyFill="1" applyBorder="1" applyAlignment="1">
      <alignment horizontal="center"/>
    </xf>
    <xf numFmtId="165" fontId="0" fillId="5" borderId="9" xfId="0" applyNumberFormat="1" applyFill="1" applyBorder="1"/>
    <xf numFmtId="165" fontId="0" fillId="5" borderId="1" xfId="0" applyNumberFormat="1" applyFill="1" applyBorder="1"/>
    <xf numFmtId="14" fontId="0" fillId="5" borderId="0" xfId="0" applyNumberFormat="1" applyFill="1"/>
    <xf numFmtId="0" fontId="0" fillId="5" borderId="10" xfId="0" applyFill="1" applyBorder="1"/>
    <xf numFmtId="0" fontId="0" fillId="5" borderId="11" xfId="0" applyFill="1" applyBorder="1"/>
    <xf numFmtId="0" fontId="12" fillId="5" borderId="0" xfId="0" applyFont="1" applyFill="1" applyAlignment="1">
      <alignment horizontal="center" vertical="center"/>
    </xf>
    <xf numFmtId="0" fontId="0" fillId="5" borderId="0" xfId="0" applyFill="1" applyAlignment="1">
      <alignment horizontal="right" vertical="center"/>
    </xf>
    <xf numFmtId="0" fontId="12" fillId="5" borderId="0" xfId="0" applyFont="1" applyFill="1" applyAlignment="1">
      <alignment horizontal="center"/>
    </xf>
    <xf numFmtId="0" fontId="0" fillId="5" borderId="2" xfId="0" applyFill="1" applyBorder="1"/>
    <xf numFmtId="165" fontId="0" fillId="5" borderId="2" xfId="0" applyNumberFormat="1" applyFill="1" applyBorder="1"/>
    <xf numFmtId="0" fontId="0" fillId="5" borderId="0" xfId="0" applyFill="1" applyAlignment="1">
      <alignment horizontal="center"/>
    </xf>
    <xf numFmtId="0" fontId="10" fillId="5" borderId="0" xfId="0" applyFont="1" applyFill="1"/>
    <xf numFmtId="0" fontId="0" fillId="5" borderId="0" xfId="0" applyFill="1" applyAlignment="1">
      <alignment horizontal="center" vertical="center"/>
    </xf>
    <xf numFmtId="0" fontId="5" fillId="2" borderId="0" xfId="0" applyFont="1" applyFill="1" applyAlignment="1">
      <alignment horizontal="center" vertical="center"/>
    </xf>
    <xf numFmtId="0" fontId="6" fillId="2" borderId="0" xfId="0" applyFont="1" applyFill="1" applyAlignment="1">
      <alignment horizontal="center" vertical="center"/>
    </xf>
    <xf numFmtId="2" fontId="6" fillId="2" borderId="2" xfId="0" applyNumberFormat="1" applyFont="1" applyFill="1" applyBorder="1" applyAlignment="1">
      <alignment horizontal="center"/>
    </xf>
    <xf numFmtId="0" fontId="6" fillId="2" borderId="2" xfId="0" applyFont="1" applyFill="1" applyBorder="1" applyAlignment="1">
      <alignment horizontal="center" vertical="center"/>
    </xf>
    <xf numFmtId="0" fontId="6" fillId="3" borderId="2" xfId="0" applyFont="1" applyFill="1" applyBorder="1" applyAlignment="1">
      <alignment horizontal="center" vertical="center"/>
    </xf>
    <xf numFmtId="0" fontId="12" fillId="0" borderId="2" xfId="0" applyFont="1" applyBorder="1" applyAlignment="1">
      <alignment horizontal="center" vertical="center"/>
    </xf>
    <xf numFmtId="0" fontId="12" fillId="0" borderId="2" xfId="0" applyFont="1" applyBorder="1"/>
    <xf numFmtId="0" fontId="0" fillId="0" borderId="2" xfId="0" applyBorder="1" applyAlignment="1">
      <alignment horizontal="center" vertical="center"/>
    </xf>
    <xf numFmtId="0" fontId="0" fillId="0" borderId="2" xfId="0" applyBorder="1"/>
    <xf numFmtId="0" fontId="0" fillId="6" borderId="2" xfId="0" applyFill="1" applyBorder="1" applyAlignment="1">
      <alignment horizontal="center" vertical="center"/>
    </xf>
    <xf numFmtId="0" fontId="0" fillId="7" borderId="2" xfId="0" applyFill="1" applyBorder="1"/>
    <xf numFmtId="0" fontId="0" fillId="0" borderId="0" xfId="0" applyAlignment="1">
      <alignment horizontal="center" vertical="center"/>
    </xf>
    <xf numFmtId="0" fontId="13" fillId="7" borderId="2" xfId="0" applyFont="1" applyFill="1" applyBorder="1" applyAlignment="1">
      <alignment horizontal="center" vertical="center"/>
    </xf>
    <xf numFmtId="0" fontId="14" fillId="7" borderId="0" xfId="0" applyFont="1" applyFill="1"/>
    <xf numFmtId="0" fontId="14" fillId="7" borderId="13" xfId="0" applyFont="1" applyFill="1" applyBorder="1"/>
    <xf numFmtId="0" fontId="14" fillId="7" borderId="11" xfId="0" applyFont="1" applyFill="1" applyBorder="1"/>
    <xf numFmtId="0" fontId="14" fillId="7" borderId="2" xfId="0" applyFont="1" applyFill="1" applyBorder="1" applyAlignment="1">
      <alignment horizontal="left" vertical="center"/>
    </xf>
    <xf numFmtId="0" fontId="14" fillId="7" borderId="2" xfId="0" applyFont="1" applyFill="1" applyBorder="1" applyAlignment="1">
      <alignment horizontal="center" vertical="center"/>
    </xf>
    <xf numFmtId="14" fontId="14" fillId="7" borderId="2" xfId="0" applyNumberFormat="1" applyFont="1" applyFill="1" applyBorder="1" applyAlignment="1">
      <alignment horizontal="center" vertical="center"/>
    </xf>
    <xf numFmtId="0" fontId="14" fillId="7" borderId="0" xfId="0" applyFont="1" applyFill="1" applyAlignment="1">
      <alignment vertical="center"/>
    </xf>
    <xf numFmtId="0" fontId="13" fillId="7" borderId="0" xfId="0" applyFont="1" applyFill="1" applyAlignment="1">
      <alignment vertical="center"/>
    </xf>
    <xf numFmtId="14" fontId="14" fillId="7" borderId="0" xfId="0" applyNumberFormat="1" applyFont="1" applyFill="1" applyAlignment="1">
      <alignment horizontal="center" vertical="center"/>
    </xf>
    <xf numFmtId="0" fontId="14" fillId="7" borderId="0" xfId="0" applyFont="1" applyFill="1" applyAlignment="1">
      <alignment horizontal="center" vertical="center"/>
    </xf>
    <xf numFmtId="0" fontId="9" fillId="5" borderId="9" xfId="1" applyFont="1" applyFill="1" applyBorder="1" applyAlignment="1" applyProtection="1">
      <alignment horizontal="center" vertical="center" wrapText="1"/>
      <protection locked="0"/>
    </xf>
    <xf numFmtId="0" fontId="9" fillId="8" borderId="9" xfId="1" applyFont="1" applyFill="1" applyBorder="1" applyAlignment="1">
      <alignment horizontal="center" vertical="center" wrapText="1"/>
    </xf>
    <xf numFmtId="0" fontId="9" fillId="8" borderId="1" xfId="1" applyFont="1" applyFill="1" applyBorder="1" applyAlignment="1" applyProtection="1">
      <alignment horizontal="center" vertical="center" wrapText="1"/>
      <protection locked="0"/>
    </xf>
    <xf numFmtId="0" fontId="9" fillId="8" borderId="14" xfId="1" applyFont="1" applyFill="1" applyBorder="1" applyAlignment="1" applyProtection="1">
      <alignment horizontal="center" vertical="center" wrapText="1"/>
      <protection locked="0"/>
    </xf>
    <xf numFmtId="10" fontId="9" fillId="8" borderId="14" xfId="1" applyNumberFormat="1" applyFont="1" applyFill="1" applyBorder="1" applyAlignment="1" applyProtection="1">
      <alignment horizontal="center" vertical="center" wrapText="1"/>
      <protection locked="0"/>
    </xf>
    <xf numFmtId="0" fontId="2" fillId="5" borderId="0" xfId="1" applyFill="1" applyProtection="1">
      <protection locked="0"/>
    </xf>
    <xf numFmtId="166" fontId="2" fillId="5" borderId="2" xfId="1" applyNumberFormat="1" applyFill="1" applyBorder="1" applyProtection="1">
      <protection locked="0"/>
    </xf>
    <xf numFmtId="0" fontId="2" fillId="5" borderId="2" xfId="1" applyFill="1" applyBorder="1"/>
    <xf numFmtId="165" fontId="2" fillId="5" borderId="2" xfId="1" applyNumberFormat="1" applyFill="1" applyBorder="1"/>
    <xf numFmtId="165" fontId="2" fillId="5" borderId="2" xfId="1" applyNumberFormat="1" applyFill="1" applyBorder="1" applyProtection="1">
      <protection locked="0"/>
    </xf>
    <xf numFmtId="165" fontId="2" fillId="5" borderId="2" xfId="1" applyNumberFormat="1" applyFill="1" applyBorder="1" applyAlignment="1" applyProtection="1">
      <alignment horizontal="center" vertical="center"/>
      <protection locked="0"/>
    </xf>
    <xf numFmtId="167" fontId="0" fillId="5" borderId="2" xfId="2" applyFont="1" applyFill="1" applyBorder="1" applyAlignment="1" applyProtection="1">
      <alignment horizontal="center" vertical="center"/>
      <protection locked="0"/>
    </xf>
    <xf numFmtId="10" fontId="2" fillId="5" borderId="2" xfId="1" applyNumberFormat="1" applyFill="1" applyBorder="1" applyAlignment="1" applyProtection="1">
      <alignment horizontal="center" vertical="center"/>
      <protection locked="0"/>
    </xf>
    <xf numFmtId="10" fontId="0" fillId="5" borderId="2" xfId="3" applyNumberFormat="1" applyFont="1" applyFill="1" applyBorder="1" applyAlignment="1" applyProtection="1">
      <alignment horizontal="center" vertical="center"/>
      <protection locked="0"/>
    </xf>
    <xf numFmtId="0" fontId="2" fillId="5" borderId="0" xfId="1" applyFill="1" applyAlignment="1" applyProtection="1">
      <alignment horizontal="left"/>
      <protection locked="0"/>
    </xf>
    <xf numFmtId="0" fontId="2" fillId="5" borderId="2" xfId="1" applyFill="1" applyBorder="1" applyProtection="1">
      <protection locked="0"/>
    </xf>
    <xf numFmtId="0" fontId="3" fillId="5" borderId="2" xfId="1" applyFont="1" applyFill="1" applyBorder="1" applyAlignment="1" applyProtection="1">
      <alignment horizontal="center" vertical="center"/>
      <protection locked="0"/>
    </xf>
    <xf numFmtId="0" fontId="2" fillId="5" borderId="2" xfId="1" applyFill="1" applyBorder="1" applyAlignment="1" applyProtection="1">
      <alignment horizontal="center" vertical="center"/>
      <protection locked="0"/>
    </xf>
    <xf numFmtId="0" fontId="2" fillId="5" borderId="0" xfId="1" applyFill="1" applyAlignment="1" applyProtection="1">
      <alignment horizontal="center" vertical="center"/>
      <protection locked="0"/>
    </xf>
    <xf numFmtId="167" fontId="0" fillId="5" borderId="0" xfId="2" applyFont="1" applyFill="1" applyBorder="1" applyProtection="1">
      <protection locked="0"/>
    </xf>
    <xf numFmtId="0" fontId="2" fillId="5" borderId="0" xfId="1" applyFill="1" applyAlignment="1" applyProtection="1">
      <alignment horizontal="center"/>
      <protection locked="0"/>
    </xf>
    <xf numFmtId="10" fontId="2" fillId="5" borderId="0" xfId="1" applyNumberFormat="1" applyFill="1" applyProtection="1">
      <protection locked="0"/>
    </xf>
    <xf numFmtId="0" fontId="9" fillId="9" borderId="0" xfId="0" applyFont="1" applyFill="1" applyAlignment="1">
      <alignment horizontal="center" vertical="center"/>
    </xf>
    <xf numFmtId="0" fontId="9" fillId="9" borderId="15" xfId="0" applyFont="1" applyFill="1" applyBorder="1" applyAlignment="1">
      <alignment horizontal="center" vertical="center"/>
    </xf>
    <xf numFmtId="0" fontId="0" fillId="9" borderId="0" xfId="0" applyFill="1"/>
    <xf numFmtId="0" fontId="0" fillId="9" borderId="16" xfId="0" applyFill="1" applyBorder="1"/>
    <xf numFmtId="0" fontId="0" fillId="9" borderId="9" xfId="0" applyFill="1" applyBorder="1"/>
    <xf numFmtId="0" fontId="0" fillId="9" borderId="9" xfId="0" applyFill="1" applyBorder="1" applyAlignment="1">
      <alignment horizontal="center"/>
    </xf>
    <xf numFmtId="165" fontId="0" fillId="9" borderId="9" xfId="0" applyNumberFormat="1" applyFill="1" applyBorder="1"/>
    <xf numFmtId="0" fontId="0" fillId="9" borderId="15" xfId="0" applyFill="1" applyBorder="1"/>
    <xf numFmtId="0" fontId="12" fillId="9" borderId="0" xfId="0" applyFont="1" applyFill="1"/>
    <xf numFmtId="0" fontId="0" fillId="9" borderId="0" xfId="0" applyFill="1" applyAlignment="1">
      <alignment horizontal="left"/>
    </xf>
    <xf numFmtId="0" fontId="0" fillId="9" borderId="17" xfId="0" applyFill="1" applyBorder="1"/>
    <xf numFmtId="0" fontId="0" fillId="9" borderId="1" xfId="0" applyFill="1" applyBorder="1"/>
    <xf numFmtId="0" fontId="0" fillId="9" borderId="1" xfId="0" applyFill="1" applyBorder="1" applyAlignment="1">
      <alignment horizontal="center"/>
    </xf>
    <xf numFmtId="0" fontId="0" fillId="9" borderId="15" xfId="0" applyFill="1" applyBorder="1" applyAlignment="1">
      <alignment horizontal="center"/>
    </xf>
    <xf numFmtId="165" fontId="0" fillId="9" borderId="15" xfId="0" applyNumberFormat="1" applyFill="1" applyBorder="1"/>
    <xf numFmtId="0" fontId="0" fillId="9" borderId="0" xfId="0" applyFill="1" applyAlignment="1">
      <alignment horizontal="center"/>
    </xf>
    <xf numFmtId="0" fontId="15" fillId="6" borderId="2" xfId="0" applyFont="1" applyFill="1" applyBorder="1" applyAlignment="1">
      <alignment horizontal="center" vertical="center"/>
    </xf>
    <xf numFmtId="0" fontId="15" fillId="6" borderId="9" xfId="0" applyFont="1" applyFill="1" applyBorder="1" applyAlignment="1">
      <alignment horizontal="center" vertical="center"/>
    </xf>
    <xf numFmtId="0" fontId="15" fillId="6" borderId="1" xfId="0" applyFont="1" applyFill="1" applyBorder="1" applyAlignment="1" applyProtection="1">
      <alignment horizontal="center" vertical="center"/>
      <protection locked="0"/>
    </xf>
    <xf numFmtId="0" fontId="16" fillId="6" borderId="2" xfId="0" applyFont="1" applyFill="1" applyBorder="1" applyProtection="1">
      <protection locked="0"/>
    </xf>
    <xf numFmtId="0" fontId="0" fillId="6" borderId="0" xfId="0" applyFill="1" applyProtection="1">
      <protection locked="0"/>
    </xf>
    <xf numFmtId="0" fontId="17" fillId="6" borderId="0" xfId="0" applyFont="1" applyFill="1" applyProtection="1">
      <protection locked="0"/>
    </xf>
    <xf numFmtId="0" fontId="16" fillId="6" borderId="0" xfId="0" applyFont="1" applyFill="1" applyProtection="1">
      <protection locked="0"/>
    </xf>
    <xf numFmtId="14" fontId="18" fillId="6" borderId="2" xfId="0" applyNumberFormat="1" applyFont="1" applyFill="1" applyBorder="1" applyAlignment="1">
      <alignment horizontal="center"/>
    </xf>
    <xf numFmtId="0" fontId="17" fillId="6" borderId="9" xfId="0" applyFont="1" applyFill="1" applyBorder="1"/>
    <xf numFmtId="0" fontId="17" fillId="6" borderId="9" xfId="0" applyFont="1" applyFill="1" applyBorder="1" applyAlignment="1">
      <alignment horizontal="center"/>
    </xf>
    <xf numFmtId="165" fontId="17" fillId="6" borderId="9" xfId="0" applyNumberFormat="1" applyFont="1" applyFill="1" applyBorder="1"/>
    <xf numFmtId="165" fontId="17" fillId="6" borderId="1" xfId="0" applyNumberFormat="1" applyFont="1" applyFill="1" applyBorder="1" applyProtection="1">
      <protection locked="0"/>
    </xf>
    <xf numFmtId="0" fontId="17" fillId="6" borderId="2" xfId="0" applyFont="1" applyFill="1" applyBorder="1" applyProtection="1">
      <protection locked="0"/>
    </xf>
    <xf numFmtId="0" fontId="17" fillId="6" borderId="2" xfId="0" applyFont="1" applyFill="1" applyBorder="1" applyAlignment="1" applyProtection="1">
      <alignment horizontal="center"/>
      <protection locked="0"/>
    </xf>
    <xf numFmtId="9" fontId="0" fillId="6" borderId="2" xfId="0" applyNumberFormat="1" applyFill="1" applyBorder="1" applyProtection="1">
      <protection locked="0"/>
    </xf>
    <xf numFmtId="165" fontId="17" fillId="6" borderId="2" xfId="0" applyNumberFormat="1" applyFont="1" applyFill="1" applyBorder="1"/>
    <xf numFmtId="14" fontId="17" fillId="6" borderId="0" xfId="0" applyNumberFormat="1" applyFont="1" applyFill="1" applyProtection="1">
      <protection locked="0"/>
    </xf>
    <xf numFmtId="0" fontId="17" fillId="6" borderId="18" xfId="0" applyFont="1" applyFill="1" applyBorder="1" applyProtection="1">
      <protection locked="0"/>
    </xf>
    <xf numFmtId="0" fontId="17" fillId="6" borderId="19" xfId="0" applyFont="1" applyFill="1" applyBorder="1" applyProtection="1">
      <protection locked="0"/>
    </xf>
    <xf numFmtId="0" fontId="17" fillId="6" borderId="13" xfId="0" applyFont="1" applyFill="1" applyBorder="1"/>
    <xf numFmtId="0" fontId="17" fillId="6" borderId="13" xfId="0" applyFont="1" applyFill="1" applyBorder="1" applyAlignment="1">
      <alignment horizontal="center"/>
    </xf>
    <xf numFmtId="165" fontId="17" fillId="6" borderId="13" xfId="0" applyNumberFormat="1" applyFont="1" applyFill="1" applyBorder="1"/>
    <xf numFmtId="0" fontId="0" fillId="6" borderId="0" xfId="0" applyFill="1" applyAlignment="1" applyProtection="1">
      <alignment horizontal="center"/>
      <protection locked="0"/>
    </xf>
    <xf numFmtId="0" fontId="15" fillId="9" borderId="20" xfId="0" applyFont="1" applyFill="1" applyBorder="1" applyAlignment="1">
      <alignment horizontal="center" vertical="center"/>
    </xf>
    <xf numFmtId="0" fontId="15" fillId="9" borderId="21" xfId="0" applyFont="1" applyFill="1" applyBorder="1" applyAlignment="1">
      <alignment horizontal="center" vertical="center"/>
    </xf>
    <xf numFmtId="0" fontId="15" fillId="9" borderId="22" xfId="0" applyFont="1" applyFill="1" applyBorder="1" applyAlignment="1">
      <alignment horizontal="center" vertical="center"/>
    </xf>
    <xf numFmtId="0" fontId="15" fillId="9" borderId="23" xfId="0" applyFont="1" applyFill="1" applyBorder="1" applyAlignment="1">
      <alignment horizontal="center" vertical="center"/>
    </xf>
    <xf numFmtId="0" fontId="15" fillId="9" borderId="18" xfId="0" applyFont="1" applyFill="1" applyBorder="1" applyAlignment="1">
      <alignment horizontal="center" vertical="center"/>
    </xf>
    <xf numFmtId="14" fontId="18" fillId="9" borderId="24" xfId="0" applyNumberFormat="1" applyFont="1" applyFill="1" applyBorder="1" applyAlignment="1">
      <alignment horizontal="center"/>
    </xf>
    <xf numFmtId="14" fontId="18" fillId="9" borderId="0" xfId="0" applyNumberFormat="1" applyFont="1" applyFill="1" applyAlignment="1">
      <alignment horizontal="center"/>
    </xf>
    <xf numFmtId="0" fontId="17" fillId="9" borderId="15" xfId="0" applyFont="1" applyFill="1" applyBorder="1" applyAlignment="1">
      <alignment horizontal="center"/>
    </xf>
    <xf numFmtId="165" fontId="17" fillId="9" borderId="15" xfId="0" applyNumberFormat="1" applyFont="1" applyFill="1" applyBorder="1"/>
    <xf numFmtId="165" fontId="17" fillId="9" borderId="14" xfId="0" applyNumberFormat="1" applyFont="1" applyFill="1" applyBorder="1" applyAlignment="1">
      <alignment horizontal="center"/>
    </xf>
    <xf numFmtId="165" fontId="17" fillId="9" borderId="15" xfId="0" applyNumberFormat="1" applyFont="1" applyFill="1" applyBorder="1" applyAlignment="1">
      <alignment horizontal="center"/>
    </xf>
    <xf numFmtId="165" fontId="18" fillId="9" borderId="25" xfId="0" applyNumberFormat="1" applyFont="1" applyFill="1" applyBorder="1" applyAlignment="1">
      <alignment horizontal="center" vertical="center"/>
    </xf>
    <xf numFmtId="14" fontId="18" fillId="9" borderId="5" xfId="0" applyNumberFormat="1" applyFont="1" applyFill="1" applyBorder="1" applyAlignment="1">
      <alignment horizontal="center"/>
    </xf>
    <xf numFmtId="14" fontId="18" fillId="9" borderId="16" xfId="0" applyNumberFormat="1" applyFont="1" applyFill="1" applyBorder="1" applyAlignment="1">
      <alignment horizontal="center"/>
    </xf>
    <xf numFmtId="0" fontId="17" fillId="9" borderId="9" xfId="0" applyFont="1" applyFill="1" applyBorder="1" applyAlignment="1">
      <alignment horizontal="center"/>
    </xf>
    <xf numFmtId="165" fontId="17" fillId="9" borderId="9" xfId="0" applyNumberFormat="1" applyFont="1" applyFill="1" applyBorder="1"/>
    <xf numFmtId="165" fontId="17" fillId="9" borderId="1" xfId="0" applyNumberFormat="1" applyFont="1" applyFill="1" applyBorder="1" applyAlignment="1">
      <alignment horizontal="center"/>
    </xf>
    <xf numFmtId="165" fontId="17" fillId="9" borderId="9" xfId="0" applyNumberFormat="1" applyFont="1" applyFill="1" applyBorder="1" applyAlignment="1">
      <alignment horizontal="center"/>
    </xf>
    <xf numFmtId="165" fontId="18" fillId="9" borderId="13" xfId="0" applyNumberFormat="1" applyFont="1" applyFill="1" applyBorder="1" applyAlignment="1">
      <alignment horizontal="center" vertical="center"/>
    </xf>
    <xf numFmtId="0" fontId="0" fillId="0" borderId="0" xfId="0" applyAlignment="1">
      <alignment horizontal="left"/>
    </xf>
    <xf numFmtId="165" fontId="0" fillId="0" borderId="0" xfId="0" applyNumberFormat="1"/>
    <xf numFmtId="14" fontId="18" fillId="9" borderId="7" xfId="0" applyNumberFormat="1" applyFont="1" applyFill="1" applyBorder="1" applyAlignment="1">
      <alignment horizontal="center"/>
    </xf>
    <xf numFmtId="165" fontId="18" fillId="9" borderId="9" xfId="0" applyNumberFormat="1" applyFont="1" applyFill="1" applyBorder="1" applyAlignment="1">
      <alignment horizontal="center" vertical="center"/>
    </xf>
    <xf numFmtId="0" fontId="17" fillId="9" borderId="0" xfId="0" applyFont="1" applyFill="1"/>
    <xf numFmtId="0" fontId="17" fillId="9" borderId="0" xfId="0" applyFont="1" applyFill="1" applyAlignment="1">
      <alignment horizontal="center"/>
    </xf>
    <xf numFmtId="0" fontId="0" fillId="8" borderId="0" xfId="0" applyFill="1" applyAlignment="1">
      <alignment horizontal="center" vertical="center"/>
    </xf>
    <xf numFmtId="0" fontId="16" fillId="8" borderId="2" xfId="0" applyFont="1" applyFill="1" applyBorder="1" applyAlignment="1">
      <alignment horizontal="left"/>
    </xf>
    <xf numFmtId="168" fontId="3" fillId="8" borderId="2" xfId="0" applyNumberFormat="1" applyFont="1" applyFill="1" applyBorder="1" applyAlignment="1">
      <alignment horizontal="left"/>
    </xf>
    <xf numFmtId="0" fontId="3" fillId="8" borderId="0" xfId="0" applyFont="1" applyFill="1"/>
    <xf numFmtId="0" fontId="0" fillId="8" borderId="0" xfId="0" applyFill="1"/>
    <xf numFmtId="9" fontId="3" fillId="8" borderId="2" xfId="0" applyNumberFormat="1" applyFont="1" applyFill="1" applyBorder="1" applyAlignment="1">
      <alignment horizontal="left"/>
    </xf>
    <xf numFmtId="165" fontId="0" fillId="8" borderId="0" xfId="0" applyNumberFormat="1" applyFill="1"/>
    <xf numFmtId="167" fontId="0" fillId="8" borderId="0" xfId="4" applyFont="1" applyFill="1"/>
    <xf numFmtId="0" fontId="3" fillId="8" borderId="0" xfId="0" applyFont="1" applyFill="1" applyAlignment="1">
      <alignment horizontal="left" vertical="center"/>
    </xf>
    <xf numFmtId="164" fontId="3" fillId="8" borderId="2" xfId="0" applyNumberFormat="1" applyFont="1" applyFill="1" applyBorder="1" applyAlignment="1">
      <alignment horizontal="left"/>
    </xf>
    <xf numFmtId="0" fontId="19" fillId="8" borderId="0" xfId="0" applyFont="1" applyFill="1"/>
    <xf numFmtId="0" fontId="16" fillId="8" borderId="2" xfId="0" applyFont="1" applyFill="1" applyBorder="1" applyAlignment="1">
      <alignment horizontal="left" vertical="center" wrapText="1"/>
    </xf>
    <xf numFmtId="169" fontId="3" fillId="8" borderId="2" xfId="0" applyNumberFormat="1" applyFont="1" applyFill="1" applyBorder="1" applyAlignment="1">
      <alignment horizontal="left" vertical="center"/>
    </xf>
    <xf numFmtId="0" fontId="0" fillId="8" borderId="0" xfId="0" applyFill="1" applyAlignment="1">
      <alignment vertical="center"/>
    </xf>
    <xf numFmtId="168" fontId="3" fillId="8" borderId="2" xfId="0" applyNumberFormat="1" applyFont="1" applyFill="1" applyBorder="1" applyAlignment="1">
      <alignment horizontal="center" vertical="center" wrapText="1"/>
    </xf>
    <xf numFmtId="9" fontId="0" fillId="8" borderId="0" xfId="5" applyFont="1" applyFill="1"/>
    <xf numFmtId="0" fontId="3" fillId="8" borderId="32" xfId="0" applyFont="1" applyFill="1" applyBorder="1" applyAlignment="1">
      <alignment horizontal="center" vertical="center"/>
    </xf>
    <xf numFmtId="0" fontId="3" fillId="8" borderId="33" xfId="0" applyFont="1" applyFill="1" applyBorder="1" applyAlignment="1">
      <alignment horizontal="center" vertical="center" wrapText="1"/>
    </xf>
    <xf numFmtId="0" fontId="3" fillId="8" borderId="34" xfId="0" applyFont="1" applyFill="1" applyBorder="1" applyAlignment="1">
      <alignment horizontal="center" vertical="center" wrapText="1"/>
    </xf>
    <xf numFmtId="0" fontId="3" fillId="8" borderId="5" xfId="0" applyFont="1" applyFill="1" applyBorder="1" applyAlignment="1">
      <alignment horizontal="center" vertical="center"/>
    </xf>
    <xf numFmtId="168" fontId="0" fillId="8" borderId="2" xfId="0" applyNumberFormat="1" applyFill="1" applyBorder="1"/>
    <xf numFmtId="0" fontId="3" fillId="8" borderId="2" xfId="0" applyFont="1" applyFill="1" applyBorder="1" applyAlignment="1">
      <alignment horizontal="center" vertical="center" wrapText="1"/>
    </xf>
    <xf numFmtId="169" fontId="3" fillId="8" borderId="2" xfId="0" applyNumberFormat="1" applyFont="1" applyFill="1" applyBorder="1" applyAlignment="1">
      <alignment horizontal="center" vertical="center" wrapText="1"/>
    </xf>
    <xf numFmtId="168" fontId="3" fillId="8" borderId="6" xfId="0" applyNumberFormat="1" applyFont="1" applyFill="1" applyBorder="1" applyAlignment="1">
      <alignment horizontal="center" vertical="center" wrapText="1"/>
    </xf>
    <xf numFmtId="0" fontId="0" fillId="8" borderId="24" xfId="0" applyFill="1" applyBorder="1" applyAlignment="1">
      <alignment horizontal="center" vertical="center"/>
    </xf>
    <xf numFmtId="168" fontId="0" fillId="8" borderId="12" xfId="0" applyNumberFormat="1" applyFill="1" applyBorder="1"/>
    <xf numFmtId="167" fontId="0" fillId="8" borderId="12" xfId="0" applyNumberFormat="1" applyFill="1" applyBorder="1" applyAlignment="1">
      <alignment horizontal="left"/>
    </xf>
    <xf numFmtId="165" fontId="0" fillId="8" borderId="12" xfId="0" applyNumberFormat="1" applyFill="1" applyBorder="1"/>
    <xf numFmtId="170" fontId="0" fillId="8" borderId="35" xfId="0" applyNumberFormat="1" applyFill="1" applyBorder="1"/>
    <xf numFmtId="0" fontId="0" fillId="8" borderId="5" xfId="0" applyFill="1" applyBorder="1" applyAlignment="1">
      <alignment horizontal="center" vertical="center"/>
    </xf>
    <xf numFmtId="171" fontId="0" fillId="8" borderId="0" xfId="6" applyFont="1" applyFill="1"/>
    <xf numFmtId="14" fontId="0" fillId="8" borderId="0" xfId="0" applyNumberFormat="1" applyFill="1"/>
    <xf numFmtId="171" fontId="0" fillId="8" borderId="0" xfId="0" applyNumberFormat="1" applyFill="1"/>
    <xf numFmtId="0" fontId="0" fillId="8" borderId="7" xfId="0" applyFill="1" applyBorder="1" applyAlignment="1">
      <alignment horizontal="center" vertical="center"/>
    </xf>
    <xf numFmtId="167" fontId="0" fillId="8" borderId="0" xfId="0" applyNumberFormat="1" applyFill="1"/>
    <xf numFmtId="0" fontId="2" fillId="8" borderId="0" xfId="1" applyFill="1"/>
    <xf numFmtId="0" fontId="3" fillId="8" borderId="2" xfId="1" applyFont="1" applyFill="1" applyBorder="1" applyAlignment="1">
      <alignment horizontal="center" vertical="center"/>
    </xf>
    <xf numFmtId="0" fontId="2" fillId="8" borderId="0" xfId="1" applyFill="1" applyAlignment="1">
      <alignment horizontal="center" vertical="center"/>
    </xf>
    <xf numFmtId="0" fontId="21" fillId="8" borderId="2" xfId="1" applyFont="1" applyFill="1" applyBorder="1" applyAlignment="1">
      <alignment horizontal="center" vertical="center"/>
    </xf>
    <xf numFmtId="167" fontId="21" fillId="8" borderId="2" xfId="2" applyFont="1" applyFill="1" applyBorder="1" applyAlignment="1">
      <alignment horizontal="center" vertical="center"/>
    </xf>
    <xf numFmtId="0" fontId="21" fillId="8" borderId="2" xfId="1" applyFont="1" applyFill="1" applyBorder="1"/>
    <xf numFmtId="0" fontId="21" fillId="8" borderId="0" xfId="1" applyFont="1" applyFill="1"/>
    <xf numFmtId="0" fontId="22" fillId="8" borderId="2" xfId="1" applyFont="1" applyFill="1" applyBorder="1" applyAlignment="1">
      <alignment horizontal="center" vertical="center"/>
    </xf>
    <xf numFmtId="0" fontId="23" fillId="8" borderId="2" xfId="1" applyFont="1" applyFill="1" applyBorder="1" applyAlignment="1">
      <alignment horizontal="center" vertical="center"/>
    </xf>
    <xf numFmtId="0" fontId="24" fillId="2" borderId="0" xfId="7" applyFill="1"/>
    <xf numFmtId="0" fontId="2" fillId="2" borderId="0" xfId="1" applyFill="1"/>
    <xf numFmtId="0" fontId="14" fillId="2" borderId="0" xfId="1" applyFont="1" applyFill="1" applyAlignment="1">
      <alignment vertical="center"/>
    </xf>
    <xf numFmtId="0" fontId="14" fillId="2" borderId="2" xfId="1" applyFont="1" applyFill="1" applyBorder="1" applyAlignment="1">
      <alignment vertical="center"/>
    </xf>
    <xf numFmtId="0" fontId="25" fillId="2" borderId="2" xfId="1" applyFont="1" applyFill="1" applyBorder="1"/>
    <xf numFmtId="0" fontId="2" fillId="0" borderId="0" xfId="1"/>
    <xf numFmtId="0" fontId="2" fillId="9" borderId="0" xfId="1" applyFill="1"/>
    <xf numFmtId="0" fontId="2" fillId="9" borderId="2" xfId="1" applyFill="1" applyBorder="1" applyAlignment="1">
      <alignment horizontal="center" vertical="center"/>
    </xf>
    <xf numFmtId="0" fontId="3" fillId="9" borderId="2" xfId="1" applyFont="1" applyFill="1" applyBorder="1" applyAlignment="1">
      <alignment horizontal="center"/>
    </xf>
    <xf numFmtId="0" fontId="3" fillId="9" borderId="2" xfId="1" applyFont="1" applyFill="1" applyBorder="1" applyAlignment="1">
      <alignment horizontal="center" vertical="center"/>
    </xf>
    <xf numFmtId="0" fontId="2" fillId="9" borderId="2" xfId="1" applyFill="1" applyBorder="1" applyAlignment="1">
      <alignment horizontal="center"/>
    </xf>
    <xf numFmtId="0" fontId="2" fillId="9" borderId="2" xfId="1" applyFill="1" applyBorder="1"/>
    <xf numFmtId="0" fontId="2" fillId="9" borderId="0" xfId="1" applyFill="1" applyAlignment="1">
      <alignment horizontal="center" vertical="center"/>
    </xf>
    <xf numFmtId="0" fontId="3" fillId="9" borderId="2" xfId="1" applyFont="1" applyFill="1" applyBorder="1"/>
    <xf numFmtId="0" fontId="5" fillId="4" borderId="1" xfId="1" applyFont="1" applyFill="1" applyBorder="1" applyAlignment="1">
      <alignment vertical="center"/>
    </xf>
    <xf numFmtId="0" fontId="5" fillId="4" borderId="2" xfId="1" applyFont="1" applyFill="1" applyBorder="1" applyAlignment="1">
      <alignment horizontal="center" vertical="center"/>
    </xf>
    <xf numFmtId="0" fontId="6" fillId="3" borderId="0" xfId="1" applyFont="1" applyFill="1"/>
    <xf numFmtId="0" fontId="6" fillId="10" borderId="36" xfId="1" applyFont="1" applyFill="1" applyBorder="1"/>
    <xf numFmtId="0" fontId="6" fillId="10" borderId="26" xfId="1" applyFont="1" applyFill="1" applyBorder="1"/>
    <xf numFmtId="0" fontId="6" fillId="10" borderId="28" xfId="1" applyFont="1" applyFill="1" applyBorder="1"/>
    <xf numFmtId="0" fontId="5" fillId="11" borderId="2" xfId="1" applyFont="1" applyFill="1" applyBorder="1"/>
    <xf numFmtId="0" fontId="26" fillId="11" borderId="2" xfId="1" applyFont="1" applyFill="1" applyBorder="1"/>
    <xf numFmtId="2" fontId="5" fillId="12" borderId="2" xfId="1" applyNumberFormat="1" applyFont="1" applyFill="1" applyBorder="1" applyAlignment="1">
      <alignment horizontal="center"/>
    </xf>
    <xf numFmtId="1" fontId="5" fillId="11" borderId="2" xfId="1" applyNumberFormat="1" applyFont="1" applyFill="1" applyBorder="1" applyAlignment="1">
      <alignment horizontal="center" vertical="center"/>
    </xf>
    <xf numFmtId="0" fontId="5" fillId="12" borderId="2" xfId="1" applyFont="1" applyFill="1" applyBorder="1" applyAlignment="1">
      <alignment horizontal="center"/>
    </xf>
    <xf numFmtId="0" fontId="6" fillId="10" borderId="37" xfId="1" applyFont="1" applyFill="1" applyBorder="1"/>
    <xf numFmtId="0" fontId="6" fillId="10" borderId="0" xfId="1" applyFont="1" applyFill="1"/>
    <xf numFmtId="0" fontId="6" fillId="10" borderId="29" xfId="1" applyFont="1" applyFill="1" applyBorder="1"/>
    <xf numFmtId="0" fontId="6" fillId="11" borderId="2" xfId="1" applyFont="1" applyFill="1" applyBorder="1"/>
    <xf numFmtId="0" fontId="7" fillId="11" borderId="2" xfId="1" applyFont="1" applyFill="1" applyBorder="1"/>
    <xf numFmtId="1" fontId="6" fillId="11" borderId="2" xfId="1" applyNumberFormat="1" applyFont="1" applyFill="1" applyBorder="1" applyAlignment="1">
      <alignment horizontal="center" vertical="center"/>
    </xf>
    <xf numFmtId="0" fontId="6" fillId="10" borderId="38" xfId="1" applyFont="1" applyFill="1" applyBorder="1"/>
    <xf numFmtId="0" fontId="6" fillId="10" borderId="21" xfId="1" applyFont="1" applyFill="1" applyBorder="1"/>
    <xf numFmtId="0" fontId="6" fillId="10" borderId="39" xfId="1" applyFont="1" applyFill="1" applyBorder="1"/>
    <xf numFmtId="0" fontId="6" fillId="4" borderId="0" xfId="1" applyFont="1" applyFill="1"/>
    <xf numFmtId="2" fontId="6" fillId="3" borderId="0" xfId="1" applyNumberFormat="1" applyFont="1" applyFill="1"/>
    <xf numFmtId="172" fontId="6" fillId="3" borderId="0" xfId="1" applyNumberFormat="1" applyFont="1" applyFill="1"/>
    <xf numFmtId="0" fontId="6" fillId="3" borderId="0" xfId="1" applyFont="1" applyFill="1" applyAlignment="1">
      <alignment horizontal="center"/>
    </xf>
    <xf numFmtId="0" fontId="0" fillId="13" borderId="0" xfId="0" applyFill="1" applyProtection="1">
      <protection locked="0"/>
    </xf>
    <xf numFmtId="0" fontId="0" fillId="13" borderId="0" xfId="0" applyFill="1" applyAlignment="1" applyProtection="1">
      <alignment horizontal="center" vertical="center"/>
      <protection locked="0"/>
    </xf>
    <xf numFmtId="9" fontId="0" fillId="13" borderId="0" xfId="5" applyFont="1" applyFill="1" applyProtection="1">
      <protection locked="0"/>
    </xf>
    <xf numFmtId="0" fontId="12" fillId="14" borderId="36" xfId="0" applyFont="1" applyFill="1" applyBorder="1" applyProtection="1">
      <protection locked="0"/>
    </xf>
    <xf numFmtId="0" fontId="12" fillId="14" borderId="26" xfId="0" applyFont="1" applyFill="1" applyBorder="1" applyAlignment="1" applyProtection="1">
      <alignment horizontal="center" vertical="center"/>
      <protection locked="0"/>
    </xf>
    <xf numFmtId="0" fontId="12" fillId="14" borderId="26" xfId="0" applyFont="1" applyFill="1" applyBorder="1" applyProtection="1">
      <protection locked="0"/>
    </xf>
    <xf numFmtId="9" fontId="12" fillId="14" borderId="26" xfId="5" applyFont="1" applyFill="1" applyBorder="1" applyProtection="1">
      <protection locked="0"/>
    </xf>
    <xf numFmtId="0" fontId="12" fillId="14" borderId="28" xfId="0" applyFont="1" applyFill="1" applyBorder="1" applyProtection="1">
      <protection locked="0"/>
    </xf>
    <xf numFmtId="0" fontId="12" fillId="14" borderId="37" xfId="0" applyFont="1" applyFill="1" applyBorder="1" applyProtection="1">
      <protection locked="0"/>
    </xf>
    <xf numFmtId="0" fontId="12" fillId="14" borderId="0" xfId="0" applyFont="1" applyFill="1" applyAlignment="1" applyProtection="1">
      <alignment horizontal="center" vertical="center"/>
      <protection locked="0"/>
    </xf>
    <xf numFmtId="0" fontId="12" fillId="14" borderId="0" xfId="0" applyFont="1" applyFill="1" applyProtection="1">
      <protection locked="0"/>
    </xf>
    <xf numFmtId="9" fontId="12" fillId="14" borderId="0" xfId="5" applyFont="1" applyFill="1" applyBorder="1" applyProtection="1">
      <protection locked="0"/>
    </xf>
    <xf numFmtId="0" fontId="12" fillId="14" borderId="29" xfId="0" applyFont="1" applyFill="1" applyBorder="1" applyProtection="1">
      <protection locked="0"/>
    </xf>
    <xf numFmtId="0" fontId="12" fillId="14" borderId="38" xfId="0" applyFont="1" applyFill="1" applyBorder="1" applyProtection="1">
      <protection locked="0"/>
    </xf>
    <xf numFmtId="0" fontId="12" fillId="14" borderId="21" xfId="0" applyFont="1" applyFill="1" applyBorder="1" applyAlignment="1" applyProtection="1">
      <alignment horizontal="center" vertical="center"/>
      <protection locked="0"/>
    </xf>
    <xf numFmtId="0" fontId="12" fillId="14" borderId="21" xfId="0" applyFont="1" applyFill="1" applyBorder="1" applyProtection="1">
      <protection locked="0"/>
    </xf>
    <xf numFmtId="9" fontId="12" fillId="14" borderId="21" xfId="5" applyFont="1" applyFill="1" applyBorder="1" applyProtection="1">
      <protection locked="0"/>
    </xf>
    <xf numFmtId="0" fontId="12" fillId="14" borderId="39" xfId="0" applyFont="1" applyFill="1" applyBorder="1" applyProtection="1">
      <protection locked="0"/>
    </xf>
    <xf numFmtId="0" fontId="12" fillId="13" borderId="0" xfId="0" applyFont="1" applyFill="1" applyProtection="1">
      <protection locked="0"/>
    </xf>
    <xf numFmtId="0" fontId="12" fillId="13" borderId="0" xfId="0" applyFont="1" applyFill="1" applyAlignment="1" applyProtection="1">
      <alignment horizontal="center" vertical="center"/>
      <protection locked="0"/>
    </xf>
    <xf numFmtId="14" fontId="12" fillId="13" borderId="0" xfId="6" applyNumberFormat="1" applyFont="1" applyFill="1" applyProtection="1">
      <protection locked="0"/>
    </xf>
    <xf numFmtId="0" fontId="12" fillId="15" borderId="2" xfId="0" applyFont="1" applyFill="1" applyBorder="1" applyAlignment="1">
      <alignment horizontal="center" vertical="center" wrapText="1"/>
    </xf>
    <xf numFmtId="0" fontId="0" fillId="4" borderId="2" xfId="0" applyFill="1" applyBorder="1" applyAlignment="1" applyProtection="1">
      <alignment horizontal="center" vertical="center" wrapText="1"/>
      <protection locked="0"/>
    </xf>
    <xf numFmtId="9" fontId="0" fillId="4" borderId="2" xfId="5" applyFont="1" applyFill="1" applyBorder="1" applyAlignment="1" applyProtection="1">
      <alignment horizontal="center" vertical="center" wrapText="1"/>
      <protection locked="0"/>
    </xf>
    <xf numFmtId="0" fontId="0" fillId="16" borderId="30" xfId="0" applyFill="1" applyBorder="1" applyAlignment="1" applyProtection="1">
      <alignment horizontal="left" vertical="center" wrapText="1"/>
      <protection locked="0"/>
    </xf>
    <xf numFmtId="0" fontId="0" fillId="16" borderId="31" xfId="0" applyFill="1" applyBorder="1" applyProtection="1">
      <protection locked="0"/>
    </xf>
    <xf numFmtId="0" fontId="0" fillId="16" borderId="27" xfId="0" applyFill="1" applyBorder="1" applyProtection="1">
      <protection locked="0"/>
    </xf>
    <xf numFmtId="0" fontId="12" fillId="17" borderId="2" xfId="0" applyFont="1" applyFill="1" applyBorder="1"/>
    <xf numFmtId="0" fontId="12" fillId="17" borderId="2" xfId="0" applyFont="1" applyFill="1" applyBorder="1" applyAlignment="1">
      <alignment horizontal="center" vertical="center"/>
    </xf>
    <xf numFmtId="167" fontId="12" fillId="17" borderId="2" xfId="4" applyFont="1" applyFill="1" applyBorder="1" applyProtection="1"/>
    <xf numFmtId="14" fontId="12" fillId="17" borderId="2" xfId="0" applyNumberFormat="1" applyFont="1" applyFill="1" applyBorder="1"/>
    <xf numFmtId="0" fontId="12" fillId="18" borderId="2" xfId="0" applyFont="1" applyFill="1" applyBorder="1" applyAlignment="1" applyProtection="1">
      <alignment horizontal="center"/>
      <protection hidden="1"/>
    </xf>
    <xf numFmtId="9" fontId="12" fillId="18" borderId="2" xfId="5" applyFont="1" applyFill="1" applyBorder="1" applyAlignment="1" applyProtection="1">
      <alignment horizontal="center"/>
      <protection hidden="1"/>
    </xf>
    <xf numFmtId="2" fontId="12" fillId="18" borderId="2" xfId="0" applyNumberFormat="1" applyFont="1" applyFill="1" applyBorder="1" applyAlignment="1" applyProtection="1">
      <alignment horizontal="center"/>
      <protection hidden="1"/>
    </xf>
    <xf numFmtId="0" fontId="0" fillId="9" borderId="36" xfId="0" applyFill="1" applyBorder="1" applyProtection="1">
      <protection locked="0"/>
    </xf>
    <xf numFmtId="0" fontId="0" fillId="9" borderId="26" xfId="0" applyFill="1" applyBorder="1" applyProtection="1">
      <protection locked="0"/>
    </xf>
    <xf numFmtId="0" fontId="0" fillId="9" borderId="28" xfId="0" applyFill="1" applyBorder="1" applyProtection="1">
      <protection locked="0"/>
    </xf>
    <xf numFmtId="0" fontId="0" fillId="17" borderId="2" xfId="0" applyFill="1" applyBorder="1"/>
    <xf numFmtId="0" fontId="0" fillId="17" borderId="2" xfId="0" applyFill="1" applyBorder="1" applyAlignment="1">
      <alignment horizontal="center" vertical="center"/>
    </xf>
    <xf numFmtId="167" fontId="0" fillId="17" borderId="2" xfId="4" applyFont="1" applyFill="1" applyBorder="1" applyProtection="1"/>
    <xf numFmtId="14" fontId="0" fillId="17" borderId="2" xfId="0" applyNumberFormat="1" applyFill="1" applyBorder="1"/>
    <xf numFmtId="0" fontId="12" fillId="18" borderId="2" xfId="0" applyFont="1" applyFill="1" applyBorder="1" applyAlignment="1" applyProtection="1">
      <alignment horizontal="center"/>
      <protection locked="0"/>
    </xf>
    <xf numFmtId="9" fontId="12" fillId="18" borderId="2" xfId="5" applyFont="1" applyFill="1" applyBorder="1" applyAlignment="1" applyProtection="1">
      <alignment horizontal="center"/>
      <protection locked="0"/>
    </xf>
    <xf numFmtId="43" fontId="12" fillId="18" borderId="2" xfId="0" applyNumberFormat="1" applyFont="1" applyFill="1" applyBorder="1" applyAlignment="1" applyProtection="1">
      <alignment horizontal="center"/>
      <protection locked="0"/>
    </xf>
    <xf numFmtId="0" fontId="0" fillId="9" borderId="37" xfId="0" applyFill="1" applyBorder="1" applyProtection="1">
      <protection locked="0"/>
    </xf>
    <xf numFmtId="0" fontId="0" fillId="9" borderId="0" xfId="0" applyFill="1" applyProtection="1">
      <protection locked="0"/>
    </xf>
    <xf numFmtId="0" fontId="0" fillId="9" borderId="29" xfId="0" applyFill="1" applyBorder="1" applyProtection="1">
      <protection locked="0"/>
    </xf>
    <xf numFmtId="0" fontId="0" fillId="9" borderId="38" xfId="0" applyFill="1" applyBorder="1" applyProtection="1">
      <protection locked="0"/>
    </xf>
    <xf numFmtId="0" fontId="0" fillId="9" borderId="21" xfId="0" applyFill="1" applyBorder="1" applyProtection="1">
      <protection locked="0"/>
    </xf>
    <xf numFmtId="0" fontId="0" fillId="9" borderId="39" xfId="0" applyFill="1" applyBorder="1" applyProtection="1">
      <protection locked="0"/>
    </xf>
    <xf numFmtId="0" fontId="12" fillId="19" borderId="36" xfId="0" applyFont="1" applyFill="1" applyBorder="1" applyProtection="1">
      <protection locked="0"/>
    </xf>
    <xf numFmtId="0" fontId="12" fillId="19" borderId="26" xfId="0" applyFont="1" applyFill="1" applyBorder="1" applyProtection="1">
      <protection locked="0"/>
    </xf>
    <xf numFmtId="0" fontId="0" fillId="19" borderId="28" xfId="0" applyFill="1" applyBorder="1" applyProtection="1">
      <protection locked="0"/>
    </xf>
    <xf numFmtId="0" fontId="12" fillId="19" borderId="37" xfId="0" applyFont="1" applyFill="1" applyBorder="1" applyProtection="1">
      <protection locked="0"/>
    </xf>
    <xf numFmtId="0" fontId="12" fillId="19" borderId="0" xfId="0" applyFont="1" applyFill="1" applyProtection="1">
      <protection locked="0"/>
    </xf>
    <xf numFmtId="0" fontId="0" fillId="19" borderId="29" xfId="0" applyFill="1" applyBorder="1" applyProtection="1">
      <protection locked="0"/>
    </xf>
    <xf numFmtId="0" fontId="12" fillId="19" borderId="38" xfId="0" applyFont="1" applyFill="1" applyBorder="1" applyProtection="1">
      <protection locked="0"/>
    </xf>
    <xf numFmtId="0" fontId="12" fillId="19" borderId="21" xfId="0" applyFont="1" applyFill="1" applyBorder="1" applyProtection="1">
      <protection locked="0"/>
    </xf>
    <xf numFmtId="0" fontId="0" fillId="19" borderId="39" xfId="0" applyFill="1" applyBorder="1" applyProtection="1">
      <protection locked="0"/>
    </xf>
    <xf numFmtId="0" fontId="29" fillId="21" borderId="33" xfId="0" applyFont="1" applyFill="1" applyBorder="1" applyAlignment="1">
      <alignment horizontal="center" vertical="center"/>
    </xf>
    <xf numFmtId="0" fontId="29" fillId="4" borderId="33" xfId="0" applyFont="1" applyFill="1" applyBorder="1" applyAlignment="1">
      <alignment horizontal="center" vertical="center"/>
    </xf>
    <xf numFmtId="0" fontId="29" fillId="22" borderId="33" xfId="0" applyFont="1" applyFill="1" applyBorder="1" applyAlignment="1">
      <alignment horizontal="center" vertical="center"/>
    </xf>
    <xf numFmtId="0" fontId="29" fillId="21" borderId="23" xfId="0" applyFont="1" applyFill="1" applyBorder="1" applyAlignment="1">
      <alignment horizontal="center" vertical="center"/>
    </xf>
    <xf numFmtId="0" fontId="29" fillId="4" borderId="23" xfId="0" applyFont="1" applyFill="1" applyBorder="1" applyAlignment="1">
      <alignment horizontal="center" vertical="center"/>
    </xf>
    <xf numFmtId="0" fontId="29" fillId="22" borderId="23" xfId="0" applyFont="1" applyFill="1" applyBorder="1" applyAlignment="1">
      <alignment horizontal="center" vertical="center"/>
    </xf>
    <xf numFmtId="0" fontId="12" fillId="25" borderId="42" xfId="0" applyFont="1" applyFill="1" applyBorder="1" applyAlignment="1" applyProtection="1">
      <alignment horizontal="center" vertical="center"/>
      <protection locked="0"/>
    </xf>
    <xf numFmtId="9" fontId="12" fillId="25" borderId="43" xfId="0" applyNumberFormat="1" applyFont="1" applyFill="1" applyBorder="1" applyAlignment="1" applyProtection="1">
      <alignment horizontal="center" vertical="center"/>
      <protection locked="0"/>
    </xf>
    <xf numFmtId="0" fontId="30" fillId="13" borderId="0" xfId="0" applyFont="1" applyFill="1" applyProtection="1">
      <protection locked="0"/>
    </xf>
    <xf numFmtId="0" fontId="31" fillId="13" borderId="0" xfId="0" applyFont="1" applyFill="1" applyProtection="1">
      <protection locked="0"/>
    </xf>
    <xf numFmtId="0" fontId="0" fillId="26" borderId="12" xfId="0" applyFill="1" applyBorder="1" applyAlignment="1">
      <alignment horizontal="center" vertical="center"/>
    </xf>
    <xf numFmtId="0" fontId="0" fillId="27" borderId="12" xfId="0" applyFill="1" applyBorder="1" applyAlignment="1">
      <alignment horizontal="center" vertical="center"/>
    </xf>
    <xf numFmtId="0" fontId="0" fillId="28" borderId="12" xfId="0" applyFill="1" applyBorder="1" applyAlignment="1">
      <alignment horizontal="center" vertical="center"/>
    </xf>
    <xf numFmtId="0" fontId="0" fillId="29" borderId="12" xfId="0" applyFill="1" applyBorder="1" applyAlignment="1">
      <alignment horizontal="center" vertical="center"/>
    </xf>
    <xf numFmtId="0" fontId="12" fillId="30" borderId="12" xfId="0" applyFont="1" applyFill="1" applyBorder="1" applyAlignment="1" applyProtection="1">
      <alignment horizontal="center" vertical="center"/>
      <protection hidden="1"/>
    </xf>
    <xf numFmtId="0" fontId="12" fillId="25" borderId="5" xfId="0" applyFont="1" applyFill="1" applyBorder="1" applyAlignment="1" applyProtection="1">
      <alignment horizontal="center" vertical="center"/>
      <protection locked="0"/>
    </xf>
    <xf numFmtId="9" fontId="12" fillId="25" borderId="6" xfId="0" applyNumberFormat="1" applyFont="1" applyFill="1" applyBorder="1" applyAlignment="1" applyProtection="1">
      <alignment horizontal="center" vertical="center"/>
      <protection locked="0"/>
    </xf>
    <xf numFmtId="0" fontId="0" fillId="26" borderId="2" xfId="0" applyFill="1" applyBorder="1" applyAlignment="1">
      <alignment horizontal="center" vertical="center"/>
    </xf>
    <xf numFmtId="0" fontId="0" fillId="27" borderId="2" xfId="0" applyFill="1" applyBorder="1" applyAlignment="1">
      <alignment horizontal="center" vertical="center"/>
    </xf>
    <xf numFmtId="0" fontId="0" fillId="28" borderId="2" xfId="0" applyFill="1" applyBorder="1" applyAlignment="1">
      <alignment horizontal="center" vertical="center"/>
    </xf>
    <xf numFmtId="0" fontId="0" fillId="29" borderId="2" xfId="0" applyFill="1" applyBorder="1" applyAlignment="1">
      <alignment horizontal="center" vertical="center"/>
    </xf>
    <xf numFmtId="0" fontId="12" fillId="30" borderId="2" xfId="0" applyFont="1" applyFill="1" applyBorder="1" applyAlignment="1" applyProtection="1">
      <alignment horizontal="center" vertical="center"/>
      <protection locked="0"/>
    </xf>
    <xf numFmtId="0" fontId="12" fillId="25" borderId="7" xfId="0" applyFont="1" applyFill="1" applyBorder="1" applyAlignment="1" applyProtection="1">
      <alignment horizontal="center" vertical="center"/>
      <protection locked="0"/>
    </xf>
    <xf numFmtId="9" fontId="12" fillId="25" borderId="8" xfId="0" applyNumberFormat="1" applyFont="1" applyFill="1" applyBorder="1" applyAlignment="1" applyProtection="1">
      <alignment horizontal="center" vertical="center"/>
      <protection locked="0"/>
    </xf>
    <xf numFmtId="0" fontId="0" fillId="31" borderId="5"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31" borderId="7" xfId="0" applyFill="1" applyBorder="1" applyAlignment="1" applyProtection="1">
      <alignment horizontal="center" vertical="center"/>
      <protection locked="0"/>
    </xf>
    <xf numFmtId="0" fontId="0" fillId="31" borderId="8" xfId="0" applyFill="1" applyBorder="1" applyAlignment="1" applyProtection="1">
      <alignment horizontal="center" vertical="center"/>
      <protection locked="0"/>
    </xf>
    <xf numFmtId="0" fontId="0" fillId="4" borderId="36" xfId="0" applyFill="1" applyBorder="1" applyProtection="1">
      <protection locked="0"/>
    </xf>
    <xf numFmtId="0" fontId="0" fillId="4" borderId="26" xfId="0" applyFill="1" applyBorder="1" applyProtection="1">
      <protection locked="0"/>
    </xf>
    <xf numFmtId="0" fontId="0" fillId="4" borderId="28" xfId="0" applyFill="1" applyBorder="1" applyProtection="1">
      <protection locked="0"/>
    </xf>
    <xf numFmtId="0" fontId="0" fillId="4" borderId="37" xfId="0" applyFill="1" applyBorder="1" applyProtection="1">
      <protection locked="0"/>
    </xf>
    <xf numFmtId="0" fontId="0" fillId="4" borderId="0" xfId="0" applyFill="1" applyProtection="1">
      <protection locked="0"/>
    </xf>
    <xf numFmtId="0" fontId="0" fillId="4" borderId="29" xfId="0" applyFill="1" applyBorder="1" applyProtection="1">
      <protection locked="0"/>
    </xf>
    <xf numFmtId="0" fontId="0" fillId="4" borderId="38" xfId="0" applyFill="1" applyBorder="1" applyProtection="1">
      <protection locked="0"/>
    </xf>
    <xf numFmtId="0" fontId="0" fillId="4" borderId="21" xfId="0" applyFill="1" applyBorder="1" applyProtection="1">
      <protection locked="0"/>
    </xf>
    <xf numFmtId="0" fontId="0" fillId="4" borderId="39" xfId="0" applyFill="1" applyBorder="1" applyProtection="1">
      <protection locked="0"/>
    </xf>
    <xf numFmtId="0" fontId="27" fillId="4" borderId="36" xfId="0" applyFont="1" applyFill="1" applyBorder="1" applyProtection="1">
      <protection locked="0"/>
    </xf>
    <xf numFmtId="0" fontId="27" fillId="4" borderId="26" xfId="0" applyFont="1" applyFill="1" applyBorder="1" applyProtection="1">
      <protection locked="0"/>
    </xf>
    <xf numFmtId="0" fontId="27" fillId="4" borderId="37" xfId="0" applyFont="1" applyFill="1" applyBorder="1" applyProtection="1">
      <protection locked="0"/>
    </xf>
    <xf numFmtId="0" fontId="27" fillId="4" borderId="0" xfId="0" applyFont="1" applyFill="1" applyProtection="1">
      <protection locked="0"/>
    </xf>
    <xf numFmtId="2" fontId="0" fillId="4" borderId="0" xfId="0" applyNumberFormat="1" applyFill="1" applyProtection="1">
      <protection locked="0"/>
    </xf>
    <xf numFmtId="0" fontId="0" fillId="4" borderId="44" xfId="0" applyFill="1" applyBorder="1" applyProtection="1">
      <protection locked="0"/>
    </xf>
    <xf numFmtId="0" fontId="27" fillId="0" borderId="36" xfId="1" applyFont="1" applyBorder="1"/>
    <xf numFmtId="8" fontId="6" fillId="3" borderId="26" xfId="1" applyNumberFormat="1" applyFont="1" applyFill="1" applyBorder="1"/>
    <xf numFmtId="0" fontId="6" fillId="3" borderId="26" xfId="1" applyFont="1" applyFill="1" applyBorder="1"/>
    <xf numFmtId="0" fontId="6" fillId="3" borderId="28" xfId="1" applyFont="1" applyFill="1" applyBorder="1"/>
    <xf numFmtId="0" fontId="6" fillId="3" borderId="37" xfId="1" applyFont="1" applyFill="1" applyBorder="1"/>
    <xf numFmtId="0" fontId="6" fillId="3" borderId="29" xfId="1" applyFont="1" applyFill="1" applyBorder="1"/>
    <xf numFmtId="0" fontId="28" fillId="0" borderId="37" xfId="1" applyFont="1" applyBorder="1" applyAlignment="1">
      <alignment vertical="center"/>
    </xf>
    <xf numFmtId="8" fontId="6" fillId="3" borderId="0" xfId="1" applyNumberFormat="1" applyFont="1" applyFill="1"/>
    <xf numFmtId="0" fontId="27" fillId="0" borderId="37" xfId="1" applyFont="1" applyBorder="1"/>
    <xf numFmtId="0" fontId="6" fillId="3" borderId="38" xfId="1" applyFont="1" applyFill="1" applyBorder="1"/>
    <xf numFmtId="0" fontId="6" fillId="3" borderId="21" xfId="1" applyFont="1" applyFill="1" applyBorder="1"/>
    <xf numFmtId="0" fontId="6" fillId="3" borderId="39" xfId="1" applyFont="1" applyFill="1" applyBorder="1"/>
    <xf numFmtId="0" fontId="3" fillId="0" borderId="36" xfId="1" applyFont="1" applyBorder="1"/>
    <xf numFmtId="0" fontId="3" fillId="0" borderId="26" xfId="1" applyFont="1" applyBorder="1"/>
    <xf numFmtId="0" fontId="3" fillId="0" borderId="28" xfId="1" applyFont="1" applyBorder="1"/>
    <xf numFmtId="0" fontId="3" fillId="0" borderId="0" xfId="1" applyFont="1"/>
    <xf numFmtId="0" fontId="2" fillId="0" borderId="37" xfId="1" applyBorder="1"/>
    <xf numFmtId="0" fontId="2" fillId="0" borderId="29" xfId="1" applyBorder="1"/>
    <xf numFmtId="0" fontId="2" fillId="0" borderId="38" xfId="1" applyBorder="1"/>
    <xf numFmtId="0" fontId="2" fillId="0" borderId="21" xfId="1" applyBorder="1"/>
    <xf numFmtId="0" fontId="2" fillId="0" borderId="39" xfId="1" applyBorder="1"/>
    <xf numFmtId="0" fontId="6" fillId="4" borderId="18" xfId="0" applyFont="1" applyFill="1" applyBorder="1"/>
    <xf numFmtId="0" fontId="32" fillId="32" borderId="2" xfId="8" applyFont="1" applyFill="1" applyBorder="1" applyAlignment="1">
      <alignment horizontal="center" vertical="center"/>
    </xf>
    <xf numFmtId="0" fontId="1" fillId="32" borderId="2" xfId="8" applyFont="1" applyFill="1" applyBorder="1" applyAlignment="1">
      <alignment horizontal="center" vertical="center"/>
    </xf>
    <xf numFmtId="0" fontId="34" fillId="32" borderId="2" xfId="8" applyFill="1" applyBorder="1" applyAlignment="1">
      <alignment horizontal="center" vertical="center"/>
    </xf>
    <xf numFmtId="0" fontId="34" fillId="32" borderId="45" xfId="8" applyFill="1" applyBorder="1" applyAlignment="1">
      <alignment vertical="center"/>
    </xf>
    <xf numFmtId="0" fontId="34" fillId="32" borderId="2" xfId="8" applyFill="1" applyBorder="1" applyAlignment="1">
      <alignment vertical="center"/>
    </xf>
    <xf numFmtId="0" fontId="32" fillId="32" borderId="14" xfId="8" applyFont="1" applyFill="1" applyBorder="1" applyAlignment="1">
      <alignment horizontal="center" vertical="center"/>
    </xf>
    <xf numFmtId="0" fontId="34" fillId="32" borderId="14" xfId="8" applyFill="1" applyBorder="1" applyAlignment="1">
      <alignment horizontal="center" vertical="center"/>
    </xf>
    <xf numFmtId="0" fontId="34" fillId="32" borderId="14" xfId="8" applyFill="1" applyBorder="1" applyAlignment="1">
      <alignment vertical="center"/>
    </xf>
    <xf numFmtId="0" fontId="21" fillId="4" borderId="0" xfId="1" applyFont="1" applyFill="1"/>
    <xf numFmtId="0" fontId="34" fillId="9" borderId="0" xfId="8" applyFill="1"/>
    <xf numFmtId="0" fontId="36" fillId="9" borderId="0" xfId="8" applyFont="1" applyFill="1" applyAlignment="1">
      <alignment vertical="center"/>
    </xf>
    <xf numFmtId="0" fontId="38" fillId="9" borderId="0" xfId="8" applyFont="1" applyFill="1" applyAlignment="1">
      <alignment horizontal="left" vertical="center" wrapText="1"/>
    </xf>
    <xf numFmtId="0" fontId="40" fillId="0" borderId="0" xfId="8" applyFont="1"/>
    <xf numFmtId="0" fontId="36" fillId="9" borderId="0" xfId="8" applyFont="1" applyFill="1"/>
    <xf numFmtId="0" fontId="5" fillId="2" borderId="2" xfId="8" applyFont="1" applyFill="1" applyBorder="1"/>
    <xf numFmtId="0" fontId="5" fillId="2" borderId="2" xfId="8" applyFont="1" applyFill="1" applyBorder="1" applyAlignment="1">
      <alignment horizontal="left" vertical="center"/>
    </xf>
    <xf numFmtId="0" fontId="7" fillId="2" borderId="2" xfId="8" applyFont="1" applyFill="1" applyBorder="1"/>
    <xf numFmtId="0" fontId="6" fillId="2" borderId="2" xfId="8" applyFont="1" applyFill="1" applyBorder="1"/>
    <xf numFmtId="173" fontId="6" fillId="2" borderId="2" xfId="9" applyNumberFormat="1" applyFont="1" applyFill="1" applyBorder="1" applyAlignment="1" applyProtection="1">
      <alignment horizontal="center" vertical="center"/>
    </xf>
    <xf numFmtId="1" fontId="6" fillId="2" borderId="2" xfId="8" applyNumberFormat="1" applyFont="1" applyFill="1" applyBorder="1" applyAlignment="1">
      <alignment horizontal="left" vertical="center"/>
    </xf>
    <xf numFmtId="0" fontId="38" fillId="9" borderId="0" xfId="8" applyFont="1" applyFill="1" applyAlignment="1">
      <alignment vertical="center"/>
    </xf>
    <xf numFmtId="0" fontId="36" fillId="9" borderId="2" xfId="8" applyFont="1" applyFill="1" applyBorder="1" applyAlignment="1">
      <alignment vertical="center"/>
    </xf>
    <xf numFmtId="0" fontId="38" fillId="9" borderId="0" xfId="8" applyFont="1" applyFill="1"/>
    <xf numFmtId="173" fontId="36" fillId="9" borderId="2" xfId="8" applyNumberFormat="1" applyFont="1" applyFill="1" applyBorder="1" applyAlignment="1">
      <alignment vertical="center"/>
    </xf>
    <xf numFmtId="0" fontId="36" fillId="32" borderId="38" xfId="8" applyFont="1" applyFill="1" applyBorder="1" applyAlignment="1">
      <alignment vertical="center"/>
    </xf>
    <xf numFmtId="0" fontId="36" fillId="32" borderId="21" xfId="8" applyFont="1" applyFill="1" applyBorder="1"/>
    <xf numFmtId="0" fontId="34" fillId="32" borderId="39" xfId="8" applyFill="1" applyBorder="1"/>
    <xf numFmtId="0" fontId="36" fillId="32" borderId="37" xfId="8" applyFont="1" applyFill="1" applyBorder="1" applyAlignment="1">
      <alignment vertical="center"/>
    </xf>
    <xf numFmtId="0" fontId="36" fillId="32" borderId="0" xfId="8" applyFont="1" applyFill="1"/>
    <xf numFmtId="0" fontId="34" fillId="32" borderId="29" xfId="8" applyFill="1" applyBorder="1"/>
    <xf numFmtId="0" fontId="37" fillId="9" borderId="0" xfId="8" applyFont="1" applyFill="1" applyAlignment="1">
      <alignment vertical="center"/>
    </xf>
    <xf numFmtId="0" fontId="3" fillId="9" borderId="0" xfId="8" applyFont="1" applyFill="1" applyAlignment="1">
      <alignment horizontal="center"/>
    </xf>
    <xf numFmtId="0" fontId="39" fillId="9" borderId="2" xfId="8" applyFont="1" applyFill="1" applyBorder="1" applyAlignment="1">
      <alignment horizontal="center" vertical="center" wrapText="1"/>
    </xf>
    <xf numFmtId="0" fontId="34" fillId="32" borderId="36" xfId="8" applyFill="1" applyBorder="1"/>
    <xf numFmtId="0" fontId="34" fillId="32" borderId="26" xfId="8" applyFill="1" applyBorder="1"/>
    <xf numFmtId="0" fontId="34" fillId="32" borderId="28" xfId="8" applyFill="1" applyBorder="1"/>
    <xf numFmtId="0" fontId="36" fillId="9" borderId="2" xfId="8" applyFont="1" applyFill="1" applyBorder="1" applyAlignment="1" applyProtection="1">
      <alignment vertical="center"/>
      <protection locked="0"/>
    </xf>
    <xf numFmtId="0" fontId="24" fillId="4" borderId="38" xfId="7" applyFill="1" applyBorder="1" applyProtection="1"/>
    <xf numFmtId="0" fontId="38" fillId="9" borderId="0" xfId="8" applyFont="1" applyFill="1" applyAlignment="1">
      <alignment horizontal="left" vertical="center" wrapText="1"/>
    </xf>
    <xf numFmtId="0" fontId="35" fillId="32" borderId="36" xfId="8" applyFont="1" applyFill="1" applyBorder="1" applyAlignment="1">
      <alignment horizontal="center" vertical="center" wrapText="1"/>
    </xf>
    <xf numFmtId="0" fontId="35" fillId="32" borderId="26" xfId="8" applyFont="1" applyFill="1" applyBorder="1" applyAlignment="1">
      <alignment horizontal="center" vertical="center" wrapText="1"/>
    </xf>
    <xf numFmtId="0" fontId="35" fillId="32" borderId="28" xfId="8" applyFont="1" applyFill="1" applyBorder="1" applyAlignment="1">
      <alignment horizontal="center" vertical="center" wrapText="1"/>
    </xf>
    <xf numFmtId="0" fontId="35" fillId="32" borderId="49" xfId="8" applyFont="1" applyFill="1" applyBorder="1" applyAlignment="1">
      <alignment horizontal="center" vertical="center" wrapText="1"/>
    </xf>
    <xf numFmtId="0" fontId="35" fillId="32" borderId="47" xfId="8" applyFont="1" applyFill="1" applyBorder="1" applyAlignment="1">
      <alignment horizontal="center" vertical="center" wrapText="1"/>
    </xf>
    <xf numFmtId="0" fontId="35" fillId="32" borderId="50" xfId="8" applyFont="1" applyFill="1" applyBorder="1" applyAlignment="1">
      <alignment horizontal="center" vertical="center" wrapText="1"/>
    </xf>
    <xf numFmtId="0" fontId="36" fillId="9" borderId="13" xfId="8" applyFont="1" applyFill="1" applyBorder="1" applyAlignment="1">
      <alignment horizontal="right" vertical="center"/>
    </xf>
    <xf numFmtId="0" fontId="36" fillId="9" borderId="11" xfId="8" applyFont="1" applyFill="1" applyBorder="1" applyAlignment="1">
      <alignment horizontal="right"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2" borderId="1" xfId="0" applyFont="1" applyFill="1" applyBorder="1" applyAlignment="1">
      <alignment horizontal="center" vertical="center"/>
    </xf>
    <xf numFmtId="0" fontId="5" fillId="2" borderId="12" xfId="0" applyFont="1" applyFill="1" applyBorder="1" applyAlignment="1">
      <alignment horizontal="center" vertical="center"/>
    </xf>
    <xf numFmtId="0" fontId="5" fillId="3" borderId="2" xfId="0" applyFont="1" applyFill="1" applyBorder="1" applyAlignment="1">
      <alignment horizontal="center" vertical="center"/>
    </xf>
    <xf numFmtId="0" fontId="12" fillId="6" borderId="2" xfId="0" applyFont="1" applyFill="1" applyBorder="1" applyAlignment="1">
      <alignment horizontal="center"/>
    </xf>
    <xf numFmtId="0" fontId="12"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12" xfId="0" applyFont="1" applyBorder="1" applyAlignment="1">
      <alignment horizontal="center" vertical="center" wrapText="1"/>
    </xf>
    <xf numFmtId="0" fontId="14" fillId="7" borderId="13" xfId="0" applyFont="1" applyFill="1" applyBorder="1" applyAlignment="1">
      <alignment horizontal="center" vertical="center"/>
    </xf>
    <xf numFmtId="0" fontId="14" fillId="7" borderId="11" xfId="0" applyFont="1" applyFill="1" applyBorder="1" applyAlignment="1">
      <alignment horizontal="center" vertical="center"/>
    </xf>
    <xf numFmtId="0" fontId="3" fillId="8" borderId="30" xfId="0" applyFont="1" applyFill="1" applyBorder="1" applyAlignment="1">
      <alignment horizontal="center"/>
    </xf>
    <xf numFmtId="0" fontId="3" fillId="8" borderId="31" xfId="0" applyFont="1" applyFill="1" applyBorder="1" applyAlignment="1">
      <alignment horizontal="center"/>
    </xf>
    <xf numFmtId="0" fontId="3" fillId="8" borderId="27" xfId="0" applyFont="1" applyFill="1" applyBorder="1" applyAlignment="1">
      <alignment horizontal="center"/>
    </xf>
    <xf numFmtId="0" fontId="0" fillId="31" borderId="3" xfId="0" applyFill="1" applyBorder="1" applyAlignment="1" applyProtection="1">
      <alignment horizontal="center"/>
      <protection locked="0"/>
    </xf>
    <xf numFmtId="0" fontId="0" fillId="31" borderId="4" xfId="0" applyFill="1" applyBorder="1" applyAlignment="1" applyProtection="1">
      <alignment horizontal="center"/>
      <protection locked="0"/>
    </xf>
    <xf numFmtId="0" fontId="12" fillId="20" borderId="32" xfId="0" applyFont="1" applyFill="1" applyBorder="1" applyAlignment="1">
      <alignment horizontal="center" vertical="center"/>
    </xf>
    <xf numFmtId="0" fontId="12" fillId="20" borderId="40" xfId="0" applyFont="1" applyFill="1" applyBorder="1" applyAlignment="1">
      <alignment horizontal="center" vertical="center"/>
    </xf>
    <xf numFmtId="0" fontId="12" fillId="20" borderId="33" xfId="0" applyFont="1" applyFill="1" applyBorder="1" applyAlignment="1">
      <alignment horizontal="center" vertical="center"/>
    </xf>
    <xf numFmtId="0" fontId="12" fillId="20" borderId="23" xfId="0" applyFont="1" applyFill="1" applyBorder="1" applyAlignment="1">
      <alignment horizontal="center" vertical="center"/>
    </xf>
    <xf numFmtId="0" fontId="12" fillId="23" borderId="33" xfId="0" applyFont="1" applyFill="1" applyBorder="1" applyAlignment="1" applyProtection="1">
      <alignment horizontal="center" vertical="center"/>
      <protection locked="0"/>
    </xf>
    <xf numFmtId="0" fontId="12" fillId="23" borderId="23" xfId="0" applyFont="1" applyFill="1" applyBorder="1" applyAlignment="1" applyProtection="1">
      <alignment horizontal="center" vertical="center"/>
      <protection locked="0"/>
    </xf>
    <xf numFmtId="0" fontId="12" fillId="23" borderId="34" xfId="0" applyFont="1" applyFill="1" applyBorder="1" applyAlignment="1" applyProtection="1">
      <alignment horizontal="center" vertical="center"/>
      <protection locked="0"/>
    </xf>
    <xf numFmtId="0" fontId="12" fillId="23" borderId="41" xfId="0" applyFont="1" applyFill="1" applyBorder="1" applyAlignment="1" applyProtection="1">
      <alignment horizontal="center" vertical="center"/>
      <protection locked="0"/>
    </xf>
    <xf numFmtId="0" fontId="12" fillId="24" borderId="30" xfId="0" applyFont="1" applyFill="1" applyBorder="1" applyAlignment="1" applyProtection="1">
      <alignment horizontal="center"/>
      <protection locked="0"/>
    </xf>
    <xf numFmtId="0" fontId="12" fillId="24" borderId="27" xfId="0" applyFont="1" applyFill="1" applyBorder="1" applyAlignment="1" applyProtection="1">
      <alignment horizontal="center"/>
      <protection locked="0"/>
    </xf>
    <xf numFmtId="0" fontId="34" fillId="9" borderId="0" xfId="8" applyFill="1" applyProtection="1">
      <protection locked="0"/>
    </xf>
    <xf numFmtId="0" fontId="36" fillId="4" borderId="36" xfId="8" applyFont="1" applyFill="1" applyBorder="1" applyAlignment="1" applyProtection="1">
      <alignment vertical="center"/>
    </xf>
    <xf numFmtId="0" fontId="34" fillId="4" borderId="26" xfId="8" applyFill="1" applyBorder="1" applyProtection="1"/>
    <xf numFmtId="0" fontId="34" fillId="4" borderId="28" xfId="8" applyFill="1" applyBorder="1" applyProtection="1"/>
    <xf numFmtId="0" fontId="0" fillId="4" borderId="37" xfId="0" applyFill="1" applyBorder="1" applyProtection="1"/>
    <xf numFmtId="0" fontId="34" fillId="4" borderId="0" xfId="8" applyFill="1" applyProtection="1"/>
    <xf numFmtId="0" fontId="34" fillId="4" borderId="29" xfId="8" applyFill="1" applyBorder="1" applyProtection="1"/>
    <xf numFmtId="0" fontId="34" fillId="4" borderId="21" xfId="8" applyFill="1" applyBorder="1" applyProtection="1"/>
    <xf numFmtId="0" fontId="24" fillId="4" borderId="21" xfId="7" applyFill="1" applyBorder="1" applyProtection="1"/>
    <xf numFmtId="0" fontId="34" fillId="4" borderId="39" xfId="8" applyFill="1" applyBorder="1" applyProtection="1"/>
    <xf numFmtId="0" fontId="7" fillId="7" borderId="0" xfId="8" applyFont="1" applyFill="1" applyProtection="1">
      <protection locked="0"/>
    </xf>
    <xf numFmtId="2" fontId="7" fillId="7" borderId="2" xfId="8" applyNumberFormat="1" applyFont="1" applyFill="1" applyBorder="1" applyAlignment="1" applyProtection="1">
      <alignment vertical="center"/>
      <protection locked="0"/>
    </xf>
    <xf numFmtId="0" fontId="7" fillId="7" borderId="2" xfId="8" applyFont="1" applyFill="1" applyBorder="1" applyAlignment="1" applyProtection="1">
      <alignment vertical="center"/>
      <protection locked="0"/>
    </xf>
    <xf numFmtId="2" fontId="22" fillId="7" borderId="2" xfId="8" applyNumberFormat="1" applyFont="1" applyFill="1" applyBorder="1" applyAlignment="1" applyProtection="1">
      <alignment vertical="center"/>
      <protection locked="0"/>
    </xf>
    <xf numFmtId="0" fontId="22" fillId="7" borderId="2" xfId="8" applyFont="1" applyFill="1" applyBorder="1" applyProtection="1">
      <protection locked="0"/>
    </xf>
    <xf numFmtId="0" fontId="7" fillId="7" borderId="2" xfId="8" applyFont="1" applyFill="1" applyBorder="1" applyProtection="1">
      <protection locked="0"/>
    </xf>
    <xf numFmtId="0" fontId="32" fillId="7" borderId="2" xfId="8" applyFont="1" applyFill="1" applyBorder="1" applyProtection="1">
      <protection locked="0"/>
    </xf>
    <xf numFmtId="0" fontId="35" fillId="32" borderId="36" xfId="8" applyFont="1" applyFill="1" applyBorder="1" applyAlignment="1" applyProtection="1">
      <alignment horizontal="center" vertical="center" wrapText="1"/>
      <protection locked="0"/>
    </xf>
    <xf numFmtId="0" fontId="34" fillId="32" borderId="26" xfId="8" applyFill="1" applyBorder="1" applyAlignment="1" applyProtection="1">
      <alignment horizontal="center" vertical="center" wrapText="1"/>
      <protection locked="0"/>
    </xf>
    <xf numFmtId="0" fontId="34" fillId="32" borderId="28" xfId="8" applyFill="1" applyBorder="1" applyAlignment="1" applyProtection="1">
      <alignment horizontal="center" vertical="center" wrapText="1"/>
      <protection locked="0"/>
    </xf>
    <xf numFmtId="0" fontId="34" fillId="7" borderId="0" xfId="8" applyFill="1" applyProtection="1">
      <protection locked="0"/>
    </xf>
    <xf numFmtId="0" fontId="26" fillId="7" borderId="2" xfId="8" applyFont="1" applyFill="1" applyBorder="1" applyAlignment="1" applyProtection="1">
      <alignment horizontal="center" vertical="center" wrapText="1"/>
      <protection locked="0"/>
    </xf>
    <xf numFmtId="0" fontId="26" fillId="7" borderId="2" xfId="8" applyFont="1" applyFill="1" applyBorder="1" applyProtection="1">
      <protection locked="0"/>
    </xf>
    <xf numFmtId="0" fontId="26" fillId="7" borderId="0" xfId="8" applyFont="1" applyFill="1" applyProtection="1">
      <protection locked="0"/>
    </xf>
    <xf numFmtId="0" fontId="34" fillId="3" borderId="0" xfId="8" applyFill="1" applyProtection="1">
      <protection locked="0"/>
    </xf>
    <xf numFmtId="0" fontId="34" fillId="32" borderId="37" xfId="8" applyFill="1" applyBorder="1" applyAlignment="1" applyProtection="1">
      <alignment horizontal="center" vertical="center" wrapText="1"/>
      <protection locked="0"/>
    </xf>
    <xf numFmtId="0" fontId="34" fillId="32" borderId="0" xfId="8" applyFill="1" applyAlignment="1" applyProtection="1">
      <alignment horizontal="center" vertical="center" wrapText="1"/>
      <protection locked="0"/>
    </xf>
    <xf numFmtId="0" fontId="34" fillId="32" borderId="29" xfId="8" applyFill="1" applyBorder="1" applyAlignment="1" applyProtection="1">
      <alignment horizontal="center" vertical="center" wrapText="1"/>
      <protection locked="0"/>
    </xf>
    <xf numFmtId="0" fontId="7" fillId="7" borderId="2" xfId="8" applyFont="1" applyFill="1" applyBorder="1" applyAlignment="1" applyProtection="1">
      <alignment horizontal="center" vertical="center"/>
      <protection locked="0"/>
    </xf>
    <xf numFmtId="0" fontId="7" fillId="7" borderId="0" xfId="8" applyFont="1" applyFill="1" applyAlignment="1" applyProtection="1">
      <alignment vertical="center"/>
      <protection locked="0"/>
    </xf>
    <xf numFmtId="0" fontId="1" fillId="7" borderId="0" xfId="8" applyFont="1" applyFill="1" applyProtection="1">
      <protection locked="0"/>
    </xf>
    <xf numFmtId="0" fontId="32" fillId="32" borderId="2" xfId="8" applyFont="1" applyFill="1" applyBorder="1" applyAlignment="1" applyProtection="1">
      <alignment horizontal="center" vertical="center"/>
      <protection locked="0"/>
    </xf>
    <xf numFmtId="0" fontId="1" fillId="32" borderId="2" xfId="8" applyFont="1" applyFill="1" applyBorder="1" applyAlignment="1" applyProtection="1">
      <alignment horizontal="center" vertical="center"/>
      <protection locked="0"/>
    </xf>
    <xf numFmtId="0" fontId="34" fillId="32" borderId="2" xfId="8" applyFill="1" applyBorder="1" applyAlignment="1" applyProtection="1">
      <alignment horizontal="center" vertical="center"/>
      <protection locked="0"/>
    </xf>
    <xf numFmtId="0" fontId="7" fillId="7" borderId="0" xfId="8" applyFont="1" applyFill="1" applyAlignment="1" applyProtection="1">
      <alignment horizontal="left"/>
      <protection locked="0"/>
    </xf>
    <xf numFmtId="0" fontId="32" fillId="32" borderId="14" xfId="8" applyFont="1" applyFill="1" applyBorder="1" applyAlignment="1" applyProtection="1">
      <alignment horizontal="center" vertical="center"/>
      <protection locked="0"/>
    </xf>
    <xf numFmtId="0" fontId="34" fillId="32" borderId="14" xfId="8" applyFill="1" applyBorder="1" applyAlignment="1" applyProtection="1">
      <alignment horizontal="center" vertical="center"/>
      <protection locked="0"/>
    </xf>
    <xf numFmtId="0" fontId="34" fillId="32" borderId="45" xfId="8" applyFill="1" applyBorder="1" applyAlignment="1" applyProtection="1">
      <alignment vertical="center"/>
      <protection locked="0"/>
    </xf>
    <xf numFmtId="0" fontId="34" fillId="32" borderId="45" xfId="8" applyFill="1" applyBorder="1" applyAlignment="1" applyProtection="1">
      <alignment horizontal="center" vertical="center"/>
      <protection locked="0"/>
    </xf>
    <xf numFmtId="0" fontId="26" fillId="7" borderId="42" xfId="8" applyFont="1" applyFill="1" applyBorder="1" applyAlignment="1" applyProtection="1">
      <alignment horizontal="center" vertical="center"/>
      <protection locked="0"/>
    </xf>
    <xf numFmtId="0" fontId="26" fillId="7" borderId="46" xfId="8" applyFont="1" applyFill="1" applyBorder="1" applyAlignment="1" applyProtection="1">
      <alignment horizontal="center" vertical="center"/>
      <protection locked="0"/>
    </xf>
    <xf numFmtId="0" fontId="34" fillId="32" borderId="2" xfId="8" applyFill="1" applyBorder="1" applyAlignment="1" applyProtection="1">
      <alignment vertical="center"/>
      <protection locked="0"/>
    </xf>
    <xf numFmtId="0" fontId="26" fillId="7" borderId="5" xfId="8" applyFont="1" applyFill="1" applyBorder="1" applyAlignment="1" applyProtection="1">
      <alignment horizontal="center" vertical="center"/>
      <protection locked="0"/>
    </xf>
    <xf numFmtId="0" fontId="26" fillId="7" borderId="7" xfId="8" applyFont="1" applyFill="1" applyBorder="1" applyAlignment="1" applyProtection="1">
      <alignment horizontal="center" vertical="center"/>
      <protection locked="0"/>
    </xf>
    <xf numFmtId="0" fontId="7" fillId="7" borderId="44" xfId="8" applyFont="1" applyFill="1" applyBorder="1" applyAlignment="1" applyProtection="1">
      <alignment horizontal="center" vertical="center"/>
      <protection locked="0"/>
    </xf>
    <xf numFmtId="0" fontId="26" fillId="7" borderId="43" xfId="8" applyFont="1" applyFill="1" applyBorder="1" applyAlignment="1" applyProtection="1">
      <alignment horizontal="center" vertical="center"/>
      <protection locked="0"/>
    </xf>
    <xf numFmtId="0" fontId="26" fillId="7" borderId="7" xfId="8" applyFont="1" applyFill="1" applyBorder="1" applyProtection="1">
      <protection locked="0"/>
    </xf>
    <xf numFmtId="0" fontId="7" fillId="7" borderId="8" xfId="8" applyFont="1" applyFill="1" applyBorder="1" applyProtection="1">
      <protection locked="0"/>
    </xf>
    <xf numFmtId="0" fontId="3" fillId="7" borderId="0" xfId="8" applyFont="1" applyFill="1" applyProtection="1">
      <protection locked="0"/>
    </xf>
    <xf numFmtId="0" fontId="1" fillId="33" borderId="9" xfId="8" applyFont="1" applyFill="1" applyBorder="1" applyProtection="1">
      <protection locked="0"/>
    </xf>
    <xf numFmtId="0" fontId="1" fillId="33" borderId="16" xfId="8" applyFont="1" applyFill="1" applyBorder="1" applyProtection="1">
      <protection locked="0"/>
    </xf>
    <xf numFmtId="0" fontId="1" fillId="33" borderId="17" xfId="8" applyFont="1" applyFill="1" applyBorder="1" applyProtection="1">
      <protection locked="0"/>
    </xf>
    <xf numFmtId="0" fontId="34" fillId="32" borderId="14" xfId="8" applyFill="1" applyBorder="1" applyAlignment="1" applyProtection="1">
      <alignment vertical="center"/>
      <protection locked="0"/>
    </xf>
    <xf numFmtId="0" fontId="1" fillId="33" borderId="15" xfId="8" applyFont="1" applyFill="1" applyBorder="1" applyProtection="1">
      <protection locked="0"/>
    </xf>
    <xf numFmtId="0" fontId="1" fillId="33" borderId="0" xfId="8" applyFont="1" applyFill="1" applyProtection="1">
      <protection locked="0"/>
    </xf>
    <xf numFmtId="0" fontId="1" fillId="33" borderId="45" xfId="8" applyFont="1" applyFill="1" applyBorder="1" applyProtection="1">
      <protection locked="0"/>
    </xf>
    <xf numFmtId="0" fontId="1" fillId="33" borderId="25" xfId="8" applyFont="1" applyFill="1" applyBorder="1" applyProtection="1">
      <protection locked="0"/>
    </xf>
    <xf numFmtId="0" fontId="1" fillId="33" borderId="47" xfId="8" applyFont="1" applyFill="1" applyBorder="1" applyProtection="1">
      <protection locked="0"/>
    </xf>
    <xf numFmtId="0" fontId="1" fillId="33" borderId="48" xfId="8" applyFont="1" applyFill="1" applyBorder="1" applyProtection="1">
      <protection locked="0"/>
    </xf>
  </cellXfs>
  <cellStyles count="10">
    <cellStyle name="Comma 2" xfId="6" xr:uid="{F9B49973-7548-43A7-BEB8-3B3653A4D4AC}"/>
    <cellStyle name="Currency 2" xfId="2" xr:uid="{D1F851C0-EE49-475C-BDC2-B111D64F7CCD}"/>
    <cellStyle name="Currency 3" xfId="4" xr:uid="{59AA20E2-CEAB-4168-8CCF-88622D2C2C2D}"/>
    <cellStyle name="Currency 4" xfId="9" xr:uid="{2D751D88-81FA-4FA7-949E-44C730E5B2C8}"/>
    <cellStyle name="Hyperlink" xfId="7" builtinId="8"/>
    <cellStyle name="Normal" xfId="0" builtinId="0"/>
    <cellStyle name="Normal 2" xfId="1" xr:uid="{30ECA19B-CCCD-407F-A5EC-141D20FF1A74}"/>
    <cellStyle name="Normal 3" xfId="8" xr:uid="{9D56CBAB-23AD-4BE3-A575-FAE00D804760}"/>
    <cellStyle name="Percent 2" xfId="3" xr:uid="{33855AE2-9310-43A6-B406-08B5C32B8EEE}"/>
    <cellStyle name="Percent 3" xfId="5" xr:uid="{C57DAFC8-924C-4206-A651-9CC618EBFCC0}"/>
  </cellStyles>
  <dxfs count="35">
    <dxf>
      <numFmt numFmtId="0" formatCode="General"/>
    </dxf>
    <dxf>
      <font>
        <b val="0"/>
        <i val="0"/>
        <strike val="0"/>
        <condense val="0"/>
        <extend val="0"/>
        <outline val="0"/>
        <shadow val="0"/>
        <u val="none"/>
        <vertAlign val="baseline"/>
        <sz val="12"/>
        <color auto="1"/>
        <name val="Calibri"/>
        <family val="2"/>
        <scheme val="minor"/>
      </font>
      <numFmt numFmtId="165" formatCode="&quot;$&quot;#,##0.00_);[Red]\(&quot;$&quot;#,##0.00\)"/>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auto="1"/>
        <name val="Calibri"/>
        <family val="2"/>
        <scheme val="minor"/>
      </font>
      <numFmt numFmtId="19" formatCode="dd/mm/yyyy"/>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dxf>
    <dxf>
      <font>
        <color rgb="FF006100"/>
      </font>
      <fill>
        <patternFill>
          <bgColor rgb="FFC6EFCE"/>
        </patternFill>
      </fill>
    </dxf>
    <dxf>
      <font>
        <color rgb="FF9C0006"/>
      </font>
      <fill>
        <patternFill>
          <bgColor rgb="FFFFC7CE"/>
        </patternFill>
      </fill>
    </dxf>
    <dxf>
      <fill>
        <patternFill patternType="solid">
          <fgColor indexed="64"/>
          <bgColor theme="7" tint="0.79998168889431442"/>
        </patternFill>
      </fill>
      <border diagonalUp="0" diagonalDown="0" outline="0">
        <left style="thin">
          <color indexed="64"/>
        </left>
        <right/>
        <top/>
        <bottom/>
      </border>
    </dxf>
    <dxf>
      <numFmt numFmtId="0" formatCode="General"/>
      <fill>
        <patternFill patternType="solid">
          <fgColor indexed="64"/>
          <bgColor theme="7" tint="0.79998168889431442"/>
        </patternFill>
      </fill>
    </dxf>
    <dxf>
      <fill>
        <patternFill patternType="solid">
          <fgColor indexed="64"/>
          <bgColor theme="7" tint="0.79998168889431442"/>
        </patternFill>
      </fill>
      <border diagonalUp="0" diagonalDown="0" outline="0">
        <left style="thin">
          <color indexed="64"/>
        </left>
        <right/>
        <top/>
        <bottom/>
      </border>
    </dxf>
    <dxf>
      <numFmt numFmtId="0" formatCode="General"/>
      <fill>
        <patternFill patternType="solid">
          <fgColor indexed="64"/>
          <bgColor theme="7" tint="0.79998168889431442"/>
        </patternFill>
      </fill>
      <border diagonalUp="0" diagonalDown="0">
        <left style="thin">
          <color indexed="64"/>
        </left>
        <right/>
        <top style="thin">
          <color indexed="64"/>
        </top>
        <bottom/>
        <vertical/>
        <horizontal/>
      </border>
    </dxf>
    <dxf>
      <numFmt numFmtId="165" formatCode="&quot;$&quot;#,##0.00_);[Red]\(&quot;$&quot;#,##0.00\)"/>
      <fill>
        <patternFill patternType="solid">
          <fgColor indexed="64"/>
          <bgColor theme="7" tint="0.79998168889431442"/>
        </patternFill>
      </fill>
      <border diagonalUp="0" diagonalDown="0" outline="0">
        <left style="thin">
          <color indexed="64"/>
        </left>
        <right/>
        <top/>
        <bottom/>
      </border>
    </dxf>
    <dxf>
      <numFmt numFmtId="165" formatCode="&quot;$&quot;#,##0.00_);[Red]\(&quot;$&quot;#,##0.00\)"/>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right/>
        <top/>
        <bottom/>
      </border>
    </dxf>
    <dxf>
      <fill>
        <patternFill patternType="solid">
          <fgColor indexed="64"/>
          <bgColor theme="7" tint="0.79998168889431442"/>
        </patternFill>
      </fill>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dxf>
    <dxf>
      <font>
        <b/>
        <i val="0"/>
        <strike val="0"/>
        <condense val="0"/>
        <extend val="0"/>
        <outline val="0"/>
        <shadow val="0"/>
        <u val="none"/>
        <vertAlign val="baseline"/>
        <sz val="11"/>
        <color auto="1"/>
        <name val="Calibri"/>
        <family val="2"/>
        <scheme val="none"/>
      </font>
      <fill>
        <patternFill patternType="solid">
          <fgColor indexed="64"/>
          <bgColor theme="7" tint="0.79998168889431442"/>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7/relationships/slicerCache" Target="slicerCaches/slicerCache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[Spreadsheet modeling(20 sheets).xlsm]pivot!PivotTable1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pivot!$O$2:$O$4</c:f>
              <c:strCache>
                <c:ptCount val="1"/>
                <c:pt idx="0">
                  <c:v>Jack - Sum of Units</c:v>
                </c:pt>
              </c:strCache>
            </c:strRef>
          </c:tx>
          <c:spPr>
            <a:solidFill>
              <a:schemeClr val="accent1"/>
            </a:solidFill>
            <a:ln>
              <a:noFill/>
            </a:ln>
            <a:effectLst/>
          </c:spPr>
          <c:invertIfNegative val="0"/>
          <c:cat>
            <c:strRef>
              <c:f>pivot!$N$5:$N$14</c:f>
              <c:strCache>
                <c:ptCount val="9"/>
                <c:pt idx="0">
                  <c:v>Hat</c:v>
                </c:pt>
                <c:pt idx="1">
                  <c:v>Hoddie</c:v>
                </c:pt>
                <c:pt idx="2">
                  <c:v>Jacket</c:v>
                </c:pt>
                <c:pt idx="3">
                  <c:v>Jeans</c:v>
                </c:pt>
                <c:pt idx="4">
                  <c:v>Purse</c:v>
                </c:pt>
                <c:pt idx="5">
                  <c:v>Scarf</c:v>
                </c:pt>
                <c:pt idx="6">
                  <c:v>Skirt</c:v>
                </c:pt>
                <c:pt idx="7">
                  <c:v>Sweater</c:v>
                </c:pt>
                <c:pt idx="8">
                  <c:v>T-Shirt</c:v>
                </c:pt>
              </c:strCache>
            </c:strRef>
          </c:cat>
          <c:val>
            <c:numRef>
              <c:f>pivot!$O$5:$O$14</c:f>
              <c:numCache>
                <c:formatCode>General</c:formatCode>
                <c:ptCount val="9"/>
                <c:pt idx="0">
                  <c:v>721</c:v>
                </c:pt>
                <c:pt idx="1">
                  <c:v>471</c:v>
                </c:pt>
                <c:pt idx="2">
                  <c:v>591</c:v>
                </c:pt>
                <c:pt idx="3">
                  <c:v>1182</c:v>
                </c:pt>
                <c:pt idx="4">
                  <c:v>914</c:v>
                </c:pt>
                <c:pt idx="5">
                  <c:v>442</c:v>
                </c:pt>
                <c:pt idx="6">
                  <c:v>684</c:v>
                </c:pt>
                <c:pt idx="7">
                  <c:v>555</c:v>
                </c:pt>
                <c:pt idx="8">
                  <c:v>1286</c:v>
                </c:pt>
              </c:numCache>
            </c:numRef>
          </c:val>
          <c:extLst>
            <c:ext xmlns:c16="http://schemas.microsoft.com/office/drawing/2014/chart" uri="{C3380CC4-5D6E-409C-BE32-E72D297353CC}">
              <c16:uniqueId val="{00000000-5357-40DE-AF4B-C62241C771DD}"/>
            </c:ext>
          </c:extLst>
        </c:ser>
        <c:ser>
          <c:idx val="1"/>
          <c:order val="1"/>
          <c:tx>
            <c:strRef>
              <c:f>pivot!$P$2:$P$4</c:f>
              <c:strCache>
                <c:ptCount val="1"/>
                <c:pt idx="0">
                  <c:v>Jack - Sum of Total Sales</c:v>
                </c:pt>
              </c:strCache>
            </c:strRef>
          </c:tx>
          <c:spPr>
            <a:solidFill>
              <a:schemeClr val="accent2"/>
            </a:solidFill>
            <a:ln>
              <a:noFill/>
            </a:ln>
            <a:effectLst/>
          </c:spPr>
          <c:invertIfNegative val="0"/>
          <c:cat>
            <c:strRef>
              <c:f>pivot!$N$5:$N$14</c:f>
              <c:strCache>
                <c:ptCount val="9"/>
                <c:pt idx="0">
                  <c:v>Hat</c:v>
                </c:pt>
                <c:pt idx="1">
                  <c:v>Hoddie</c:v>
                </c:pt>
                <c:pt idx="2">
                  <c:v>Jacket</c:v>
                </c:pt>
                <c:pt idx="3">
                  <c:v>Jeans</c:v>
                </c:pt>
                <c:pt idx="4">
                  <c:v>Purse</c:v>
                </c:pt>
                <c:pt idx="5">
                  <c:v>Scarf</c:v>
                </c:pt>
                <c:pt idx="6">
                  <c:v>Skirt</c:v>
                </c:pt>
                <c:pt idx="7">
                  <c:v>Sweater</c:v>
                </c:pt>
                <c:pt idx="8">
                  <c:v>T-Shirt</c:v>
                </c:pt>
              </c:strCache>
            </c:strRef>
          </c:cat>
          <c:val>
            <c:numRef>
              <c:f>pivot!$P$5:$P$14</c:f>
              <c:numCache>
                <c:formatCode>"$"#,##0.00_);[Red]\("$"#,##0.00\)</c:formatCode>
                <c:ptCount val="9"/>
                <c:pt idx="0">
                  <c:v>31394</c:v>
                </c:pt>
                <c:pt idx="1">
                  <c:v>17746</c:v>
                </c:pt>
                <c:pt idx="2">
                  <c:v>24868</c:v>
                </c:pt>
                <c:pt idx="3">
                  <c:v>47484</c:v>
                </c:pt>
                <c:pt idx="4">
                  <c:v>34581</c:v>
                </c:pt>
                <c:pt idx="5">
                  <c:v>19141</c:v>
                </c:pt>
                <c:pt idx="6">
                  <c:v>31697</c:v>
                </c:pt>
                <c:pt idx="7">
                  <c:v>24807</c:v>
                </c:pt>
                <c:pt idx="8">
                  <c:v>52699</c:v>
                </c:pt>
              </c:numCache>
            </c:numRef>
          </c:val>
          <c:extLst>
            <c:ext xmlns:c16="http://schemas.microsoft.com/office/drawing/2014/chart" uri="{C3380CC4-5D6E-409C-BE32-E72D297353CC}">
              <c16:uniqueId val="{00000001-5357-40DE-AF4B-C62241C771DD}"/>
            </c:ext>
          </c:extLst>
        </c:ser>
        <c:dLbls>
          <c:showLegendKey val="0"/>
          <c:showVal val="0"/>
          <c:showCatName val="0"/>
          <c:showSerName val="0"/>
          <c:showPercent val="0"/>
          <c:showBubbleSize val="0"/>
        </c:dLbls>
        <c:gapWidth val="219"/>
        <c:overlap val="-27"/>
        <c:axId val="444829167"/>
        <c:axId val="444835887"/>
      </c:barChart>
      <c:catAx>
        <c:axId val="44482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835887"/>
        <c:crosses val="autoZero"/>
        <c:auto val="1"/>
        <c:lblAlgn val="ctr"/>
        <c:lblOffset val="100"/>
        <c:noMultiLvlLbl val="0"/>
      </c:catAx>
      <c:valAx>
        <c:axId val="4448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829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Log!$A$1</c:f>
              <c:strCache>
                <c:ptCount val="1"/>
                <c:pt idx="0">
                  <c:v>Data</c:v>
                </c:pt>
              </c:strCache>
            </c:strRef>
          </c:tx>
          <c:spPr>
            <a:ln w="28575" cap="rnd">
              <a:solidFill>
                <a:schemeClr val="accent1"/>
              </a:solidFill>
              <a:round/>
            </a:ln>
            <a:effectLst/>
          </c:spPr>
          <c:marker>
            <c:symbol val="none"/>
          </c:marker>
          <c:val>
            <c:numRef>
              <c:f>Log!$A$2:$A$401</c:f>
              <c:numCache>
                <c:formatCode>General</c:formatCode>
                <c:ptCount val="400"/>
                <c:pt idx="0">
                  <c:v>28.6</c:v>
                </c:pt>
                <c:pt idx="1">
                  <c:v>32.299999999999997</c:v>
                </c:pt>
                <c:pt idx="2">
                  <c:v>51.3</c:v>
                </c:pt>
                <c:pt idx="3">
                  <c:v>56.6</c:v>
                </c:pt>
                <c:pt idx="4">
                  <c:v>69.3</c:v>
                </c:pt>
                <c:pt idx="5">
                  <c:v>84.8</c:v>
                </c:pt>
                <c:pt idx="6">
                  <c:v>92.3</c:v>
                </c:pt>
                <c:pt idx="7">
                  <c:v>122.1</c:v>
                </c:pt>
                <c:pt idx="8">
                  <c:v>124.2</c:v>
                </c:pt>
                <c:pt idx="9">
                  <c:v>126.5</c:v>
                </c:pt>
                <c:pt idx="10">
                  <c:v>137.6</c:v>
                </c:pt>
                <c:pt idx="11">
                  <c:v>164.3</c:v>
                </c:pt>
                <c:pt idx="12">
                  <c:v>187</c:v>
                </c:pt>
                <c:pt idx="13">
                  <c:v>195.4</c:v>
                </c:pt>
                <c:pt idx="14">
                  <c:v>197</c:v>
                </c:pt>
                <c:pt idx="15">
                  <c:v>204</c:v>
                </c:pt>
                <c:pt idx="16">
                  <c:v>205.1</c:v>
                </c:pt>
                <c:pt idx="17">
                  <c:v>205.7</c:v>
                </c:pt>
                <c:pt idx="18">
                  <c:v>260.89999999999998</c:v>
                </c:pt>
                <c:pt idx="19">
                  <c:v>270.7</c:v>
                </c:pt>
                <c:pt idx="20">
                  <c:v>278.89999999999998</c:v>
                </c:pt>
                <c:pt idx="21">
                  <c:v>313.7</c:v>
                </c:pt>
                <c:pt idx="22">
                  <c:v>324.10000000000002</c:v>
                </c:pt>
                <c:pt idx="23">
                  <c:v>330.7</c:v>
                </c:pt>
                <c:pt idx="24">
                  <c:v>346.1</c:v>
                </c:pt>
                <c:pt idx="25">
                  <c:v>349.1</c:v>
                </c:pt>
                <c:pt idx="26">
                  <c:v>359.4</c:v>
                </c:pt>
                <c:pt idx="27">
                  <c:v>362.1</c:v>
                </c:pt>
                <c:pt idx="28">
                  <c:v>363.3</c:v>
                </c:pt>
                <c:pt idx="29">
                  <c:v>364.2</c:v>
                </c:pt>
                <c:pt idx="30">
                  <c:v>366.7</c:v>
                </c:pt>
                <c:pt idx="31">
                  <c:v>377.2</c:v>
                </c:pt>
                <c:pt idx="32">
                  <c:v>405.4</c:v>
                </c:pt>
                <c:pt idx="33">
                  <c:v>410.2</c:v>
                </c:pt>
                <c:pt idx="34">
                  <c:v>425.5</c:v>
                </c:pt>
                <c:pt idx="35">
                  <c:v>426.4</c:v>
                </c:pt>
                <c:pt idx="36">
                  <c:v>430.3</c:v>
                </c:pt>
                <c:pt idx="37">
                  <c:v>439.5</c:v>
                </c:pt>
                <c:pt idx="38">
                  <c:v>443.3</c:v>
                </c:pt>
                <c:pt idx="39">
                  <c:v>455.6</c:v>
                </c:pt>
                <c:pt idx="40">
                  <c:v>459.5</c:v>
                </c:pt>
                <c:pt idx="41">
                  <c:v>463.8</c:v>
                </c:pt>
                <c:pt idx="42">
                  <c:v>470.6</c:v>
                </c:pt>
                <c:pt idx="43">
                  <c:v>485.3</c:v>
                </c:pt>
                <c:pt idx="44">
                  <c:v>485.8</c:v>
                </c:pt>
                <c:pt idx="45">
                  <c:v>503.2</c:v>
                </c:pt>
                <c:pt idx="46">
                  <c:v>509.2</c:v>
                </c:pt>
                <c:pt idx="47">
                  <c:v>512.9</c:v>
                </c:pt>
                <c:pt idx="48">
                  <c:v>518</c:v>
                </c:pt>
                <c:pt idx="49">
                  <c:v>525.4</c:v>
                </c:pt>
                <c:pt idx="50">
                  <c:v>536.4</c:v>
                </c:pt>
                <c:pt idx="51">
                  <c:v>542.9</c:v>
                </c:pt>
                <c:pt idx="52">
                  <c:v>547.1</c:v>
                </c:pt>
                <c:pt idx="53">
                  <c:v>560.1</c:v>
                </c:pt>
                <c:pt idx="54">
                  <c:v>598.29999999999995</c:v>
                </c:pt>
                <c:pt idx="55">
                  <c:v>604</c:v>
                </c:pt>
                <c:pt idx="56">
                  <c:v>610.9</c:v>
                </c:pt>
                <c:pt idx="57">
                  <c:v>618.5</c:v>
                </c:pt>
                <c:pt idx="58">
                  <c:v>683.6</c:v>
                </c:pt>
                <c:pt idx="59">
                  <c:v>693.1</c:v>
                </c:pt>
                <c:pt idx="60">
                  <c:v>717.6</c:v>
                </c:pt>
                <c:pt idx="61">
                  <c:v>733.4</c:v>
                </c:pt>
                <c:pt idx="62">
                  <c:v>742.6</c:v>
                </c:pt>
                <c:pt idx="63">
                  <c:v>743.7</c:v>
                </c:pt>
                <c:pt idx="64">
                  <c:v>751.1</c:v>
                </c:pt>
                <c:pt idx="65">
                  <c:v>751.4</c:v>
                </c:pt>
                <c:pt idx="66">
                  <c:v>773.2</c:v>
                </c:pt>
                <c:pt idx="67">
                  <c:v>787.2</c:v>
                </c:pt>
                <c:pt idx="68">
                  <c:v>787.5</c:v>
                </c:pt>
                <c:pt idx="69">
                  <c:v>794.7</c:v>
                </c:pt>
                <c:pt idx="70">
                  <c:v>798.5</c:v>
                </c:pt>
                <c:pt idx="71">
                  <c:v>803.3</c:v>
                </c:pt>
                <c:pt idx="72">
                  <c:v>812.8</c:v>
                </c:pt>
                <c:pt idx="73">
                  <c:v>821.1</c:v>
                </c:pt>
                <c:pt idx="74">
                  <c:v>836.6</c:v>
                </c:pt>
                <c:pt idx="75">
                  <c:v>838.5</c:v>
                </c:pt>
                <c:pt idx="76">
                  <c:v>848.8</c:v>
                </c:pt>
                <c:pt idx="77">
                  <c:v>856.5</c:v>
                </c:pt>
                <c:pt idx="78">
                  <c:v>862.3</c:v>
                </c:pt>
                <c:pt idx="79">
                  <c:v>875</c:v>
                </c:pt>
                <c:pt idx="80">
                  <c:v>875.6</c:v>
                </c:pt>
                <c:pt idx="81">
                  <c:v>886.8</c:v>
                </c:pt>
                <c:pt idx="82">
                  <c:v>912.2</c:v>
                </c:pt>
                <c:pt idx="83">
                  <c:v>933.8</c:v>
                </c:pt>
                <c:pt idx="84">
                  <c:v>973.2</c:v>
                </c:pt>
                <c:pt idx="85">
                  <c:v>975.2</c:v>
                </c:pt>
                <c:pt idx="86">
                  <c:v>975.9</c:v>
                </c:pt>
                <c:pt idx="87">
                  <c:v>978.7</c:v>
                </c:pt>
                <c:pt idx="88">
                  <c:v>979.6</c:v>
                </c:pt>
                <c:pt idx="89">
                  <c:v>990.1</c:v>
                </c:pt>
                <c:pt idx="90">
                  <c:v>991.2</c:v>
                </c:pt>
                <c:pt idx="91">
                  <c:v>995.4</c:v>
                </c:pt>
                <c:pt idx="92">
                  <c:v>1003.1</c:v>
                </c:pt>
                <c:pt idx="93">
                  <c:v>1014.2</c:v>
                </c:pt>
                <c:pt idx="94">
                  <c:v>1033.3</c:v>
                </c:pt>
                <c:pt idx="95">
                  <c:v>1040.9000000000001</c:v>
                </c:pt>
                <c:pt idx="96">
                  <c:v>1045.7</c:v>
                </c:pt>
                <c:pt idx="97">
                  <c:v>1068</c:v>
                </c:pt>
                <c:pt idx="98">
                  <c:v>1081.9000000000001</c:v>
                </c:pt>
                <c:pt idx="99">
                  <c:v>1087.8</c:v>
                </c:pt>
                <c:pt idx="100">
                  <c:v>1088.9000000000001</c:v>
                </c:pt>
                <c:pt idx="101">
                  <c:v>1099.0999999999999</c:v>
                </c:pt>
                <c:pt idx="102">
                  <c:v>1108.4000000000001</c:v>
                </c:pt>
                <c:pt idx="103">
                  <c:v>1110.5999999999999</c:v>
                </c:pt>
                <c:pt idx="104">
                  <c:v>1127.3</c:v>
                </c:pt>
                <c:pt idx="105">
                  <c:v>1130.3</c:v>
                </c:pt>
                <c:pt idx="106">
                  <c:v>1133.8</c:v>
                </c:pt>
                <c:pt idx="107">
                  <c:v>1153.5</c:v>
                </c:pt>
                <c:pt idx="108">
                  <c:v>1167.3</c:v>
                </c:pt>
                <c:pt idx="109">
                  <c:v>1170.9000000000001</c:v>
                </c:pt>
                <c:pt idx="110">
                  <c:v>1184.9000000000001</c:v>
                </c:pt>
                <c:pt idx="111">
                  <c:v>1185.4000000000001</c:v>
                </c:pt>
                <c:pt idx="112">
                  <c:v>1187.9000000000001</c:v>
                </c:pt>
                <c:pt idx="113">
                  <c:v>1231.8</c:v>
                </c:pt>
                <c:pt idx="114">
                  <c:v>1241.4000000000001</c:v>
                </c:pt>
                <c:pt idx="115">
                  <c:v>1243.9000000000001</c:v>
                </c:pt>
                <c:pt idx="116">
                  <c:v>1274.0999999999999</c:v>
                </c:pt>
                <c:pt idx="117">
                  <c:v>1287.2</c:v>
                </c:pt>
                <c:pt idx="118">
                  <c:v>1311</c:v>
                </c:pt>
                <c:pt idx="119">
                  <c:v>1330.1</c:v>
                </c:pt>
                <c:pt idx="120">
                  <c:v>1331.2</c:v>
                </c:pt>
                <c:pt idx="121">
                  <c:v>1339</c:v>
                </c:pt>
                <c:pt idx="122">
                  <c:v>1348</c:v>
                </c:pt>
                <c:pt idx="123">
                  <c:v>1364.5</c:v>
                </c:pt>
                <c:pt idx="124">
                  <c:v>1365.9</c:v>
                </c:pt>
                <c:pt idx="125">
                  <c:v>1377.2</c:v>
                </c:pt>
                <c:pt idx="126">
                  <c:v>1381.8</c:v>
                </c:pt>
                <c:pt idx="127">
                  <c:v>1397.4</c:v>
                </c:pt>
                <c:pt idx="128">
                  <c:v>1432.1</c:v>
                </c:pt>
                <c:pt idx="129">
                  <c:v>1447.7</c:v>
                </c:pt>
                <c:pt idx="130">
                  <c:v>1468.1</c:v>
                </c:pt>
                <c:pt idx="131">
                  <c:v>1491.8</c:v>
                </c:pt>
                <c:pt idx="132">
                  <c:v>1556.5</c:v>
                </c:pt>
                <c:pt idx="133">
                  <c:v>1563</c:v>
                </c:pt>
                <c:pt idx="134">
                  <c:v>1563.4</c:v>
                </c:pt>
                <c:pt idx="135">
                  <c:v>1566.6</c:v>
                </c:pt>
                <c:pt idx="136">
                  <c:v>1571.9</c:v>
                </c:pt>
                <c:pt idx="137">
                  <c:v>1574.7</c:v>
                </c:pt>
                <c:pt idx="138">
                  <c:v>1611.6</c:v>
                </c:pt>
                <c:pt idx="139">
                  <c:v>1631.8</c:v>
                </c:pt>
                <c:pt idx="140">
                  <c:v>1654.8</c:v>
                </c:pt>
                <c:pt idx="141">
                  <c:v>1662.2</c:v>
                </c:pt>
                <c:pt idx="142">
                  <c:v>1735.2</c:v>
                </c:pt>
                <c:pt idx="143">
                  <c:v>1764.3</c:v>
                </c:pt>
                <c:pt idx="144">
                  <c:v>1780.5</c:v>
                </c:pt>
                <c:pt idx="145">
                  <c:v>1805.1</c:v>
                </c:pt>
                <c:pt idx="146">
                  <c:v>1822.2</c:v>
                </c:pt>
                <c:pt idx="147">
                  <c:v>1841.3</c:v>
                </c:pt>
                <c:pt idx="148">
                  <c:v>1843.5</c:v>
                </c:pt>
                <c:pt idx="149">
                  <c:v>1885.3</c:v>
                </c:pt>
                <c:pt idx="150">
                  <c:v>1887.8</c:v>
                </c:pt>
                <c:pt idx="151">
                  <c:v>1922.1</c:v>
                </c:pt>
                <c:pt idx="152">
                  <c:v>1990.7</c:v>
                </c:pt>
                <c:pt idx="153">
                  <c:v>2011.7</c:v>
                </c:pt>
                <c:pt idx="154">
                  <c:v>2022.2</c:v>
                </c:pt>
                <c:pt idx="155">
                  <c:v>2035.7</c:v>
                </c:pt>
                <c:pt idx="156">
                  <c:v>2067.1999999999998</c:v>
                </c:pt>
                <c:pt idx="157">
                  <c:v>2068.9</c:v>
                </c:pt>
                <c:pt idx="158">
                  <c:v>2086.9</c:v>
                </c:pt>
                <c:pt idx="159">
                  <c:v>2094.5</c:v>
                </c:pt>
                <c:pt idx="160">
                  <c:v>2102.4</c:v>
                </c:pt>
                <c:pt idx="161">
                  <c:v>2115.4</c:v>
                </c:pt>
                <c:pt idx="162">
                  <c:v>2121.3000000000002</c:v>
                </c:pt>
                <c:pt idx="163">
                  <c:v>2142.9</c:v>
                </c:pt>
                <c:pt idx="164">
                  <c:v>2148.1999999999998</c:v>
                </c:pt>
                <c:pt idx="165">
                  <c:v>2236.1</c:v>
                </c:pt>
                <c:pt idx="166">
                  <c:v>2307.9</c:v>
                </c:pt>
                <c:pt idx="167">
                  <c:v>2330</c:v>
                </c:pt>
                <c:pt idx="168">
                  <c:v>2331.4</c:v>
                </c:pt>
                <c:pt idx="169">
                  <c:v>2334.6</c:v>
                </c:pt>
                <c:pt idx="170">
                  <c:v>2388.4</c:v>
                </c:pt>
                <c:pt idx="171">
                  <c:v>2418.6999999999998</c:v>
                </c:pt>
                <c:pt idx="172">
                  <c:v>2428.3000000000002</c:v>
                </c:pt>
                <c:pt idx="173">
                  <c:v>2435</c:v>
                </c:pt>
                <c:pt idx="174">
                  <c:v>2462</c:v>
                </c:pt>
                <c:pt idx="175">
                  <c:v>2494.6</c:v>
                </c:pt>
                <c:pt idx="176">
                  <c:v>2519.8000000000002</c:v>
                </c:pt>
                <c:pt idx="177">
                  <c:v>2527.6999999999998</c:v>
                </c:pt>
                <c:pt idx="178">
                  <c:v>2529.6999999999998</c:v>
                </c:pt>
                <c:pt idx="179">
                  <c:v>2538.5</c:v>
                </c:pt>
                <c:pt idx="180">
                  <c:v>2577.5</c:v>
                </c:pt>
                <c:pt idx="181">
                  <c:v>2606.1</c:v>
                </c:pt>
                <c:pt idx="182">
                  <c:v>2630.3</c:v>
                </c:pt>
                <c:pt idx="183">
                  <c:v>2652.8</c:v>
                </c:pt>
                <c:pt idx="184">
                  <c:v>2699.9</c:v>
                </c:pt>
                <c:pt idx="185">
                  <c:v>2727</c:v>
                </c:pt>
                <c:pt idx="186">
                  <c:v>2739.6</c:v>
                </c:pt>
                <c:pt idx="187">
                  <c:v>2749.4</c:v>
                </c:pt>
                <c:pt idx="188">
                  <c:v>2825.9</c:v>
                </c:pt>
                <c:pt idx="189">
                  <c:v>2831.4</c:v>
                </c:pt>
                <c:pt idx="190">
                  <c:v>2848.7</c:v>
                </c:pt>
                <c:pt idx="191">
                  <c:v>2877.9</c:v>
                </c:pt>
                <c:pt idx="192">
                  <c:v>2918.8</c:v>
                </c:pt>
                <c:pt idx="193">
                  <c:v>2926.2</c:v>
                </c:pt>
                <c:pt idx="194">
                  <c:v>2940.4</c:v>
                </c:pt>
                <c:pt idx="195">
                  <c:v>2967.8</c:v>
                </c:pt>
                <c:pt idx="196">
                  <c:v>3059.5</c:v>
                </c:pt>
                <c:pt idx="197">
                  <c:v>3127.3</c:v>
                </c:pt>
                <c:pt idx="198">
                  <c:v>3171</c:v>
                </c:pt>
                <c:pt idx="199">
                  <c:v>3171</c:v>
                </c:pt>
                <c:pt idx="200">
                  <c:v>3210.2</c:v>
                </c:pt>
                <c:pt idx="201">
                  <c:v>3259.7</c:v>
                </c:pt>
                <c:pt idx="202">
                  <c:v>3269.1</c:v>
                </c:pt>
                <c:pt idx="203">
                  <c:v>3280.7</c:v>
                </c:pt>
                <c:pt idx="204">
                  <c:v>3311.1</c:v>
                </c:pt>
                <c:pt idx="205">
                  <c:v>3397.9</c:v>
                </c:pt>
                <c:pt idx="206">
                  <c:v>3419.1</c:v>
                </c:pt>
                <c:pt idx="207">
                  <c:v>3427.8</c:v>
                </c:pt>
                <c:pt idx="208">
                  <c:v>3456</c:v>
                </c:pt>
                <c:pt idx="209">
                  <c:v>3457.2</c:v>
                </c:pt>
                <c:pt idx="210">
                  <c:v>3488.8</c:v>
                </c:pt>
                <c:pt idx="211">
                  <c:v>3500.5</c:v>
                </c:pt>
                <c:pt idx="212">
                  <c:v>3540.8</c:v>
                </c:pt>
                <c:pt idx="213">
                  <c:v>3562.9</c:v>
                </c:pt>
                <c:pt idx="214">
                  <c:v>3629</c:v>
                </c:pt>
                <c:pt idx="215">
                  <c:v>3672.6</c:v>
                </c:pt>
                <c:pt idx="216">
                  <c:v>3694.4</c:v>
                </c:pt>
                <c:pt idx="217">
                  <c:v>3718.9</c:v>
                </c:pt>
                <c:pt idx="218">
                  <c:v>3725.8</c:v>
                </c:pt>
                <c:pt idx="219">
                  <c:v>3737.9</c:v>
                </c:pt>
                <c:pt idx="220">
                  <c:v>3814.2</c:v>
                </c:pt>
                <c:pt idx="221">
                  <c:v>3850.8</c:v>
                </c:pt>
                <c:pt idx="222">
                  <c:v>4055.3</c:v>
                </c:pt>
                <c:pt idx="223">
                  <c:v>4134.6000000000004</c:v>
                </c:pt>
                <c:pt idx="224">
                  <c:v>4156.5</c:v>
                </c:pt>
                <c:pt idx="225">
                  <c:v>4170.7</c:v>
                </c:pt>
                <c:pt idx="226">
                  <c:v>4198.8</c:v>
                </c:pt>
                <c:pt idx="227">
                  <c:v>4315.3999999999996</c:v>
                </c:pt>
                <c:pt idx="228">
                  <c:v>4329.7</c:v>
                </c:pt>
                <c:pt idx="229">
                  <c:v>4579.1000000000004</c:v>
                </c:pt>
                <c:pt idx="230">
                  <c:v>4614.8999999999996</c:v>
                </c:pt>
                <c:pt idx="231">
                  <c:v>4651.5</c:v>
                </c:pt>
                <c:pt idx="232">
                  <c:v>4884.8</c:v>
                </c:pt>
                <c:pt idx="233">
                  <c:v>4922.8</c:v>
                </c:pt>
                <c:pt idx="234">
                  <c:v>4933.6000000000004</c:v>
                </c:pt>
                <c:pt idx="235">
                  <c:v>4983</c:v>
                </c:pt>
                <c:pt idx="236">
                  <c:v>4989.7</c:v>
                </c:pt>
                <c:pt idx="237">
                  <c:v>5015.8999999999996</c:v>
                </c:pt>
                <c:pt idx="238">
                  <c:v>5116.7</c:v>
                </c:pt>
                <c:pt idx="239">
                  <c:v>5140.6000000000004</c:v>
                </c:pt>
                <c:pt idx="240">
                  <c:v>5271.2</c:v>
                </c:pt>
                <c:pt idx="241">
                  <c:v>5336.1</c:v>
                </c:pt>
                <c:pt idx="242">
                  <c:v>5405.9</c:v>
                </c:pt>
                <c:pt idx="243">
                  <c:v>5429.5</c:v>
                </c:pt>
                <c:pt idx="244">
                  <c:v>5431.5</c:v>
                </c:pt>
                <c:pt idx="245">
                  <c:v>5491.4</c:v>
                </c:pt>
                <c:pt idx="246">
                  <c:v>5704.6</c:v>
                </c:pt>
                <c:pt idx="247">
                  <c:v>5729.1</c:v>
                </c:pt>
                <c:pt idx="248">
                  <c:v>5757.4</c:v>
                </c:pt>
                <c:pt idx="249">
                  <c:v>5807.9</c:v>
                </c:pt>
                <c:pt idx="250">
                  <c:v>5816.7</c:v>
                </c:pt>
                <c:pt idx="251">
                  <c:v>6040.3</c:v>
                </c:pt>
                <c:pt idx="252">
                  <c:v>6148.5</c:v>
                </c:pt>
                <c:pt idx="253">
                  <c:v>6185.1</c:v>
                </c:pt>
                <c:pt idx="254">
                  <c:v>6185.9</c:v>
                </c:pt>
                <c:pt idx="255">
                  <c:v>6199.5</c:v>
                </c:pt>
                <c:pt idx="256">
                  <c:v>6220.4</c:v>
                </c:pt>
                <c:pt idx="257">
                  <c:v>6327.8</c:v>
                </c:pt>
                <c:pt idx="258">
                  <c:v>6355.1</c:v>
                </c:pt>
                <c:pt idx="259">
                  <c:v>6361.7</c:v>
                </c:pt>
                <c:pt idx="260">
                  <c:v>6444.5</c:v>
                </c:pt>
                <c:pt idx="261">
                  <c:v>6494.6</c:v>
                </c:pt>
                <c:pt idx="262">
                  <c:v>6557.2</c:v>
                </c:pt>
                <c:pt idx="263">
                  <c:v>6645.3</c:v>
                </c:pt>
                <c:pt idx="264">
                  <c:v>6647.9</c:v>
                </c:pt>
                <c:pt idx="265">
                  <c:v>6792.6</c:v>
                </c:pt>
                <c:pt idx="266">
                  <c:v>6840</c:v>
                </c:pt>
                <c:pt idx="267">
                  <c:v>6880.4</c:v>
                </c:pt>
                <c:pt idx="268">
                  <c:v>6894.2</c:v>
                </c:pt>
                <c:pt idx="269">
                  <c:v>6967.8</c:v>
                </c:pt>
                <c:pt idx="270">
                  <c:v>7353.6</c:v>
                </c:pt>
                <c:pt idx="271">
                  <c:v>7383</c:v>
                </c:pt>
                <c:pt idx="272">
                  <c:v>7497.2</c:v>
                </c:pt>
                <c:pt idx="273">
                  <c:v>7554.6</c:v>
                </c:pt>
                <c:pt idx="274">
                  <c:v>7601.1</c:v>
                </c:pt>
                <c:pt idx="275">
                  <c:v>7887.2</c:v>
                </c:pt>
                <c:pt idx="276">
                  <c:v>7914</c:v>
                </c:pt>
                <c:pt idx="277">
                  <c:v>8044.6</c:v>
                </c:pt>
                <c:pt idx="278">
                  <c:v>8067.7</c:v>
                </c:pt>
                <c:pt idx="279">
                  <c:v>8090.8</c:v>
                </c:pt>
                <c:pt idx="280">
                  <c:v>8100.1</c:v>
                </c:pt>
                <c:pt idx="281">
                  <c:v>8234</c:v>
                </c:pt>
                <c:pt idx="282">
                  <c:v>8259</c:v>
                </c:pt>
                <c:pt idx="283">
                  <c:v>8263.7999999999993</c:v>
                </c:pt>
                <c:pt idx="284">
                  <c:v>8431.1</c:v>
                </c:pt>
                <c:pt idx="285">
                  <c:v>8584.4</c:v>
                </c:pt>
                <c:pt idx="286">
                  <c:v>8618.6</c:v>
                </c:pt>
                <c:pt idx="287">
                  <c:v>8622.4</c:v>
                </c:pt>
                <c:pt idx="288">
                  <c:v>8799.2000000000007</c:v>
                </c:pt>
                <c:pt idx="289">
                  <c:v>9187.4</c:v>
                </c:pt>
                <c:pt idx="290">
                  <c:v>9250.6</c:v>
                </c:pt>
                <c:pt idx="291">
                  <c:v>9368.9</c:v>
                </c:pt>
                <c:pt idx="292">
                  <c:v>9438.4</c:v>
                </c:pt>
                <c:pt idx="293">
                  <c:v>9508.6</c:v>
                </c:pt>
                <c:pt idx="294">
                  <c:v>9643.9</c:v>
                </c:pt>
                <c:pt idx="295">
                  <c:v>9765.2999999999993</c:v>
                </c:pt>
                <c:pt idx="296">
                  <c:v>9906.2999999999993</c:v>
                </c:pt>
                <c:pt idx="297">
                  <c:v>9914.1</c:v>
                </c:pt>
                <c:pt idx="298">
                  <c:v>10174.9</c:v>
                </c:pt>
                <c:pt idx="299">
                  <c:v>10345.200000000001</c:v>
                </c:pt>
                <c:pt idx="300">
                  <c:v>10443</c:v>
                </c:pt>
                <c:pt idx="301">
                  <c:v>10507.9</c:v>
                </c:pt>
                <c:pt idx="302">
                  <c:v>10578.6</c:v>
                </c:pt>
                <c:pt idx="303">
                  <c:v>10602.9</c:v>
                </c:pt>
                <c:pt idx="304">
                  <c:v>10608.2</c:v>
                </c:pt>
                <c:pt idx="305">
                  <c:v>10644.8</c:v>
                </c:pt>
                <c:pt idx="306">
                  <c:v>10674.7</c:v>
                </c:pt>
                <c:pt idx="307">
                  <c:v>10806.1</c:v>
                </c:pt>
                <c:pt idx="308">
                  <c:v>10887.2</c:v>
                </c:pt>
                <c:pt idx="309">
                  <c:v>10940</c:v>
                </c:pt>
                <c:pt idx="310">
                  <c:v>11112.1</c:v>
                </c:pt>
                <c:pt idx="311">
                  <c:v>11181.7</c:v>
                </c:pt>
                <c:pt idx="312">
                  <c:v>11208.3</c:v>
                </c:pt>
                <c:pt idx="313">
                  <c:v>11208.3</c:v>
                </c:pt>
                <c:pt idx="314">
                  <c:v>12270.3</c:v>
                </c:pt>
                <c:pt idx="315">
                  <c:v>12279.1</c:v>
                </c:pt>
                <c:pt idx="316">
                  <c:v>12338.7</c:v>
                </c:pt>
                <c:pt idx="317">
                  <c:v>12621.1</c:v>
                </c:pt>
                <c:pt idx="318">
                  <c:v>12678.8</c:v>
                </c:pt>
                <c:pt idx="319">
                  <c:v>12746.3</c:v>
                </c:pt>
                <c:pt idx="320">
                  <c:v>12767.4</c:v>
                </c:pt>
                <c:pt idx="321">
                  <c:v>13476</c:v>
                </c:pt>
                <c:pt idx="322">
                  <c:v>13626.1</c:v>
                </c:pt>
                <c:pt idx="323">
                  <c:v>13662.7</c:v>
                </c:pt>
                <c:pt idx="324">
                  <c:v>14213.4</c:v>
                </c:pt>
                <c:pt idx="325">
                  <c:v>14230.3</c:v>
                </c:pt>
                <c:pt idx="326">
                  <c:v>14300.8</c:v>
                </c:pt>
                <c:pt idx="327">
                  <c:v>14539.4</c:v>
                </c:pt>
                <c:pt idx="328">
                  <c:v>14600.8</c:v>
                </c:pt>
                <c:pt idx="329">
                  <c:v>14653.9</c:v>
                </c:pt>
                <c:pt idx="330">
                  <c:v>14784.8</c:v>
                </c:pt>
                <c:pt idx="331">
                  <c:v>14787.8</c:v>
                </c:pt>
                <c:pt idx="332">
                  <c:v>15193.2</c:v>
                </c:pt>
                <c:pt idx="333">
                  <c:v>15526.3</c:v>
                </c:pt>
                <c:pt idx="334">
                  <c:v>15667.7</c:v>
                </c:pt>
                <c:pt idx="335">
                  <c:v>15724.2</c:v>
                </c:pt>
                <c:pt idx="336">
                  <c:v>15727.5</c:v>
                </c:pt>
                <c:pt idx="337">
                  <c:v>15845.1</c:v>
                </c:pt>
                <c:pt idx="338">
                  <c:v>16532.8</c:v>
                </c:pt>
                <c:pt idx="339">
                  <c:v>16576.599999999999</c:v>
                </c:pt>
                <c:pt idx="340">
                  <c:v>16609.599999999999</c:v>
                </c:pt>
                <c:pt idx="341">
                  <c:v>16620.599999999999</c:v>
                </c:pt>
                <c:pt idx="342">
                  <c:v>16866.400000000001</c:v>
                </c:pt>
                <c:pt idx="343">
                  <c:v>16885.3</c:v>
                </c:pt>
                <c:pt idx="344">
                  <c:v>17114.8</c:v>
                </c:pt>
                <c:pt idx="345">
                  <c:v>17441.599999999999</c:v>
                </c:pt>
                <c:pt idx="346">
                  <c:v>18023.099999999999</c:v>
                </c:pt>
                <c:pt idx="347">
                  <c:v>18430.400000000001</c:v>
                </c:pt>
                <c:pt idx="348">
                  <c:v>18563.900000000001</c:v>
                </c:pt>
                <c:pt idx="349">
                  <c:v>18568.400000000001</c:v>
                </c:pt>
                <c:pt idx="350">
                  <c:v>18690.099999999999</c:v>
                </c:pt>
                <c:pt idx="351">
                  <c:v>19078.2</c:v>
                </c:pt>
                <c:pt idx="352">
                  <c:v>19384</c:v>
                </c:pt>
                <c:pt idx="353">
                  <c:v>19789.099999999999</c:v>
                </c:pt>
                <c:pt idx="354">
                  <c:v>19930.900000000001</c:v>
                </c:pt>
                <c:pt idx="355">
                  <c:v>20906.8</c:v>
                </c:pt>
                <c:pt idx="356">
                  <c:v>20917.900000000001</c:v>
                </c:pt>
                <c:pt idx="357">
                  <c:v>21154.7</c:v>
                </c:pt>
                <c:pt idx="358">
                  <c:v>21626</c:v>
                </c:pt>
                <c:pt idx="359">
                  <c:v>21679.599999999999</c:v>
                </c:pt>
                <c:pt idx="360">
                  <c:v>21775.4</c:v>
                </c:pt>
                <c:pt idx="361">
                  <c:v>22136</c:v>
                </c:pt>
                <c:pt idx="362">
                  <c:v>23234.1</c:v>
                </c:pt>
                <c:pt idx="363">
                  <c:v>23572.1</c:v>
                </c:pt>
                <c:pt idx="364">
                  <c:v>23670.5</c:v>
                </c:pt>
                <c:pt idx="365">
                  <c:v>25166.7</c:v>
                </c:pt>
                <c:pt idx="366">
                  <c:v>25968.9</c:v>
                </c:pt>
                <c:pt idx="367">
                  <c:v>27095.599999999999</c:v>
                </c:pt>
                <c:pt idx="368">
                  <c:v>28104.400000000001</c:v>
                </c:pt>
                <c:pt idx="369">
                  <c:v>29514.5</c:v>
                </c:pt>
                <c:pt idx="370">
                  <c:v>29525.3</c:v>
                </c:pt>
                <c:pt idx="371">
                  <c:v>30092</c:v>
                </c:pt>
                <c:pt idx="372">
                  <c:v>32242.7</c:v>
                </c:pt>
                <c:pt idx="373">
                  <c:v>32773.300000000003</c:v>
                </c:pt>
                <c:pt idx="374">
                  <c:v>34285.300000000003</c:v>
                </c:pt>
                <c:pt idx="375">
                  <c:v>35089.699999999997</c:v>
                </c:pt>
                <c:pt idx="376">
                  <c:v>37579.599999999999</c:v>
                </c:pt>
                <c:pt idx="377">
                  <c:v>37887.699999999997</c:v>
                </c:pt>
                <c:pt idx="378">
                  <c:v>40205.800000000003</c:v>
                </c:pt>
                <c:pt idx="379">
                  <c:v>41495</c:v>
                </c:pt>
                <c:pt idx="380">
                  <c:v>42013.4</c:v>
                </c:pt>
                <c:pt idx="381">
                  <c:v>42428.6</c:v>
                </c:pt>
                <c:pt idx="382">
                  <c:v>44108.4</c:v>
                </c:pt>
                <c:pt idx="383">
                  <c:v>45969.9</c:v>
                </c:pt>
                <c:pt idx="384">
                  <c:v>47142.9</c:v>
                </c:pt>
                <c:pt idx="385">
                  <c:v>47983.9</c:v>
                </c:pt>
                <c:pt idx="386">
                  <c:v>48858.400000000001</c:v>
                </c:pt>
                <c:pt idx="387">
                  <c:v>50307.9</c:v>
                </c:pt>
                <c:pt idx="388">
                  <c:v>50790</c:v>
                </c:pt>
                <c:pt idx="389">
                  <c:v>53678.8</c:v>
                </c:pt>
                <c:pt idx="390">
                  <c:v>55354.400000000001</c:v>
                </c:pt>
                <c:pt idx="391">
                  <c:v>61307.1</c:v>
                </c:pt>
                <c:pt idx="392">
                  <c:v>62570.400000000001</c:v>
                </c:pt>
                <c:pt idx="393">
                  <c:v>67629.2</c:v>
                </c:pt>
                <c:pt idx="394">
                  <c:v>90072.3</c:v>
                </c:pt>
                <c:pt idx="395">
                  <c:v>180498.3</c:v>
                </c:pt>
                <c:pt idx="396">
                  <c:v>187895.2</c:v>
                </c:pt>
                <c:pt idx="397">
                  <c:v>205699.3</c:v>
                </c:pt>
                <c:pt idx="398">
                  <c:v>231204.8</c:v>
                </c:pt>
                <c:pt idx="399">
                  <c:v>244785.8</c:v>
                </c:pt>
              </c:numCache>
            </c:numRef>
          </c:val>
          <c:smooth val="0"/>
          <c:extLst>
            <c:ext xmlns:c16="http://schemas.microsoft.com/office/drawing/2014/chart" uri="{C3380CC4-5D6E-409C-BE32-E72D297353CC}">
              <c16:uniqueId val="{00000000-71C7-402D-AA7F-D0715B3DF68F}"/>
            </c:ext>
          </c:extLst>
        </c:ser>
        <c:dLbls>
          <c:showLegendKey val="0"/>
          <c:showVal val="0"/>
          <c:showCatName val="0"/>
          <c:showSerName val="0"/>
          <c:showPercent val="0"/>
          <c:showBubbleSize val="0"/>
        </c:dLbls>
        <c:smooth val="0"/>
        <c:axId val="1104908463"/>
        <c:axId val="1104909903"/>
      </c:lineChart>
      <c:catAx>
        <c:axId val="11049084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104909903"/>
        <c:crosses val="autoZero"/>
        <c:auto val="1"/>
        <c:lblAlgn val="ctr"/>
        <c:lblOffset val="100"/>
        <c:noMultiLvlLbl val="0"/>
      </c:catAx>
      <c:valAx>
        <c:axId val="110490990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104908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Log</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Log</a:t>
          </a:r>
        </a:p>
      </cx:txPr>
    </cx:title>
    <cx:plotArea>
      <cx:plotAreaRegion>
        <cx:series layoutId="clusteredColumn" uniqueId="{1FFB52FA-0F54-455E-BFE3-57776AF9D5F8}">
          <cx:tx>
            <cx:txData>
              <cx:f>_xlchart.v1.0</cx:f>
              <cx:v>Log</cx:v>
            </cx:txData>
          </cx:tx>
          <cx:dataId val="0"/>
          <cx:layoutPr>
            <cx:binning intervalClosed="r"/>
          </cx:layoutPr>
        </cx:series>
      </cx:plotAreaRegion>
      <cx:axis id="0">
        <cx:catScaling/>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9</xdr:col>
      <xdr:colOff>268652</xdr:colOff>
      <xdr:row>14</xdr:row>
      <xdr:rowOff>226648</xdr:rowOff>
    </xdr:from>
    <xdr:to>
      <xdr:col>12</xdr:col>
      <xdr:colOff>188545</xdr:colOff>
      <xdr:row>18</xdr:row>
      <xdr:rowOff>226647</xdr:rowOff>
    </xdr:to>
    <xdr:sp macro="" textlink="">
      <xdr:nvSpPr>
        <xdr:cNvPr id="2" name="TextBox 1">
          <a:extLst>
            <a:ext uri="{FF2B5EF4-FFF2-40B4-BE49-F238E27FC236}">
              <a16:creationId xmlns:a16="http://schemas.microsoft.com/office/drawing/2014/main" id="{3E922ABB-D4EA-4ADD-8813-172760C9D85A}"/>
            </a:ext>
          </a:extLst>
        </xdr:cNvPr>
        <xdr:cNvSpPr txBox="1"/>
      </xdr:nvSpPr>
      <xdr:spPr>
        <a:xfrm rot="20343596">
          <a:off x="7209690" y="3460263"/>
          <a:ext cx="2318240" cy="9183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VBA</a:t>
          </a:r>
          <a:r>
            <a:rPr lang="en-US" sz="1100" baseline="0"/>
            <a:t> Code should be saved to "This Workbook".  Then the VBA code becomes a part of the file and goes with the file when you send it to someone.  </a:t>
          </a:r>
          <a:endParaRPr lang="en-US" sz="1100"/>
        </a:p>
      </xdr:txBody>
    </xdr:sp>
    <xdr:clientData/>
  </xdr:twoCellAnchor>
  <mc:AlternateContent xmlns:mc="http://schemas.openxmlformats.org/markup-compatibility/2006">
    <mc:Choice xmlns:a14="http://schemas.microsoft.com/office/drawing/2010/main" Requires="a14">
      <xdr:twoCellAnchor>
        <xdr:from>
          <xdr:col>9</xdr:col>
          <xdr:colOff>6350</xdr:colOff>
          <xdr:row>5</xdr:row>
          <xdr:rowOff>0</xdr:rowOff>
        </xdr:from>
        <xdr:to>
          <xdr:col>11</xdr:col>
          <xdr:colOff>622300</xdr:colOff>
          <xdr:row>7</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Lucida Fax"/>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882650</xdr:colOff>
          <xdr:row>8</xdr:row>
          <xdr:rowOff>25400</xdr:rowOff>
        </xdr:from>
        <xdr:to>
          <xdr:col>11</xdr:col>
          <xdr:colOff>628650</xdr:colOff>
          <xdr:row>10</xdr:row>
          <xdr:rowOff>57150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582930</xdr:colOff>
      <xdr:row>31</xdr:row>
      <xdr:rowOff>139699</xdr:rowOff>
    </xdr:from>
    <xdr:to>
      <xdr:col>16</xdr:col>
      <xdr:colOff>476250</xdr:colOff>
      <xdr:row>34</xdr:row>
      <xdr:rowOff>33019</xdr:rowOff>
    </xdr:to>
    <xdr:sp macro="" textlink="">
      <xdr:nvSpPr>
        <xdr:cNvPr id="2" name="TextBox 1">
          <a:extLst>
            <a:ext uri="{FF2B5EF4-FFF2-40B4-BE49-F238E27FC236}">
              <a16:creationId xmlns:a16="http://schemas.microsoft.com/office/drawing/2014/main" id="{66210E46-5DC8-4CF8-9339-3E7271B8D106}"/>
            </a:ext>
          </a:extLst>
        </xdr:cNvPr>
        <xdr:cNvSpPr txBox="1"/>
      </xdr:nvSpPr>
      <xdr:spPr>
        <a:xfrm rot="20388217">
          <a:off x="5097780" y="5810249"/>
          <a:ext cx="3188970" cy="44577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FF0000"/>
              </a:solidFill>
            </a:rPr>
            <a:t>Do</a:t>
          </a:r>
          <a:r>
            <a:rPr lang="en-US" sz="1600" baseline="0">
              <a:solidFill>
                <a:srgbClr val="FF0000"/>
              </a:solidFill>
            </a:rPr>
            <a:t> not</a:t>
          </a:r>
          <a:r>
            <a:rPr lang="en-US" sz="1600">
              <a:solidFill>
                <a:srgbClr val="FF0000"/>
              </a:solidFill>
            </a:rPr>
            <a:t> change the original scores.</a:t>
          </a:r>
        </a:p>
      </xdr:txBody>
    </xdr:sp>
    <xdr:clientData/>
  </xdr:twoCellAnchor>
  <mc:AlternateContent xmlns:mc="http://schemas.openxmlformats.org/markup-compatibility/2006">
    <mc:Choice xmlns:a14="http://schemas.microsoft.com/office/drawing/2010/main" Requires="a14">
      <xdr:twoCellAnchor>
        <xdr:from>
          <xdr:col>11</xdr:col>
          <xdr:colOff>603250</xdr:colOff>
          <xdr:row>21</xdr:row>
          <xdr:rowOff>177800</xdr:rowOff>
        </xdr:from>
        <xdr:to>
          <xdr:col>15</xdr:col>
          <xdr:colOff>19050</xdr:colOff>
          <xdr:row>25</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Lucida Fax"/>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50800</xdr:colOff>
          <xdr:row>22</xdr:row>
          <xdr:rowOff>0</xdr:rowOff>
        </xdr:from>
        <xdr:to>
          <xdr:col>16</xdr:col>
          <xdr:colOff>749300</xdr:colOff>
          <xdr:row>25</xdr:row>
          <xdr:rowOff>12700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1250950</xdr:colOff>
          <xdr:row>0</xdr:row>
          <xdr:rowOff>38100</xdr:rowOff>
        </xdr:from>
        <xdr:to>
          <xdr:col>5</xdr:col>
          <xdr:colOff>6350</xdr:colOff>
          <xdr:row>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6350</xdr:rowOff>
        </xdr:from>
        <xdr:to>
          <xdr:col>5</xdr:col>
          <xdr:colOff>6350</xdr:colOff>
          <xdr:row>3</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0</xdr:row>
          <xdr:rowOff>101600</xdr:rowOff>
        </xdr:from>
        <xdr:to>
          <xdr:col>8</xdr:col>
          <xdr:colOff>0</xdr:colOff>
          <xdr:row>4</xdr:row>
          <xdr:rowOff>12700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0</xdr:row>
          <xdr:rowOff>107950</xdr:rowOff>
        </xdr:from>
        <xdr:to>
          <xdr:col>9</xdr:col>
          <xdr:colOff>501650</xdr:colOff>
          <xdr:row>4</xdr:row>
          <xdr:rowOff>25400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13</xdr:col>
      <xdr:colOff>107950</xdr:colOff>
      <xdr:row>10</xdr:row>
      <xdr:rowOff>120650</xdr:rowOff>
    </xdr:from>
    <xdr:to>
      <xdr:col>15</xdr:col>
      <xdr:colOff>615950</xdr:colOff>
      <xdr:row>20</xdr:row>
      <xdr:rowOff>0</xdr:rowOff>
    </xdr:to>
    <mc:AlternateContent xmlns:mc="http://schemas.openxmlformats.org/markup-compatibility/2006" xmlns:sle15="http://schemas.microsoft.com/office/drawing/2012/slicer">
      <mc:Choice Requires="sle15">
        <xdr:graphicFrame macro="">
          <xdr:nvGraphicFramePr>
            <xdr:cNvPr id="2" name="Product">
              <a:extLst>
                <a:ext uri="{FF2B5EF4-FFF2-40B4-BE49-F238E27FC236}">
                  <a16:creationId xmlns:a16="http://schemas.microsoft.com/office/drawing/2014/main" id="{BABFCB7A-FF2A-4FB0-9657-22A11B7C70EE}"/>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010650" y="2089150"/>
              <a:ext cx="1828800" cy="18478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133350</xdr:colOff>
      <xdr:row>4</xdr:row>
      <xdr:rowOff>95250</xdr:rowOff>
    </xdr:from>
    <xdr:to>
      <xdr:col>18</xdr:col>
      <xdr:colOff>641350</xdr:colOff>
      <xdr:row>18</xdr:row>
      <xdr:rowOff>53969</xdr:rowOff>
    </xdr:to>
    <mc:AlternateContent xmlns:mc="http://schemas.openxmlformats.org/markup-compatibility/2006" xmlns:sle15="http://schemas.microsoft.com/office/drawing/2012/slicer">
      <mc:Choice Requires="sle15">
        <xdr:graphicFrame macro="">
          <xdr:nvGraphicFramePr>
            <xdr:cNvPr id="3" name="Region">
              <a:extLst>
                <a:ext uri="{FF2B5EF4-FFF2-40B4-BE49-F238E27FC236}">
                  <a16:creationId xmlns:a16="http://schemas.microsoft.com/office/drawing/2014/main" id="{4694F98A-0E7C-4823-B519-60355F51094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017250" y="8826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57150</xdr:colOff>
      <xdr:row>4</xdr:row>
      <xdr:rowOff>107950</xdr:rowOff>
    </xdr:from>
    <xdr:to>
      <xdr:col>21</xdr:col>
      <xdr:colOff>565150</xdr:colOff>
      <xdr:row>18</xdr:row>
      <xdr:rowOff>66669</xdr:rowOff>
    </xdr:to>
    <mc:AlternateContent xmlns:mc="http://schemas.openxmlformats.org/markup-compatibility/2006" xmlns:sle15="http://schemas.microsoft.com/office/drawing/2012/slicer">
      <mc:Choice Requires="sle15">
        <xdr:graphicFrame macro="">
          <xdr:nvGraphicFramePr>
            <xdr:cNvPr id="4" name="Employee">
              <a:extLst>
                <a:ext uri="{FF2B5EF4-FFF2-40B4-BE49-F238E27FC236}">
                  <a16:creationId xmlns:a16="http://schemas.microsoft.com/office/drawing/2014/main" id="{2A34B077-47C6-4460-88F9-00DCB731E1CA}"/>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2922250" y="8953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158750</xdr:colOff>
      <xdr:row>16</xdr:row>
      <xdr:rowOff>165100</xdr:rowOff>
    </xdr:from>
    <xdr:to>
      <xdr:col>14</xdr:col>
      <xdr:colOff>1054100</xdr:colOff>
      <xdr:row>30</xdr:row>
      <xdr:rowOff>123819</xdr:rowOff>
    </xdr:to>
    <mc:AlternateContent xmlns:mc="http://schemas.openxmlformats.org/markup-compatibility/2006" xmlns:a14="http://schemas.microsoft.com/office/drawing/2010/main">
      <mc:Choice Requires="a14">
        <xdr:graphicFrame macro="">
          <xdr:nvGraphicFramePr>
            <xdr:cNvPr id="2" name="Product 1">
              <a:extLst>
                <a:ext uri="{FF2B5EF4-FFF2-40B4-BE49-F238E27FC236}">
                  <a16:creationId xmlns:a16="http://schemas.microsoft.com/office/drawing/2014/main" id="{269A1D10-DBAA-4023-8A49-2797EAC68F2E}"/>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0160000" y="33210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190500</xdr:colOff>
      <xdr:row>17</xdr:row>
      <xdr:rowOff>76200</xdr:rowOff>
    </xdr:from>
    <xdr:to>
      <xdr:col>16</xdr:col>
      <xdr:colOff>800100</xdr:colOff>
      <xdr:row>31</xdr:row>
      <xdr:rowOff>34919</xdr:rowOff>
    </xdr:to>
    <mc:AlternateContent xmlns:mc="http://schemas.openxmlformats.org/markup-compatibility/2006" xmlns:a14="http://schemas.microsoft.com/office/drawing/2010/main">
      <mc:Choice Requires="a14">
        <xdr:graphicFrame macro="">
          <xdr:nvGraphicFramePr>
            <xdr:cNvPr id="3" name="Employee 1">
              <a:extLst>
                <a:ext uri="{FF2B5EF4-FFF2-40B4-BE49-F238E27FC236}">
                  <a16:creationId xmlns:a16="http://schemas.microsoft.com/office/drawing/2014/main" id="{8BA7A506-085E-48DB-B752-CDCB1DBE7CE1}"/>
                </a:ext>
              </a:extLst>
            </xdr:cNvPr>
            <xdr:cNvGraphicFramePr/>
          </xdr:nvGraphicFramePr>
          <xdr:xfrm>
            <a:off x="0" y="0"/>
            <a:ext cx="0" cy="0"/>
          </xdr:xfrm>
          <a:graphic>
            <a:graphicData uri="http://schemas.microsoft.com/office/drawing/2010/slicer">
              <sle:slicer xmlns:sle="http://schemas.microsoft.com/office/drawing/2010/slicer" name="Employee 1"/>
            </a:graphicData>
          </a:graphic>
        </xdr:graphicFrame>
      </mc:Choice>
      <mc:Fallback xmlns="">
        <xdr:sp macro="" textlink="">
          <xdr:nvSpPr>
            <xdr:cNvPr id="0" name=""/>
            <xdr:cNvSpPr>
              <a:spLocks noTextEdit="1"/>
            </xdr:cNvSpPr>
          </xdr:nvSpPr>
          <xdr:spPr>
            <a:xfrm>
              <a:off x="12274550" y="342900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666750</xdr:colOff>
      <xdr:row>14</xdr:row>
      <xdr:rowOff>53975</xdr:rowOff>
    </xdr:from>
    <xdr:to>
      <xdr:col>23</xdr:col>
      <xdr:colOff>190500</xdr:colOff>
      <xdr:row>28</xdr:row>
      <xdr:rowOff>41275</xdr:rowOff>
    </xdr:to>
    <xdr:graphicFrame macro="">
      <xdr:nvGraphicFramePr>
        <xdr:cNvPr id="4" name="Chart 3">
          <a:extLst>
            <a:ext uri="{FF2B5EF4-FFF2-40B4-BE49-F238E27FC236}">
              <a16:creationId xmlns:a16="http://schemas.microsoft.com/office/drawing/2014/main" id="{90D48E14-857C-41FC-B76D-DC0CFD0075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492803</xdr:colOff>
      <xdr:row>5</xdr:row>
      <xdr:rowOff>1519</xdr:rowOff>
    </xdr:from>
    <xdr:to>
      <xdr:col>11</xdr:col>
      <xdr:colOff>429846</xdr:colOff>
      <xdr:row>19</xdr:row>
      <xdr:rowOff>9334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6BEAA41-A891-49C1-B2DE-AEB1E6D65C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34403" y="998469"/>
              <a:ext cx="4559843" cy="27637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427675</xdr:colOff>
      <xdr:row>5</xdr:row>
      <xdr:rowOff>17802</xdr:rowOff>
    </xdr:from>
    <xdr:to>
      <xdr:col>11</xdr:col>
      <xdr:colOff>364718</xdr:colOff>
      <xdr:row>19</xdr:row>
      <xdr:rowOff>25617</xdr:rowOff>
    </xdr:to>
    <xdr:graphicFrame macro="">
      <xdr:nvGraphicFramePr>
        <xdr:cNvPr id="3" name="Chart 2">
          <a:extLst>
            <a:ext uri="{FF2B5EF4-FFF2-40B4-BE49-F238E27FC236}">
              <a16:creationId xmlns:a16="http://schemas.microsoft.com/office/drawing/2014/main" id="{A732D8CA-2AC3-42A4-AC1F-D7A2CFFE8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21</xdr:row>
      <xdr:rowOff>0</xdr:rowOff>
    </xdr:from>
    <xdr:to>
      <xdr:col>12</xdr:col>
      <xdr:colOff>241300</xdr:colOff>
      <xdr:row>23</xdr:row>
      <xdr:rowOff>38100</xdr:rowOff>
    </xdr:to>
    <xdr:sp macro="" textlink="">
      <xdr:nvSpPr>
        <xdr:cNvPr id="2" name="Arrow: Right 1">
          <a:extLst>
            <a:ext uri="{FF2B5EF4-FFF2-40B4-BE49-F238E27FC236}">
              <a16:creationId xmlns:a16="http://schemas.microsoft.com/office/drawing/2014/main" id="{55593404-D15E-4489-BFD1-1089DBBE239A}"/>
            </a:ext>
          </a:extLst>
        </xdr:cNvPr>
        <xdr:cNvSpPr/>
      </xdr:nvSpPr>
      <xdr:spPr>
        <a:xfrm>
          <a:off x="6610350" y="4146550"/>
          <a:ext cx="1460500"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78311</xdr:colOff>
      <xdr:row>16</xdr:row>
      <xdr:rowOff>53133</xdr:rowOff>
    </xdr:from>
    <xdr:to>
      <xdr:col>10</xdr:col>
      <xdr:colOff>1457499</xdr:colOff>
      <xdr:row>18</xdr:row>
      <xdr:rowOff>91233</xdr:rowOff>
    </xdr:to>
    <xdr:sp macro="" textlink="">
      <xdr:nvSpPr>
        <xdr:cNvPr id="2" name="Arrow: Right 1">
          <a:extLst>
            <a:ext uri="{FF2B5EF4-FFF2-40B4-BE49-F238E27FC236}">
              <a16:creationId xmlns:a16="http://schemas.microsoft.com/office/drawing/2014/main" id="{E9500028-9757-4F31-A866-9438E0469BF3}"/>
            </a:ext>
          </a:extLst>
        </xdr:cNvPr>
        <xdr:cNvSpPr/>
      </xdr:nvSpPr>
      <xdr:spPr>
        <a:xfrm rot="1484657">
          <a:off x="7571311" y="3431333"/>
          <a:ext cx="1772888"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57150</xdr:colOff>
      <xdr:row>20</xdr:row>
      <xdr:rowOff>6350</xdr:rowOff>
    </xdr:from>
    <xdr:to>
      <xdr:col>17</xdr:col>
      <xdr:colOff>482600</xdr:colOff>
      <xdr:row>22</xdr:row>
      <xdr:rowOff>44450</xdr:rowOff>
    </xdr:to>
    <xdr:sp macro="" textlink="">
      <xdr:nvSpPr>
        <xdr:cNvPr id="2" name="Arrow: Right 1">
          <a:extLst>
            <a:ext uri="{FF2B5EF4-FFF2-40B4-BE49-F238E27FC236}">
              <a16:creationId xmlns:a16="http://schemas.microsoft.com/office/drawing/2014/main" id="{F2B1F31F-B875-4741-85B9-4C2188D2C550}"/>
            </a:ext>
          </a:extLst>
        </xdr:cNvPr>
        <xdr:cNvSpPr/>
      </xdr:nvSpPr>
      <xdr:spPr>
        <a:xfrm>
          <a:off x="9512300" y="4070350"/>
          <a:ext cx="2095500"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Box%20Sync\UTD\Teach\2019-F\Shared-Diya\6332-Spreadsheet\2019F-HW-2-So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Walk\Documents\Excel\name%20generator.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D:\UTD%20Fall'25\OPRE6332_Spreadsheet\class-6\Class-06.xlsx" TargetMode="External"/><Relationship Id="rId1" Type="http://schemas.openxmlformats.org/officeDocument/2006/relationships/externalLinkPath" Target="/UTD%20Fall'25/OPRE6332_Spreadsheet/class-6/Class-06.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UTD%20Fall'25\OPRE6332_Spreadsheet\Vanapalli_Venkata%20Bhadra%20Ganesh_HW.xlsm" TargetMode="External"/><Relationship Id="rId1" Type="http://schemas.openxmlformats.org/officeDocument/2006/relationships/externalLinkPath" Target="/UTD%20Fall'25/OPRE6332_Spreadsheet/Vanapalli_Venkata%20Bhadra%20Ganesh_H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et 1"/>
      <sheetName val="Set 2"/>
      <sheetName val="Set 3"/>
      <sheetName val="Set 4"/>
      <sheetName val="Set 5"/>
      <sheetName val="Set 6"/>
    </sheetNames>
    <sheetDataSet>
      <sheetData sheetId="0" refreshError="1"/>
      <sheetData sheetId="1" refreshError="1"/>
      <sheetData sheetId="2" refreshError="1"/>
      <sheetData sheetId="3">
        <row r="3">
          <cell r="G3">
            <v>40</v>
          </cell>
        </row>
        <row r="4">
          <cell r="G4">
            <v>39</v>
          </cell>
        </row>
        <row r="5">
          <cell r="G5">
            <v>36</v>
          </cell>
        </row>
        <row r="6">
          <cell r="G6">
            <v>60</v>
          </cell>
        </row>
        <row r="7">
          <cell r="G7">
            <v>26</v>
          </cell>
        </row>
        <row r="8">
          <cell r="G8">
            <v>55</v>
          </cell>
        </row>
        <row r="9">
          <cell r="G9">
            <v>58</v>
          </cell>
        </row>
        <row r="10">
          <cell r="G10">
            <v>26</v>
          </cell>
        </row>
        <row r="11">
          <cell r="G11">
            <v>59</v>
          </cell>
        </row>
        <row r="12">
          <cell r="G12">
            <v>57</v>
          </cell>
        </row>
        <row r="13">
          <cell r="G13">
            <v>44</v>
          </cell>
        </row>
        <row r="14">
          <cell r="G14">
            <v>50</v>
          </cell>
        </row>
        <row r="15">
          <cell r="G15">
            <v>25</v>
          </cell>
        </row>
        <row r="16">
          <cell r="G16">
            <v>53</v>
          </cell>
        </row>
        <row r="17">
          <cell r="G17">
            <v>28</v>
          </cell>
        </row>
        <row r="18">
          <cell r="G18">
            <v>58</v>
          </cell>
        </row>
        <row r="19">
          <cell r="G19">
            <v>42</v>
          </cell>
        </row>
        <row r="20">
          <cell r="G20">
            <v>25</v>
          </cell>
        </row>
        <row r="21">
          <cell r="G21">
            <v>52</v>
          </cell>
        </row>
        <row r="22">
          <cell r="G22">
            <v>44</v>
          </cell>
        </row>
        <row r="23">
          <cell r="G23">
            <v>30</v>
          </cell>
        </row>
        <row r="24">
          <cell r="G24">
            <v>27</v>
          </cell>
        </row>
        <row r="25">
          <cell r="G25">
            <v>38</v>
          </cell>
        </row>
        <row r="26">
          <cell r="G26">
            <v>30</v>
          </cell>
        </row>
        <row r="27">
          <cell r="G27">
            <v>52</v>
          </cell>
        </row>
        <row r="28">
          <cell r="G28">
            <v>54</v>
          </cell>
        </row>
        <row r="29">
          <cell r="G29">
            <v>36</v>
          </cell>
        </row>
      </sheetData>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s"/>
      <sheetName val="Data"/>
      <sheetName val="Intermediate Formulas"/>
    </sheetNames>
    <sheetDataSet>
      <sheetData sheetId="0"/>
      <sheetData sheetId="1">
        <row r="6">
          <cell r="A6" t="str">
            <v>Mary</v>
          </cell>
          <cell r="C6">
            <v>1</v>
          </cell>
          <cell r="E6" t="str">
            <v>James</v>
          </cell>
          <cell r="G6">
            <v>1</v>
          </cell>
          <cell r="I6" t="str">
            <v>Smith</v>
          </cell>
          <cell r="M6" t="str">
            <v>J</v>
          </cell>
          <cell r="O6">
            <v>1</v>
          </cell>
        </row>
        <row r="7">
          <cell r="A7" t="str">
            <v>Patricia</v>
          </cell>
          <cell r="C7">
            <v>0.97076940182343907</v>
          </cell>
          <cell r="E7" t="str">
            <v>John</v>
          </cell>
          <cell r="G7">
            <v>0.96315462177408617</v>
          </cell>
          <cell r="I7" t="str">
            <v>Johnson</v>
          </cell>
          <cell r="M7" t="str">
            <v>D</v>
          </cell>
          <cell r="O7">
            <v>0.8682733740855797</v>
          </cell>
        </row>
        <row r="8">
          <cell r="A8" t="str">
            <v>Linda</v>
          </cell>
          <cell r="C8">
            <v>0.958839226150768</v>
          </cell>
          <cell r="E8" t="str">
            <v>Robert</v>
          </cell>
          <cell r="G8">
            <v>0.9268311642162318</v>
          </cell>
          <cell r="I8" t="str">
            <v>Williams</v>
          </cell>
          <cell r="M8" t="str">
            <v>R</v>
          </cell>
          <cell r="O8">
            <v>0.81451047199118143</v>
          </cell>
        </row>
        <row r="9">
          <cell r="A9" t="str">
            <v>Barbara</v>
          </cell>
          <cell r="C9">
            <v>0.9473315543695805</v>
          </cell>
          <cell r="E9" t="str">
            <v>Michael</v>
          </cell>
          <cell r="G9">
            <v>0.89192910762670707</v>
          </cell>
          <cell r="I9" t="str">
            <v>Jones</v>
          </cell>
          <cell r="M9" t="str">
            <v>M</v>
          </cell>
          <cell r="O9">
            <v>0.76265156829341607</v>
          </cell>
        </row>
        <row r="10">
          <cell r="A10" t="str">
            <v>Elizabeth</v>
          </cell>
          <cell r="C10">
            <v>0.93643540137869741</v>
          </cell>
          <cell r="E10" t="str">
            <v>William</v>
          </cell>
          <cell r="G10">
            <v>0.8627348643006294</v>
          </cell>
          <cell r="I10" t="str">
            <v>Brown</v>
          </cell>
          <cell r="M10" t="str">
            <v>A</v>
          </cell>
          <cell r="O10">
            <v>0.7135484517486721</v>
          </cell>
        </row>
        <row r="11">
          <cell r="A11" t="str">
            <v>Jennifer</v>
          </cell>
          <cell r="C11">
            <v>0.92601734489659782</v>
          </cell>
          <cell r="E11" t="str">
            <v>David</v>
          </cell>
          <cell r="G11">
            <v>0.83551725669613297</v>
          </cell>
          <cell r="I11" t="str">
            <v>Davis</v>
          </cell>
          <cell r="M11" t="str">
            <v>C</v>
          </cell>
          <cell r="O11">
            <v>0.66659985970538116</v>
          </cell>
        </row>
        <row r="12">
          <cell r="A12" t="str">
            <v>Maria</v>
          </cell>
          <cell r="C12">
            <v>0.91565488103179915</v>
          </cell>
          <cell r="E12" t="str">
            <v>Richard</v>
          </cell>
          <cell r="G12">
            <v>0.80927686225736217</v>
          </cell>
          <cell r="I12" t="str">
            <v>Miller</v>
          </cell>
          <cell r="M12" t="str">
            <v>E</v>
          </cell>
          <cell r="O12">
            <v>0.61990179376691046</v>
          </cell>
        </row>
        <row r="13">
          <cell r="A13" t="str">
            <v>Susan</v>
          </cell>
          <cell r="C13">
            <v>0.90644874360684868</v>
          </cell>
          <cell r="E13" t="str">
            <v>Charles</v>
          </cell>
          <cell r="G13">
            <v>0.79036556656154133</v>
          </cell>
          <cell r="I13" t="str">
            <v>Wilson</v>
          </cell>
          <cell r="M13" t="str">
            <v>B</v>
          </cell>
          <cell r="O13">
            <v>0.57841467080869824</v>
          </cell>
        </row>
        <row r="14">
          <cell r="A14" t="str">
            <v>Margaret</v>
          </cell>
          <cell r="C14">
            <v>0.89762063597954123</v>
          </cell>
          <cell r="E14" t="str">
            <v>Joseph</v>
          </cell>
          <cell r="G14">
            <v>0.77345311597743382</v>
          </cell>
          <cell r="I14" t="str">
            <v>Moore</v>
          </cell>
          <cell r="M14" t="str">
            <v>L</v>
          </cell>
          <cell r="O14">
            <v>0.53863112536326285</v>
          </cell>
        </row>
        <row r="15">
          <cell r="A15" t="str">
            <v>Dorothy</v>
          </cell>
          <cell r="C15">
            <v>0.88908160996219721</v>
          </cell>
          <cell r="E15" t="str">
            <v>Thomas</v>
          </cell>
          <cell r="G15">
            <v>0.7578621241060719</v>
          </cell>
          <cell r="I15" t="str">
            <v>Taylor</v>
          </cell>
          <cell r="M15" t="str">
            <v>S</v>
          </cell>
          <cell r="O15">
            <v>0.50015031566289203</v>
          </cell>
        </row>
        <row r="16">
          <cell r="A16" t="str">
            <v>Lisa</v>
          </cell>
          <cell r="C16">
            <v>0.8809984434067164</v>
          </cell>
          <cell r="E16" t="str">
            <v>Christopher</v>
          </cell>
          <cell r="G16">
            <v>0.74253764491626784</v>
          </cell>
          <cell r="I16" t="str">
            <v>Anderson</v>
          </cell>
          <cell r="M16" t="str">
            <v>T</v>
          </cell>
          <cell r="O16">
            <v>0.46372382002204621</v>
          </cell>
        </row>
        <row r="17">
          <cell r="A17" t="str">
            <v>Nancy</v>
          </cell>
          <cell r="C17">
            <v>0.87317100289081595</v>
          </cell>
          <cell r="E17" t="str">
            <v>Daniel</v>
          </cell>
          <cell r="G17">
            <v>0.73104428552391698</v>
          </cell>
          <cell r="I17" t="str">
            <v>Thomas</v>
          </cell>
          <cell r="M17" t="str">
            <v>G</v>
          </cell>
          <cell r="O17">
            <v>0.42844974446337303</v>
          </cell>
        </row>
        <row r="18">
          <cell r="A18" t="str">
            <v>Karen</v>
          </cell>
          <cell r="C18">
            <v>0.86573271069602076</v>
          </cell>
          <cell r="E18" t="str">
            <v>Paul</v>
          </cell>
          <cell r="G18">
            <v>0.7202283125305412</v>
          </cell>
          <cell r="I18" t="str">
            <v>Jackson</v>
          </cell>
          <cell r="M18" t="str">
            <v>H</v>
          </cell>
          <cell r="O18">
            <v>0.39492935163844067</v>
          </cell>
        </row>
        <row r="19">
          <cell r="A19" t="str">
            <v>Betty</v>
          </cell>
          <cell r="C19">
            <v>0.85831665554814351</v>
          </cell>
          <cell r="E19" t="str">
            <v>Mark</v>
          </cell>
          <cell r="G19">
            <v>0.70970106160884139</v>
          </cell>
          <cell r="I19" t="str">
            <v>White</v>
          </cell>
          <cell r="M19" t="str">
            <v>W</v>
          </cell>
          <cell r="O19">
            <v>0.36150916925543636</v>
          </cell>
        </row>
        <row r="20">
          <cell r="A20" t="str">
            <v>Helen</v>
          </cell>
          <cell r="C20">
            <v>0.85091171892372641</v>
          </cell>
          <cell r="E20" t="str">
            <v>Donald</v>
          </cell>
          <cell r="G20">
            <v>0.69928485763780246</v>
          </cell>
          <cell r="I20" t="str">
            <v>Harris</v>
          </cell>
          <cell r="M20" t="str">
            <v>F</v>
          </cell>
          <cell r="O20">
            <v>0.32813909209339609</v>
          </cell>
        </row>
        <row r="21">
          <cell r="A21" t="str">
            <v>Sandra</v>
          </cell>
          <cell r="C21">
            <v>0.8435401378696924</v>
          </cell>
          <cell r="E21" t="str">
            <v>George</v>
          </cell>
          <cell r="G21">
            <v>0.68894638653221929</v>
          </cell>
          <cell r="I21" t="str">
            <v>Martin</v>
          </cell>
          <cell r="M21" t="str">
            <v>K</v>
          </cell>
          <cell r="O21">
            <v>0.29491933059424785</v>
          </cell>
        </row>
        <row r="22">
          <cell r="A22" t="str">
            <v>Donna</v>
          </cell>
          <cell r="C22">
            <v>0.83654658661329717</v>
          </cell>
          <cell r="E22" t="str">
            <v>Kenneth</v>
          </cell>
          <cell r="G22">
            <v>0.67865233420689619</v>
          </cell>
          <cell r="I22" t="str">
            <v>Thompson</v>
          </cell>
          <cell r="M22" t="str">
            <v>N</v>
          </cell>
          <cell r="O22">
            <v>0.2634031466078765</v>
          </cell>
        </row>
        <row r="23">
          <cell r="A23" t="str">
            <v>Carol</v>
          </cell>
          <cell r="C23">
            <v>0.83006448743607086</v>
          </cell>
          <cell r="E23" t="str">
            <v>Steven</v>
          </cell>
          <cell r="G23">
            <v>0.66947985608314564</v>
          </cell>
          <cell r="I23" t="str">
            <v>Garcia</v>
          </cell>
          <cell r="M23" t="str">
            <v>P</v>
          </cell>
          <cell r="O23">
            <v>0.23419180278585028</v>
          </cell>
        </row>
        <row r="24">
          <cell r="A24" t="str">
            <v>Ruth</v>
          </cell>
          <cell r="C24">
            <v>0.82378252168112109</v>
          </cell>
          <cell r="E24" t="str">
            <v>Edward</v>
          </cell>
          <cell r="G24">
            <v>0.66081819393238839</v>
          </cell>
          <cell r="I24" t="str">
            <v>Martinez</v>
          </cell>
          <cell r="M24" t="str">
            <v>O</v>
          </cell>
          <cell r="O24">
            <v>0.20588235294117649</v>
          </cell>
        </row>
        <row r="25">
          <cell r="A25" t="str">
            <v>Sharon</v>
          </cell>
          <cell r="C25">
            <v>0.81753391149655608</v>
          </cell>
          <cell r="E25" t="str">
            <v>Brian</v>
          </cell>
          <cell r="G25">
            <v>0.6521676364766964</v>
          </cell>
          <cell r="I25" t="str">
            <v>Robinson</v>
          </cell>
          <cell r="M25" t="str">
            <v>I</v>
          </cell>
          <cell r="O25">
            <v>0.17772321875939473</v>
          </cell>
        </row>
        <row r="26">
          <cell r="A26" t="str">
            <v>Michelle</v>
          </cell>
          <cell r="C26">
            <v>0.81173004225039125</v>
          </cell>
          <cell r="E26" t="str">
            <v>Ronald</v>
          </cell>
          <cell r="G26">
            <v>0.64399458090880224</v>
          </cell>
          <cell r="I26" t="str">
            <v>Clark</v>
          </cell>
          <cell r="M26" t="str">
            <v>V</v>
          </cell>
          <cell r="O26">
            <v>0.15156829341617398</v>
          </cell>
        </row>
        <row r="27">
          <cell r="A27" t="str">
            <v>Laura</v>
          </cell>
          <cell r="C27">
            <v>0.80595952857460629</v>
          </cell>
          <cell r="E27" t="str">
            <v>Anthony</v>
          </cell>
          <cell r="G27">
            <v>0.63594367698662424</v>
          </cell>
          <cell r="I27" t="str">
            <v>Rodriguez</v>
          </cell>
          <cell r="M27" t="str">
            <v>Z</v>
          </cell>
          <cell r="O27">
            <v>0.12556368373584528</v>
          </cell>
        </row>
        <row r="28">
          <cell r="A28" t="str">
            <v>Sarah</v>
          </cell>
          <cell r="C28">
            <v>0.80028908160996604</v>
          </cell>
          <cell r="E28" t="str">
            <v>Kevin</v>
          </cell>
          <cell r="G28">
            <v>0.62793719184470609</v>
          </cell>
          <cell r="I28" t="str">
            <v>Lewis</v>
          </cell>
          <cell r="M28" t="str">
            <v>Q</v>
          </cell>
          <cell r="O28">
            <v>0.10001002104419279</v>
          </cell>
        </row>
        <row r="29">
          <cell r="A29" t="str">
            <v>Kimberly</v>
          </cell>
          <cell r="C29">
            <v>0.79464087169224473</v>
          </cell>
          <cell r="E29" t="str">
            <v>Jason</v>
          </cell>
          <cell r="G29">
            <v>0.62048594145604197</v>
          </cell>
          <cell r="I29" t="str">
            <v>Lee</v>
          </cell>
          <cell r="M29" t="str">
            <v>Y</v>
          </cell>
          <cell r="O29">
            <v>7.455656879446837E-2</v>
          </cell>
        </row>
        <row r="30">
          <cell r="A30" t="str">
            <v>Deborah</v>
          </cell>
          <cell r="C30">
            <v>0.78903713586835655</v>
          </cell>
          <cell r="E30" t="str">
            <v>Matthew</v>
          </cell>
          <cell r="G30">
            <v>0.61315684271309334</v>
          </cell>
          <cell r="I30" t="str">
            <v>Walker</v>
          </cell>
          <cell r="M30" t="str">
            <v>U</v>
          </cell>
          <cell r="O30">
            <v>4.9303537428600053E-2</v>
          </cell>
        </row>
        <row r="31">
          <cell r="A31" t="str">
            <v>Jessica</v>
          </cell>
          <cell r="C31">
            <v>0.78354458527907422</v>
          </cell>
          <cell r="E31" t="str">
            <v>Gary</v>
          </cell>
          <cell r="G31">
            <v>0.6058610580553403</v>
          </cell>
          <cell r="I31" t="str">
            <v>Hall</v>
          </cell>
          <cell r="M31" t="str">
            <v>X</v>
          </cell>
          <cell r="O31">
            <v>2.4551558272371977E-2</v>
          </cell>
        </row>
        <row r="32">
          <cell r="A32" t="str">
            <v>Shirley</v>
          </cell>
          <cell r="C32">
            <v>0.77809650878363701</v>
          </cell>
          <cell r="E32" t="str">
            <v>Timothy</v>
          </cell>
          <cell r="G32">
            <v>0.59864300626304245</v>
          </cell>
          <cell r="I32" t="str">
            <v>Allen</v>
          </cell>
        </row>
        <row r="33">
          <cell r="A33" t="str">
            <v>Cynthia</v>
          </cell>
          <cell r="C33">
            <v>0.77273738047588403</v>
          </cell>
          <cell r="E33" t="str">
            <v>Jose</v>
          </cell>
          <cell r="G33">
            <v>0.59153600142139529</v>
          </cell>
          <cell r="I33" t="str">
            <v>Young</v>
          </cell>
        </row>
        <row r="34">
          <cell r="A34" t="str">
            <v>Angela</v>
          </cell>
          <cell r="C34">
            <v>0.76752279297310033</v>
          </cell>
          <cell r="E34" t="str">
            <v>Larry</v>
          </cell>
          <cell r="G34">
            <v>0.58472882334650522</v>
          </cell>
          <cell r="I34" t="str">
            <v>Hernandez</v>
          </cell>
        </row>
        <row r="35">
          <cell r="A35" t="str">
            <v>Melissa</v>
          </cell>
          <cell r="C35">
            <v>0.76231932399377178</v>
          </cell>
          <cell r="E35" t="str">
            <v>Jeffrey</v>
          </cell>
          <cell r="G35">
            <v>0.5780882156975915</v>
          </cell>
          <cell r="I35" t="str">
            <v>King</v>
          </cell>
        </row>
        <row r="36">
          <cell r="A36" t="str">
            <v>Brenda</v>
          </cell>
          <cell r="C36">
            <v>0.75718256615520918</v>
          </cell>
          <cell r="E36" t="str">
            <v>Frank</v>
          </cell>
          <cell r="G36">
            <v>0.5715253409141331</v>
          </cell>
          <cell r="I36" t="str">
            <v>Wright</v>
          </cell>
        </row>
        <row r="37">
          <cell r="A37" t="str">
            <v>Amy</v>
          </cell>
          <cell r="C37">
            <v>0.75212363798087101</v>
          </cell>
          <cell r="E37" t="str">
            <v>Scott</v>
          </cell>
          <cell r="G37">
            <v>0.56507351308132547</v>
          </cell>
          <cell r="I37" t="str">
            <v>Lopez</v>
          </cell>
        </row>
        <row r="38">
          <cell r="A38" t="str">
            <v>Anna</v>
          </cell>
          <cell r="C38">
            <v>0.74710918390037295</v>
          </cell>
          <cell r="E38" t="str">
            <v>Eric</v>
          </cell>
          <cell r="G38">
            <v>0.55901034957579543</v>
          </cell>
          <cell r="I38" t="str">
            <v>Hill</v>
          </cell>
        </row>
        <row r="39">
          <cell r="A39" t="str">
            <v>Rebecca</v>
          </cell>
          <cell r="C39">
            <v>0.74221703357794822</v>
          </cell>
          <cell r="E39" t="str">
            <v>Stephen</v>
          </cell>
          <cell r="G39">
            <v>0.55296939546039536</v>
          </cell>
          <cell r="I39" t="str">
            <v>Scott</v>
          </cell>
        </row>
        <row r="40">
          <cell r="A40" t="str">
            <v>Virginia</v>
          </cell>
          <cell r="C40">
            <v>0.73743606849012888</v>
          </cell>
          <cell r="E40" t="str">
            <v>Andrew</v>
          </cell>
          <cell r="G40">
            <v>0.54697286012525559</v>
          </cell>
          <cell r="I40" t="str">
            <v>Green</v>
          </cell>
        </row>
        <row r="41">
          <cell r="A41" t="str">
            <v>Kathleen</v>
          </cell>
          <cell r="C41">
            <v>0.73265510340230966</v>
          </cell>
          <cell r="E41" t="str">
            <v>Raymond</v>
          </cell>
          <cell r="G41">
            <v>0.54100963887531095</v>
          </cell>
          <cell r="I41" t="str">
            <v>Adams</v>
          </cell>
        </row>
        <row r="42">
          <cell r="A42" t="str">
            <v>Pamela</v>
          </cell>
          <cell r="C42">
            <v>0.72794084945525084</v>
          </cell>
          <cell r="E42" t="str">
            <v>Gregory</v>
          </cell>
          <cell r="G42">
            <v>0.53559054768355507</v>
          </cell>
          <cell r="I42" t="str">
            <v>Baker</v>
          </cell>
        </row>
        <row r="43">
          <cell r="A43" t="str">
            <v>Martha</v>
          </cell>
          <cell r="C43">
            <v>0.72331554369585238</v>
          </cell>
          <cell r="E43" t="str">
            <v>Joshua</v>
          </cell>
          <cell r="G43">
            <v>0.53069337715985776</v>
          </cell>
          <cell r="I43" t="str">
            <v>Gonzalez</v>
          </cell>
        </row>
        <row r="44">
          <cell r="A44" t="str">
            <v>Debra</v>
          </cell>
          <cell r="C44">
            <v>0.71873471203026518</v>
          </cell>
          <cell r="E44" t="str">
            <v>Jerry</v>
          </cell>
          <cell r="G44">
            <v>0.52586283480655072</v>
          </cell>
          <cell r="I44" t="str">
            <v>Nelson</v>
          </cell>
        </row>
        <row r="45">
          <cell r="A45" t="str">
            <v>Amanda</v>
          </cell>
          <cell r="C45">
            <v>0.71419835445851876</v>
          </cell>
          <cell r="E45" t="str">
            <v>Dennis</v>
          </cell>
          <cell r="G45">
            <v>0.52106560653843892</v>
          </cell>
          <cell r="I45" t="str">
            <v>Carter</v>
          </cell>
        </row>
        <row r="46">
          <cell r="A46" t="str">
            <v>Stephanie</v>
          </cell>
          <cell r="C46">
            <v>0.70970647098062611</v>
          </cell>
          <cell r="E46" t="str">
            <v>Walter</v>
          </cell>
          <cell r="G46">
            <v>0.51645715808643367</v>
          </cell>
          <cell r="I46" t="str">
            <v>Mitchell</v>
          </cell>
        </row>
        <row r="47">
          <cell r="A47" t="str">
            <v>Carolyn</v>
          </cell>
          <cell r="C47">
            <v>0.70525906159659246</v>
          </cell>
          <cell r="E47" t="str">
            <v>Patrick</v>
          </cell>
          <cell r="G47">
            <v>0.51202638475546924</v>
          </cell>
          <cell r="I47" t="str">
            <v>Perez</v>
          </cell>
        </row>
        <row r="48">
          <cell r="A48" t="str">
            <v>Christine</v>
          </cell>
          <cell r="C48">
            <v>0.70097843006446015</v>
          </cell>
          <cell r="E48" t="str">
            <v>Peter</v>
          </cell>
          <cell r="G48">
            <v>0.5077066583751555</v>
          </cell>
          <cell r="I48" t="str">
            <v>Roberts</v>
          </cell>
        </row>
        <row r="49">
          <cell r="A49" t="str">
            <v>Marie</v>
          </cell>
          <cell r="C49">
            <v>0.69673115410270814</v>
          </cell>
          <cell r="E49" t="str">
            <v>Harold</v>
          </cell>
          <cell r="G49">
            <v>0.50347576955536266</v>
          </cell>
          <cell r="I49" t="str">
            <v>Turner</v>
          </cell>
        </row>
        <row r="50">
          <cell r="A50" t="str">
            <v>Janet</v>
          </cell>
          <cell r="C50">
            <v>0.69251723371133633</v>
          </cell>
          <cell r="E50" t="str">
            <v>Douglas</v>
          </cell>
          <cell r="G50">
            <v>0.49935592768622056</v>
          </cell>
          <cell r="I50" t="str">
            <v>Phillips</v>
          </cell>
        </row>
        <row r="51">
          <cell r="A51" t="str">
            <v>Catherine</v>
          </cell>
          <cell r="C51">
            <v>0.68830331331996442</v>
          </cell>
          <cell r="E51" t="str">
            <v>Henry</v>
          </cell>
          <cell r="G51">
            <v>0.49528050459733863</v>
          </cell>
          <cell r="I51" t="str">
            <v>Campbell</v>
          </cell>
        </row>
        <row r="52">
          <cell r="A52" t="str">
            <v>Frances</v>
          </cell>
          <cell r="C52">
            <v>0.68415610406935301</v>
          </cell>
          <cell r="E52" t="str">
            <v>Carl</v>
          </cell>
          <cell r="G52">
            <v>0.49122729089858691</v>
          </cell>
          <cell r="I52" t="str">
            <v>Parker</v>
          </cell>
        </row>
        <row r="53">
          <cell r="A53" t="str">
            <v>Ann</v>
          </cell>
          <cell r="C53">
            <v>0.68004225038912192</v>
          </cell>
          <cell r="E53" t="str">
            <v>Arthur</v>
          </cell>
          <cell r="G53">
            <v>0.48738506640607154</v>
          </cell>
          <cell r="I53" t="str">
            <v>Evans</v>
          </cell>
        </row>
        <row r="54">
          <cell r="A54" t="str">
            <v>Joyce</v>
          </cell>
          <cell r="C54">
            <v>0.67599510784965122</v>
          </cell>
          <cell r="E54" t="str">
            <v>Ryan</v>
          </cell>
          <cell r="G54">
            <v>0.48366499355927167</v>
          </cell>
          <cell r="I54" t="str">
            <v>Edwards</v>
          </cell>
        </row>
        <row r="55">
          <cell r="A55" t="str">
            <v>Diane</v>
          </cell>
          <cell r="C55">
            <v>0.67194796531018053</v>
          </cell>
          <cell r="E55" t="str">
            <v>Roger</v>
          </cell>
          <cell r="G55">
            <v>0.48002265357792773</v>
          </cell>
          <cell r="I55" t="str">
            <v>Collins</v>
          </cell>
        </row>
        <row r="56">
          <cell r="A56" t="str">
            <v>Alice</v>
          </cell>
          <cell r="C56">
            <v>0.66795641538801032</v>
          </cell>
          <cell r="E56" t="str">
            <v>Joe</v>
          </cell>
          <cell r="G56">
            <v>0.47644694176697411</v>
          </cell>
          <cell r="I56" t="str">
            <v>Stewart</v>
          </cell>
        </row>
        <row r="57">
          <cell r="A57" t="str">
            <v>Julie</v>
          </cell>
          <cell r="C57">
            <v>0.66398710251276027</v>
          </cell>
          <cell r="E57" t="str">
            <v>Juan</v>
          </cell>
          <cell r="G57">
            <v>0.47288233465108565</v>
          </cell>
          <cell r="I57" t="str">
            <v>Sanchez</v>
          </cell>
        </row>
        <row r="58">
          <cell r="A58" t="str">
            <v>Heather</v>
          </cell>
          <cell r="C58">
            <v>0.66011785634865106</v>
          </cell>
          <cell r="E58" t="str">
            <v>Jack</v>
          </cell>
          <cell r="G58">
            <v>0.46937325101052246</v>
          </cell>
          <cell r="I58" t="str">
            <v>Morris</v>
          </cell>
        </row>
        <row r="59">
          <cell r="A59" t="str">
            <v>Teresa</v>
          </cell>
          <cell r="C59">
            <v>0.65637091394260261</v>
          </cell>
          <cell r="E59" t="str">
            <v>Albert</v>
          </cell>
          <cell r="G59">
            <v>0.46587527206502455</v>
          </cell>
          <cell r="I59" t="str">
            <v>Rogers</v>
          </cell>
        </row>
        <row r="60">
          <cell r="A60" t="str">
            <v>Doris</v>
          </cell>
          <cell r="C60">
            <v>0.6526350900600143</v>
          </cell>
          <cell r="E60" t="str">
            <v>Jonathan</v>
          </cell>
          <cell r="G60">
            <v>0.46238839781459151</v>
          </cell>
          <cell r="I60" t="str">
            <v>Reed</v>
          </cell>
        </row>
        <row r="61">
          <cell r="A61" t="str">
            <v>Gloria</v>
          </cell>
          <cell r="C61">
            <v>0.64891038470088602</v>
          </cell>
          <cell r="E61" t="str">
            <v>Justin</v>
          </cell>
          <cell r="G61">
            <v>0.45891262825922363</v>
          </cell>
          <cell r="I61" t="str">
            <v>Cook</v>
          </cell>
        </row>
        <row r="62">
          <cell r="A62" t="str">
            <v>Evelyn</v>
          </cell>
          <cell r="C62">
            <v>0.64518567934175797</v>
          </cell>
          <cell r="E62" t="str">
            <v>Terry</v>
          </cell>
          <cell r="G62">
            <v>0.4554590680939859</v>
          </cell>
          <cell r="I62" t="str">
            <v>Morgan</v>
          </cell>
        </row>
        <row r="63">
          <cell r="A63" t="str">
            <v>Jean</v>
          </cell>
          <cell r="C63">
            <v>0.64160551478761074</v>
          </cell>
          <cell r="E63" t="str">
            <v>Gerald</v>
          </cell>
          <cell r="G63">
            <v>0.45200550792874833</v>
          </cell>
          <cell r="I63" t="str">
            <v>Bell</v>
          </cell>
        </row>
        <row r="64">
          <cell r="A64" t="str">
            <v>Cheryl</v>
          </cell>
          <cell r="C64">
            <v>0.63810317989768428</v>
          </cell>
          <cell r="E64" t="str">
            <v>Keith</v>
          </cell>
          <cell r="G64">
            <v>0.44857415715364091</v>
          </cell>
          <cell r="I64" t="str">
            <v>Murphy</v>
          </cell>
        </row>
        <row r="65">
          <cell r="A65" t="str">
            <v>Mildred</v>
          </cell>
          <cell r="C65">
            <v>0.63460084500775782</v>
          </cell>
          <cell r="E65" t="str">
            <v>Samuel</v>
          </cell>
          <cell r="G65">
            <v>0.44515391107359814</v>
          </cell>
          <cell r="I65" t="str">
            <v>Bailey</v>
          </cell>
        </row>
        <row r="66">
          <cell r="A66" t="str">
            <v>Katherine</v>
          </cell>
          <cell r="C66">
            <v>0.63112074716475142</v>
          </cell>
          <cell r="E66" t="str">
            <v>Willie</v>
          </cell>
          <cell r="G66">
            <v>0.44175587438368552</v>
          </cell>
          <cell r="I66" t="str">
            <v>Rivera</v>
          </cell>
        </row>
        <row r="67">
          <cell r="A67" t="str">
            <v>Joan</v>
          </cell>
          <cell r="C67">
            <v>0.62764064932174513</v>
          </cell>
          <cell r="E67" t="str">
            <v>Ralph</v>
          </cell>
          <cell r="G67">
            <v>0.43840225647403319</v>
          </cell>
          <cell r="I67" t="str">
            <v>Cooper</v>
          </cell>
        </row>
        <row r="68">
          <cell r="A68" t="str">
            <v>Ashley</v>
          </cell>
          <cell r="C68">
            <v>0.62423838114295938</v>
          </cell>
          <cell r="E68" t="str">
            <v>Lawrence</v>
          </cell>
          <cell r="G68">
            <v>0.43527073246568249</v>
          </cell>
          <cell r="I68" t="str">
            <v>Richardson</v>
          </cell>
        </row>
        <row r="69">
          <cell r="A69" t="str">
            <v>Judith</v>
          </cell>
          <cell r="C69">
            <v>0.62086946853455394</v>
          </cell>
          <cell r="E69" t="str">
            <v>Nicholas</v>
          </cell>
          <cell r="G69">
            <v>0.43213920845733167</v>
          </cell>
          <cell r="I69" t="str">
            <v>Cox</v>
          </cell>
        </row>
        <row r="70">
          <cell r="A70" t="str">
            <v>Rose</v>
          </cell>
          <cell r="C70">
            <v>0.61756726706690901</v>
          </cell>
          <cell r="E70" t="str">
            <v>Roy</v>
          </cell>
          <cell r="G70">
            <v>0.42908541731443611</v>
          </cell>
          <cell r="I70" t="str">
            <v>Howard</v>
          </cell>
        </row>
        <row r="71">
          <cell r="A71" t="str">
            <v>Janice</v>
          </cell>
          <cell r="C71">
            <v>0.61427618412272422</v>
          </cell>
          <cell r="E71" t="str">
            <v>Benjamin</v>
          </cell>
          <cell r="G71">
            <v>0.42605383556167109</v>
          </cell>
          <cell r="I71" t="str">
            <v>Ward</v>
          </cell>
        </row>
        <row r="72">
          <cell r="A72" t="str">
            <v>Kelly</v>
          </cell>
          <cell r="C72">
            <v>0.61110740493660032</v>
          </cell>
          <cell r="E72" t="str">
            <v>Bruce</v>
          </cell>
          <cell r="G72">
            <v>0.42305556789410109</v>
          </cell>
          <cell r="I72" t="str">
            <v>Torres</v>
          </cell>
        </row>
        <row r="73">
          <cell r="A73" t="str">
            <v>Nicole</v>
          </cell>
          <cell r="C73">
            <v>0.60796086279739647</v>
          </cell>
          <cell r="E73" t="str">
            <v>Brandon</v>
          </cell>
          <cell r="G73">
            <v>0.42013503309198663</v>
          </cell>
          <cell r="I73" t="str">
            <v>Peterson</v>
          </cell>
        </row>
        <row r="74">
          <cell r="A74" t="str">
            <v>Judy</v>
          </cell>
          <cell r="C74">
            <v>0.60483655770511291</v>
          </cell>
          <cell r="E74" t="str">
            <v>Adam</v>
          </cell>
          <cell r="G74">
            <v>0.41724781237506758</v>
          </cell>
          <cell r="I74" t="str">
            <v>Gray</v>
          </cell>
        </row>
        <row r="75">
          <cell r="A75" t="str">
            <v>Christina</v>
          </cell>
          <cell r="C75">
            <v>0.60176784523012961</v>
          </cell>
          <cell r="E75" t="str">
            <v>Harry</v>
          </cell>
          <cell r="G75">
            <v>0.41437169635321358</v>
          </cell>
          <cell r="I75" t="str">
            <v>Ramirez</v>
          </cell>
        </row>
        <row r="76">
          <cell r="A76" t="str">
            <v>Kathy</v>
          </cell>
          <cell r="C76">
            <v>0.59871025127860655</v>
          </cell>
          <cell r="E76" t="str">
            <v>Fred</v>
          </cell>
          <cell r="G76">
            <v>0.41158441789187972</v>
          </cell>
          <cell r="I76" t="str">
            <v>James</v>
          </cell>
        </row>
        <row r="77">
          <cell r="A77" t="str">
            <v>Theresa</v>
          </cell>
          <cell r="C77">
            <v>0.59568601289746348</v>
          </cell>
          <cell r="E77" t="str">
            <v>Wayne</v>
          </cell>
          <cell r="G77">
            <v>0.40879713943054624</v>
          </cell>
          <cell r="I77" t="str">
            <v>Watson</v>
          </cell>
        </row>
        <row r="78">
          <cell r="A78" t="str">
            <v>Beverly</v>
          </cell>
          <cell r="C78">
            <v>0.59267289303978044</v>
          </cell>
          <cell r="E78" t="str">
            <v>Billy</v>
          </cell>
          <cell r="G78">
            <v>0.40603207035934291</v>
          </cell>
          <cell r="I78" t="str">
            <v>Brooks</v>
          </cell>
        </row>
        <row r="79">
          <cell r="A79" t="str">
            <v>Denise</v>
          </cell>
          <cell r="C79">
            <v>0.58970424727593806</v>
          </cell>
          <cell r="E79" t="str">
            <v>Steve</v>
          </cell>
          <cell r="G79">
            <v>0.40327810598320413</v>
          </cell>
          <cell r="I79" t="str">
            <v>Kelly</v>
          </cell>
        </row>
        <row r="80">
          <cell r="A80" t="str">
            <v>Tammy</v>
          </cell>
          <cell r="C80">
            <v>0.58676895708247601</v>
          </cell>
          <cell r="E80" t="str">
            <v>Louis</v>
          </cell>
          <cell r="G80">
            <v>0.40054635099719627</v>
          </cell>
          <cell r="I80" t="str">
            <v>Sanders</v>
          </cell>
        </row>
        <row r="81">
          <cell r="A81" t="str">
            <v>Irene</v>
          </cell>
          <cell r="C81">
            <v>0.5838892595063141</v>
          </cell>
          <cell r="E81" t="str">
            <v>Jeremy</v>
          </cell>
          <cell r="G81">
            <v>0.39784791009638382</v>
          </cell>
          <cell r="I81" t="str">
            <v>Price</v>
          </cell>
        </row>
        <row r="82">
          <cell r="A82" t="str">
            <v>Jane</v>
          </cell>
          <cell r="C82">
            <v>0.58108739159437273</v>
          </cell>
          <cell r="E82" t="str">
            <v>Aaron</v>
          </cell>
          <cell r="G82">
            <v>0.39516057389063586</v>
          </cell>
          <cell r="I82" t="str">
            <v>Bennett</v>
          </cell>
        </row>
        <row r="83">
          <cell r="A83" t="str">
            <v>Lori</v>
          </cell>
          <cell r="C83">
            <v>0.57830776072935164</v>
          </cell>
          <cell r="E83" t="str">
            <v>Randy</v>
          </cell>
          <cell r="G83">
            <v>0.39249544707501749</v>
          </cell>
          <cell r="I83" t="str">
            <v>Wood</v>
          </cell>
        </row>
        <row r="84">
          <cell r="A84" t="str">
            <v>Rachel</v>
          </cell>
          <cell r="C84">
            <v>0.57555036691125083</v>
          </cell>
          <cell r="E84" t="str">
            <v>Howard</v>
          </cell>
          <cell r="G84">
            <v>0.38991915781992131</v>
          </cell>
          <cell r="I84" t="str">
            <v>Barnes</v>
          </cell>
        </row>
        <row r="85">
          <cell r="A85" t="str">
            <v>Marilyn</v>
          </cell>
          <cell r="C85">
            <v>0.57285968423391043</v>
          </cell>
          <cell r="E85" t="str">
            <v>Eugene</v>
          </cell>
          <cell r="G85">
            <v>0.38736507795495501</v>
          </cell>
          <cell r="I85" t="str">
            <v>Ross</v>
          </cell>
        </row>
        <row r="86">
          <cell r="A86" t="str">
            <v>Andrea</v>
          </cell>
          <cell r="C86">
            <v>0.57018012008003038</v>
          </cell>
          <cell r="E86" t="str">
            <v>Carlos</v>
          </cell>
          <cell r="G86">
            <v>0.3848109980899882</v>
          </cell>
          <cell r="I86" t="str">
            <v>Henderson</v>
          </cell>
        </row>
        <row r="87">
          <cell r="A87" t="str">
            <v>Kathryn</v>
          </cell>
          <cell r="C87">
            <v>0.56755614854345049</v>
          </cell>
          <cell r="E87" t="str">
            <v>Russell</v>
          </cell>
          <cell r="G87">
            <v>0.3822680229200856</v>
          </cell>
          <cell r="I87" t="str">
            <v>Coleman</v>
          </cell>
        </row>
        <row r="88">
          <cell r="A88" t="str">
            <v>Louise</v>
          </cell>
          <cell r="C88">
            <v>0.56495441405379077</v>
          </cell>
          <cell r="E88" t="str">
            <v>Bobby</v>
          </cell>
          <cell r="G88">
            <v>0.37978057122550801</v>
          </cell>
          <cell r="I88" t="str">
            <v>Jenkins</v>
          </cell>
        </row>
        <row r="89">
          <cell r="A89" t="str">
            <v>Sara</v>
          </cell>
          <cell r="C89">
            <v>0.56240827218143163</v>
          </cell>
          <cell r="E89" t="str">
            <v>Victor</v>
          </cell>
          <cell r="G89">
            <v>0.37730422422599758</v>
          </cell>
          <cell r="I89" t="str">
            <v>Perry</v>
          </cell>
        </row>
        <row r="90">
          <cell r="A90" t="str">
            <v>Anne</v>
          </cell>
          <cell r="C90">
            <v>0.55986213030907261</v>
          </cell>
          <cell r="E90" t="str">
            <v>Martin</v>
          </cell>
          <cell r="G90">
            <v>0.37483898192155246</v>
          </cell>
          <cell r="I90" t="str">
            <v>Powell</v>
          </cell>
        </row>
        <row r="91">
          <cell r="A91" t="str">
            <v>Jacqueline</v>
          </cell>
          <cell r="C91">
            <v>0.55732710696017351</v>
          </cell>
          <cell r="E91" t="str">
            <v>Ernest</v>
          </cell>
          <cell r="G91">
            <v>0.37244036778749662</v>
          </cell>
          <cell r="I91" t="str">
            <v>Long</v>
          </cell>
        </row>
        <row r="92">
          <cell r="A92" t="str">
            <v>Wanda</v>
          </cell>
          <cell r="C92">
            <v>0.5547920836112743</v>
          </cell>
          <cell r="E92" t="str">
            <v>Phillip</v>
          </cell>
          <cell r="G92">
            <v>0.37005285834850588</v>
          </cell>
          <cell r="I92" t="str">
            <v>Patterson</v>
          </cell>
        </row>
        <row r="93">
          <cell r="A93" t="str">
            <v>Bonnie</v>
          </cell>
          <cell r="C93">
            <v>0.55227929730929548</v>
          </cell>
          <cell r="E93" t="str">
            <v>Todd</v>
          </cell>
          <cell r="G93">
            <v>0.36768755829964406</v>
          </cell>
          <cell r="I93" t="str">
            <v>Hughes</v>
          </cell>
        </row>
        <row r="94">
          <cell r="A94" t="str">
            <v>Julia</v>
          </cell>
          <cell r="C94">
            <v>0.54979986657769675</v>
          </cell>
          <cell r="E94" t="str">
            <v>Jesse</v>
          </cell>
          <cell r="G94">
            <v>0.36532225825078174</v>
          </cell>
          <cell r="I94" t="str">
            <v>Flores</v>
          </cell>
        </row>
        <row r="95">
          <cell r="A95" t="str">
            <v>Ruby</v>
          </cell>
          <cell r="C95">
            <v>0.54732043584609813</v>
          </cell>
          <cell r="E95" t="str">
            <v>Craig</v>
          </cell>
          <cell r="G95">
            <v>0.36300137698217977</v>
          </cell>
          <cell r="I95" t="str">
            <v>Washington</v>
          </cell>
        </row>
        <row r="96">
          <cell r="A96" t="str">
            <v>Lois</v>
          </cell>
          <cell r="C96">
            <v>0.54486324216141968</v>
          </cell>
          <cell r="E96" t="str">
            <v>Alan</v>
          </cell>
          <cell r="G96">
            <v>0.36071380979877626</v>
          </cell>
          <cell r="I96" t="str">
            <v>Butler</v>
          </cell>
        </row>
        <row r="97">
          <cell r="A97" t="str">
            <v>Tina</v>
          </cell>
          <cell r="C97">
            <v>0.54241716700020115</v>
          </cell>
          <cell r="E97" t="str">
            <v>Shawn</v>
          </cell>
          <cell r="G97">
            <v>0.35844845200550329</v>
          </cell>
          <cell r="I97" t="str">
            <v>Simmons</v>
          </cell>
        </row>
        <row r="98">
          <cell r="A98" t="str">
            <v>Phyllis</v>
          </cell>
          <cell r="C98">
            <v>0.53997109183898251</v>
          </cell>
          <cell r="E98" t="str">
            <v>Clarence</v>
          </cell>
          <cell r="G98">
            <v>0.35622751299249056</v>
          </cell>
          <cell r="I98" t="str">
            <v>Foster</v>
          </cell>
        </row>
        <row r="99">
          <cell r="A99" t="str">
            <v>Norma</v>
          </cell>
          <cell r="C99">
            <v>0.53753613520122379</v>
          </cell>
          <cell r="E99" t="str">
            <v>Sean</v>
          </cell>
          <cell r="G99">
            <v>0.35403988806467185</v>
          </cell>
          <cell r="I99" t="str">
            <v>Gonzales</v>
          </cell>
        </row>
        <row r="100">
          <cell r="A100" t="str">
            <v>Paula</v>
          </cell>
          <cell r="C100">
            <v>0.53511229708692531</v>
          </cell>
          <cell r="E100" t="str">
            <v>Philip</v>
          </cell>
          <cell r="G100">
            <v>0.35185226313685236</v>
          </cell>
          <cell r="I100" t="str">
            <v>Bryant</v>
          </cell>
        </row>
        <row r="101">
          <cell r="A101" t="str">
            <v>Diana</v>
          </cell>
          <cell r="C101">
            <v>0.53269957749608698</v>
          </cell>
          <cell r="E101" t="str">
            <v>Chris</v>
          </cell>
          <cell r="G101">
            <v>0.34966463820903293</v>
          </cell>
          <cell r="I101" t="str">
            <v>Alexander</v>
          </cell>
        </row>
        <row r="102">
          <cell r="A102" t="str">
            <v>Annie</v>
          </cell>
          <cell r="C102">
            <v>0.53029797642870879</v>
          </cell>
          <cell r="E102" t="str">
            <v>Johnny</v>
          </cell>
          <cell r="G102">
            <v>0.34747701328121344</v>
          </cell>
          <cell r="I102" t="str">
            <v>Russell</v>
          </cell>
        </row>
        <row r="103">
          <cell r="A103" t="str">
            <v>Lillian</v>
          </cell>
          <cell r="C103">
            <v>0.52789637536133061</v>
          </cell>
          <cell r="E103" t="str">
            <v>Earl</v>
          </cell>
          <cell r="G103">
            <v>0.34531159774352405</v>
          </cell>
          <cell r="I103" t="str">
            <v>Griffin</v>
          </cell>
        </row>
        <row r="104">
          <cell r="A104" t="str">
            <v>Emily</v>
          </cell>
          <cell r="C104">
            <v>0.52555036691125256</v>
          </cell>
          <cell r="E104" t="str">
            <v>Jimmy</v>
          </cell>
          <cell r="G104">
            <v>0.34316839159596496</v>
          </cell>
          <cell r="I104" t="str">
            <v>Diaz</v>
          </cell>
        </row>
        <row r="105">
          <cell r="A105" t="str">
            <v>Robin</v>
          </cell>
          <cell r="C105">
            <v>0.52323771403155495</v>
          </cell>
          <cell r="E105" t="str">
            <v>Antonio</v>
          </cell>
          <cell r="G105">
            <v>0.34104739483853591</v>
          </cell>
          <cell r="I105" t="str">
            <v>Hayes</v>
          </cell>
        </row>
        <row r="106">
          <cell r="A106" t="str">
            <v>Peggy</v>
          </cell>
          <cell r="C106">
            <v>0.52092506115185744</v>
          </cell>
          <cell r="E106" t="str">
            <v>Danny</v>
          </cell>
          <cell r="G106">
            <v>0.33893750277617191</v>
          </cell>
          <cell r="I106" t="str">
            <v>Myers</v>
          </cell>
        </row>
        <row r="107">
          <cell r="A107" t="str">
            <v>Crystal</v>
          </cell>
          <cell r="C107">
            <v>0.51861240827215993</v>
          </cell>
          <cell r="E107" t="str">
            <v>Bryan</v>
          </cell>
          <cell r="G107">
            <v>0.33682761071380796</v>
          </cell>
          <cell r="I107" t="str">
            <v>Ford</v>
          </cell>
        </row>
        <row r="108">
          <cell r="A108" t="str">
            <v>Gladys</v>
          </cell>
          <cell r="C108">
            <v>0.51631087391592245</v>
          </cell>
          <cell r="E108" t="str">
            <v>Tony</v>
          </cell>
          <cell r="G108">
            <v>0.33471771865144406</v>
          </cell>
          <cell r="I108" t="str">
            <v>Hamilton</v>
          </cell>
        </row>
        <row r="109">
          <cell r="A109" t="str">
            <v>Rita</v>
          </cell>
          <cell r="C109">
            <v>0.51403157660660526</v>
          </cell>
          <cell r="E109" t="str">
            <v>Luis</v>
          </cell>
          <cell r="G109">
            <v>0.33260782658908011</v>
          </cell>
          <cell r="I109" t="str">
            <v>Graham</v>
          </cell>
        </row>
        <row r="110">
          <cell r="A110" t="str">
            <v>Dawn</v>
          </cell>
          <cell r="C110">
            <v>0.51176339782074798</v>
          </cell>
          <cell r="E110" t="str">
            <v>Mike</v>
          </cell>
          <cell r="G110">
            <v>0.33050903922178126</v>
          </cell>
          <cell r="I110" t="str">
            <v>Sullivan</v>
          </cell>
        </row>
        <row r="111">
          <cell r="A111" t="str">
            <v>Connie</v>
          </cell>
          <cell r="C111">
            <v>0.50951745608181065</v>
          </cell>
          <cell r="E111" t="str">
            <v>Stanley</v>
          </cell>
          <cell r="G111">
            <v>0.32841025185448236</v>
          </cell>
          <cell r="I111" t="str">
            <v>Wallace</v>
          </cell>
        </row>
        <row r="112">
          <cell r="A112" t="str">
            <v>Florence</v>
          </cell>
          <cell r="C112">
            <v>0.50729375138979382</v>
          </cell>
          <cell r="E112" t="str">
            <v>Leonard</v>
          </cell>
          <cell r="G112">
            <v>0.32634477857237876</v>
          </cell>
          <cell r="I112" t="str">
            <v>Woods</v>
          </cell>
        </row>
        <row r="113">
          <cell r="A113" t="str">
            <v>Tracy</v>
          </cell>
          <cell r="C113">
            <v>0.505070046697777</v>
          </cell>
          <cell r="E113" t="str">
            <v>Nathan</v>
          </cell>
          <cell r="G113">
            <v>0.3242793052902751</v>
          </cell>
          <cell r="I113" t="str">
            <v>Cole</v>
          </cell>
        </row>
        <row r="114">
          <cell r="A114" t="str">
            <v>Edna</v>
          </cell>
          <cell r="C114">
            <v>0.50287969757614026</v>
          </cell>
          <cell r="E114" t="str">
            <v>Dale</v>
          </cell>
          <cell r="G114">
            <v>0.32222493670323649</v>
          </cell>
          <cell r="I114" t="str">
            <v>West</v>
          </cell>
        </row>
        <row r="115">
          <cell r="A115" t="str">
            <v>Tiffany</v>
          </cell>
          <cell r="C115">
            <v>0.50068934845450341</v>
          </cell>
          <cell r="E115" t="str">
            <v>Manuel</v>
          </cell>
          <cell r="G115">
            <v>0.32018167281126297</v>
          </cell>
          <cell r="I115" t="str">
            <v>Jordan</v>
          </cell>
        </row>
        <row r="116">
          <cell r="A116" t="str">
            <v>Carmen</v>
          </cell>
          <cell r="C116">
            <v>0.49852123637978712</v>
          </cell>
          <cell r="E116" t="str">
            <v>Rodney</v>
          </cell>
          <cell r="G116">
            <v>0.31817172300448476</v>
          </cell>
          <cell r="I116" t="str">
            <v>Owens</v>
          </cell>
        </row>
        <row r="117">
          <cell r="A117" t="str">
            <v>Rosa</v>
          </cell>
          <cell r="C117">
            <v>0.49635312430507061</v>
          </cell>
          <cell r="E117" t="str">
            <v>Curtis</v>
          </cell>
          <cell r="G117">
            <v>0.31617287789277154</v>
          </cell>
          <cell r="I117" t="str">
            <v>Reynolds</v>
          </cell>
        </row>
        <row r="118">
          <cell r="A118" t="str">
            <v>Cindy</v>
          </cell>
          <cell r="C118">
            <v>0.4941961307538143</v>
          </cell>
          <cell r="E118" t="str">
            <v>Norman</v>
          </cell>
          <cell r="G118">
            <v>0.31417403278105838</v>
          </cell>
          <cell r="I118" t="str">
            <v>Fisher</v>
          </cell>
        </row>
        <row r="119">
          <cell r="A119" t="str">
            <v>Grace</v>
          </cell>
          <cell r="C119">
            <v>0.49206137424947816</v>
          </cell>
          <cell r="E119" t="str">
            <v>Allen</v>
          </cell>
          <cell r="G119">
            <v>0.3122085017545404</v>
          </cell>
          <cell r="I119" t="str">
            <v>Ellis</v>
          </cell>
        </row>
        <row r="120">
          <cell r="A120" t="str">
            <v>Wendy</v>
          </cell>
          <cell r="C120">
            <v>0.48995997331552182</v>
          </cell>
          <cell r="E120" t="str">
            <v>Marvin</v>
          </cell>
          <cell r="G120">
            <v>0.31027628481321762</v>
          </cell>
          <cell r="I120" t="str">
            <v>Harrison</v>
          </cell>
        </row>
        <row r="121">
          <cell r="A121" t="str">
            <v>Victoria</v>
          </cell>
          <cell r="C121">
            <v>0.48790304647540583</v>
          </cell>
          <cell r="E121" t="str">
            <v>Vincent</v>
          </cell>
          <cell r="G121">
            <v>0.30837738195709008</v>
          </cell>
          <cell r="I121" t="str">
            <v>Gibson</v>
          </cell>
        </row>
        <row r="122">
          <cell r="A122" t="str">
            <v>Edith</v>
          </cell>
          <cell r="C122">
            <v>0.4859017122525906</v>
          </cell>
          <cell r="E122" t="str">
            <v>Glenn</v>
          </cell>
          <cell r="G122">
            <v>0.30651179318615784</v>
          </cell>
          <cell r="I122" t="str">
            <v>Mcdonald</v>
          </cell>
        </row>
        <row r="123">
          <cell r="A123" t="str">
            <v>Kim</v>
          </cell>
          <cell r="C123">
            <v>0.48391149655323562</v>
          </cell>
          <cell r="E123" t="str">
            <v>Jeffery</v>
          </cell>
          <cell r="G123">
            <v>0.3046573091102906</v>
          </cell>
          <cell r="I123" t="str">
            <v>Cruz</v>
          </cell>
        </row>
        <row r="124">
          <cell r="A124" t="str">
            <v>Sherry</v>
          </cell>
          <cell r="C124">
            <v>0.48193239937734061</v>
          </cell>
          <cell r="E124" t="str">
            <v>Travis</v>
          </cell>
          <cell r="G124">
            <v>0.3028139297294884</v>
          </cell>
          <cell r="I124" t="str">
            <v>Marshall</v>
          </cell>
        </row>
        <row r="125">
          <cell r="A125" t="str">
            <v>Sylvia</v>
          </cell>
          <cell r="C125">
            <v>0.47995330220144566</v>
          </cell>
          <cell r="E125" t="str">
            <v>Jeff</v>
          </cell>
          <cell r="G125">
            <v>0.30097055034868625</v>
          </cell>
          <cell r="I125" t="str">
            <v>Ortiz</v>
          </cell>
        </row>
        <row r="126">
          <cell r="A126" t="str">
            <v>Josephine</v>
          </cell>
          <cell r="C126">
            <v>0.47798532354901041</v>
          </cell>
          <cell r="E126" t="str">
            <v>Chad</v>
          </cell>
          <cell r="G126">
            <v>0.29912717096788405</v>
          </cell>
          <cell r="I126" t="str">
            <v>Gomez</v>
          </cell>
        </row>
        <row r="127">
          <cell r="A127" t="str">
            <v>Thelma</v>
          </cell>
          <cell r="C127">
            <v>0.47601734489657499</v>
          </cell>
          <cell r="E127" t="str">
            <v>Jacob</v>
          </cell>
          <cell r="G127">
            <v>0.29729489628214689</v>
          </cell>
          <cell r="I127" t="str">
            <v>Murray</v>
          </cell>
        </row>
        <row r="128">
          <cell r="A128" t="str">
            <v>Shannon</v>
          </cell>
          <cell r="C128">
            <v>0.47407160329105985</v>
          </cell>
          <cell r="E128" t="str">
            <v>Lee</v>
          </cell>
          <cell r="G128">
            <v>0.29546262159640979</v>
          </cell>
          <cell r="I128" t="str">
            <v>Freeman</v>
          </cell>
        </row>
        <row r="129">
          <cell r="A129" t="str">
            <v>Sheila</v>
          </cell>
          <cell r="C129">
            <v>0.47212586168554543</v>
          </cell>
          <cell r="E129" t="str">
            <v>Melvin</v>
          </cell>
          <cell r="G129">
            <v>0.29366366099586788</v>
          </cell>
          <cell r="I129" t="str">
            <v>Wells</v>
          </cell>
        </row>
        <row r="130">
          <cell r="A130" t="str">
            <v>Ethel</v>
          </cell>
          <cell r="C130">
            <v>0.47018012008003124</v>
          </cell>
          <cell r="E130" t="str">
            <v>Alfred</v>
          </cell>
          <cell r="G130">
            <v>0.29186470039532592</v>
          </cell>
          <cell r="I130" t="str">
            <v>Webb</v>
          </cell>
        </row>
        <row r="131">
          <cell r="A131" t="str">
            <v>Ellen</v>
          </cell>
          <cell r="C131">
            <v>0.46824549699797685</v>
          </cell>
          <cell r="E131" t="str">
            <v>Kyle</v>
          </cell>
          <cell r="G131">
            <v>0.29006573979478401</v>
          </cell>
          <cell r="I131" t="str">
            <v>Simpson</v>
          </cell>
        </row>
        <row r="132">
          <cell r="A132" t="str">
            <v>Elaine</v>
          </cell>
          <cell r="C132">
            <v>0.46632199243938227</v>
          </cell>
          <cell r="E132" t="str">
            <v>Francis</v>
          </cell>
          <cell r="G132">
            <v>0.2882889885843723</v>
          </cell>
          <cell r="I132" t="str">
            <v>Stevens</v>
          </cell>
        </row>
        <row r="133">
          <cell r="A133" t="str">
            <v>Marjorie</v>
          </cell>
          <cell r="C133">
            <v>0.46439848788078752</v>
          </cell>
          <cell r="E133" t="str">
            <v>Bradley</v>
          </cell>
          <cell r="G133">
            <v>0.28651223737396064</v>
          </cell>
          <cell r="I133" t="str">
            <v>Tucker</v>
          </cell>
        </row>
        <row r="134">
          <cell r="A134" t="str">
            <v>Carrie</v>
          </cell>
          <cell r="C134">
            <v>0.46247498332219228</v>
          </cell>
          <cell r="E134" t="str">
            <v>Jesus</v>
          </cell>
          <cell r="G134">
            <v>0.28474659085861387</v>
          </cell>
          <cell r="I134" t="str">
            <v>Porter</v>
          </cell>
        </row>
        <row r="135">
          <cell r="A135" t="str">
            <v>Charlotte</v>
          </cell>
          <cell r="C135">
            <v>0.46057371581051731</v>
          </cell>
          <cell r="E135" t="str">
            <v>Herbert</v>
          </cell>
          <cell r="G135">
            <v>0.28302536312352738</v>
          </cell>
          <cell r="I135" t="str">
            <v>Hunter</v>
          </cell>
        </row>
        <row r="136">
          <cell r="A136" t="str">
            <v>Monica</v>
          </cell>
          <cell r="C136">
            <v>0.45869468534576285</v>
          </cell>
          <cell r="E136" t="str">
            <v>Frederick</v>
          </cell>
          <cell r="G136">
            <v>0.28130413538844101</v>
          </cell>
          <cell r="I136" t="str">
            <v>Hicks</v>
          </cell>
        </row>
        <row r="137">
          <cell r="A137" t="str">
            <v>Esther</v>
          </cell>
          <cell r="C137">
            <v>0.45684901045138948</v>
          </cell>
          <cell r="E137" t="str">
            <v>Ray</v>
          </cell>
          <cell r="G137">
            <v>0.2795940123484198</v>
          </cell>
          <cell r="I137" t="str">
            <v>Crawford</v>
          </cell>
        </row>
        <row r="138">
          <cell r="A138" t="str">
            <v>Pauline</v>
          </cell>
          <cell r="C138">
            <v>0.45500333555701616</v>
          </cell>
          <cell r="E138" t="str">
            <v>Joel</v>
          </cell>
          <cell r="G138">
            <v>0.27789499400346362</v>
          </cell>
          <cell r="I138" t="str">
            <v>Henry</v>
          </cell>
        </row>
        <row r="139">
          <cell r="A139" t="str">
            <v>Emma</v>
          </cell>
          <cell r="C139">
            <v>0.45316877918610265</v>
          </cell>
          <cell r="E139" t="str">
            <v>Edwin</v>
          </cell>
          <cell r="G139">
            <v>0.27620708035357244</v>
          </cell>
          <cell r="I139" t="str">
            <v>Boyd</v>
          </cell>
        </row>
        <row r="140">
          <cell r="A140" t="str">
            <v>Juanita</v>
          </cell>
          <cell r="C140">
            <v>0.4513342228151887</v>
          </cell>
          <cell r="E140" t="str">
            <v>Don</v>
          </cell>
          <cell r="G140">
            <v>0.27456358548394155</v>
          </cell>
          <cell r="I140" t="str">
            <v>Mason</v>
          </cell>
        </row>
        <row r="141">
          <cell r="A141" t="str">
            <v>Anita</v>
          </cell>
          <cell r="C141">
            <v>0.44951078496773494</v>
          </cell>
          <cell r="E141" t="str">
            <v>Eddie</v>
          </cell>
          <cell r="G141">
            <v>0.27295340469950591</v>
          </cell>
          <cell r="I141" t="str">
            <v>Morales</v>
          </cell>
        </row>
        <row r="142">
          <cell r="A142" t="str">
            <v>Rhonda</v>
          </cell>
          <cell r="C142">
            <v>0.44770958416720125</v>
          </cell>
          <cell r="E142" t="str">
            <v>Ricky</v>
          </cell>
          <cell r="G142">
            <v>0.27135432861013536</v>
          </cell>
          <cell r="I142" t="str">
            <v>Kennedy</v>
          </cell>
        </row>
        <row r="143">
          <cell r="A143" t="str">
            <v>Hazel</v>
          </cell>
          <cell r="C143">
            <v>0.44590838336666699</v>
          </cell>
          <cell r="E143" t="str">
            <v>Troy</v>
          </cell>
          <cell r="G143">
            <v>0.26978856660596007</v>
          </cell>
          <cell r="I143" t="str">
            <v>Warren</v>
          </cell>
        </row>
        <row r="144">
          <cell r="A144" t="str">
            <v>Amber</v>
          </cell>
          <cell r="C144">
            <v>0.44411830108959266</v>
          </cell>
          <cell r="E144" t="str">
            <v>Randall</v>
          </cell>
          <cell r="G144">
            <v>0.26825611868697985</v>
          </cell>
          <cell r="I144" t="str">
            <v>Dixon</v>
          </cell>
        </row>
        <row r="145">
          <cell r="A145" t="str">
            <v>Eva</v>
          </cell>
          <cell r="C145">
            <v>0.44233933733597836</v>
          </cell>
          <cell r="E145" t="str">
            <v>Barry</v>
          </cell>
          <cell r="G145">
            <v>0.26672367076799974</v>
          </cell>
          <cell r="I145" t="str">
            <v>Ramos</v>
          </cell>
        </row>
        <row r="146">
          <cell r="A146" t="str">
            <v>Debbie</v>
          </cell>
          <cell r="C146">
            <v>0.44057149210582441</v>
          </cell>
          <cell r="E146" t="str">
            <v>Alexander</v>
          </cell>
          <cell r="G146">
            <v>0.26523564162927998</v>
          </cell>
          <cell r="I146" t="str">
            <v>Reyes</v>
          </cell>
        </row>
        <row r="147">
          <cell r="A147" t="str">
            <v>April</v>
          </cell>
          <cell r="C147">
            <v>0.43882588392259214</v>
          </cell>
          <cell r="E147" t="str">
            <v>Bernard</v>
          </cell>
          <cell r="G147">
            <v>0.26376982188069037</v>
          </cell>
          <cell r="I147" t="str">
            <v>Burns</v>
          </cell>
        </row>
        <row r="148">
          <cell r="A148" t="str">
            <v>Leslie</v>
          </cell>
          <cell r="C148">
            <v>0.43711363130974001</v>
          </cell>
          <cell r="E148" t="str">
            <v>Mario</v>
          </cell>
          <cell r="G148">
            <v>0.26235952560742604</v>
          </cell>
          <cell r="I148" t="str">
            <v>Gordon</v>
          </cell>
        </row>
        <row r="149">
          <cell r="A149" t="str">
            <v>Clara</v>
          </cell>
          <cell r="C149">
            <v>0.43540137869688789</v>
          </cell>
          <cell r="E149" t="str">
            <v>Leroy</v>
          </cell>
          <cell r="G149">
            <v>0.2609714387242919</v>
          </cell>
          <cell r="I149" t="str">
            <v>Shaw</v>
          </cell>
        </row>
        <row r="150">
          <cell r="A150" t="str">
            <v>Lucille</v>
          </cell>
          <cell r="C150">
            <v>0.43370024460749584</v>
          </cell>
          <cell r="E150" t="str">
            <v>Francisco</v>
          </cell>
          <cell r="G150">
            <v>0.25958335184115777</v>
          </cell>
          <cell r="I150" t="str">
            <v>Holmes</v>
          </cell>
        </row>
        <row r="151">
          <cell r="A151" t="str">
            <v>Jamie</v>
          </cell>
          <cell r="C151">
            <v>0.43199911051810358</v>
          </cell>
          <cell r="E151" t="str">
            <v>Marcus</v>
          </cell>
          <cell r="G151">
            <v>0.25820636965308869</v>
          </cell>
          <cell r="I151" t="str">
            <v>Rice</v>
          </cell>
        </row>
        <row r="152">
          <cell r="A152" t="str">
            <v>Joanne</v>
          </cell>
          <cell r="C152">
            <v>0.43029797642871065</v>
          </cell>
          <cell r="E152" t="str">
            <v>Micheal</v>
          </cell>
          <cell r="G152">
            <v>0.25682938746501949</v>
          </cell>
          <cell r="I152" t="str">
            <v>Robertson</v>
          </cell>
        </row>
        <row r="153">
          <cell r="A153" t="str">
            <v>Eleanor</v>
          </cell>
          <cell r="C153">
            <v>0.42863019790969803</v>
          </cell>
          <cell r="E153" t="str">
            <v>Theodore</v>
          </cell>
          <cell r="G153">
            <v>0.25546350997201539</v>
          </cell>
          <cell r="I153" t="str">
            <v>Hunt</v>
          </cell>
        </row>
        <row r="154">
          <cell r="A154" t="str">
            <v>Valerie</v>
          </cell>
          <cell r="C154">
            <v>0.42696241939068541</v>
          </cell>
          <cell r="E154" t="str">
            <v>Clifford</v>
          </cell>
          <cell r="G154">
            <v>0.25409763247901135</v>
          </cell>
          <cell r="I154" t="str">
            <v>Black</v>
          </cell>
        </row>
        <row r="155">
          <cell r="A155" t="str">
            <v>Danielle</v>
          </cell>
          <cell r="C155">
            <v>0.42530575939513288</v>
          </cell>
          <cell r="E155" t="str">
            <v>Miguel</v>
          </cell>
          <cell r="G155">
            <v>0.25273175498600731</v>
          </cell>
          <cell r="I155" t="str">
            <v>Daniels</v>
          </cell>
        </row>
        <row r="156">
          <cell r="A156" t="str">
            <v>Megan</v>
          </cell>
          <cell r="C156">
            <v>0.42364909939957929</v>
          </cell>
          <cell r="E156" t="str">
            <v>Oscar</v>
          </cell>
          <cell r="G156">
            <v>0.25137698218806842</v>
          </cell>
          <cell r="I156" t="str">
            <v>Palmer</v>
          </cell>
        </row>
        <row r="157">
          <cell r="A157" t="str">
            <v>Alicia</v>
          </cell>
          <cell r="C157">
            <v>0.42201467645094581</v>
          </cell>
          <cell r="E157" t="str">
            <v>Jay</v>
          </cell>
          <cell r="G157">
            <v>0.25002220939012959</v>
          </cell>
          <cell r="I157" t="str">
            <v>Mills</v>
          </cell>
        </row>
        <row r="158">
          <cell r="A158" t="str">
            <v>Suzanne</v>
          </cell>
          <cell r="C158">
            <v>0.42039137202577243</v>
          </cell>
          <cell r="E158" t="str">
            <v>Jim</v>
          </cell>
          <cell r="G158">
            <v>0.24871185537245102</v>
          </cell>
          <cell r="I158" t="str">
            <v>Nichols</v>
          </cell>
        </row>
        <row r="159">
          <cell r="A159" t="str">
            <v>Michele</v>
          </cell>
          <cell r="C159">
            <v>0.41877918612405907</v>
          </cell>
          <cell r="E159" t="str">
            <v>Tom</v>
          </cell>
          <cell r="G159">
            <v>0.24740150135477232</v>
          </cell>
          <cell r="I159" t="str">
            <v>Grant</v>
          </cell>
        </row>
        <row r="160">
          <cell r="A160" t="str">
            <v>Gail</v>
          </cell>
          <cell r="C160">
            <v>0.41716700022234576</v>
          </cell>
          <cell r="E160" t="str">
            <v>Calvin</v>
          </cell>
          <cell r="G160">
            <v>0.24610225203215877</v>
          </cell>
          <cell r="I160" t="str">
            <v>Knight</v>
          </cell>
        </row>
        <row r="161">
          <cell r="A161" t="str">
            <v>Bertha</v>
          </cell>
          <cell r="C161">
            <v>0.41555481432063246</v>
          </cell>
          <cell r="E161" t="str">
            <v>Alex</v>
          </cell>
          <cell r="G161">
            <v>0.24482521209967531</v>
          </cell>
          <cell r="I161" t="str">
            <v>Ferguson</v>
          </cell>
        </row>
        <row r="162">
          <cell r="A162" t="str">
            <v>Darlene</v>
          </cell>
          <cell r="C162">
            <v>0.41396486546584155</v>
          </cell>
          <cell r="E162" t="str">
            <v>Jon</v>
          </cell>
          <cell r="G162">
            <v>0.24354817216719193</v>
          </cell>
          <cell r="I162" t="str">
            <v>Rose</v>
          </cell>
        </row>
        <row r="163">
          <cell r="A163" t="str">
            <v>Veronica</v>
          </cell>
          <cell r="C163">
            <v>0.41238603513451105</v>
          </cell>
          <cell r="E163" t="str">
            <v>Ronnie</v>
          </cell>
          <cell r="G163">
            <v>0.24227113223470861</v>
          </cell>
          <cell r="I163" t="str">
            <v>Stone</v>
          </cell>
        </row>
        <row r="164">
          <cell r="A164" t="str">
            <v>Jill</v>
          </cell>
          <cell r="C164">
            <v>0.41080720480318045</v>
          </cell>
          <cell r="E164" t="str">
            <v>Bill</v>
          </cell>
          <cell r="G164">
            <v>0.24101630169235541</v>
          </cell>
          <cell r="I164" t="str">
            <v>Hawkins</v>
          </cell>
        </row>
        <row r="165">
          <cell r="A165" t="str">
            <v>Erin</v>
          </cell>
          <cell r="C165">
            <v>0.40922837447184995</v>
          </cell>
          <cell r="E165" t="str">
            <v>Lloyd</v>
          </cell>
          <cell r="G165">
            <v>0.23977257584506728</v>
          </cell>
          <cell r="I165" t="str">
            <v>Dunn</v>
          </cell>
        </row>
        <row r="166">
          <cell r="A166" t="str">
            <v>Geraldine</v>
          </cell>
          <cell r="C166">
            <v>0.40766066266397954</v>
          </cell>
          <cell r="E166" t="str">
            <v>Tommy</v>
          </cell>
          <cell r="G166">
            <v>0.23852884999777912</v>
          </cell>
          <cell r="I166" t="str">
            <v>Perkins</v>
          </cell>
        </row>
        <row r="167">
          <cell r="A167" t="str">
            <v>Lauren</v>
          </cell>
          <cell r="C167">
            <v>0.40609295085610903</v>
          </cell>
          <cell r="E167" t="str">
            <v>Leon</v>
          </cell>
          <cell r="G167">
            <v>0.23728512415049088</v>
          </cell>
          <cell r="I167" t="str">
            <v>Hudson</v>
          </cell>
        </row>
        <row r="168">
          <cell r="A168" t="str">
            <v>Cathy</v>
          </cell>
          <cell r="C168">
            <v>0.4045697131420789</v>
          </cell>
          <cell r="E168" t="str">
            <v>Derek</v>
          </cell>
          <cell r="G168">
            <v>0.23604139830320267</v>
          </cell>
          <cell r="I168" t="str">
            <v>Spencer</v>
          </cell>
        </row>
        <row r="169">
          <cell r="A169" t="str">
            <v>Joann</v>
          </cell>
          <cell r="C169">
            <v>0.40304647542804745</v>
          </cell>
          <cell r="E169" t="str">
            <v>Warren</v>
          </cell>
          <cell r="G169">
            <v>0.23479767245591449</v>
          </cell>
          <cell r="I169" t="str">
            <v>Gardner</v>
          </cell>
        </row>
        <row r="170">
          <cell r="A170" t="str">
            <v>Lorraine</v>
          </cell>
          <cell r="C170">
            <v>0.40153435623747608</v>
          </cell>
          <cell r="E170" t="str">
            <v>Darrell</v>
          </cell>
          <cell r="G170">
            <v>0.23357615599875645</v>
          </cell>
          <cell r="I170" t="str">
            <v>Stephens</v>
          </cell>
        </row>
        <row r="171">
          <cell r="A171" t="str">
            <v>Lynn</v>
          </cell>
          <cell r="C171">
            <v>0.40003335557036462</v>
          </cell>
          <cell r="E171" t="str">
            <v>Jerome</v>
          </cell>
          <cell r="G171">
            <v>0.23237684893172866</v>
          </cell>
          <cell r="I171" t="str">
            <v>Payne</v>
          </cell>
        </row>
        <row r="172">
          <cell r="A172" t="str">
            <v>Sally</v>
          </cell>
          <cell r="C172">
            <v>0.39853235490325328</v>
          </cell>
          <cell r="E172" t="str">
            <v>Floyd</v>
          </cell>
          <cell r="G172">
            <v>0.23117754186470083</v>
          </cell>
          <cell r="I172" t="str">
            <v>Pierce</v>
          </cell>
        </row>
        <row r="173">
          <cell r="A173" t="str">
            <v>Regina</v>
          </cell>
          <cell r="C173">
            <v>0.39703135423614189</v>
          </cell>
          <cell r="E173" t="str">
            <v>Leo</v>
          </cell>
          <cell r="G173">
            <v>0.229989339492738</v>
          </cell>
          <cell r="I173" t="str">
            <v>Berry</v>
          </cell>
        </row>
        <row r="174">
          <cell r="A174" t="str">
            <v>Erica</v>
          </cell>
          <cell r="C174">
            <v>0.39555259061595077</v>
          </cell>
          <cell r="E174" t="str">
            <v>Alvin</v>
          </cell>
          <cell r="G174">
            <v>0.22881224181584026</v>
          </cell>
          <cell r="I174" t="str">
            <v>Matthews</v>
          </cell>
        </row>
        <row r="175">
          <cell r="A175" t="str">
            <v>Beatrice</v>
          </cell>
          <cell r="C175">
            <v>0.39410718256613969</v>
          </cell>
          <cell r="E175" t="str">
            <v>Tim</v>
          </cell>
          <cell r="G175">
            <v>0.22764624883400753</v>
          </cell>
          <cell r="I175" t="str">
            <v>Arnold</v>
          </cell>
        </row>
        <row r="176">
          <cell r="A176" t="str">
            <v>Dolores</v>
          </cell>
          <cell r="C176">
            <v>0.39266177451632883</v>
          </cell>
          <cell r="E176" t="str">
            <v>Wesley</v>
          </cell>
          <cell r="G176">
            <v>0.22649136054723992</v>
          </cell>
          <cell r="I176" t="str">
            <v>Wagner</v>
          </cell>
        </row>
        <row r="177">
          <cell r="A177" t="str">
            <v>Bernice</v>
          </cell>
          <cell r="C177">
            <v>0.39122748498997789</v>
          </cell>
          <cell r="E177" t="str">
            <v>Gordon</v>
          </cell>
          <cell r="G177">
            <v>0.22533647226047224</v>
          </cell>
          <cell r="I177" t="str">
            <v>Willis</v>
          </cell>
        </row>
        <row r="178">
          <cell r="A178" t="str">
            <v>Audrey</v>
          </cell>
          <cell r="C178">
            <v>0.38980431398708698</v>
          </cell>
          <cell r="E178" t="str">
            <v>Dean</v>
          </cell>
          <cell r="G178">
            <v>0.22418158397370455</v>
          </cell>
          <cell r="I178" t="str">
            <v>Ray</v>
          </cell>
        </row>
        <row r="179">
          <cell r="A179" t="str">
            <v>Yvonne</v>
          </cell>
          <cell r="C179">
            <v>0.38839226150765371</v>
          </cell>
          <cell r="E179" t="str">
            <v>Greg</v>
          </cell>
          <cell r="G179">
            <v>0.22302669568693675</v>
          </cell>
          <cell r="I179" t="str">
            <v>Watkins</v>
          </cell>
        </row>
        <row r="180">
          <cell r="A180" t="str">
            <v>Annette</v>
          </cell>
          <cell r="C180">
            <v>0.38699132755168064</v>
          </cell>
          <cell r="E180" t="str">
            <v>Jorge</v>
          </cell>
          <cell r="G180">
            <v>0.22187180740016899</v>
          </cell>
          <cell r="I180" t="str">
            <v>Olson</v>
          </cell>
        </row>
        <row r="181">
          <cell r="A181" t="str">
            <v>June</v>
          </cell>
          <cell r="C181">
            <v>0.38560151211916749</v>
          </cell>
          <cell r="E181" t="str">
            <v>Dustin</v>
          </cell>
          <cell r="G181">
            <v>0.22071691911340133</v>
          </cell>
          <cell r="I181" t="str">
            <v>Carroll</v>
          </cell>
        </row>
        <row r="182">
          <cell r="A182" t="str">
            <v>Samantha</v>
          </cell>
          <cell r="C182">
            <v>0.38421169668665456</v>
          </cell>
          <cell r="E182" t="str">
            <v>Pedro</v>
          </cell>
          <cell r="G182">
            <v>0.21957313552169877</v>
          </cell>
          <cell r="I182" t="str">
            <v>Duncan</v>
          </cell>
        </row>
        <row r="183">
          <cell r="A183" t="str">
            <v>Marion</v>
          </cell>
          <cell r="C183">
            <v>0.3828329997776016</v>
          </cell>
          <cell r="E183" t="str">
            <v>Derrick</v>
          </cell>
          <cell r="G183">
            <v>0.21842935192999621</v>
          </cell>
          <cell r="I183" t="str">
            <v>Snyder</v>
          </cell>
        </row>
        <row r="184">
          <cell r="A184" t="str">
            <v>Dana</v>
          </cell>
          <cell r="C184">
            <v>0.38147653991546898</v>
          </cell>
          <cell r="E184" t="str">
            <v>Dan</v>
          </cell>
          <cell r="G184">
            <v>0.21728556833829366</v>
          </cell>
          <cell r="I184" t="str">
            <v>Hart</v>
          </cell>
        </row>
        <row r="185">
          <cell r="A185" t="str">
            <v>Stacy</v>
          </cell>
          <cell r="C185">
            <v>0.38012008005333636</v>
          </cell>
          <cell r="E185" t="str">
            <v>Lewis</v>
          </cell>
          <cell r="G185">
            <v>0.21616399413672127</v>
          </cell>
          <cell r="I185" t="str">
            <v>Cunningham</v>
          </cell>
        </row>
        <row r="186">
          <cell r="A186" t="str">
            <v>Ana</v>
          </cell>
          <cell r="C186">
            <v>0.37877473871466377</v>
          </cell>
          <cell r="E186" t="str">
            <v>Zachary</v>
          </cell>
          <cell r="G186">
            <v>0.21506462932527898</v>
          </cell>
          <cell r="I186" t="str">
            <v>Bradley</v>
          </cell>
        </row>
        <row r="187">
          <cell r="A187" t="str">
            <v>Renee</v>
          </cell>
          <cell r="C187">
            <v>0.37744051589945127</v>
          </cell>
          <cell r="E187" t="str">
            <v>Corey</v>
          </cell>
          <cell r="G187">
            <v>0.21396526451383652</v>
          </cell>
          <cell r="I187" t="str">
            <v>Lane</v>
          </cell>
        </row>
        <row r="188">
          <cell r="A188" t="str">
            <v>Ida</v>
          </cell>
          <cell r="C188">
            <v>0.37610629308423876</v>
          </cell>
          <cell r="E188" t="str">
            <v>Herman</v>
          </cell>
          <cell r="G188">
            <v>0.21287700439745916</v>
          </cell>
          <cell r="I188" t="str">
            <v>Andrews</v>
          </cell>
        </row>
        <row r="189">
          <cell r="A189" t="str">
            <v>Vivian</v>
          </cell>
          <cell r="C189">
            <v>0.37479430731594648</v>
          </cell>
          <cell r="E189" t="str">
            <v>Maurice</v>
          </cell>
          <cell r="G189">
            <v>0.2117998489761469</v>
          </cell>
          <cell r="I189" t="str">
            <v>Ruiz</v>
          </cell>
        </row>
        <row r="190">
          <cell r="A190" t="str">
            <v>Roberta</v>
          </cell>
          <cell r="C190">
            <v>0.37348232154765432</v>
          </cell>
          <cell r="E190" t="str">
            <v>Vernon</v>
          </cell>
          <cell r="G190">
            <v>0.21072269355483456</v>
          </cell>
          <cell r="I190" t="str">
            <v>Harper</v>
          </cell>
        </row>
        <row r="191">
          <cell r="A191" t="str">
            <v>Holly</v>
          </cell>
          <cell r="C191">
            <v>0.37218145430282223</v>
          </cell>
          <cell r="E191" t="str">
            <v>Roberto</v>
          </cell>
          <cell r="G191">
            <v>0.20964553813352244</v>
          </cell>
          <cell r="I191" t="str">
            <v>Fox</v>
          </cell>
        </row>
        <row r="192">
          <cell r="A192" t="str">
            <v>Brittany</v>
          </cell>
          <cell r="C192">
            <v>0.37088058705798999</v>
          </cell>
          <cell r="E192" t="str">
            <v>Clyde</v>
          </cell>
          <cell r="G192">
            <v>0.20856838271221029</v>
          </cell>
          <cell r="I192" t="str">
            <v>Riley</v>
          </cell>
        </row>
        <row r="193">
          <cell r="A193" t="str">
            <v>Melanie</v>
          </cell>
          <cell r="C193">
            <v>0.36957971981315779</v>
          </cell>
          <cell r="E193" t="str">
            <v>Glen</v>
          </cell>
          <cell r="G193">
            <v>0.20751343668102828</v>
          </cell>
          <cell r="I193" t="str">
            <v>Armstrong</v>
          </cell>
        </row>
        <row r="194">
          <cell r="A194" t="str">
            <v>Loretta</v>
          </cell>
          <cell r="C194">
            <v>0.36828997109179168</v>
          </cell>
          <cell r="E194" t="str">
            <v>Hector</v>
          </cell>
          <cell r="G194">
            <v>0.20646959534491141</v>
          </cell>
          <cell r="I194" t="str">
            <v>Carpenter</v>
          </cell>
        </row>
        <row r="195">
          <cell r="A195" t="str">
            <v>Yolanda</v>
          </cell>
          <cell r="C195">
            <v>0.3670113408938866</v>
          </cell>
          <cell r="E195" t="str">
            <v>Shane</v>
          </cell>
          <cell r="G195">
            <v>0.20542575400879459</v>
          </cell>
          <cell r="I195" t="str">
            <v>Weaver</v>
          </cell>
        </row>
        <row r="196">
          <cell r="A196" t="str">
            <v>Jeanette</v>
          </cell>
          <cell r="C196">
            <v>0.36573271069598151</v>
          </cell>
          <cell r="E196" t="str">
            <v>Ricardo</v>
          </cell>
          <cell r="G196">
            <v>0.20439301736774276</v>
          </cell>
          <cell r="I196" t="str">
            <v>Greene</v>
          </cell>
        </row>
        <row r="197">
          <cell r="A197" t="str">
            <v>Laurie</v>
          </cell>
          <cell r="C197">
            <v>0.36445408049807632</v>
          </cell>
          <cell r="E197" t="str">
            <v>Sam</v>
          </cell>
          <cell r="G197">
            <v>0.20336028072669096</v>
          </cell>
          <cell r="I197" t="str">
            <v>Lawrence</v>
          </cell>
        </row>
        <row r="198">
          <cell r="A198" t="str">
            <v>Katie</v>
          </cell>
          <cell r="C198">
            <v>0.36318656882363115</v>
          </cell>
          <cell r="E198" t="str">
            <v>Rick</v>
          </cell>
          <cell r="G198">
            <v>0.20233864878070421</v>
          </cell>
          <cell r="I198" t="str">
            <v>Elliott</v>
          </cell>
        </row>
        <row r="199">
          <cell r="A199" t="str">
            <v>Kristen</v>
          </cell>
          <cell r="C199">
            <v>0.36193017567264607</v>
          </cell>
          <cell r="E199" t="str">
            <v>Lester</v>
          </cell>
          <cell r="G199">
            <v>0.20132812152978238</v>
          </cell>
          <cell r="I199" t="str">
            <v>Chavez</v>
          </cell>
        </row>
        <row r="200">
          <cell r="A200" t="str">
            <v>Vanessa</v>
          </cell>
          <cell r="C200">
            <v>0.36069601956858111</v>
          </cell>
          <cell r="E200" t="str">
            <v>Brent</v>
          </cell>
          <cell r="G200">
            <v>0.20031759427886045</v>
          </cell>
          <cell r="I200" t="str">
            <v>Sims</v>
          </cell>
        </row>
        <row r="201">
          <cell r="A201" t="str">
            <v>Alma</v>
          </cell>
          <cell r="C201">
            <v>0.35946186346451614</v>
          </cell>
          <cell r="E201" t="str">
            <v>Ramon</v>
          </cell>
          <cell r="G201">
            <v>0.19931817172300356</v>
          </cell>
          <cell r="I201" t="str">
            <v>Austin</v>
          </cell>
        </row>
        <row r="202">
          <cell r="A202" t="str">
            <v>Sue</v>
          </cell>
          <cell r="C202">
            <v>0.35822770736045129</v>
          </cell>
          <cell r="E202" t="str">
            <v>Charlie</v>
          </cell>
          <cell r="G202">
            <v>0.1983187491671467</v>
          </cell>
          <cell r="I202" t="str">
            <v>Peters</v>
          </cell>
        </row>
        <row r="203">
          <cell r="A203" t="str">
            <v>Elsie</v>
          </cell>
          <cell r="C203">
            <v>0.35699355125638632</v>
          </cell>
          <cell r="E203" t="str">
            <v>Tyler</v>
          </cell>
          <cell r="G203">
            <v>0.19731932661128984</v>
          </cell>
          <cell r="I203" t="str">
            <v>Kelley</v>
          </cell>
        </row>
        <row r="204">
          <cell r="A204" t="str">
            <v>Beth</v>
          </cell>
          <cell r="C204">
            <v>0.35577051367578144</v>
          </cell>
          <cell r="E204" t="str">
            <v>Gilbert</v>
          </cell>
          <cell r="G204">
            <v>0.1963310087504983</v>
          </cell>
          <cell r="I204" t="str">
            <v>Franklin</v>
          </cell>
        </row>
        <row r="205">
          <cell r="A205" t="str">
            <v>Jeanne</v>
          </cell>
          <cell r="C205">
            <v>0.35454747609517229</v>
          </cell>
          <cell r="E205" t="str">
            <v>Gene</v>
          </cell>
          <cell r="G205">
            <v>0.19534269088970677</v>
          </cell>
          <cell r="I205" t="str">
            <v>Lawson</v>
          </cell>
        </row>
        <row r="206">
          <cell r="A206" t="str">
            <v>Vicki</v>
          </cell>
          <cell r="C206">
            <v>0.35333555703802311</v>
          </cell>
          <cell r="E206" t="str">
            <v>Marc</v>
          </cell>
          <cell r="G206">
            <v>0.1943765824190454</v>
          </cell>
          <cell r="I206" t="str">
            <v>Fields</v>
          </cell>
        </row>
        <row r="207">
          <cell r="A207" t="str">
            <v>Carla</v>
          </cell>
          <cell r="C207">
            <v>0.35212363798087387</v>
          </cell>
          <cell r="E207" t="str">
            <v>Reginald</v>
          </cell>
          <cell r="G207">
            <v>0.19341047394838398</v>
          </cell>
          <cell r="I207" t="str">
            <v>Gutierrez</v>
          </cell>
        </row>
        <row r="208">
          <cell r="A208" t="str">
            <v>Tara</v>
          </cell>
          <cell r="C208">
            <v>0.35093395597064475</v>
          </cell>
          <cell r="E208" t="str">
            <v>Ruben</v>
          </cell>
          <cell r="G208">
            <v>0.19247767956291781</v>
          </cell>
          <cell r="I208" t="str">
            <v>Ryan</v>
          </cell>
        </row>
        <row r="209">
          <cell r="A209" t="str">
            <v>Rosemary</v>
          </cell>
          <cell r="C209">
            <v>0.34974427396041569</v>
          </cell>
          <cell r="E209" t="str">
            <v>Brett</v>
          </cell>
          <cell r="G209">
            <v>0.19156709456758181</v>
          </cell>
          <cell r="I209" t="str">
            <v>Schmidt</v>
          </cell>
        </row>
        <row r="210">
          <cell r="A210" t="str">
            <v>Eileen</v>
          </cell>
          <cell r="C210">
            <v>0.34855459195018662</v>
          </cell>
          <cell r="E210" t="str">
            <v>Angel</v>
          </cell>
          <cell r="G210">
            <v>0.19065650957224611</v>
          </cell>
          <cell r="I210" t="str">
            <v>Carr</v>
          </cell>
        </row>
        <row r="211">
          <cell r="A211" t="str">
            <v>Terri</v>
          </cell>
          <cell r="C211">
            <v>0.34738714698687784</v>
          </cell>
          <cell r="E211" t="str">
            <v>Nathaniel</v>
          </cell>
          <cell r="G211">
            <v>0.18974592457691039</v>
          </cell>
          <cell r="I211" t="str">
            <v>Vasquez</v>
          </cell>
        </row>
        <row r="212">
          <cell r="A212" t="str">
            <v>Gertrude</v>
          </cell>
          <cell r="C212">
            <v>0.34621970202356905</v>
          </cell>
          <cell r="E212" t="str">
            <v>Rafael</v>
          </cell>
          <cell r="G212">
            <v>0.18884644427663977</v>
          </cell>
          <cell r="I212" t="str">
            <v>Castillo</v>
          </cell>
        </row>
        <row r="213">
          <cell r="A213" t="str">
            <v>Lucy</v>
          </cell>
          <cell r="C213">
            <v>0.34507449410718044</v>
          </cell>
          <cell r="E213" t="str">
            <v>Leslie</v>
          </cell>
          <cell r="G213">
            <v>0.18794696397636915</v>
          </cell>
          <cell r="I213" t="str">
            <v>Wheeler</v>
          </cell>
        </row>
        <row r="214">
          <cell r="A214" t="str">
            <v>Tonya</v>
          </cell>
          <cell r="C214">
            <v>0.34392928619079188</v>
          </cell>
          <cell r="E214" t="str">
            <v>Edgar</v>
          </cell>
          <cell r="G214">
            <v>0.18704748367609852</v>
          </cell>
          <cell r="I214" t="str">
            <v>Chapman</v>
          </cell>
        </row>
        <row r="215">
          <cell r="A215" t="str">
            <v>Ella</v>
          </cell>
          <cell r="C215">
            <v>0.34279519679786336</v>
          </cell>
          <cell r="E215" t="str">
            <v>Milton</v>
          </cell>
          <cell r="G215">
            <v>0.18615910807089298</v>
          </cell>
          <cell r="I215" t="str">
            <v>Oliver</v>
          </cell>
        </row>
        <row r="216">
          <cell r="A216" t="str">
            <v>Stacey</v>
          </cell>
          <cell r="C216">
            <v>0.3416722259283948</v>
          </cell>
          <cell r="E216" t="str">
            <v>Raul</v>
          </cell>
          <cell r="G216">
            <v>0.1852707324656874</v>
          </cell>
          <cell r="I216" t="str">
            <v>Montgomery</v>
          </cell>
        </row>
        <row r="217">
          <cell r="A217" t="str">
            <v>Wilma</v>
          </cell>
          <cell r="C217">
            <v>0.34054925505892619</v>
          </cell>
          <cell r="E217" t="str">
            <v>Ben</v>
          </cell>
          <cell r="G217">
            <v>0.1843934615555464</v>
          </cell>
          <cell r="I217" t="str">
            <v>Richards</v>
          </cell>
        </row>
        <row r="218">
          <cell r="A218" t="str">
            <v>Gina</v>
          </cell>
          <cell r="C218">
            <v>0.33944852123637781</v>
          </cell>
          <cell r="E218" t="str">
            <v>Chester</v>
          </cell>
          <cell r="G218">
            <v>0.1835272953404703</v>
          </cell>
          <cell r="I218" t="str">
            <v>Williamson</v>
          </cell>
        </row>
        <row r="219">
          <cell r="A219" t="str">
            <v>Kristin</v>
          </cell>
          <cell r="C219">
            <v>0.33834778741382937</v>
          </cell>
          <cell r="E219" t="str">
            <v>Cecil</v>
          </cell>
          <cell r="G219">
            <v>0.18266112912539423</v>
          </cell>
          <cell r="I219" t="str">
            <v>Johnston</v>
          </cell>
        </row>
        <row r="220">
          <cell r="A220" t="str">
            <v>Jessie</v>
          </cell>
          <cell r="C220">
            <v>0.33724705359128099</v>
          </cell>
          <cell r="E220" t="str">
            <v>Duane</v>
          </cell>
          <cell r="G220">
            <v>0.18179496291031808</v>
          </cell>
          <cell r="I220" t="str">
            <v>Banks</v>
          </cell>
        </row>
        <row r="221">
          <cell r="A221" t="str">
            <v>Natalie</v>
          </cell>
          <cell r="C221">
            <v>0.33615743829219269</v>
          </cell>
          <cell r="E221" t="str">
            <v>Franklin</v>
          </cell>
          <cell r="G221">
            <v>0.18093990139030705</v>
          </cell>
          <cell r="I221" t="str">
            <v>Meyer</v>
          </cell>
        </row>
        <row r="222">
          <cell r="A222" t="str">
            <v>Agnes</v>
          </cell>
          <cell r="C222">
            <v>0.33506782299310434</v>
          </cell>
          <cell r="E222" t="str">
            <v>Andre</v>
          </cell>
          <cell r="G222">
            <v>0.18008483987029605</v>
          </cell>
          <cell r="I222" t="str">
            <v>Bishop</v>
          </cell>
        </row>
        <row r="223">
          <cell r="A223" t="str">
            <v>Vera</v>
          </cell>
          <cell r="C223">
            <v>0.33397820769401609</v>
          </cell>
          <cell r="E223" t="str">
            <v>Elmer</v>
          </cell>
          <cell r="G223">
            <v>0.1792408830453501</v>
          </cell>
          <cell r="I223" t="str">
            <v>Mccoy</v>
          </cell>
        </row>
        <row r="224">
          <cell r="A224" t="str">
            <v>Willie</v>
          </cell>
          <cell r="C224">
            <v>0.33288859239492785</v>
          </cell>
          <cell r="E224" t="str">
            <v>Brad</v>
          </cell>
          <cell r="G224">
            <v>0.17841913561053427</v>
          </cell>
          <cell r="I224" t="str">
            <v>Howell</v>
          </cell>
        </row>
        <row r="225">
          <cell r="A225" t="str">
            <v>Charlene</v>
          </cell>
          <cell r="C225">
            <v>0.33181009561929969</v>
          </cell>
          <cell r="E225" t="str">
            <v>Gabriel</v>
          </cell>
          <cell r="G225">
            <v>0.17760849287078359</v>
          </cell>
          <cell r="I225" t="str">
            <v>Alvarez</v>
          </cell>
        </row>
        <row r="226">
          <cell r="A226" t="str">
            <v>Bessie</v>
          </cell>
          <cell r="C226">
            <v>0.33073159884367159</v>
          </cell>
          <cell r="E226" t="str">
            <v>Ron</v>
          </cell>
          <cell r="G226">
            <v>0.17679785013103319</v>
          </cell>
          <cell r="I226" t="str">
            <v>Morrison</v>
          </cell>
        </row>
        <row r="227">
          <cell r="A227" t="str">
            <v>Delores</v>
          </cell>
          <cell r="C227">
            <v>0.32966422059150363</v>
          </cell>
          <cell r="E227" t="str">
            <v>Mitchell</v>
          </cell>
          <cell r="G227">
            <v>0.17599831208634786</v>
          </cell>
          <cell r="I227" t="str">
            <v>Hansen</v>
          </cell>
        </row>
        <row r="228">
          <cell r="A228" t="str">
            <v>Melinda</v>
          </cell>
          <cell r="C228">
            <v>0.3286079608627957</v>
          </cell>
          <cell r="E228" t="str">
            <v>Roland</v>
          </cell>
          <cell r="G228">
            <v>0.17519877404166259</v>
          </cell>
          <cell r="I228" t="str">
            <v>Fernandez</v>
          </cell>
        </row>
        <row r="229">
          <cell r="A229" t="str">
            <v>Pearl</v>
          </cell>
          <cell r="C229">
            <v>0.3275628196575478</v>
          </cell>
          <cell r="E229" t="str">
            <v>Arnold</v>
          </cell>
          <cell r="G229">
            <v>0.17439923599697732</v>
          </cell>
          <cell r="I229" t="str">
            <v>Garza</v>
          </cell>
        </row>
        <row r="230">
          <cell r="A230" t="str">
            <v>Arlene</v>
          </cell>
          <cell r="C230">
            <v>0.3265176784522999</v>
          </cell>
          <cell r="E230" t="str">
            <v>Harvey</v>
          </cell>
          <cell r="G230">
            <v>0.17359969795229202</v>
          </cell>
          <cell r="I230" t="str">
            <v>Harvey</v>
          </cell>
        </row>
        <row r="231">
          <cell r="A231" t="str">
            <v>Maureen</v>
          </cell>
          <cell r="C231">
            <v>0.325472537247052</v>
          </cell>
          <cell r="E231" t="str">
            <v>Jared</v>
          </cell>
          <cell r="G231">
            <v>0.17280015990760675</v>
          </cell>
          <cell r="I231" t="str">
            <v>Little</v>
          </cell>
        </row>
        <row r="232">
          <cell r="A232" t="str">
            <v>Colleen</v>
          </cell>
          <cell r="C232">
            <v>0.32444963308872427</v>
          </cell>
          <cell r="E232" t="str">
            <v>Adrian</v>
          </cell>
          <cell r="G232">
            <v>0.17201172655798655</v>
          </cell>
          <cell r="I232" t="str">
            <v>Burton</v>
          </cell>
        </row>
        <row r="233">
          <cell r="A233" t="str">
            <v>Allison</v>
          </cell>
          <cell r="C233">
            <v>0.32342672893039653</v>
          </cell>
          <cell r="E233" t="str">
            <v>Karl</v>
          </cell>
          <cell r="G233">
            <v>0.17124550259849647</v>
          </cell>
          <cell r="I233" t="str">
            <v>Stanley</v>
          </cell>
        </row>
        <row r="234">
          <cell r="A234" t="str">
            <v>Tamara</v>
          </cell>
          <cell r="C234">
            <v>0.32240382477206886</v>
          </cell>
          <cell r="E234" t="str">
            <v>Cory</v>
          </cell>
          <cell r="G234">
            <v>0.17047927863900642</v>
          </cell>
          <cell r="I234" t="str">
            <v>Nguyen</v>
          </cell>
        </row>
        <row r="235">
          <cell r="A235" t="str">
            <v>Joy</v>
          </cell>
          <cell r="C235">
            <v>0.32138092061374118</v>
          </cell>
          <cell r="E235" t="str">
            <v>Claude</v>
          </cell>
          <cell r="G235">
            <v>0.16972415937458143</v>
          </cell>
          <cell r="I235" t="str">
            <v>George</v>
          </cell>
        </row>
        <row r="236">
          <cell r="A236" t="str">
            <v>Georgia</v>
          </cell>
          <cell r="C236">
            <v>0.32036913497887359</v>
          </cell>
          <cell r="E236" t="str">
            <v>Erik</v>
          </cell>
          <cell r="G236">
            <v>0.16896904011015645</v>
          </cell>
          <cell r="I236" t="str">
            <v>Jacobs</v>
          </cell>
        </row>
        <row r="237">
          <cell r="A237" t="str">
            <v>Constance</v>
          </cell>
          <cell r="C237">
            <v>0.31935734934400606</v>
          </cell>
          <cell r="E237" t="str">
            <v>Darryl</v>
          </cell>
          <cell r="G237">
            <v>0.1682139208457315</v>
          </cell>
          <cell r="I237" t="str">
            <v>Reid</v>
          </cell>
        </row>
        <row r="238">
          <cell r="A238" t="str">
            <v>Lillie</v>
          </cell>
          <cell r="C238">
            <v>0.31834556370913841</v>
          </cell>
          <cell r="E238" t="str">
            <v>Jamie</v>
          </cell>
          <cell r="G238">
            <v>0.16746990627637162</v>
          </cell>
          <cell r="I238" t="str">
            <v>Kim</v>
          </cell>
        </row>
        <row r="239">
          <cell r="A239" t="str">
            <v>Claudia</v>
          </cell>
          <cell r="C239">
            <v>0.31734489659773091</v>
          </cell>
          <cell r="E239" t="str">
            <v>Neil</v>
          </cell>
          <cell r="G239">
            <v>0.16673699640207679</v>
          </cell>
          <cell r="I239" t="str">
            <v>Fuller</v>
          </cell>
        </row>
        <row r="240">
          <cell r="A240" t="str">
            <v>Jackie</v>
          </cell>
          <cell r="C240">
            <v>0.31634422948632329</v>
          </cell>
          <cell r="E240" t="str">
            <v>Jessie</v>
          </cell>
          <cell r="G240">
            <v>0.16600408652778198</v>
          </cell>
          <cell r="I240" t="str">
            <v>Lynch</v>
          </cell>
        </row>
        <row r="241">
          <cell r="A241" t="str">
            <v>Marcia</v>
          </cell>
          <cell r="C241">
            <v>0.31534356237491573</v>
          </cell>
          <cell r="E241" t="str">
            <v>Christian</v>
          </cell>
          <cell r="G241">
            <v>0.16528228134855219</v>
          </cell>
          <cell r="I241" t="str">
            <v>Dean</v>
          </cell>
        </row>
        <row r="242">
          <cell r="A242" t="str">
            <v>Tanya</v>
          </cell>
          <cell r="C242">
            <v>0.31434289526350817</v>
          </cell>
          <cell r="E242" t="str">
            <v>Javier</v>
          </cell>
          <cell r="G242">
            <v>0.16456047616932243</v>
          </cell>
          <cell r="I242" t="str">
            <v>Gilbert</v>
          </cell>
        </row>
        <row r="243">
          <cell r="A243" t="str">
            <v>Nellie</v>
          </cell>
          <cell r="C243">
            <v>0.3133533466755607</v>
          </cell>
          <cell r="E243" t="str">
            <v>Fernando</v>
          </cell>
          <cell r="G243">
            <v>0.16383867099009264</v>
          </cell>
          <cell r="I243" t="str">
            <v>Garrett</v>
          </cell>
        </row>
        <row r="244">
          <cell r="A244" t="str">
            <v>Minnie</v>
          </cell>
          <cell r="C244">
            <v>0.31236379808761322</v>
          </cell>
          <cell r="E244" t="str">
            <v>Clinton</v>
          </cell>
          <cell r="G244">
            <v>0.16311686581086288</v>
          </cell>
          <cell r="I244" t="str">
            <v>Romero</v>
          </cell>
        </row>
        <row r="245">
          <cell r="A245" t="str">
            <v>Marlene</v>
          </cell>
          <cell r="C245">
            <v>0.31137424949966575</v>
          </cell>
          <cell r="E245" t="str">
            <v>Ted</v>
          </cell>
          <cell r="G245">
            <v>0.16239506063163309</v>
          </cell>
          <cell r="I245" t="str">
            <v>Welch</v>
          </cell>
        </row>
        <row r="246">
          <cell r="A246" t="str">
            <v>Heidi</v>
          </cell>
          <cell r="C246">
            <v>0.31039581943517836</v>
          </cell>
          <cell r="E246" t="str">
            <v>Mathew</v>
          </cell>
          <cell r="G246">
            <v>0.1616843601474684</v>
          </cell>
          <cell r="I246" t="str">
            <v>Larson</v>
          </cell>
        </row>
        <row r="247">
          <cell r="A247" t="str">
            <v>Glenda</v>
          </cell>
          <cell r="C247">
            <v>0.30941738937069097</v>
          </cell>
          <cell r="E247" t="str">
            <v>Tyrone</v>
          </cell>
          <cell r="G247">
            <v>0.16097365966330371</v>
          </cell>
          <cell r="I247" t="str">
            <v>Frazier</v>
          </cell>
        </row>
        <row r="248">
          <cell r="A248" t="str">
            <v>Lydia</v>
          </cell>
          <cell r="C248">
            <v>0.30843895930620369</v>
          </cell>
          <cell r="E248" t="str">
            <v>Darren</v>
          </cell>
          <cell r="G248">
            <v>0.16026295917913899</v>
          </cell>
          <cell r="I248" t="str">
            <v>Burke</v>
          </cell>
        </row>
        <row r="249">
          <cell r="A249" t="str">
            <v>Viola</v>
          </cell>
          <cell r="C249">
            <v>0.30748276628863658</v>
          </cell>
          <cell r="E249" t="str">
            <v>Lonnie</v>
          </cell>
          <cell r="G249">
            <v>0.15955225869497427</v>
          </cell>
          <cell r="I249" t="str">
            <v>Hanson</v>
          </cell>
        </row>
        <row r="250">
          <cell r="A250" t="str">
            <v>Courtney</v>
          </cell>
          <cell r="C250">
            <v>0.30652657327106947</v>
          </cell>
          <cell r="E250" t="str">
            <v>Lance</v>
          </cell>
          <cell r="G250">
            <v>0.15884155821080956</v>
          </cell>
          <cell r="I250" t="str">
            <v>Day</v>
          </cell>
        </row>
        <row r="251">
          <cell r="A251" t="str">
            <v>Marian</v>
          </cell>
          <cell r="C251">
            <v>0.30557038025350236</v>
          </cell>
          <cell r="E251" t="str">
            <v>Cody</v>
          </cell>
          <cell r="G251">
            <v>0.15814196242170991</v>
          </cell>
          <cell r="I251" t="str">
            <v>Mendoza</v>
          </cell>
        </row>
        <row r="252">
          <cell r="A252" t="str">
            <v>Stella</v>
          </cell>
          <cell r="C252">
            <v>0.3046141872359352</v>
          </cell>
          <cell r="E252" t="str">
            <v>Julio</v>
          </cell>
          <cell r="G252">
            <v>0.1574423666326103</v>
          </cell>
          <cell r="I252" t="str">
            <v>Moreno</v>
          </cell>
        </row>
        <row r="253">
          <cell r="A253" t="str">
            <v>Caroline</v>
          </cell>
          <cell r="C253">
            <v>0.30366911274182806</v>
          </cell>
          <cell r="E253" t="str">
            <v>Kelly</v>
          </cell>
          <cell r="G253">
            <v>0.15674277084351065</v>
          </cell>
          <cell r="I253" t="str">
            <v>Bowman</v>
          </cell>
        </row>
        <row r="254">
          <cell r="A254" t="str">
            <v>Dora</v>
          </cell>
          <cell r="C254">
            <v>0.30272403824772087</v>
          </cell>
          <cell r="E254" t="str">
            <v>Kurt</v>
          </cell>
          <cell r="G254">
            <v>0.15604317505441104</v>
          </cell>
          <cell r="I254" t="str">
            <v>Medina</v>
          </cell>
        </row>
        <row r="255">
          <cell r="A255" t="str">
            <v>Jo</v>
          </cell>
          <cell r="C255">
            <v>0.30179008227707388</v>
          </cell>
          <cell r="E255" t="str">
            <v>Allan</v>
          </cell>
          <cell r="G255">
            <v>0.15535468396037647</v>
          </cell>
          <cell r="I255" t="str">
            <v>Fowler</v>
          </cell>
        </row>
        <row r="256">
          <cell r="A256" t="str">
            <v>Vickie</v>
          </cell>
          <cell r="C256">
            <v>0.30086724482988692</v>
          </cell>
          <cell r="E256" t="str">
            <v>Nelson</v>
          </cell>
          <cell r="G256">
            <v>0.154677297561407</v>
          </cell>
          <cell r="I256" t="str">
            <v>Brewer</v>
          </cell>
        </row>
        <row r="257">
          <cell r="A257" t="str">
            <v>Mattie</v>
          </cell>
          <cell r="C257">
            <v>0.29995552590615998</v>
          </cell>
          <cell r="E257" t="str">
            <v>Guy</v>
          </cell>
          <cell r="G257">
            <v>0.1539999111624375</v>
          </cell>
          <cell r="I257" t="str">
            <v>Hoffman</v>
          </cell>
        </row>
        <row r="258">
          <cell r="A258" t="str">
            <v>Terry</v>
          </cell>
          <cell r="C258">
            <v>0.29905492550589319</v>
          </cell>
          <cell r="E258" t="str">
            <v>Clayton</v>
          </cell>
          <cell r="G258">
            <v>0.15333362945853313</v>
          </cell>
          <cell r="I258" t="str">
            <v>Carlson</v>
          </cell>
        </row>
        <row r="259">
          <cell r="A259" t="str">
            <v>Maxine</v>
          </cell>
          <cell r="C259">
            <v>0.29816544362908642</v>
          </cell>
          <cell r="E259" t="str">
            <v>Hugh</v>
          </cell>
          <cell r="G259">
            <v>0.1526673477546287</v>
          </cell>
          <cell r="I259" t="str">
            <v>Silva</v>
          </cell>
        </row>
        <row r="260">
          <cell r="A260" t="str">
            <v>Irma</v>
          </cell>
          <cell r="C260">
            <v>0.29728708027573975</v>
          </cell>
          <cell r="E260" t="str">
            <v>Max</v>
          </cell>
          <cell r="G260">
            <v>0.1520010660507243</v>
          </cell>
          <cell r="I260" t="str">
            <v>Pearson</v>
          </cell>
        </row>
        <row r="261">
          <cell r="A261" t="str">
            <v>Mabel</v>
          </cell>
          <cell r="C261">
            <v>0.29640871692239312</v>
          </cell>
          <cell r="E261" t="str">
            <v>Dwayne</v>
          </cell>
          <cell r="G261">
            <v>0.15134588904188501</v>
          </cell>
          <cell r="I261" t="str">
            <v>Holland</v>
          </cell>
        </row>
        <row r="262">
          <cell r="A262" t="str">
            <v>Marsha</v>
          </cell>
          <cell r="C262">
            <v>0.29554147209250653</v>
          </cell>
          <cell r="E262" t="str">
            <v>Dwight</v>
          </cell>
          <cell r="G262">
            <v>0.15069071203304568</v>
          </cell>
          <cell r="I262" t="str">
            <v>Douglas</v>
          </cell>
        </row>
        <row r="263">
          <cell r="A263" t="str">
            <v>Myrtle</v>
          </cell>
          <cell r="C263">
            <v>0.29467422726261983</v>
          </cell>
          <cell r="E263" t="str">
            <v>Armando</v>
          </cell>
          <cell r="G263">
            <v>0.1500466397192714</v>
          </cell>
          <cell r="I263" t="str">
            <v>Fleming</v>
          </cell>
        </row>
        <row r="264">
          <cell r="A264" t="str">
            <v>Lena</v>
          </cell>
          <cell r="C264">
            <v>0.29380698243273318</v>
          </cell>
          <cell r="E264" t="str">
            <v>Felix</v>
          </cell>
          <cell r="G264">
            <v>0.14940256740549709</v>
          </cell>
          <cell r="I264" t="str">
            <v>Jensen</v>
          </cell>
        </row>
        <row r="265">
          <cell r="A265" t="str">
            <v>Christy</v>
          </cell>
          <cell r="C265">
            <v>0.29295085612630661</v>
          </cell>
          <cell r="E265" t="str">
            <v>Jimmie</v>
          </cell>
          <cell r="G265">
            <v>0.14875849509172281</v>
          </cell>
          <cell r="I265" t="str">
            <v>Vargas</v>
          </cell>
        </row>
        <row r="266">
          <cell r="A266" t="str">
            <v>Deanna</v>
          </cell>
          <cell r="C266">
            <v>0.29209472981987999</v>
          </cell>
          <cell r="E266" t="str">
            <v>Everett</v>
          </cell>
          <cell r="G266">
            <v>0.14811442277794853</v>
          </cell>
          <cell r="I266" t="str">
            <v>Byrd</v>
          </cell>
        </row>
        <row r="267">
          <cell r="A267" t="str">
            <v>Patsy</v>
          </cell>
          <cell r="C267">
            <v>0.29124972203691352</v>
          </cell>
          <cell r="E267" t="str">
            <v>Jordan</v>
          </cell>
          <cell r="G267">
            <v>0.14748145515923936</v>
          </cell>
          <cell r="I267" t="str">
            <v>Davidson</v>
          </cell>
        </row>
        <row r="268">
          <cell r="A268" t="str">
            <v>Hilda</v>
          </cell>
          <cell r="C268">
            <v>0.29040471425394704</v>
          </cell>
          <cell r="E268" t="str">
            <v>Ian</v>
          </cell>
          <cell r="G268">
            <v>0.1468595922355953</v>
          </cell>
          <cell r="I268" t="str">
            <v>Hopkins</v>
          </cell>
        </row>
        <row r="269">
          <cell r="A269" t="str">
            <v>Gwendolyn</v>
          </cell>
          <cell r="C269">
            <v>0.28957082499444076</v>
          </cell>
          <cell r="E269" t="str">
            <v>Wallace</v>
          </cell>
          <cell r="G269">
            <v>0.14623772931195123</v>
          </cell>
          <cell r="I269" t="str">
            <v>May</v>
          </cell>
        </row>
        <row r="270">
          <cell r="A270" t="str">
            <v>Jennie</v>
          </cell>
          <cell r="C270">
            <v>0.2887480542583945</v>
          </cell>
          <cell r="E270" t="str">
            <v>Ken</v>
          </cell>
          <cell r="G270">
            <v>0.14561586638830715</v>
          </cell>
          <cell r="I270" t="str">
            <v>Terry</v>
          </cell>
        </row>
        <row r="271">
          <cell r="A271" t="str">
            <v>Nora</v>
          </cell>
          <cell r="C271">
            <v>0.28793640204580834</v>
          </cell>
          <cell r="E271" t="str">
            <v>Bob</v>
          </cell>
          <cell r="G271">
            <v>0.14500510815972811</v>
          </cell>
          <cell r="I271" t="str">
            <v>Herrera</v>
          </cell>
        </row>
        <row r="272">
          <cell r="A272" t="str">
            <v>Margie</v>
          </cell>
          <cell r="C272">
            <v>0.28712474983322223</v>
          </cell>
          <cell r="E272" t="str">
            <v>Jaime</v>
          </cell>
          <cell r="G272">
            <v>0.14439434993114908</v>
          </cell>
          <cell r="I272" t="str">
            <v>Wade</v>
          </cell>
        </row>
        <row r="273">
          <cell r="A273" t="str">
            <v>Nina</v>
          </cell>
          <cell r="C273">
            <v>0.2863242161440962</v>
          </cell>
          <cell r="E273" t="str">
            <v>Casey</v>
          </cell>
          <cell r="G273">
            <v>0.14378359170257002</v>
          </cell>
          <cell r="I273" t="str">
            <v>Soto</v>
          </cell>
        </row>
        <row r="274">
          <cell r="A274" t="str">
            <v>Cassandra</v>
          </cell>
          <cell r="C274">
            <v>0.28552368245497017</v>
          </cell>
          <cell r="E274" t="str">
            <v>Alfredo</v>
          </cell>
          <cell r="G274">
            <v>0.14318393816905606</v>
          </cell>
          <cell r="I274" t="str">
            <v>Walters</v>
          </cell>
        </row>
        <row r="275">
          <cell r="A275" t="str">
            <v>Leah</v>
          </cell>
          <cell r="C275">
            <v>0.28472314876584409</v>
          </cell>
          <cell r="E275" t="str">
            <v>Alberto</v>
          </cell>
          <cell r="G275">
            <v>0.1425842846355421</v>
          </cell>
          <cell r="I275" t="str">
            <v>Curtis</v>
          </cell>
        </row>
        <row r="276">
          <cell r="A276" t="str">
            <v>Penny</v>
          </cell>
          <cell r="C276">
            <v>0.28392261507671795</v>
          </cell>
          <cell r="E276" t="str">
            <v>Dave</v>
          </cell>
          <cell r="G276">
            <v>0.14199573579709321</v>
          </cell>
          <cell r="I276" t="str">
            <v>Neal</v>
          </cell>
        </row>
        <row r="277">
          <cell r="A277" t="str">
            <v>Kay</v>
          </cell>
          <cell r="C277">
            <v>0.28313319991105201</v>
          </cell>
          <cell r="E277" t="str">
            <v>Ivan</v>
          </cell>
          <cell r="G277">
            <v>0.14140718695864429</v>
          </cell>
          <cell r="I277" t="str">
            <v>Caldwell</v>
          </cell>
        </row>
        <row r="278">
          <cell r="A278" t="str">
            <v>Priscilla</v>
          </cell>
          <cell r="C278">
            <v>0.28234378474538607</v>
          </cell>
          <cell r="E278" t="str">
            <v>Johnnie</v>
          </cell>
          <cell r="G278">
            <v>0.14081863812019538</v>
          </cell>
          <cell r="I278" t="str">
            <v>Lowe</v>
          </cell>
        </row>
        <row r="279">
          <cell r="A279" t="str">
            <v>Naomi</v>
          </cell>
          <cell r="C279">
            <v>0.28155436957972013</v>
          </cell>
          <cell r="E279" t="str">
            <v>Sidney</v>
          </cell>
          <cell r="G279">
            <v>0.14024119397681151</v>
          </cell>
          <cell r="I279" t="str">
            <v>Jennings</v>
          </cell>
        </row>
        <row r="280">
          <cell r="A280" t="str">
            <v>Carole</v>
          </cell>
          <cell r="C280">
            <v>0.28076495441405397</v>
          </cell>
          <cell r="E280" t="str">
            <v>Byron</v>
          </cell>
          <cell r="G280">
            <v>0.13966374983342766</v>
          </cell>
          <cell r="I280" t="str">
            <v>Barnett</v>
          </cell>
        </row>
        <row r="281">
          <cell r="A281" t="str">
            <v>Brandy</v>
          </cell>
          <cell r="C281">
            <v>0.27997553924838786</v>
          </cell>
          <cell r="E281" t="str">
            <v>Julian</v>
          </cell>
          <cell r="G281">
            <v>0.13908630569004382</v>
          </cell>
          <cell r="I281" t="str">
            <v>Graves</v>
          </cell>
        </row>
        <row r="282">
          <cell r="A282" t="str">
            <v>Olga</v>
          </cell>
          <cell r="C282">
            <v>0.27919724260618184</v>
          </cell>
          <cell r="E282" t="str">
            <v>Isaac</v>
          </cell>
          <cell r="G282">
            <v>0.13850886154666006</v>
          </cell>
          <cell r="I282" t="str">
            <v>Jimenez</v>
          </cell>
        </row>
        <row r="283">
          <cell r="A283" t="str">
            <v>Billie</v>
          </cell>
          <cell r="C283">
            <v>0.27841894596397582</v>
          </cell>
          <cell r="E283" t="str">
            <v>Morris</v>
          </cell>
          <cell r="G283">
            <v>0.13794252209834135</v>
          </cell>
          <cell r="I283" t="str">
            <v>Horton</v>
          </cell>
        </row>
        <row r="284">
          <cell r="A284" t="str">
            <v>Dianne</v>
          </cell>
          <cell r="C284">
            <v>0.27765176784522982</v>
          </cell>
          <cell r="E284" t="str">
            <v>Clifton</v>
          </cell>
          <cell r="G284">
            <v>0.13737618265002263</v>
          </cell>
          <cell r="I284" t="str">
            <v>Shelton</v>
          </cell>
        </row>
        <row r="285">
          <cell r="A285" t="str">
            <v>Tracey</v>
          </cell>
          <cell r="C285">
            <v>0.27688458972648389</v>
          </cell>
          <cell r="E285" t="str">
            <v>Willard</v>
          </cell>
          <cell r="G285">
            <v>0.13682094789676902</v>
          </cell>
          <cell r="I285" t="str">
            <v>Barrett</v>
          </cell>
        </row>
        <row r="286">
          <cell r="A286" t="str">
            <v>Leona</v>
          </cell>
          <cell r="C286">
            <v>0.27611741160773795</v>
          </cell>
          <cell r="E286" t="str">
            <v>Daryl</v>
          </cell>
          <cell r="G286">
            <v>0.13626571314351538</v>
          </cell>
          <cell r="I286" t="str">
            <v>Obrien</v>
          </cell>
        </row>
        <row r="287">
          <cell r="A287" t="str">
            <v>Jenny</v>
          </cell>
          <cell r="C287">
            <v>0.27535023348899218</v>
          </cell>
          <cell r="E287" t="str">
            <v>Ross</v>
          </cell>
          <cell r="G287">
            <v>0.13571047839026174</v>
          </cell>
          <cell r="I287" t="str">
            <v>Castro</v>
          </cell>
        </row>
        <row r="288">
          <cell r="A288" t="str">
            <v>Felicia</v>
          </cell>
          <cell r="C288">
            <v>0.27459417389370649</v>
          </cell>
          <cell r="E288" t="str">
            <v>Virgil</v>
          </cell>
          <cell r="G288">
            <v>0.13515524363700804</v>
          </cell>
          <cell r="I288" t="str">
            <v>Sutton</v>
          </cell>
        </row>
        <row r="289">
          <cell r="A289" t="str">
            <v>Sonia</v>
          </cell>
          <cell r="C289">
            <v>0.27383811429842075</v>
          </cell>
          <cell r="E289" t="str">
            <v>Andy</v>
          </cell>
          <cell r="G289">
            <v>0.13461111357881947</v>
          </cell>
          <cell r="I289" t="str">
            <v>Gregory</v>
          </cell>
        </row>
        <row r="290">
          <cell r="A290" t="str">
            <v>Miriam</v>
          </cell>
          <cell r="C290">
            <v>0.27308205470313501</v>
          </cell>
          <cell r="E290" t="str">
            <v>Marshall</v>
          </cell>
          <cell r="G290">
            <v>0.13406698352063087</v>
          </cell>
          <cell r="I290" t="str">
            <v>Mckinney</v>
          </cell>
        </row>
        <row r="291">
          <cell r="A291" t="str">
            <v>Velma</v>
          </cell>
          <cell r="C291">
            <v>0.27234823215476944</v>
          </cell>
          <cell r="E291" t="str">
            <v>Salvador</v>
          </cell>
          <cell r="G291">
            <v>0.13352285346244228</v>
          </cell>
          <cell r="I291" t="str">
            <v>Lucas</v>
          </cell>
        </row>
        <row r="292">
          <cell r="A292" t="str">
            <v>Becky</v>
          </cell>
          <cell r="C292">
            <v>0.27161440960640393</v>
          </cell>
          <cell r="E292" t="str">
            <v>Perry</v>
          </cell>
          <cell r="G292">
            <v>0.13297872340425368</v>
          </cell>
          <cell r="I292" t="str">
            <v>Miles</v>
          </cell>
        </row>
        <row r="293">
          <cell r="A293" t="str">
            <v>Bobbie</v>
          </cell>
          <cell r="C293">
            <v>0.27088058705803836</v>
          </cell>
          <cell r="E293" t="str">
            <v>Kirk</v>
          </cell>
          <cell r="G293">
            <v>0.13243459334606508</v>
          </cell>
          <cell r="I293" t="str">
            <v>Craig</v>
          </cell>
        </row>
        <row r="294">
          <cell r="A294" t="str">
            <v>Violet</v>
          </cell>
          <cell r="C294">
            <v>0.27015788303313287</v>
          </cell>
          <cell r="E294" t="str">
            <v>Sergio</v>
          </cell>
          <cell r="G294">
            <v>0.13189046328787646</v>
          </cell>
          <cell r="I294" t="str">
            <v>Rodriquez</v>
          </cell>
        </row>
        <row r="295">
          <cell r="A295" t="str">
            <v>Kristina</v>
          </cell>
          <cell r="C295">
            <v>0.26943517900822744</v>
          </cell>
          <cell r="E295" t="str">
            <v>Marion</v>
          </cell>
          <cell r="G295">
            <v>0.13134633322968781</v>
          </cell>
          <cell r="I295" t="str">
            <v>Chambers</v>
          </cell>
        </row>
        <row r="296">
          <cell r="A296" t="str">
            <v>Toni</v>
          </cell>
          <cell r="C296">
            <v>0.26871247498332196</v>
          </cell>
          <cell r="E296" t="str">
            <v>Tracy</v>
          </cell>
          <cell r="G296">
            <v>0.13081330786656425</v>
          </cell>
          <cell r="I296" t="str">
            <v>Holt</v>
          </cell>
        </row>
        <row r="297">
          <cell r="A297" t="str">
            <v>Misty</v>
          </cell>
          <cell r="C297">
            <v>0.2680008894818765</v>
          </cell>
          <cell r="E297" t="str">
            <v>Seth</v>
          </cell>
          <cell r="G297">
            <v>0.1302802825034407</v>
          </cell>
          <cell r="I297" t="str">
            <v>Lambert</v>
          </cell>
        </row>
        <row r="298">
          <cell r="A298" t="str">
            <v>Mae</v>
          </cell>
          <cell r="C298">
            <v>0.26730042250389119</v>
          </cell>
          <cell r="E298" t="str">
            <v>Kent</v>
          </cell>
          <cell r="G298">
            <v>0.12974725714031712</v>
          </cell>
          <cell r="I298" t="str">
            <v>Fletcher</v>
          </cell>
        </row>
        <row r="299">
          <cell r="A299" t="str">
            <v>Shelly</v>
          </cell>
          <cell r="C299">
            <v>0.26659995552590587</v>
          </cell>
          <cell r="E299" t="str">
            <v>Terrance</v>
          </cell>
          <cell r="G299">
            <v>0.12921423177719357</v>
          </cell>
          <cell r="I299" t="str">
            <v>Watts</v>
          </cell>
        </row>
        <row r="300">
          <cell r="A300" t="str">
            <v>Daisy</v>
          </cell>
          <cell r="C300">
            <v>0.26591060707138064</v>
          </cell>
          <cell r="E300" t="str">
            <v>Rene</v>
          </cell>
          <cell r="G300">
            <v>0.12868120641407008</v>
          </cell>
          <cell r="I300" t="str">
            <v>Bates</v>
          </cell>
        </row>
        <row r="301">
          <cell r="A301" t="str">
            <v>Ramona</v>
          </cell>
          <cell r="C301">
            <v>0.26522125861685542</v>
          </cell>
          <cell r="E301" t="str">
            <v>Eduardo</v>
          </cell>
          <cell r="G301">
            <v>0.12814818105094661</v>
          </cell>
          <cell r="I301" t="str">
            <v>Hale</v>
          </cell>
        </row>
        <row r="302">
          <cell r="A302" t="str">
            <v>Sherri</v>
          </cell>
          <cell r="C302">
            <v>0.26453191016233019</v>
          </cell>
          <cell r="E302" t="str">
            <v>Terrence</v>
          </cell>
          <cell r="G302">
            <v>0.12762626038288818</v>
          </cell>
          <cell r="I302" t="str">
            <v>Rhodes</v>
          </cell>
        </row>
        <row r="303">
          <cell r="A303" t="str">
            <v>Erika</v>
          </cell>
          <cell r="C303">
            <v>0.26384256170780501</v>
          </cell>
          <cell r="E303" t="str">
            <v>Enrique</v>
          </cell>
          <cell r="G303">
            <v>0.12710433971482976</v>
          </cell>
          <cell r="I303" t="str">
            <v>Pena</v>
          </cell>
        </row>
        <row r="304">
          <cell r="A304" t="str">
            <v>Katrina</v>
          </cell>
          <cell r="C304">
            <v>0.26316433177673987</v>
          </cell>
          <cell r="E304" t="str">
            <v>Freddie</v>
          </cell>
          <cell r="G304">
            <v>0.12659352374183641</v>
          </cell>
          <cell r="I304" t="str">
            <v>Beck</v>
          </cell>
        </row>
        <row r="305">
          <cell r="A305" t="str">
            <v>Claire</v>
          </cell>
          <cell r="C305">
            <v>0.26248610184567467</v>
          </cell>
          <cell r="E305" t="str">
            <v>Wade</v>
          </cell>
          <cell r="G305">
            <v>0.12608270776884306</v>
          </cell>
          <cell r="I305" t="str">
            <v>Newman</v>
          </cell>
        </row>
        <row r="306">
          <cell r="A306" t="str">
            <v>Lindsey</v>
          </cell>
          <cell r="C306">
            <v>0.26180787191460936</v>
          </cell>
          <cell r="E306" t="str">
            <v>Austin</v>
          </cell>
          <cell r="G306">
            <v>0.12558299649091476</v>
          </cell>
          <cell r="I306" t="str">
            <v>Haynes</v>
          </cell>
        </row>
        <row r="307">
          <cell r="A307" t="str">
            <v>Lindsay</v>
          </cell>
          <cell r="C307">
            <v>0.26114076050700419</v>
          </cell>
          <cell r="E307" t="str">
            <v>Stuart</v>
          </cell>
          <cell r="G307">
            <v>0.12509438990805152</v>
          </cell>
          <cell r="I307" t="str">
            <v>Mcdaniel</v>
          </cell>
        </row>
        <row r="308">
          <cell r="A308" t="str">
            <v>Geneva</v>
          </cell>
          <cell r="C308">
            <v>0.26047364909939902</v>
          </cell>
          <cell r="E308" t="str">
            <v>Fredrick</v>
          </cell>
          <cell r="G308">
            <v>0.1246057833251883</v>
          </cell>
          <cell r="I308" t="str">
            <v>Mendez</v>
          </cell>
        </row>
        <row r="309">
          <cell r="A309" t="str">
            <v>Guadalupe</v>
          </cell>
          <cell r="C309">
            <v>0.25981765621525388</v>
          </cell>
          <cell r="E309" t="str">
            <v>Arturo</v>
          </cell>
          <cell r="G309">
            <v>0.12412828143739016</v>
          </cell>
          <cell r="I309" t="str">
            <v>Bush</v>
          </cell>
        </row>
        <row r="310">
          <cell r="A310" t="str">
            <v>Belinda</v>
          </cell>
          <cell r="C310">
            <v>0.25916166333110874</v>
          </cell>
          <cell r="E310" t="str">
            <v>Alejandro</v>
          </cell>
          <cell r="G310">
            <v>0.12365077954959199</v>
          </cell>
          <cell r="I310" t="str">
            <v>Vaughn</v>
          </cell>
        </row>
        <row r="311">
          <cell r="A311" t="str">
            <v>Margarita</v>
          </cell>
          <cell r="C311">
            <v>0.2585056704469636</v>
          </cell>
          <cell r="E311" t="str">
            <v>Jackie</v>
          </cell>
          <cell r="G311">
            <v>0.12317327766179384</v>
          </cell>
          <cell r="I311" t="str">
            <v>Parks</v>
          </cell>
        </row>
        <row r="312">
          <cell r="A312" t="str">
            <v>Sheryl</v>
          </cell>
          <cell r="C312">
            <v>0.25784967756281846</v>
          </cell>
          <cell r="E312" t="str">
            <v>Joey</v>
          </cell>
          <cell r="G312">
            <v>0.12269577577399569</v>
          </cell>
          <cell r="I312" t="str">
            <v>Dawson</v>
          </cell>
        </row>
        <row r="313">
          <cell r="A313" t="str">
            <v>Cora</v>
          </cell>
          <cell r="C313">
            <v>0.25719368467867326</v>
          </cell>
          <cell r="E313" t="str">
            <v>Nick</v>
          </cell>
          <cell r="G313">
            <v>0.12221827388619755</v>
          </cell>
          <cell r="I313" t="str">
            <v>Santiago</v>
          </cell>
        </row>
        <row r="314">
          <cell r="A314" t="str">
            <v>Faye</v>
          </cell>
          <cell r="C314">
            <v>0.25654881031798826</v>
          </cell>
          <cell r="E314" t="str">
            <v>Luther</v>
          </cell>
          <cell r="G314">
            <v>0.1217407719983994</v>
          </cell>
          <cell r="I314" t="str">
            <v>Norris</v>
          </cell>
        </row>
        <row r="315">
          <cell r="A315" t="str">
            <v>Ada</v>
          </cell>
          <cell r="C315">
            <v>0.25590393595730326</v>
          </cell>
          <cell r="E315" t="str">
            <v>Wendell</v>
          </cell>
          <cell r="G315">
            <v>0.12126327011060123</v>
          </cell>
          <cell r="I315" t="str">
            <v>Hardy</v>
          </cell>
        </row>
        <row r="316">
          <cell r="A316" t="str">
            <v>Natasha</v>
          </cell>
          <cell r="C316">
            <v>0.25527018012007829</v>
          </cell>
          <cell r="E316" t="str">
            <v>Jeremiah</v>
          </cell>
          <cell r="G316">
            <v>0.12079687291786817</v>
          </cell>
          <cell r="I316" t="str">
            <v>Love</v>
          </cell>
        </row>
        <row r="317">
          <cell r="A317" t="str">
            <v>Sabrina</v>
          </cell>
          <cell r="C317">
            <v>0.25463642428285338</v>
          </cell>
          <cell r="E317" t="str">
            <v>Evan</v>
          </cell>
          <cell r="G317">
            <v>0.12033047572513508</v>
          </cell>
          <cell r="I317" t="str">
            <v>Steele</v>
          </cell>
        </row>
        <row r="318">
          <cell r="A318" t="str">
            <v>Isabel</v>
          </cell>
          <cell r="C318">
            <v>0.25400266844562852</v>
          </cell>
          <cell r="E318" t="str">
            <v>Julius</v>
          </cell>
          <cell r="G318">
            <v>0.11986407853240201</v>
          </cell>
          <cell r="I318" t="str">
            <v>Curry</v>
          </cell>
        </row>
        <row r="319">
          <cell r="A319" t="str">
            <v>Marguerite</v>
          </cell>
          <cell r="C319">
            <v>0.25336891260840383</v>
          </cell>
          <cell r="E319" t="str">
            <v>Dana</v>
          </cell>
          <cell r="G319">
            <v>0.11939768133966895</v>
          </cell>
          <cell r="I319" t="str">
            <v>Powers</v>
          </cell>
        </row>
        <row r="320">
          <cell r="A320" t="str">
            <v>Hattie</v>
          </cell>
          <cell r="C320">
            <v>0.25274627529463911</v>
          </cell>
          <cell r="E320" t="str">
            <v>Donnie</v>
          </cell>
          <cell r="G320">
            <v>0.11893128414693586</v>
          </cell>
          <cell r="I320" t="str">
            <v>Schultz</v>
          </cell>
        </row>
        <row r="321">
          <cell r="A321" t="str">
            <v>Harriet</v>
          </cell>
          <cell r="C321">
            <v>0.25212363798087445</v>
          </cell>
          <cell r="E321" t="str">
            <v>Otis</v>
          </cell>
          <cell r="G321">
            <v>0.11847599164926784</v>
          </cell>
          <cell r="I321" t="str">
            <v>Barker</v>
          </cell>
        </row>
        <row r="322">
          <cell r="A322" t="str">
            <v>Molly</v>
          </cell>
          <cell r="C322">
            <v>0.25150100066710973</v>
          </cell>
          <cell r="E322" t="str">
            <v>Shannon</v>
          </cell>
          <cell r="G322">
            <v>0.11802069915159982</v>
          </cell>
          <cell r="I322" t="str">
            <v>Guzman</v>
          </cell>
        </row>
        <row r="323">
          <cell r="A323" t="str">
            <v>Cecilia</v>
          </cell>
          <cell r="C323">
            <v>0.25088948187680515</v>
          </cell>
          <cell r="E323" t="str">
            <v>Trevor</v>
          </cell>
          <cell r="G323">
            <v>0.11757651134899687</v>
          </cell>
          <cell r="I323" t="str">
            <v>Page</v>
          </cell>
        </row>
        <row r="324">
          <cell r="A324" t="str">
            <v>Kristi</v>
          </cell>
          <cell r="C324">
            <v>0.25027796308650052</v>
          </cell>
          <cell r="E324" t="str">
            <v>Oliver</v>
          </cell>
          <cell r="G324">
            <v>0.11713232354639397</v>
          </cell>
          <cell r="I324" t="str">
            <v>Munoz</v>
          </cell>
        </row>
        <row r="325">
          <cell r="A325" t="str">
            <v>Brandi</v>
          </cell>
          <cell r="C325">
            <v>0.24966644429619589</v>
          </cell>
          <cell r="E325" t="str">
            <v>Luke</v>
          </cell>
          <cell r="G325">
            <v>0.11668813574379108</v>
          </cell>
          <cell r="I325" t="str">
            <v>Ball</v>
          </cell>
        </row>
        <row r="326">
          <cell r="A326" t="str">
            <v>Blanche</v>
          </cell>
          <cell r="C326">
            <v>0.24905492550589131</v>
          </cell>
          <cell r="E326" t="str">
            <v>Homer</v>
          </cell>
          <cell r="G326">
            <v>0.11624394794118817</v>
          </cell>
          <cell r="I326" t="str">
            <v>Keller</v>
          </cell>
        </row>
        <row r="327">
          <cell r="A327" t="str">
            <v>Sandy</v>
          </cell>
          <cell r="C327">
            <v>0.24844340671558668</v>
          </cell>
          <cell r="E327" t="str">
            <v>Gerard</v>
          </cell>
          <cell r="G327">
            <v>0.11579976013858528</v>
          </cell>
          <cell r="I327" t="str">
            <v>Chandler</v>
          </cell>
        </row>
        <row r="328">
          <cell r="A328" t="str">
            <v>Rosie</v>
          </cell>
          <cell r="C328">
            <v>0.24783188792528207</v>
          </cell>
          <cell r="E328" t="str">
            <v>Doug</v>
          </cell>
          <cell r="G328">
            <v>0.1153555723359824</v>
          </cell>
          <cell r="I328" t="str">
            <v>Weber</v>
          </cell>
        </row>
        <row r="329">
          <cell r="A329" t="str">
            <v>Joanna</v>
          </cell>
          <cell r="C329">
            <v>0.24722036913497747</v>
          </cell>
          <cell r="E329" t="str">
            <v>Kenny</v>
          </cell>
          <cell r="G329">
            <v>0.11491138453337951</v>
          </cell>
          <cell r="I329" t="str">
            <v>Leonard</v>
          </cell>
        </row>
        <row r="330">
          <cell r="A330" t="str">
            <v>Iris</v>
          </cell>
          <cell r="C330">
            <v>0.24660885034467309</v>
          </cell>
          <cell r="E330" t="str">
            <v>Hubert</v>
          </cell>
          <cell r="G330">
            <v>0.11447830142584169</v>
          </cell>
          <cell r="I330" t="str">
            <v>Walsh</v>
          </cell>
        </row>
        <row r="331">
          <cell r="A331" t="str">
            <v>Eunice</v>
          </cell>
          <cell r="C331">
            <v>0.24599733155436868</v>
          </cell>
          <cell r="E331" t="str">
            <v>Angelo</v>
          </cell>
          <cell r="G331">
            <v>0.11404521831830389</v>
          </cell>
          <cell r="I331" t="str">
            <v>Lyons</v>
          </cell>
        </row>
        <row r="332">
          <cell r="A332" t="str">
            <v>Angie</v>
          </cell>
          <cell r="C332">
            <v>0.24539693128752435</v>
          </cell>
          <cell r="E332" t="str">
            <v>Shaun</v>
          </cell>
          <cell r="G332">
            <v>0.11361213521076605</v>
          </cell>
          <cell r="I332" t="str">
            <v>Ramsey</v>
          </cell>
        </row>
        <row r="333">
          <cell r="A333" t="str">
            <v>Inez</v>
          </cell>
          <cell r="C333">
            <v>0.24479653102068002</v>
          </cell>
          <cell r="E333" t="str">
            <v>Lyle</v>
          </cell>
          <cell r="G333">
            <v>0.11317905210322825</v>
          </cell>
          <cell r="I333" t="str">
            <v>Wolfe</v>
          </cell>
        </row>
        <row r="334">
          <cell r="A334" t="str">
            <v>Lynda</v>
          </cell>
          <cell r="C334">
            <v>0.24420724927729578</v>
          </cell>
          <cell r="E334" t="str">
            <v>Matt</v>
          </cell>
          <cell r="G334">
            <v>0.11275707369075549</v>
          </cell>
          <cell r="I334" t="str">
            <v>Schneider</v>
          </cell>
        </row>
        <row r="335">
          <cell r="A335" t="str">
            <v>Madeline</v>
          </cell>
          <cell r="C335">
            <v>0.24361796753391152</v>
          </cell>
          <cell r="E335" t="str">
            <v>Lynn</v>
          </cell>
          <cell r="G335">
            <v>0.11233509527828273</v>
          </cell>
          <cell r="I335" t="str">
            <v>Mullins</v>
          </cell>
        </row>
        <row r="336">
          <cell r="A336" t="str">
            <v>Amelia</v>
          </cell>
          <cell r="C336">
            <v>0.24303980431398736</v>
          </cell>
          <cell r="E336" t="str">
            <v>Alfonso</v>
          </cell>
          <cell r="G336">
            <v>0.11191311686580996</v>
          </cell>
          <cell r="I336" t="str">
            <v>Benson</v>
          </cell>
        </row>
        <row r="337">
          <cell r="A337" t="str">
            <v>Alberta</v>
          </cell>
          <cell r="C337">
            <v>0.24246164109406318</v>
          </cell>
          <cell r="E337" t="str">
            <v>Orlando</v>
          </cell>
          <cell r="G337">
            <v>0.11149113845333716</v>
          </cell>
          <cell r="I337" t="str">
            <v>Sharp</v>
          </cell>
        </row>
        <row r="338">
          <cell r="A338" t="str">
            <v>Genevieve</v>
          </cell>
          <cell r="C338">
            <v>0.24188347787413905</v>
          </cell>
          <cell r="E338" t="str">
            <v>Rex</v>
          </cell>
          <cell r="G338">
            <v>0.11108026473592945</v>
          </cell>
          <cell r="I338" t="str">
            <v>Bowen</v>
          </cell>
        </row>
        <row r="339">
          <cell r="A339" t="str">
            <v>Monique</v>
          </cell>
          <cell r="C339">
            <v>0.24131643317767493</v>
          </cell>
          <cell r="E339" t="str">
            <v>Carlton</v>
          </cell>
          <cell r="G339">
            <v>0.11066939101852173</v>
          </cell>
          <cell r="I339" t="str">
            <v>Daniel</v>
          </cell>
        </row>
        <row r="340">
          <cell r="A340" t="str">
            <v>Jodi</v>
          </cell>
          <cell r="C340">
            <v>0.24074938848121086</v>
          </cell>
          <cell r="E340" t="str">
            <v>Ernesto</v>
          </cell>
          <cell r="G340">
            <v>0.11025851730111402</v>
          </cell>
          <cell r="I340" t="str">
            <v>Barber</v>
          </cell>
        </row>
        <row r="341">
          <cell r="A341" t="str">
            <v>Janie</v>
          </cell>
          <cell r="C341">
            <v>0.24018234378474673</v>
          </cell>
          <cell r="E341" t="str">
            <v>Cameron</v>
          </cell>
          <cell r="G341">
            <v>0.1098476435837063</v>
          </cell>
          <cell r="I341" t="str">
            <v>Cummings</v>
          </cell>
        </row>
        <row r="342">
          <cell r="A342" t="str">
            <v>Maggie</v>
          </cell>
          <cell r="C342">
            <v>0.23961529908828266</v>
          </cell>
          <cell r="E342" t="str">
            <v>Neal</v>
          </cell>
          <cell r="G342">
            <v>0.10943676986629859</v>
          </cell>
          <cell r="I342" t="str">
            <v>Hines</v>
          </cell>
        </row>
        <row r="343">
          <cell r="A343" t="str">
            <v>Kayla</v>
          </cell>
          <cell r="C343">
            <v>0.23904825439181854</v>
          </cell>
          <cell r="E343" t="str">
            <v>Pablo</v>
          </cell>
          <cell r="G343">
            <v>0.10902589614889087</v>
          </cell>
          <cell r="I343" t="str">
            <v>Baldwin</v>
          </cell>
        </row>
        <row r="344">
          <cell r="A344" t="str">
            <v>Sonya</v>
          </cell>
          <cell r="C344">
            <v>0.23848120969535444</v>
          </cell>
          <cell r="E344" t="str">
            <v>Lorenzo</v>
          </cell>
          <cell r="G344">
            <v>0.10862612712654823</v>
          </cell>
          <cell r="I344" t="str">
            <v>Griffith</v>
          </cell>
        </row>
        <row r="345">
          <cell r="A345" t="str">
            <v>Jan</v>
          </cell>
          <cell r="C345">
            <v>0.23791416499889032</v>
          </cell>
          <cell r="E345" t="str">
            <v>Omar</v>
          </cell>
          <cell r="G345">
            <v>0.10822635810420558</v>
          </cell>
          <cell r="I345" t="str">
            <v>Valdez</v>
          </cell>
        </row>
        <row r="346">
          <cell r="A346" t="str">
            <v>Lee</v>
          </cell>
          <cell r="C346">
            <v>0.23734712030242611</v>
          </cell>
          <cell r="E346" t="str">
            <v>Wilbur</v>
          </cell>
          <cell r="G346">
            <v>0.10782658908186293</v>
          </cell>
          <cell r="I346" t="str">
            <v>Hubbard</v>
          </cell>
        </row>
        <row r="347">
          <cell r="A347" t="str">
            <v>Kristine</v>
          </cell>
          <cell r="C347">
            <v>0.23678007560596154</v>
          </cell>
          <cell r="E347" t="str">
            <v>Blake</v>
          </cell>
          <cell r="G347">
            <v>0.1074268200595203</v>
          </cell>
          <cell r="I347" t="str">
            <v>Salazar</v>
          </cell>
        </row>
        <row r="348">
          <cell r="A348" t="str">
            <v>Candace</v>
          </cell>
          <cell r="C348">
            <v>0.23621303090949697</v>
          </cell>
          <cell r="E348" t="str">
            <v>Grant</v>
          </cell>
          <cell r="G348">
            <v>0.10702705103717766</v>
          </cell>
          <cell r="I348" t="str">
            <v>Reeves</v>
          </cell>
        </row>
        <row r="349">
          <cell r="A349" t="str">
            <v>Fannie</v>
          </cell>
          <cell r="C349">
            <v>0.23564598621303243</v>
          </cell>
          <cell r="E349" t="str">
            <v>Horace</v>
          </cell>
          <cell r="G349">
            <v>0.10662728201483503</v>
          </cell>
          <cell r="I349" t="str">
            <v>Warner</v>
          </cell>
        </row>
        <row r="350">
          <cell r="A350" t="str">
            <v>Maryann</v>
          </cell>
          <cell r="C350">
            <v>0.23509006004002797</v>
          </cell>
          <cell r="E350" t="str">
            <v>Roderick</v>
          </cell>
          <cell r="G350">
            <v>0.10622751299249236</v>
          </cell>
          <cell r="I350" t="str">
            <v>Stevenson</v>
          </cell>
        </row>
        <row r="351">
          <cell r="A351" t="str">
            <v>Opal</v>
          </cell>
          <cell r="C351">
            <v>0.23453413386702351</v>
          </cell>
          <cell r="E351" t="str">
            <v>Kerry</v>
          </cell>
          <cell r="G351">
            <v>0.10582774397014975</v>
          </cell>
          <cell r="I351" t="str">
            <v>Burgess</v>
          </cell>
        </row>
        <row r="352">
          <cell r="A352" t="str">
            <v>Alison</v>
          </cell>
          <cell r="C352">
            <v>0.23397820769401909</v>
          </cell>
          <cell r="E352" t="str">
            <v>Abraham</v>
          </cell>
          <cell r="G352">
            <v>0.10542797494780712</v>
          </cell>
          <cell r="I352" t="str">
            <v>Santos</v>
          </cell>
        </row>
        <row r="353">
          <cell r="A353" t="str">
            <v>Yvette</v>
          </cell>
          <cell r="C353">
            <v>0.23342228152101463</v>
          </cell>
          <cell r="E353" t="str">
            <v>Willis</v>
          </cell>
          <cell r="G353">
            <v>0.10503931062052954</v>
          </cell>
          <cell r="I353" t="str">
            <v>Tate</v>
          </cell>
        </row>
        <row r="354">
          <cell r="A354" t="str">
            <v>Melody</v>
          </cell>
          <cell r="C354">
            <v>0.23286635534801017</v>
          </cell>
          <cell r="E354" t="str">
            <v>Rickey</v>
          </cell>
          <cell r="G354">
            <v>0.10465064629325196</v>
          </cell>
          <cell r="I354" t="str">
            <v>Cross</v>
          </cell>
        </row>
        <row r="355">
          <cell r="A355" t="str">
            <v>Luz</v>
          </cell>
          <cell r="C355">
            <v>0.23231042917500572</v>
          </cell>
          <cell r="E355" t="str">
            <v>Jean</v>
          </cell>
          <cell r="G355">
            <v>0.1042619819659744</v>
          </cell>
          <cell r="I355" t="str">
            <v>Garner</v>
          </cell>
        </row>
        <row r="356">
          <cell r="A356" t="str">
            <v>Susie</v>
          </cell>
          <cell r="C356">
            <v>0.23176562152546132</v>
          </cell>
          <cell r="E356" t="str">
            <v>Ira</v>
          </cell>
          <cell r="G356">
            <v>0.10387331763869682</v>
          </cell>
          <cell r="I356" t="str">
            <v>Mann</v>
          </cell>
        </row>
        <row r="357">
          <cell r="A357" t="str">
            <v>Olivia</v>
          </cell>
          <cell r="C357">
            <v>0.23122081387591698</v>
          </cell>
          <cell r="E357" t="str">
            <v>Andres</v>
          </cell>
          <cell r="G357">
            <v>0.10348465331141926</v>
          </cell>
          <cell r="I357" t="str">
            <v>Mack</v>
          </cell>
        </row>
        <row r="358">
          <cell r="A358" t="str">
            <v>Flora</v>
          </cell>
          <cell r="C358">
            <v>0.23067600622637258</v>
          </cell>
          <cell r="E358" t="str">
            <v>Cesar</v>
          </cell>
          <cell r="G358">
            <v>0.10310709367920676</v>
          </cell>
          <cell r="I358" t="str">
            <v>Moss</v>
          </cell>
        </row>
        <row r="359">
          <cell r="A359" t="str">
            <v>Shelley</v>
          </cell>
          <cell r="C359">
            <v>0.23013119857682823</v>
          </cell>
          <cell r="E359" t="str">
            <v>Johnathan</v>
          </cell>
          <cell r="G359">
            <v>0.10272953404699421</v>
          </cell>
          <cell r="I359" t="str">
            <v>Thornton</v>
          </cell>
        </row>
        <row r="360">
          <cell r="A360" t="str">
            <v>Kristy</v>
          </cell>
          <cell r="C360">
            <v>0.22958639092728383</v>
          </cell>
          <cell r="E360" t="str">
            <v>Malcolm</v>
          </cell>
          <cell r="G360">
            <v>0.10235197441478165</v>
          </cell>
          <cell r="I360" t="str">
            <v>Dennis</v>
          </cell>
        </row>
        <row r="361">
          <cell r="A361" t="str">
            <v>Mamie</v>
          </cell>
          <cell r="C361">
            <v>0.22905270180119952</v>
          </cell>
          <cell r="E361" t="str">
            <v>Rudolph</v>
          </cell>
          <cell r="G361">
            <v>0.10197441478256906</v>
          </cell>
          <cell r="I361" t="str">
            <v>Mcgee</v>
          </cell>
        </row>
        <row r="362">
          <cell r="A362" t="str">
            <v>Lula</v>
          </cell>
          <cell r="C362">
            <v>0.22851901267511524</v>
          </cell>
          <cell r="E362" t="str">
            <v>Damon</v>
          </cell>
          <cell r="G362">
            <v>0.1015968551503565</v>
          </cell>
          <cell r="I362" t="str">
            <v>Farmer</v>
          </cell>
        </row>
        <row r="363">
          <cell r="A363" t="str">
            <v>Lola</v>
          </cell>
          <cell r="C363">
            <v>0.22798532354903095</v>
          </cell>
          <cell r="E363" t="str">
            <v>Kelvin</v>
          </cell>
          <cell r="G363">
            <v>0.10121929551814395</v>
          </cell>
          <cell r="I363" t="str">
            <v>Delgado</v>
          </cell>
        </row>
        <row r="364">
          <cell r="A364" t="str">
            <v>Verna</v>
          </cell>
          <cell r="C364">
            <v>0.22745163442294664</v>
          </cell>
          <cell r="E364" t="str">
            <v>Rudy</v>
          </cell>
          <cell r="G364">
            <v>0.10084173588593136</v>
          </cell>
          <cell r="I364" t="str">
            <v>Aguilar</v>
          </cell>
        </row>
        <row r="365">
          <cell r="A365" t="str">
            <v>Beulah</v>
          </cell>
          <cell r="C365">
            <v>0.22691794529686235</v>
          </cell>
          <cell r="E365" t="str">
            <v>Preston</v>
          </cell>
          <cell r="G365">
            <v>0.1004641762537188</v>
          </cell>
          <cell r="I365" t="str">
            <v>Vega</v>
          </cell>
        </row>
        <row r="366">
          <cell r="A366" t="str">
            <v>Antoinette</v>
          </cell>
          <cell r="C366">
            <v>0.22638425617077812</v>
          </cell>
          <cell r="E366" t="str">
            <v>Alton</v>
          </cell>
          <cell r="G366">
            <v>0.10008661662150624</v>
          </cell>
          <cell r="I366" t="str">
            <v>Glover</v>
          </cell>
        </row>
        <row r="367">
          <cell r="A367" t="str">
            <v>Candice</v>
          </cell>
          <cell r="C367">
            <v>0.22585056704469406</v>
          </cell>
          <cell r="E367" t="str">
            <v>Archie</v>
          </cell>
          <cell r="G367">
            <v>9.9720161684358738E-2</v>
          </cell>
          <cell r="I367" t="str">
            <v>Manning</v>
          </cell>
        </row>
        <row r="368">
          <cell r="A368" t="str">
            <v>Juana</v>
          </cell>
          <cell r="C368">
            <v>0.22533911496553019</v>
          </cell>
          <cell r="E368" t="str">
            <v>Marco</v>
          </cell>
          <cell r="G368">
            <v>9.9353706747211237E-2</v>
          </cell>
          <cell r="I368" t="str">
            <v>Cohen</v>
          </cell>
        </row>
        <row r="369">
          <cell r="A369" t="str">
            <v>Jeannette</v>
          </cell>
          <cell r="C369">
            <v>0.22482766288636638</v>
          </cell>
          <cell r="E369" t="str">
            <v>Wm</v>
          </cell>
          <cell r="G369">
            <v>9.8987251810063751E-2</v>
          </cell>
          <cell r="I369" t="str">
            <v>Harmon</v>
          </cell>
        </row>
        <row r="370">
          <cell r="A370" t="str">
            <v>Pam</v>
          </cell>
          <cell r="C370">
            <v>0.22431621080720254</v>
          </cell>
          <cell r="E370" t="str">
            <v>Pete</v>
          </cell>
          <cell r="G370">
            <v>9.8620796872916278E-2</v>
          </cell>
          <cell r="I370" t="str">
            <v>Rodgers</v>
          </cell>
        </row>
        <row r="371">
          <cell r="A371" t="str">
            <v>Kelli</v>
          </cell>
          <cell r="C371">
            <v>0.22380475872803871</v>
          </cell>
          <cell r="E371" t="str">
            <v>Randolph</v>
          </cell>
          <cell r="G371">
            <v>9.826544663083385E-2</v>
          </cell>
          <cell r="I371" t="str">
            <v>Robbins</v>
          </cell>
        </row>
        <row r="372">
          <cell r="A372" t="str">
            <v>Hannah</v>
          </cell>
          <cell r="C372">
            <v>0.22329330664887487</v>
          </cell>
          <cell r="E372" t="str">
            <v>Garry</v>
          </cell>
          <cell r="G372">
            <v>9.7910096388751436E-2</v>
          </cell>
          <cell r="I372" t="str">
            <v>Newton</v>
          </cell>
        </row>
        <row r="373">
          <cell r="A373" t="str">
            <v>Whitney</v>
          </cell>
          <cell r="C373">
            <v>0.22279297309317111</v>
          </cell>
          <cell r="E373" t="str">
            <v>Geoffrey</v>
          </cell>
          <cell r="G373">
            <v>9.7554746146669022E-2</v>
          </cell>
          <cell r="I373" t="str">
            <v>Todd</v>
          </cell>
        </row>
        <row r="374">
          <cell r="A374" t="str">
            <v>Bridget</v>
          </cell>
          <cell r="C374">
            <v>0.22229263953746736</v>
          </cell>
          <cell r="E374" t="str">
            <v>Jonathon</v>
          </cell>
          <cell r="G374">
            <v>9.7199395904586622E-2</v>
          </cell>
          <cell r="I374" t="str">
            <v>Blair</v>
          </cell>
        </row>
        <row r="375">
          <cell r="A375" t="str">
            <v>Karla</v>
          </cell>
          <cell r="C375">
            <v>0.22179230598176361</v>
          </cell>
          <cell r="E375" t="str">
            <v>Felipe</v>
          </cell>
          <cell r="G375">
            <v>9.6844045662504208E-2</v>
          </cell>
          <cell r="I375" t="str">
            <v>Higgins</v>
          </cell>
        </row>
        <row r="376">
          <cell r="A376" t="str">
            <v>Celia</v>
          </cell>
          <cell r="C376">
            <v>0.22130309094951994</v>
          </cell>
          <cell r="E376" t="str">
            <v>Bennie</v>
          </cell>
          <cell r="G376">
            <v>9.6488695420421808E-2</v>
          </cell>
          <cell r="I376" t="str">
            <v>Ingram</v>
          </cell>
        </row>
        <row r="377">
          <cell r="A377" t="str">
            <v>Latoya</v>
          </cell>
          <cell r="C377">
            <v>0.22081387591727622</v>
          </cell>
          <cell r="E377" t="str">
            <v>Gerardo</v>
          </cell>
          <cell r="G377">
            <v>9.6133345178339435E-2</v>
          </cell>
          <cell r="I377" t="str">
            <v>Reese</v>
          </cell>
        </row>
        <row r="378">
          <cell r="A378" t="str">
            <v>Patty</v>
          </cell>
          <cell r="C378">
            <v>0.22033577940849261</v>
          </cell>
          <cell r="E378" t="str">
            <v>Ed</v>
          </cell>
          <cell r="G378">
            <v>9.5777994936257105E-2</v>
          </cell>
          <cell r="I378" t="str">
            <v>Cannon</v>
          </cell>
        </row>
        <row r="379">
          <cell r="A379" t="str">
            <v>Shelia</v>
          </cell>
          <cell r="C379">
            <v>0.219857682899709</v>
          </cell>
          <cell r="E379" t="str">
            <v>Dominic</v>
          </cell>
          <cell r="G379">
            <v>9.542264469417476E-2</v>
          </cell>
          <cell r="I379" t="str">
            <v>Strickland</v>
          </cell>
        </row>
        <row r="380">
          <cell r="A380" t="str">
            <v>Gayle</v>
          </cell>
          <cell r="C380">
            <v>0.21937958639092539</v>
          </cell>
          <cell r="E380" t="str">
            <v>Robin</v>
          </cell>
          <cell r="G380">
            <v>9.506729445209243E-2</v>
          </cell>
          <cell r="I380" t="str">
            <v>Townsend</v>
          </cell>
        </row>
        <row r="381">
          <cell r="A381" t="str">
            <v>Della</v>
          </cell>
          <cell r="C381">
            <v>0.21890148988214175</v>
          </cell>
          <cell r="E381" t="str">
            <v>Loren</v>
          </cell>
          <cell r="G381">
            <v>9.4711944210010099E-2</v>
          </cell>
          <cell r="I381" t="str">
            <v>Potter</v>
          </cell>
        </row>
        <row r="382">
          <cell r="A382" t="str">
            <v>Vicky</v>
          </cell>
          <cell r="C382">
            <v>0.21842339337335814</v>
          </cell>
          <cell r="E382" t="str">
            <v>Delbert</v>
          </cell>
          <cell r="G382">
            <v>9.4356593967927754E-2</v>
          </cell>
          <cell r="I382" t="str">
            <v>Goodwin</v>
          </cell>
        </row>
        <row r="383">
          <cell r="A383" t="str">
            <v>Lynne</v>
          </cell>
          <cell r="C383">
            <v>0.21794529686457453</v>
          </cell>
          <cell r="E383" t="str">
            <v>Colin</v>
          </cell>
          <cell r="G383">
            <v>9.4012348420910469E-2</v>
          </cell>
          <cell r="I383" t="str">
            <v>Walton</v>
          </cell>
        </row>
        <row r="384">
          <cell r="A384" t="str">
            <v>Sheri</v>
          </cell>
          <cell r="C384">
            <v>0.21746720035579092</v>
          </cell>
          <cell r="E384" t="str">
            <v>Guillermo</v>
          </cell>
          <cell r="G384">
            <v>9.3668102873893183E-2</v>
          </cell>
          <cell r="I384" t="str">
            <v>Rowe</v>
          </cell>
        </row>
        <row r="385">
          <cell r="A385" t="str">
            <v>Marianne</v>
          </cell>
          <cell r="C385">
            <v>0.2170002223704674</v>
          </cell>
          <cell r="E385" t="str">
            <v>Earnest</v>
          </cell>
          <cell r="G385">
            <v>9.3323857326875898E-2</v>
          </cell>
          <cell r="I385" t="str">
            <v>Hampton</v>
          </cell>
        </row>
        <row r="386">
          <cell r="A386" t="str">
            <v>Kara</v>
          </cell>
          <cell r="C386">
            <v>0.21653324438514385</v>
          </cell>
          <cell r="E386" t="str">
            <v>Lucas</v>
          </cell>
          <cell r="G386">
            <v>9.2979611779858598E-2</v>
          </cell>
          <cell r="I386" t="str">
            <v>Ortega</v>
          </cell>
        </row>
        <row r="387">
          <cell r="A387" t="str">
            <v>Jacquelyn</v>
          </cell>
          <cell r="C387">
            <v>0.21607738492328041</v>
          </cell>
          <cell r="E387" t="str">
            <v>Benny</v>
          </cell>
          <cell r="G387">
            <v>9.2635366232841312E-2</v>
          </cell>
          <cell r="I387" t="str">
            <v>Patton</v>
          </cell>
        </row>
        <row r="388">
          <cell r="A388" t="str">
            <v>Erma</v>
          </cell>
          <cell r="C388">
            <v>0.21562152546141694</v>
          </cell>
          <cell r="E388" t="str">
            <v>Noel</v>
          </cell>
          <cell r="G388">
            <v>9.23022253808891E-2</v>
          </cell>
          <cell r="I388" t="str">
            <v>Swanson</v>
          </cell>
        </row>
        <row r="389">
          <cell r="A389" t="str">
            <v>Blanca</v>
          </cell>
          <cell r="C389">
            <v>0.2151656659995535</v>
          </cell>
          <cell r="E389" t="str">
            <v>Spencer</v>
          </cell>
          <cell r="G389">
            <v>9.1969084528936915E-2</v>
          </cell>
          <cell r="I389" t="str">
            <v>Joseph</v>
          </cell>
        </row>
        <row r="390">
          <cell r="A390" t="str">
            <v>Myra</v>
          </cell>
          <cell r="C390">
            <v>0.21470980653769001</v>
          </cell>
          <cell r="E390" t="str">
            <v>Rodolfo</v>
          </cell>
          <cell r="G390">
            <v>9.1635943676984688E-2</v>
          </cell>
          <cell r="I390" t="str">
            <v>Francis</v>
          </cell>
        </row>
        <row r="391">
          <cell r="A391" t="str">
            <v>Leticia</v>
          </cell>
          <cell r="C391">
            <v>0.2142650655992866</v>
          </cell>
          <cell r="E391" t="str">
            <v>Myron</v>
          </cell>
          <cell r="G391">
            <v>9.1302802825032475E-2</v>
          </cell>
          <cell r="I391" t="str">
            <v>Goodman</v>
          </cell>
        </row>
        <row r="392">
          <cell r="A392" t="str">
            <v>Pat</v>
          </cell>
          <cell r="C392">
            <v>0.21382032466088322</v>
          </cell>
          <cell r="E392" t="str">
            <v>Edmund</v>
          </cell>
          <cell r="G392">
            <v>9.0969661973080262E-2</v>
          </cell>
          <cell r="I392" t="str">
            <v>Maldonado</v>
          </cell>
        </row>
        <row r="393">
          <cell r="A393" t="str">
            <v>Krista</v>
          </cell>
          <cell r="C393">
            <v>0.21337558372247981</v>
          </cell>
          <cell r="E393" t="str">
            <v>Garrett</v>
          </cell>
          <cell r="G393">
            <v>9.0636521121128064E-2</v>
          </cell>
          <cell r="I393" t="str">
            <v>Yates</v>
          </cell>
        </row>
        <row r="394">
          <cell r="A394" t="str">
            <v>Roxanne</v>
          </cell>
          <cell r="C394">
            <v>0.21293084278407642</v>
          </cell>
          <cell r="E394" t="str">
            <v>Salvatore</v>
          </cell>
          <cell r="G394">
            <v>9.0314484964240938E-2</v>
          </cell>
          <cell r="I394" t="str">
            <v>Becker</v>
          </cell>
        </row>
        <row r="395">
          <cell r="A395" t="str">
            <v>Angelica</v>
          </cell>
          <cell r="C395">
            <v>0.21248610184567307</v>
          </cell>
          <cell r="E395" t="str">
            <v>Cedric</v>
          </cell>
          <cell r="G395">
            <v>8.9992448807353811E-2</v>
          </cell>
          <cell r="I395" t="str">
            <v>Erickson</v>
          </cell>
        </row>
        <row r="396">
          <cell r="A396" t="str">
            <v>Johnnie</v>
          </cell>
          <cell r="C396">
            <v>0.21205247943072977</v>
          </cell>
          <cell r="E396" t="str">
            <v>Lowell</v>
          </cell>
          <cell r="G396">
            <v>8.9670412650466685E-2</v>
          </cell>
          <cell r="I396" t="str">
            <v>Hodges</v>
          </cell>
        </row>
        <row r="397">
          <cell r="A397" t="str">
            <v>Robyn</v>
          </cell>
          <cell r="C397">
            <v>0.21161885701578687</v>
          </cell>
          <cell r="E397" t="str">
            <v>Gregg</v>
          </cell>
          <cell r="G397">
            <v>8.9348376493579559E-2</v>
          </cell>
          <cell r="I397" t="str">
            <v>Rios</v>
          </cell>
        </row>
        <row r="398">
          <cell r="A398" t="str">
            <v>Francis</v>
          </cell>
          <cell r="C398">
            <v>0.21118523460084399</v>
          </cell>
          <cell r="E398" t="str">
            <v>Sherman</v>
          </cell>
          <cell r="G398">
            <v>8.9026340336692433E-2</v>
          </cell>
          <cell r="I398" t="str">
            <v>Conner</v>
          </cell>
        </row>
        <row r="399">
          <cell r="A399" t="str">
            <v>Adrienne</v>
          </cell>
          <cell r="C399">
            <v>0.2107516121859011</v>
          </cell>
          <cell r="E399" t="str">
            <v>Wilson</v>
          </cell>
          <cell r="G399">
            <v>8.8715408874870366E-2</v>
          </cell>
          <cell r="I399" t="str">
            <v>Adkins</v>
          </cell>
        </row>
        <row r="400">
          <cell r="A400" t="str">
            <v>Rosalie</v>
          </cell>
          <cell r="C400">
            <v>0.2103179897709582</v>
          </cell>
          <cell r="E400" t="str">
            <v>Devin</v>
          </cell>
          <cell r="G400">
            <v>8.8404477413048313E-2</v>
          </cell>
          <cell r="I400" t="str">
            <v>Webster</v>
          </cell>
        </row>
        <row r="401">
          <cell r="A401" t="str">
            <v>Alexandra</v>
          </cell>
          <cell r="C401">
            <v>0.20988436735601532</v>
          </cell>
          <cell r="E401" t="str">
            <v>Sylvester</v>
          </cell>
          <cell r="G401">
            <v>8.8093545951226246E-2</v>
          </cell>
          <cell r="I401" t="str">
            <v>Norman</v>
          </cell>
        </row>
        <row r="402">
          <cell r="A402" t="str">
            <v>Brooke</v>
          </cell>
          <cell r="C402">
            <v>0.20945074494107246</v>
          </cell>
          <cell r="E402" t="str">
            <v>Kim</v>
          </cell>
          <cell r="G402">
            <v>8.7782614489404207E-2</v>
          </cell>
          <cell r="I402" t="str">
            <v>Malone</v>
          </cell>
        </row>
        <row r="403">
          <cell r="A403" t="str">
            <v>Bethany</v>
          </cell>
          <cell r="C403">
            <v>0.20901712252612961</v>
          </cell>
          <cell r="E403" t="str">
            <v>Roosevelt</v>
          </cell>
          <cell r="G403">
            <v>8.7471683027582153E-2</v>
          </cell>
          <cell r="I403" t="str">
            <v>Hammond</v>
          </cell>
        </row>
        <row r="404">
          <cell r="A404" t="str">
            <v>Sadie</v>
          </cell>
          <cell r="C404">
            <v>0.20858350011118673</v>
          </cell>
          <cell r="E404" t="str">
            <v>Israel</v>
          </cell>
          <cell r="G404">
            <v>8.7160751565760114E-2</v>
          </cell>
          <cell r="I404" t="str">
            <v>Flowers</v>
          </cell>
        </row>
        <row r="405">
          <cell r="A405" t="str">
            <v>Bernadette</v>
          </cell>
          <cell r="C405">
            <v>0.20814987769624388</v>
          </cell>
          <cell r="E405" t="str">
            <v>Jermaine</v>
          </cell>
          <cell r="G405">
            <v>8.6849820103938061E-2</v>
          </cell>
          <cell r="I405" t="str">
            <v>Cobb</v>
          </cell>
        </row>
        <row r="406">
          <cell r="A406" t="str">
            <v>Traci</v>
          </cell>
          <cell r="C406">
            <v>0.20771625528130097</v>
          </cell>
          <cell r="E406" t="str">
            <v>Forrest</v>
          </cell>
          <cell r="G406">
            <v>8.6538888642116021E-2</v>
          </cell>
          <cell r="I406" t="str">
            <v>Moody</v>
          </cell>
        </row>
        <row r="407">
          <cell r="A407" t="str">
            <v>Jody</v>
          </cell>
          <cell r="C407">
            <v>0.2072937513898182</v>
          </cell>
          <cell r="E407" t="str">
            <v>Wilbert</v>
          </cell>
          <cell r="G407">
            <v>8.6239061875359055E-2</v>
          </cell>
          <cell r="I407" t="str">
            <v>Quinn</v>
          </cell>
        </row>
        <row r="408">
          <cell r="A408" t="str">
            <v>Kendra</v>
          </cell>
          <cell r="C408">
            <v>0.20687124749833541</v>
          </cell>
          <cell r="E408" t="str">
            <v>Leland</v>
          </cell>
          <cell r="G408">
            <v>8.5939235108602074E-2</v>
          </cell>
          <cell r="I408" t="str">
            <v>Blake</v>
          </cell>
        </row>
        <row r="409">
          <cell r="A409" t="str">
            <v>Jasmine</v>
          </cell>
          <cell r="C409">
            <v>0.20644874360685256</v>
          </cell>
          <cell r="E409" t="str">
            <v>Simon</v>
          </cell>
          <cell r="G409">
            <v>8.5639408341845094E-2</v>
          </cell>
          <cell r="I409" t="str">
            <v>Maxwell</v>
          </cell>
        </row>
        <row r="410">
          <cell r="A410" t="str">
            <v>Nichole</v>
          </cell>
          <cell r="C410">
            <v>0.20602623971536974</v>
          </cell>
          <cell r="E410" t="str">
            <v>Guadalupe</v>
          </cell>
          <cell r="G410">
            <v>8.53506862701532E-2</v>
          </cell>
          <cell r="I410" t="str">
            <v>Pope</v>
          </cell>
        </row>
        <row r="411">
          <cell r="A411" t="str">
            <v>Rachael</v>
          </cell>
          <cell r="C411">
            <v>0.20560373582388694</v>
          </cell>
          <cell r="E411" t="str">
            <v>Clark</v>
          </cell>
          <cell r="G411">
            <v>8.5061964198461307E-2</v>
          </cell>
          <cell r="I411" t="str">
            <v>Floyd</v>
          </cell>
        </row>
        <row r="412">
          <cell r="A412" t="str">
            <v>Chelsea</v>
          </cell>
          <cell r="C412">
            <v>0.20518123193240409</v>
          </cell>
          <cell r="E412" t="str">
            <v>Irving</v>
          </cell>
          <cell r="G412">
            <v>8.4773242126769399E-2</v>
          </cell>
          <cell r="I412" t="str">
            <v>Osborne</v>
          </cell>
        </row>
        <row r="413">
          <cell r="A413" t="str">
            <v>Mable</v>
          </cell>
          <cell r="C413">
            <v>0.2047587280409213</v>
          </cell>
          <cell r="E413" t="str">
            <v>Carroll</v>
          </cell>
          <cell r="G413">
            <v>8.4484520055077478E-2</v>
          </cell>
          <cell r="I413" t="str">
            <v>Paul</v>
          </cell>
        </row>
        <row r="414">
          <cell r="A414" t="str">
            <v>Ernestine</v>
          </cell>
          <cell r="C414">
            <v>0.20433622414943844</v>
          </cell>
          <cell r="E414" t="str">
            <v>Bryant</v>
          </cell>
          <cell r="G414">
            <v>8.419579798338557E-2</v>
          </cell>
          <cell r="I414" t="str">
            <v>Mccarthy</v>
          </cell>
        </row>
        <row r="415">
          <cell r="A415" t="str">
            <v>Muriel</v>
          </cell>
          <cell r="C415">
            <v>0.20391372025795565</v>
          </cell>
          <cell r="E415" t="str">
            <v>Owen</v>
          </cell>
          <cell r="G415">
            <v>8.3907075911693663E-2</v>
          </cell>
          <cell r="I415" t="str">
            <v>Guerrero</v>
          </cell>
        </row>
        <row r="416">
          <cell r="A416" t="str">
            <v>Marcella</v>
          </cell>
          <cell r="C416">
            <v>0.20349121636647283</v>
          </cell>
          <cell r="E416" t="str">
            <v>Rufus</v>
          </cell>
          <cell r="G416">
            <v>8.3618353840001755E-2</v>
          </cell>
          <cell r="I416" t="str">
            <v>Lindsey</v>
          </cell>
        </row>
        <row r="417">
          <cell r="A417" t="str">
            <v>Elena</v>
          </cell>
          <cell r="C417">
            <v>0.20307983099845009</v>
          </cell>
          <cell r="E417" t="str">
            <v>Woodrow</v>
          </cell>
          <cell r="G417">
            <v>8.334073646337492E-2</v>
          </cell>
          <cell r="I417" t="str">
            <v>Estrada</v>
          </cell>
        </row>
        <row r="418">
          <cell r="A418" t="str">
            <v>Krystal</v>
          </cell>
          <cell r="C418">
            <v>0.20266844563042735</v>
          </cell>
          <cell r="E418" t="str">
            <v>Sammy</v>
          </cell>
          <cell r="G418">
            <v>8.30631190867481E-2</v>
          </cell>
          <cell r="I418" t="str">
            <v>Sandoval</v>
          </cell>
        </row>
        <row r="419">
          <cell r="A419" t="str">
            <v>Angelina</v>
          </cell>
          <cell r="C419">
            <v>0.20225706026240459</v>
          </cell>
          <cell r="E419" t="str">
            <v>Kristopher</v>
          </cell>
          <cell r="G419">
            <v>8.2785501710121251E-2</v>
          </cell>
          <cell r="I419" t="str">
            <v>Gibbs</v>
          </cell>
        </row>
        <row r="420">
          <cell r="A420" t="str">
            <v>Nadine</v>
          </cell>
          <cell r="C420">
            <v>0.20184567489438182</v>
          </cell>
          <cell r="E420" t="str">
            <v>Mack</v>
          </cell>
          <cell r="G420">
            <v>8.250788433349443E-2</v>
          </cell>
          <cell r="I420" t="str">
            <v>Tyler</v>
          </cell>
        </row>
        <row r="421">
          <cell r="A421" t="str">
            <v>Kari</v>
          </cell>
          <cell r="C421">
            <v>0.20144540804981909</v>
          </cell>
          <cell r="E421" t="str">
            <v>Levi</v>
          </cell>
          <cell r="G421">
            <v>8.2230266956867595E-2</v>
          </cell>
          <cell r="I421" t="str">
            <v>Gross</v>
          </cell>
        </row>
        <row r="422">
          <cell r="A422" t="str">
            <v>Estelle</v>
          </cell>
          <cell r="C422">
            <v>0.20104514120525641</v>
          </cell>
          <cell r="E422" t="str">
            <v>Marcos</v>
          </cell>
          <cell r="G422">
            <v>8.1952649580240761E-2</v>
          </cell>
          <cell r="I422" t="str">
            <v>Fitzgerald</v>
          </cell>
        </row>
        <row r="423">
          <cell r="A423" t="str">
            <v>Dianna</v>
          </cell>
          <cell r="C423">
            <v>0.2006448743606937</v>
          </cell>
          <cell r="E423" t="str">
            <v>Gustavo</v>
          </cell>
          <cell r="G423">
            <v>8.167503220361394E-2</v>
          </cell>
          <cell r="I423" t="str">
            <v>Stokes</v>
          </cell>
        </row>
        <row r="424">
          <cell r="A424" t="str">
            <v>Paulette</v>
          </cell>
          <cell r="C424">
            <v>0.20024460751613102</v>
          </cell>
          <cell r="E424" t="str">
            <v>Jake</v>
          </cell>
          <cell r="G424">
            <v>8.1397414826987105E-2</v>
          </cell>
          <cell r="I424" t="str">
            <v>Doyle</v>
          </cell>
        </row>
        <row r="425">
          <cell r="A425" t="str">
            <v>Lora</v>
          </cell>
          <cell r="C425">
            <v>0.19984434067156834</v>
          </cell>
          <cell r="E425" t="str">
            <v>Lionel</v>
          </cell>
          <cell r="G425">
            <v>8.1119797450360284E-2</v>
          </cell>
          <cell r="I425" t="str">
            <v>Sherman</v>
          </cell>
        </row>
        <row r="426">
          <cell r="A426" t="str">
            <v>Mona</v>
          </cell>
          <cell r="C426">
            <v>0.19944407382700563</v>
          </cell>
          <cell r="E426" t="str">
            <v>Marty</v>
          </cell>
          <cell r="G426">
            <v>8.0853284768798522E-2</v>
          </cell>
          <cell r="I426" t="str">
            <v>Saunders</v>
          </cell>
        </row>
        <row r="427">
          <cell r="A427" t="str">
            <v>Doreen</v>
          </cell>
          <cell r="C427">
            <v>0.19905492550590301</v>
          </cell>
          <cell r="E427" t="str">
            <v>Taylor</v>
          </cell>
          <cell r="G427">
            <v>8.058677208723676E-2</v>
          </cell>
          <cell r="I427" t="str">
            <v>Wise</v>
          </cell>
        </row>
        <row r="428">
          <cell r="A428" t="str">
            <v>Rosemarie</v>
          </cell>
          <cell r="C428">
            <v>0.19866577718480039</v>
          </cell>
          <cell r="E428" t="str">
            <v>Ellis</v>
          </cell>
          <cell r="G428">
            <v>8.0320259405674999E-2</v>
          </cell>
          <cell r="I428" t="str">
            <v>Colon</v>
          </cell>
        </row>
        <row r="429">
          <cell r="A429" t="str">
            <v>Angel</v>
          </cell>
          <cell r="C429">
            <v>0.19827662886369779</v>
          </cell>
          <cell r="E429" t="str">
            <v>Dallas</v>
          </cell>
          <cell r="G429">
            <v>8.0053746724113237E-2</v>
          </cell>
          <cell r="I429" t="str">
            <v>Gill</v>
          </cell>
        </row>
        <row r="430">
          <cell r="A430" t="str">
            <v>Desiree</v>
          </cell>
          <cell r="C430">
            <v>0.1978874805425952</v>
          </cell>
          <cell r="E430" t="str">
            <v>Gilberto</v>
          </cell>
          <cell r="G430">
            <v>7.9787234042551475E-2</v>
          </cell>
          <cell r="I430" t="str">
            <v>Alvarado</v>
          </cell>
        </row>
        <row r="431">
          <cell r="A431" t="str">
            <v>Antonia</v>
          </cell>
          <cell r="C431">
            <v>0.1974983322214926</v>
          </cell>
          <cell r="E431" t="str">
            <v>Clint</v>
          </cell>
          <cell r="G431">
            <v>7.9520721360989713E-2</v>
          </cell>
          <cell r="I431" t="str">
            <v>Greer</v>
          </cell>
        </row>
        <row r="432">
          <cell r="A432" t="str">
            <v>Hope</v>
          </cell>
          <cell r="C432">
            <v>0.19710918390039001</v>
          </cell>
          <cell r="E432" t="str">
            <v>Nicolas</v>
          </cell>
          <cell r="G432">
            <v>7.9254208679427951E-2</v>
          </cell>
          <cell r="I432" t="str">
            <v>Padilla</v>
          </cell>
        </row>
        <row r="433">
          <cell r="A433" t="str">
            <v>Ginger</v>
          </cell>
          <cell r="C433">
            <v>0.19673115410274752</v>
          </cell>
          <cell r="E433" t="str">
            <v>Laurence</v>
          </cell>
          <cell r="G433">
            <v>7.8987695997866189E-2</v>
          </cell>
          <cell r="I433" t="str">
            <v>Simon</v>
          </cell>
        </row>
        <row r="434">
          <cell r="A434" t="str">
            <v>Janis</v>
          </cell>
          <cell r="C434">
            <v>0.19635312430510499</v>
          </cell>
          <cell r="E434" t="str">
            <v>Ismael</v>
          </cell>
          <cell r="G434">
            <v>7.8721183316304427E-2</v>
          </cell>
          <cell r="I434" t="str">
            <v>Waters</v>
          </cell>
        </row>
        <row r="435">
          <cell r="A435" t="str">
            <v>Betsy</v>
          </cell>
          <cell r="C435">
            <v>0.19597509450746248</v>
          </cell>
          <cell r="E435" t="str">
            <v>Orville</v>
          </cell>
          <cell r="G435">
            <v>7.8454670634742665E-2</v>
          </cell>
          <cell r="I435" t="str">
            <v>Nunez</v>
          </cell>
        </row>
        <row r="436">
          <cell r="A436" t="str">
            <v>Christie</v>
          </cell>
          <cell r="C436">
            <v>0.19559706470982</v>
          </cell>
          <cell r="E436" t="str">
            <v>Drew</v>
          </cell>
          <cell r="G436">
            <v>7.8188157953180903E-2</v>
          </cell>
          <cell r="I436" t="str">
            <v>Ballard</v>
          </cell>
        </row>
        <row r="437">
          <cell r="A437" t="str">
            <v>Freda</v>
          </cell>
          <cell r="C437">
            <v>0.19521903491217751</v>
          </cell>
          <cell r="E437" t="str">
            <v>Jody</v>
          </cell>
          <cell r="G437">
            <v>7.7921645271619142E-2</v>
          </cell>
          <cell r="I437" t="str">
            <v>Schwartz</v>
          </cell>
        </row>
        <row r="438">
          <cell r="A438" t="str">
            <v>Mercedes</v>
          </cell>
          <cell r="C438">
            <v>0.194841005114535</v>
          </cell>
          <cell r="E438" t="str">
            <v>Ervin</v>
          </cell>
          <cell r="G438">
            <v>7.765513259005738E-2</v>
          </cell>
          <cell r="I438" t="str">
            <v>Mcbride</v>
          </cell>
        </row>
        <row r="439">
          <cell r="A439" t="str">
            <v>Meredith</v>
          </cell>
          <cell r="C439">
            <v>0.19447409384035258</v>
          </cell>
          <cell r="E439" t="str">
            <v>Dewey</v>
          </cell>
          <cell r="G439">
            <v>7.7399724603560691E-2</v>
          </cell>
          <cell r="I439" t="str">
            <v>Houston</v>
          </cell>
        </row>
        <row r="440">
          <cell r="A440" t="str">
            <v>Lynette</v>
          </cell>
          <cell r="C440">
            <v>0.19410718256617013</v>
          </cell>
          <cell r="E440" t="str">
            <v>Al</v>
          </cell>
          <cell r="G440">
            <v>7.7144316617064002E-2</v>
          </cell>
          <cell r="I440" t="str">
            <v>Christensen</v>
          </cell>
        </row>
        <row r="441">
          <cell r="A441" t="str">
            <v>Teri</v>
          </cell>
          <cell r="C441">
            <v>0.19374027129198773</v>
          </cell>
          <cell r="E441" t="str">
            <v>Wilfred</v>
          </cell>
          <cell r="G441">
            <v>7.6888908630567299E-2</v>
          </cell>
          <cell r="I441" t="str">
            <v>Klein</v>
          </cell>
        </row>
        <row r="442">
          <cell r="A442" t="str">
            <v>Cristina</v>
          </cell>
          <cell r="C442">
            <v>0.19337336001780531</v>
          </cell>
          <cell r="E442" t="str">
            <v>Josh</v>
          </cell>
          <cell r="G442">
            <v>7.6633500644070596E-2</v>
          </cell>
          <cell r="I442" t="str">
            <v>Pratt</v>
          </cell>
        </row>
        <row r="443">
          <cell r="A443" t="str">
            <v>Eula</v>
          </cell>
          <cell r="C443">
            <v>0.19300644874362291</v>
          </cell>
          <cell r="E443" t="str">
            <v>Hugo</v>
          </cell>
          <cell r="G443">
            <v>7.6378092657573893E-2</v>
          </cell>
          <cell r="I443" t="str">
            <v>Briggs</v>
          </cell>
        </row>
        <row r="444">
          <cell r="A444" t="str">
            <v>Leigh</v>
          </cell>
          <cell r="C444">
            <v>0.19263953746944049</v>
          </cell>
          <cell r="E444" t="str">
            <v>Ignacio</v>
          </cell>
          <cell r="G444">
            <v>7.6122684671077204E-2</v>
          </cell>
          <cell r="I444" t="str">
            <v>Parsons</v>
          </cell>
        </row>
        <row r="445">
          <cell r="A445" t="str">
            <v>Meghan</v>
          </cell>
          <cell r="C445">
            <v>0.19228374471871809</v>
          </cell>
          <cell r="E445" t="str">
            <v>Caleb</v>
          </cell>
          <cell r="G445">
            <v>7.5867276684580487E-2</v>
          </cell>
          <cell r="I445" t="str">
            <v>Mclaughlin</v>
          </cell>
        </row>
        <row r="446">
          <cell r="A446" t="str">
            <v>Sophia</v>
          </cell>
          <cell r="C446">
            <v>0.19192795196799572</v>
          </cell>
          <cell r="E446" t="str">
            <v>Tomas</v>
          </cell>
          <cell r="G446">
            <v>7.5611868698083798E-2</v>
          </cell>
          <cell r="I446" t="str">
            <v>Zimmerman</v>
          </cell>
        </row>
        <row r="447">
          <cell r="A447" t="str">
            <v>Eloise</v>
          </cell>
          <cell r="C447">
            <v>0.19157215921727339</v>
          </cell>
          <cell r="E447" t="str">
            <v>Sheldon</v>
          </cell>
          <cell r="G447">
            <v>7.5356460711587095E-2</v>
          </cell>
          <cell r="I447" t="str">
            <v>French</v>
          </cell>
        </row>
        <row r="448">
          <cell r="A448" t="str">
            <v>Rochelle</v>
          </cell>
          <cell r="C448">
            <v>0.19121636646655027</v>
          </cell>
          <cell r="E448" t="str">
            <v>Erick</v>
          </cell>
          <cell r="G448">
            <v>7.5101052725090392E-2</v>
          </cell>
          <cell r="I448" t="str">
            <v>Buchanan</v>
          </cell>
        </row>
        <row r="449">
          <cell r="A449" t="str">
            <v>Gretchen</v>
          </cell>
          <cell r="C449">
            <v>0.19086057371582693</v>
          </cell>
          <cell r="E449" t="str">
            <v>Frankie</v>
          </cell>
          <cell r="G449">
            <v>7.4845644738593689E-2</v>
          </cell>
          <cell r="I449" t="str">
            <v>Moran</v>
          </cell>
        </row>
        <row r="450">
          <cell r="A450" t="str">
            <v>Cecelia</v>
          </cell>
          <cell r="C450">
            <v>0.19050478096510362</v>
          </cell>
          <cell r="E450" t="str">
            <v>Stewart</v>
          </cell>
          <cell r="G450">
            <v>7.4590236752096986E-2</v>
          </cell>
          <cell r="I450" t="str">
            <v>Copeland</v>
          </cell>
        </row>
        <row r="451">
          <cell r="A451" t="str">
            <v>Raquel</v>
          </cell>
          <cell r="C451">
            <v>0.19014898821438028</v>
          </cell>
          <cell r="E451" t="str">
            <v>Doyle</v>
          </cell>
          <cell r="G451">
            <v>7.434593346066537E-2</v>
          </cell>
          <cell r="I451" t="str">
            <v>Roy</v>
          </cell>
        </row>
        <row r="452">
          <cell r="A452" t="str">
            <v>Henrietta</v>
          </cell>
          <cell r="C452">
            <v>0.18980431398711708</v>
          </cell>
          <cell r="E452" t="str">
            <v>Darrel</v>
          </cell>
          <cell r="G452">
            <v>7.4101630169233726E-2</v>
          </cell>
          <cell r="I452" t="str">
            <v>Pittman</v>
          </cell>
        </row>
        <row r="453">
          <cell r="A453" t="str">
            <v>Alyssa</v>
          </cell>
          <cell r="C453">
            <v>0.18945963975985386</v>
          </cell>
          <cell r="E453" t="str">
            <v>Rogelio</v>
          </cell>
          <cell r="G453">
            <v>7.3857326877802096E-2</v>
          </cell>
          <cell r="I453" t="str">
            <v>Brady</v>
          </cell>
        </row>
        <row r="454">
          <cell r="A454" t="str">
            <v>Jana</v>
          </cell>
          <cell r="C454">
            <v>0.18911496553259063</v>
          </cell>
          <cell r="E454" t="str">
            <v>Terence</v>
          </cell>
          <cell r="G454">
            <v>7.3613023586370466E-2</v>
          </cell>
          <cell r="I454" t="str">
            <v>Mccormick</v>
          </cell>
        </row>
        <row r="455">
          <cell r="A455" t="str">
            <v>Kelley</v>
          </cell>
          <cell r="C455">
            <v>0.18877029130532741</v>
          </cell>
          <cell r="E455" t="str">
            <v>Santiago</v>
          </cell>
          <cell r="G455">
            <v>7.336872029493885E-2</v>
          </cell>
          <cell r="I455" t="str">
            <v>Holloway</v>
          </cell>
        </row>
        <row r="456">
          <cell r="A456" t="str">
            <v>Gwen</v>
          </cell>
          <cell r="C456">
            <v>0.18842561707806418</v>
          </cell>
          <cell r="E456" t="str">
            <v>Alonzo</v>
          </cell>
          <cell r="G456">
            <v>7.3124417003507219E-2</v>
          </cell>
          <cell r="I456" t="str">
            <v>Brock</v>
          </cell>
        </row>
        <row r="457">
          <cell r="A457" t="str">
            <v>Kerry</v>
          </cell>
          <cell r="C457">
            <v>0.18808094285080099</v>
          </cell>
          <cell r="E457" t="str">
            <v>Elias</v>
          </cell>
          <cell r="G457">
            <v>7.2880113712075589E-2</v>
          </cell>
          <cell r="I457" t="str">
            <v>Poole</v>
          </cell>
        </row>
        <row r="458">
          <cell r="A458" t="str">
            <v>Jenna</v>
          </cell>
          <cell r="C458">
            <v>0.18773626862353776</v>
          </cell>
          <cell r="E458" t="str">
            <v>Bert</v>
          </cell>
          <cell r="G458">
            <v>7.2635810420643973E-2</v>
          </cell>
          <cell r="I458" t="str">
            <v>Frank</v>
          </cell>
        </row>
        <row r="459">
          <cell r="A459" t="str">
            <v>Tricia</v>
          </cell>
          <cell r="C459">
            <v>0.18740271291973465</v>
          </cell>
          <cell r="E459" t="str">
            <v>Elbert</v>
          </cell>
          <cell r="G459">
            <v>7.2391507129212357E-2</v>
          </cell>
          <cell r="I459" t="str">
            <v>Logan</v>
          </cell>
        </row>
        <row r="460">
          <cell r="A460" t="str">
            <v>Laverne</v>
          </cell>
          <cell r="C460">
            <v>0.18706915721593151</v>
          </cell>
          <cell r="E460" t="str">
            <v>Ramiro</v>
          </cell>
          <cell r="G460">
            <v>7.2147203837780741E-2</v>
          </cell>
          <cell r="I460" t="str">
            <v>Owen</v>
          </cell>
        </row>
        <row r="461">
          <cell r="A461" t="str">
            <v>Olive</v>
          </cell>
          <cell r="C461">
            <v>0.1867356015121284</v>
          </cell>
          <cell r="E461" t="str">
            <v>Conrad</v>
          </cell>
          <cell r="G461">
            <v>7.1902900546349124E-2</v>
          </cell>
          <cell r="I461" t="str">
            <v>Bass</v>
          </cell>
        </row>
        <row r="462">
          <cell r="A462" t="str">
            <v>Alexis</v>
          </cell>
          <cell r="C462">
            <v>0.18640204580832528</v>
          </cell>
          <cell r="E462" t="str">
            <v>Pat</v>
          </cell>
          <cell r="G462">
            <v>7.1658597254917522E-2</v>
          </cell>
          <cell r="I462" t="str">
            <v>Marsh</v>
          </cell>
        </row>
        <row r="463">
          <cell r="A463" t="str">
            <v>Tasha</v>
          </cell>
          <cell r="C463">
            <v>0.18606849010452217</v>
          </cell>
          <cell r="E463" t="str">
            <v>Noah</v>
          </cell>
          <cell r="G463">
            <v>7.141429396348592E-2</v>
          </cell>
          <cell r="I463" t="str">
            <v>Drake</v>
          </cell>
        </row>
        <row r="464">
          <cell r="A464" t="str">
            <v>Silvia</v>
          </cell>
          <cell r="C464">
            <v>0.18573493440071903</v>
          </cell>
          <cell r="E464" t="str">
            <v>Grady</v>
          </cell>
          <cell r="G464">
            <v>7.116999067205429E-2</v>
          </cell>
          <cell r="I464" t="str">
            <v>Wong</v>
          </cell>
        </row>
        <row r="465">
          <cell r="A465" t="str">
            <v>Elvira</v>
          </cell>
          <cell r="C465">
            <v>0.18541249722037603</v>
          </cell>
          <cell r="E465" t="str">
            <v>Phil</v>
          </cell>
          <cell r="G465">
            <v>7.093679207568776E-2</v>
          </cell>
          <cell r="I465" t="str">
            <v>Jefferson</v>
          </cell>
        </row>
        <row r="466">
          <cell r="A466" t="str">
            <v>Casey</v>
          </cell>
          <cell r="C466">
            <v>0.18509006004003306</v>
          </cell>
          <cell r="E466" t="str">
            <v>Cornelius</v>
          </cell>
          <cell r="G466">
            <v>7.0703593479321231E-2</v>
          </cell>
          <cell r="I466" t="str">
            <v>Park</v>
          </cell>
        </row>
        <row r="467">
          <cell r="A467" t="str">
            <v>Delia</v>
          </cell>
          <cell r="C467">
            <v>0.18476762285969001</v>
          </cell>
          <cell r="E467" t="str">
            <v>Lamar</v>
          </cell>
          <cell r="G467">
            <v>7.0470394882954687E-2</v>
          </cell>
          <cell r="I467" t="str">
            <v>Morton</v>
          </cell>
        </row>
        <row r="468">
          <cell r="A468" t="str">
            <v>Sophie</v>
          </cell>
          <cell r="C468">
            <v>0.18444518567934703</v>
          </cell>
          <cell r="E468" t="str">
            <v>Rolando</v>
          </cell>
          <cell r="G468">
            <v>7.0237196286588144E-2</v>
          </cell>
          <cell r="I468" t="str">
            <v>Abbott</v>
          </cell>
        </row>
        <row r="469">
          <cell r="A469" t="str">
            <v>Kate</v>
          </cell>
          <cell r="C469">
            <v>0.18412274849900398</v>
          </cell>
          <cell r="E469" t="str">
            <v>Clay</v>
          </cell>
          <cell r="G469">
            <v>7.0003997690221614E-2</v>
          </cell>
          <cell r="I469" t="str">
            <v>Sparks</v>
          </cell>
        </row>
        <row r="470">
          <cell r="A470" t="str">
            <v>Patti</v>
          </cell>
          <cell r="C470">
            <v>0.18380031131866101</v>
          </cell>
          <cell r="E470" t="str">
            <v>Percy</v>
          </cell>
          <cell r="G470">
            <v>6.9770799093855071E-2</v>
          </cell>
          <cell r="I470" t="str">
            <v>Patrick</v>
          </cell>
        </row>
        <row r="471">
          <cell r="A471" t="str">
            <v>Lorena</v>
          </cell>
          <cell r="C471">
            <v>0.18347787413831798</v>
          </cell>
          <cell r="E471" t="str">
            <v>Dexter</v>
          </cell>
          <cell r="G471">
            <v>6.9537600497488528E-2</v>
          </cell>
          <cell r="I471" t="str">
            <v>Norton</v>
          </cell>
        </row>
        <row r="472">
          <cell r="A472" t="str">
            <v>Kellie</v>
          </cell>
          <cell r="C472">
            <v>0.18315543695797498</v>
          </cell>
          <cell r="E472" t="str">
            <v>Bradford</v>
          </cell>
          <cell r="G472">
            <v>6.9304401901121998E-2</v>
          </cell>
          <cell r="I472" t="str">
            <v>Huff</v>
          </cell>
        </row>
        <row r="473">
          <cell r="A473" t="str">
            <v>Sonja</v>
          </cell>
          <cell r="C473">
            <v>0.18283299977763195</v>
          </cell>
          <cell r="E473" t="str">
            <v>Merle</v>
          </cell>
          <cell r="G473">
            <v>6.9071203304755469E-2</v>
          </cell>
          <cell r="I473" t="str">
            <v>Clayton</v>
          </cell>
        </row>
        <row r="474">
          <cell r="A474" t="str">
            <v>Lila</v>
          </cell>
          <cell r="C474">
            <v>0.18251056259728896</v>
          </cell>
          <cell r="E474" t="str">
            <v>Darin</v>
          </cell>
          <cell r="G474">
            <v>6.8838004708388925E-2</v>
          </cell>
          <cell r="I474" t="str">
            <v>Massey</v>
          </cell>
        </row>
        <row r="475">
          <cell r="A475" t="str">
            <v>Lana</v>
          </cell>
          <cell r="C475">
            <v>0.18218812541694593</v>
          </cell>
          <cell r="E475" t="str">
            <v>Amos</v>
          </cell>
          <cell r="G475">
            <v>6.8615910807087455E-2</v>
          </cell>
          <cell r="I475" t="str">
            <v>Lloyd</v>
          </cell>
        </row>
        <row r="476">
          <cell r="A476" t="str">
            <v>Darla</v>
          </cell>
          <cell r="C476">
            <v>0.18186568823660293</v>
          </cell>
          <cell r="E476" t="str">
            <v>Terrell</v>
          </cell>
          <cell r="G476">
            <v>6.8393816905785998E-2</v>
          </cell>
          <cell r="I476" t="str">
            <v>Figueroa</v>
          </cell>
        </row>
        <row r="477">
          <cell r="A477" t="str">
            <v>May</v>
          </cell>
          <cell r="C477">
            <v>0.1815432510562599</v>
          </cell>
          <cell r="E477" t="str">
            <v>Moses</v>
          </cell>
          <cell r="G477">
            <v>6.8171723004484555E-2</v>
          </cell>
          <cell r="I477" t="str">
            <v>Carson</v>
          </cell>
        </row>
        <row r="478">
          <cell r="A478" t="str">
            <v>Mindy</v>
          </cell>
          <cell r="C478">
            <v>0.18122081387591688</v>
          </cell>
          <cell r="E478" t="str">
            <v>Irvin</v>
          </cell>
          <cell r="G478">
            <v>6.7949629103183098E-2</v>
          </cell>
          <cell r="I478" t="str">
            <v>Bowers</v>
          </cell>
        </row>
        <row r="479">
          <cell r="A479" t="str">
            <v>Essie</v>
          </cell>
          <cell r="C479">
            <v>0.18089837669557388</v>
          </cell>
          <cell r="E479" t="str">
            <v>Saul</v>
          </cell>
          <cell r="G479">
            <v>6.7727535201881642E-2</v>
          </cell>
          <cell r="I479" t="str">
            <v>Roberson</v>
          </cell>
        </row>
        <row r="480">
          <cell r="A480" t="str">
            <v>Mandy</v>
          </cell>
          <cell r="C480">
            <v>0.18057593951523085</v>
          </cell>
          <cell r="E480" t="str">
            <v>Roman</v>
          </cell>
          <cell r="G480">
            <v>6.7505441300580185E-2</v>
          </cell>
          <cell r="I480" t="str">
            <v>Barton</v>
          </cell>
        </row>
        <row r="481">
          <cell r="A481" t="str">
            <v>Lorene</v>
          </cell>
          <cell r="C481">
            <v>0.18025350233488785</v>
          </cell>
          <cell r="E481" t="str">
            <v>Darnell</v>
          </cell>
          <cell r="G481">
            <v>6.7283347399278742E-2</v>
          </cell>
          <cell r="I481" t="str">
            <v>Tran</v>
          </cell>
        </row>
        <row r="482">
          <cell r="A482" t="str">
            <v>Elsa</v>
          </cell>
          <cell r="C482">
            <v>0.17994218367800496</v>
          </cell>
          <cell r="E482" t="str">
            <v>Randal</v>
          </cell>
          <cell r="G482">
            <v>6.7061253497977286E-2</v>
          </cell>
          <cell r="I482" t="str">
            <v>Lamb</v>
          </cell>
        </row>
        <row r="483">
          <cell r="A483" t="str">
            <v>Josefina</v>
          </cell>
          <cell r="C483">
            <v>0.1796308650211221</v>
          </cell>
          <cell r="E483" t="str">
            <v>Tommie</v>
          </cell>
          <cell r="G483">
            <v>6.6839159596675829E-2</v>
          </cell>
          <cell r="I483" t="str">
            <v>Harrington</v>
          </cell>
        </row>
        <row r="484">
          <cell r="A484" t="str">
            <v>Jeannie</v>
          </cell>
          <cell r="C484">
            <v>0.17931954636423922</v>
          </cell>
          <cell r="E484" t="str">
            <v>Timmy</v>
          </cell>
          <cell r="G484">
            <v>6.6617065695374372E-2</v>
          </cell>
          <cell r="I484" t="str">
            <v>Casey</v>
          </cell>
        </row>
        <row r="485">
          <cell r="A485" t="str">
            <v>Miranda</v>
          </cell>
          <cell r="C485">
            <v>0.1790082277073563</v>
          </cell>
          <cell r="E485" t="str">
            <v>Darrin</v>
          </cell>
          <cell r="G485">
            <v>6.6406076489137988E-2</v>
          </cell>
          <cell r="I485" t="str">
            <v>Boone</v>
          </cell>
        </row>
        <row r="486">
          <cell r="A486" t="str">
            <v>Dixie</v>
          </cell>
          <cell r="C486">
            <v>0.17869690905047342</v>
          </cell>
          <cell r="E486" t="str">
            <v>Winston</v>
          </cell>
          <cell r="G486">
            <v>6.6195087282901618E-2</v>
          </cell>
          <cell r="I486" t="str">
            <v>Cortez</v>
          </cell>
        </row>
        <row r="487">
          <cell r="A487" t="str">
            <v>Lucia</v>
          </cell>
          <cell r="C487">
            <v>0.17838559039359053</v>
          </cell>
          <cell r="E487" t="str">
            <v>Brendan</v>
          </cell>
          <cell r="G487">
            <v>6.5984098076665235E-2</v>
          </cell>
          <cell r="I487" t="str">
            <v>Clarke</v>
          </cell>
        </row>
        <row r="488">
          <cell r="A488" t="str">
            <v>Marta</v>
          </cell>
          <cell r="C488">
            <v>0.17807427173670762</v>
          </cell>
          <cell r="E488" t="str">
            <v>Toby</v>
          </cell>
          <cell r="G488">
            <v>6.5773108870428837E-2</v>
          </cell>
          <cell r="I488" t="str">
            <v>Mathis</v>
          </cell>
        </row>
        <row r="489">
          <cell r="A489" t="str">
            <v>Faith</v>
          </cell>
          <cell r="C489">
            <v>0.17776295307982501</v>
          </cell>
          <cell r="E489" t="str">
            <v>Van</v>
          </cell>
          <cell r="G489">
            <v>6.5562119664192467E-2</v>
          </cell>
          <cell r="I489" t="str">
            <v>Singleton</v>
          </cell>
        </row>
        <row r="490">
          <cell r="A490" t="str">
            <v>Lela</v>
          </cell>
          <cell r="C490">
            <v>0.17745163442294268</v>
          </cell>
          <cell r="E490" t="str">
            <v>Abel</v>
          </cell>
          <cell r="G490">
            <v>6.5351130457956083E-2</v>
          </cell>
          <cell r="I490" t="str">
            <v>Wilkins</v>
          </cell>
        </row>
        <row r="491">
          <cell r="A491" t="str">
            <v>Johanna</v>
          </cell>
          <cell r="C491">
            <v>0.17714031576606035</v>
          </cell>
          <cell r="E491" t="str">
            <v>Dominick</v>
          </cell>
          <cell r="G491">
            <v>6.5140141251719699E-2</v>
          </cell>
          <cell r="I491" t="str">
            <v>Cain</v>
          </cell>
        </row>
        <row r="492">
          <cell r="A492" t="str">
            <v>Shari</v>
          </cell>
          <cell r="C492">
            <v>0.17682899710917802</v>
          </cell>
          <cell r="E492" t="str">
            <v>Boyd</v>
          </cell>
          <cell r="G492">
            <v>6.4929152045483315E-2</v>
          </cell>
          <cell r="I492" t="str">
            <v>Bryan</v>
          </cell>
        </row>
        <row r="493">
          <cell r="A493" t="str">
            <v>Camille</v>
          </cell>
          <cell r="C493">
            <v>0.17651767845229568</v>
          </cell>
          <cell r="E493" t="str">
            <v>Courtney</v>
          </cell>
          <cell r="G493">
            <v>6.4718162839246945E-2</v>
          </cell>
          <cell r="I493" t="str">
            <v>Underwood</v>
          </cell>
        </row>
        <row r="494">
          <cell r="A494" t="str">
            <v>Tami</v>
          </cell>
          <cell r="C494">
            <v>0.17620635979541335</v>
          </cell>
          <cell r="E494" t="str">
            <v>Jan</v>
          </cell>
          <cell r="G494">
            <v>6.4507173633010562E-2</v>
          </cell>
          <cell r="I494" t="str">
            <v>Hogan</v>
          </cell>
        </row>
        <row r="495">
          <cell r="A495" t="str">
            <v>Shawna</v>
          </cell>
          <cell r="C495">
            <v>0.17590615966199111</v>
          </cell>
          <cell r="E495" t="str">
            <v>Emilio</v>
          </cell>
          <cell r="G495">
            <v>6.4296184426774178E-2</v>
          </cell>
          <cell r="I495" t="str">
            <v>Mckenzie</v>
          </cell>
        </row>
        <row r="496">
          <cell r="A496" t="str">
            <v>Elisa</v>
          </cell>
          <cell r="C496">
            <v>0.17560595952856889</v>
          </cell>
          <cell r="E496" t="str">
            <v>Elijah</v>
          </cell>
          <cell r="G496">
            <v>6.4085195220537794E-2</v>
          </cell>
          <cell r="I496" t="str">
            <v>Collier</v>
          </cell>
        </row>
        <row r="497">
          <cell r="A497" t="str">
            <v>Ebony</v>
          </cell>
          <cell r="C497">
            <v>0.17530575939514664</v>
          </cell>
          <cell r="E497" t="str">
            <v>Cary</v>
          </cell>
          <cell r="G497">
            <v>6.3874206014301396E-2</v>
          </cell>
          <cell r="I497" t="str">
            <v>Luna</v>
          </cell>
        </row>
        <row r="498">
          <cell r="A498" t="str">
            <v>Melba</v>
          </cell>
          <cell r="C498">
            <v>0.17500555926172442</v>
          </cell>
          <cell r="E498" t="str">
            <v>Domingo</v>
          </cell>
          <cell r="G498">
            <v>6.3663216808064985E-2</v>
          </cell>
          <cell r="I498" t="str">
            <v>Phelps</v>
          </cell>
        </row>
        <row r="499">
          <cell r="A499" t="str">
            <v>Ora</v>
          </cell>
          <cell r="C499">
            <v>0.17470535912830218</v>
          </cell>
          <cell r="E499" t="str">
            <v>Santos</v>
          </cell>
          <cell r="G499">
            <v>6.3452227601828573E-2</v>
          </cell>
          <cell r="I499" t="str">
            <v>Mcguire</v>
          </cell>
        </row>
        <row r="500">
          <cell r="A500" t="str">
            <v>Nettie</v>
          </cell>
          <cell r="C500">
            <v>0.17440515899487993</v>
          </cell>
          <cell r="E500" t="str">
            <v>Aubrey</v>
          </cell>
          <cell r="G500">
            <v>6.3241238395592175E-2</v>
          </cell>
          <cell r="I500" t="str">
            <v>Allison</v>
          </cell>
        </row>
        <row r="501">
          <cell r="A501" t="str">
            <v>Tabitha</v>
          </cell>
          <cell r="C501">
            <v>0.17410495886145771</v>
          </cell>
          <cell r="E501" t="str">
            <v>Emmett</v>
          </cell>
          <cell r="G501">
            <v>6.303024918935575E-2</v>
          </cell>
          <cell r="I501" t="str">
            <v>Bridges</v>
          </cell>
        </row>
        <row r="502">
          <cell r="A502" t="str">
            <v>Ollie</v>
          </cell>
          <cell r="C502">
            <v>0.17380475872803547</v>
          </cell>
          <cell r="E502" t="str">
            <v>Marlon</v>
          </cell>
          <cell r="G502">
            <v>6.2819259983119352E-2</v>
          </cell>
          <cell r="I502" t="str">
            <v>Wilkerson</v>
          </cell>
        </row>
        <row r="503">
          <cell r="A503" t="str">
            <v>Jaime</v>
          </cell>
          <cell r="C503">
            <v>0.1735045585946132</v>
          </cell>
          <cell r="E503" t="str">
            <v>Emanuel</v>
          </cell>
          <cell r="G503">
            <v>6.2608270776882941E-2</v>
          </cell>
          <cell r="I503" t="str">
            <v>Nash</v>
          </cell>
        </row>
        <row r="504">
          <cell r="A504" t="str">
            <v>Winifred</v>
          </cell>
          <cell r="C504">
            <v>0.17320435846119092</v>
          </cell>
          <cell r="E504" t="str">
            <v>Jerald</v>
          </cell>
          <cell r="G504">
            <v>6.2397281570646522E-2</v>
          </cell>
          <cell r="I504" t="str">
            <v>Summers</v>
          </cell>
        </row>
        <row r="505">
          <cell r="A505" t="str">
            <v>Kristie</v>
          </cell>
          <cell r="C505">
            <v>0.17290415832776865</v>
          </cell>
          <cell r="E505" t="str">
            <v>Edmond</v>
          </cell>
          <cell r="G505">
            <v>6.218629236441011E-2</v>
          </cell>
          <cell r="I505" t="str">
            <v>Atkins</v>
          </cell>
        </row>
        <row r="506">
          <cell r="A506" t="str">
            <v>Marina</v>
          </cell>
          <cell r="C506">
            <v>0.1726039581943464</v>
          </cell>
          <cell r="E506" t="str">
            <v>Emil</v>
          </cell>
          <cell r="G506">
            <v>6.1975303158173706E-2</v>
          </cell>
          <cell r="I506" t="str">
            <v>Wilcox</v>
          </cell>
        </row>
        <row r="507">
          <cell r="A507" t="str">
            <v>Alisha</v>
          </cell>
          <cell r="C507">
            <v>0.1723037580609241</v>
          </cell>
          <cell r="E507" t="str">
            <v>Dewayne</v>
          </cell>
          <cell r="G507">
            <v>6.1764313951937287E-2</v>
          </cell>
          <cell r="I507" t="str">
            <v>Pitts</v>
          </cell>
        </row>
        <row r="508">
          <cell r="A508" t="str">
            <v>Aimee</v>
          </cell>
          <cell r="C508">
            <v>0.17200355792750185</v>
          </cell>
          <cell r="E508" t="str">
            <v>Will</v>
          </cell>
          <cell r="G508">
            <v>6.1564429440765948E-2</v>
          </cell>
          <cell r="I508" t="str">
            <v>Conley</v>
          </cell>
        </row>
        <row r="509">
          <cell r="A509" t="str">
            <v>Rena</v>
          </cell>
          <cell r="C509">
            <v>0.17170335779407955</v>
          </cell>
          <cell r="E509" t="str">
            <v>Otto</v>
          </cell>
          <cell r="G509">
            <v>6.136454492959461E-2</v>
          </cell>
          <cell r="I509" t="str">
            <v>Marquez</v>
          </cell>
        </row>
        <row r="510">
          <cell r="A510" t="str">
            <v>Myrna</v>
          </cell>
          <cell r="C510">
            <v>0.17140315766065731</v>
          </cell>
          <cell r="E510" t="str">
            <v>Teddy</v>
          </cell>
          <cell r="G510">
            <v>6.1164660418423271E-2</v>
          </cell>
          <cell r="I510" t="str">
            <v>Burnett</v>
          </cell>
        </row>
        <row r="511">
          <cell r="A511" t="str">
            <v>Marla</v>
          </cell>
          <cell r="C511">
            <v>0.17111407605069512</v>
          </cell>
          <cell r="E511" t="str">
            <v>Reynaldo</v>
          </cell>
          <cell r="G511">
            <v>6.0964775907251932E-2</v>
          </cell>
          <cell r="I511" t="str">
            <v>Richard</v>
          </cell>
        </row>
        <row r="512">
          <cell r="A512" t="str">
            <v>Tammie</v>
          </cell>
          <cell r="C512">
            <v>0.17082499444073296</v>
          </cell>
          <cell r="E512" t="str">
            <v>Bret</v>
          </cell>
          <cell r="G512">
            <v>6.0764891396080593E-2</v>
          </cell>
          <cell r="I512" t="str">
            <v>Cochran</v>
          </cell>
        </row>
        <row r="513">
          <cell r="A513" t="str">
            <v>Latasha</v>
          </cell>
          <cell r="C513">
            <v>0.17053591283077077</v>
          </cell>
          <cell r="E513" t="str">
            <v>Morgan</v>
          </cell>
          <cell r="G513">
            <v>6.0565006884909255E-2</v>
          </cell>
          <cell r="I513" t="str">
            <v>Chase</v>
          </cell>
        </row>
        <row r="514">
          <cell r="A514" t="str">
            <v>Bonita</v>
          </cell>
          <cell r="C514">
            <v>0.17024683122080858</v>
          </cell>
          <cell r="E514" t="str">
            <v>Jess</v>
          </cell>
          <cell r="G514">
            <v>6.0365122373737909E-2</v>
          </cell>
          <cell r="I514" t="str">
            <v>Davenport</v>
          </cell>
        </row>
        <row r="515">
          <cell r="A515" t="str">
            <v>Patrice</v>
          </cell>
          <cell r="C515">
            <v>0.16995774961084642</v>
          </cell>
          <cell r="E515" t="str">
            <v>Trent</v>
          </cell>
          <cell r="G515">
            <v>6.016523786256657E-2</v>
          </cell>
          <cell r="I515" t="str">
            <v>Hood</v>
          </cell>
        </row>
        <row r="516">
          <cell r="A516" t="str">
            <v>Ronda</v>
          </cell>
          <cell r="C516">
            <v>0.16966866800088423</v>
          </cell>
          <cell r="E516" t="str">
            <v>Humberto</v>
          </cell>
          <cell r="G516">
            <v>5.9965353351395231E-2</v>
          </cell>
          <cell r="I516" t="str">
            <v>Gates</v>
          </cell>
        </row>
        <row r="517">
          <cell r="A517" t="str">
            <v>Sherrie</v>
          </cell>
          <cell r="C517">
            <v>0.16937958639092204</v>
          </cell>
          <cell r="E517" t="str">
            <v>Emmanuel</v>
          </cell>
          <cell r="G517">
            <v>5.9765468840223893E-2</v>
          </cell>
          <cell r="I517" t="str">
            <v>Clay</v>
          </cell>
        </row>
        <row r="518">
          <cell r="A518" t="str">
            <v>Addie</v>
          </cell>
          <cell r="C518">
            <v>0.16909050478095985</v>
          </cell>
          <cell r="E518" t="str">
            <v>Stephan</v>
          </cell>
          <cell r="G518">
            <v>5.9565584329052554E-2</v>
          </cell>
          <cell r="I518" t="str">
            <v>Ayala</v>
          </cell>
        </row>
        <row r="519">
          <cell r="A519" t="str">
            <v>Francine</v>
          </cell>
          <cell r="C519">
            <v>0.16880142317099769</v>
          </cell>
          <cell r="E519" t="str">
            <v>Louie</v>
          </cell>
          <cell r="G519">
            <v>5.9365699817881215E-2</v>
          </cell>
          <cell r="I519" t="str">
            <v>Sawyer</v>
          </cell>
        </row>
        <row r="520">
          <cell r="A520" t="str">
            <v>Deloris</v>
          </cell>
          <cell r="C520">
            <v>0.16852346008449559</v>
          </cell>
          <cell r="E520" t="str">
            <v>Vicente</v>
          </cell>
          <cell r="G520">
            <v>5.9165815306709883E-2</v>
          </cell>
          <cell r="I520" t="str">
            <v>Roman</v>
          </cell>
        </row>
        <row r="521">
          <cell r="A521" t="str">
            <v>Stacie</v>
          </cell>
          <cell r="C521">
            <v>0.16824549699799349</v>
          </cell>
          <cell r="E521" t="str">
            <v>Lamont</v>
          </cell>
          <cell r="G521">
            <v>5.8977035490603624E-2</v>
          </cell>
          <cell r="I521" t="str">
            <v>Vazquez</v>
          </cell>
        </row>
        <row r="522">
          <cell r="A522" t="str">
            <v>Adriana</v>
          </cell>
          <cell r="C522">
            <v>0.16796753391149138</v>
          </cell>
          <cell r="E522" t="str">
            <v>Stacy</v>
          </cell>
          <cell r="G522">
            <v>5.8788255674497372E-2</v>
          </cell>
          <cell r="I522" t="str">
            <v>Dickerson</v>
          </cell>
        </row>
        <row r="523">
          <cell r="A523" t="str">
            <v>Cheri</v>
          </cell>
          <cell r="C523">
            <v>0.16768957082498928</v>
          </cell>
          <cell r="E523" t="str">
            <v>Garland</v>
          </cell>
          <cell r="G523">
            <v>5.8599475858391113E-2</v>
          </cell>
          <cell r="I523" t="str">
            <v>Hodge</v>
          </cell>
        </row>
        <row r="524">
          <cell r="A524" t="str">
            <v>Shelby</v>
          </cell>
          <cell r="C524">
            <v>0.16741160773848715</v>
          </cell>
          <cell r="E524" t="str">
            <v>Miles</v>
          </cell>
          <cell r="G524">
            <v>5.8410696042284861E-2</v>
          </cell>
          <cell r="I524" t="str">
            <v>Acosta</v>
          </cell>
        </row>
        <row r="525">
          <cell r="A525" t="str">
            <v>Abigail</v>
          </cell>
          <cell r="C525">
            <v>0.16713364465198505</v>
          </cell>
          <cell r="E525" t="str">
            <v>Micah</v>
          </cell>
          <cell r="G525">
            <v>5.8221916226178616E-2</v>
          </cell>
          <cell r="I525" t="str">
            <v>Flynn</v>
          </cell>
        </row>
        <row r="526">
          <cell r="A526" t="str">
            <v>Celeste</v>
          </cell>
          <cell r="C526">
            <v>0.16685568156548294</v>
          </cell>
          <cell r="E526" t="str">
            <v>Efrain</v>
          </cell>
          <cell r="G526">
            <v>5.8033136410072378E-2</v>
          </cell>
          <cell r="I526" t="str">
            <v>Espinoza</v>
          </cell>
        </row>
        <row r="527">
          <cell r="A527" t="str">
            <v>Jewel</v>
          </cell>
          <cell r="C527">
            <v>0.16657771847898084</v>
          </cell>
          <cell r="E527" t="str">
            <v>Billie</v>
          </cell>
          <cell r="G527">
            <v>5.7844356593966133E-2</v>
          </cell>
          <cell r="I527" t="str">
            <v>Nicholson</v>
          </cell>
        </row>
        <row r="528">
          <cell r="A528" t="str">
            <v>Cara</v>
          </cell>
          <cell r="C528">
            <v>0.16629975539247871</v>
          </cell>
          <cell r="E528" t="str">
            <v>Logan</v>
          </cell>
          <cell r="G528">
            <v>5.7655576777859895E-2</v>
          </cell>
          <cell r="I528" t="str">
            <v>Monroe</v>
          </cell>
        </row>
        <row r="529">
          <cell r="A529" t="str">
            <v>Adele</v>
          </cell>
          <cell r="C529">
            <v>0.16602179230597661</v>
          </cell>
          <cell r="E529" t="str">
            <v>Heath</v>
          </cell>
          <cell r="G529">
            <v>5.7466796961753649E-2</v>
          </cell>
          <cell r="I529" t="str">
            <v>Wolf</v>
          </cell>
        </row>
        <row r="530">
          <cell r="A530" t="str">
            <v>Rebekah</v>
          </cell>
          <cell r="C530">
            <v>0.16574382921947448</v>
          </cell>
          <cell r="E530" t="str">
            <v>Rodger</v>
          </cell>
          <cell r="G530">
            <v>5.7278017145647404E-2</v>
          </cell>
          <cell r="I530" t="str">
            <v>Morrow</v>
          </cell>
        </row>
        <row r="531">
          <cell r="A531" t="str">
            <v>Lucinda</v>
          </cell>
          <cell r="C531">
            <v>0.16546586613297237</v>
          </cell>
          <cell r="E531" t="str">
            <v>Harley</v>
          </cell>
          <cell r="G531">
            <v>5.7089237329541166E-2</v>
          </cell>
          <cell r="I531" t="str">
            <v>Kirk</v>
          </cell>
        </row>
        <row r="532">
          <cell r="A532" t="str">
            <v>Dorthy</v>
          </cell>
          <cell r="C532">
            <v>0.16518790304647024</v>
          </cell>
          <cell r="E532" t="str">
            <v>Demetrius</v>
          </cell>
          <cell r="G532">
            <v>5.6900457513434921E-2</v>
          </cell>
          <cell r="I532" t="str">
            <v>Randall</v>
          </cell>
        </row>
        <row r="533">
          <cell r="A533" t="str">
            <v>Chris</v>
          </cell>
          <cell r="C533">
            <v>0.16490993995996811</v>
          </cell>
          <cell r="E533" t="str">
            <v>Ethan</v>
          </cell>
          <cell r="G533">
            <v>5.6711677697328683E-2</v>
          </cell>
          <cell r="I533" t="str">
            <v>Anthony</v>
          </cell>
        </row>
        <row r="534">
          <cell r="A534" t="str">
            <v>Effie</v>
          </cell>
          <cell r="C534">
            <v>0.16464309539692609</v>
          </cell>
          <cell r="E534" t="str">
            <v>Eldon</v>
          </cell>
          <cell r="G534">
            <v>5.6522897881222438E-2</v>
          </cell>
          <cell r="I534" t="str">
            <v>Whitaker</v>
          </cell>
        </row>
        <row r="535">
          <cell r="A535" t="str">
            <v>Trina</v>
          </cell>
          <cell r="C535">
            <v>0.16437625083388407</v>
          </cell>
          <cell r="E535" t="str">
            <v>Rocky</v>
          </cell>
          <cell r="G535">
            <v>5.6334118065116186E-2</v>
          </cell>
          <cell r="I535" t="str">
            <v>Oconnor</v>
          </cell>
        </row>
        <row r="536">
          <cell r="A536" t="str">
            <v>Reba</v>
          </cell>
          <cell r="C536">
            <v>0.16410940627084203</v>
          </cell>
          <cell r="E536" t="str">
            <v>Pierre</v>
          </cell>
          <cell r="G536">
            <v>5.615644294407502E-2</v>
          </cell>
          <cell r="I536" t="str">
            <v>Skinner</v>
          </cell>
        </row>
        <row r="537">
          <cell r="A537" t="str">
            <v>Shawn</v>
          </cell>
          <cell r="C537">
            <v>0.16384256170780001</v>
          </cell>
          <cell r="E537" t="str">
            <v>Junior</v>
          </cell>
          <cell r="G537">
            <v>5.5978767823033862E-2</v>
          </cell>
          <cell r="I537" t="str">
            <v>Ware</v>
          </cell>
        </row>
        <row r="538">
          <cell r="A538" t="str">
            <v>Sallie</v>
          </cell>
          <cell r="C538">
            <v>0.16357571714475796</v>
          </cell>
          <cell r="E538" t="str">
            <v>Freddy</v>
          </cell>
          <cell r="G538">
            <v>5.5801092701992683E-2</v>
          </cell>
          <cell r="I538" t="str">
            <v>Molina</v>
          </cell>
        </row>
        <row r="539">
          <cell r="A539" t="str">
            <v>Aurora</v>
          </cell>
          <cell r="C539">
            <v>0.16330887258171592</v>
          </cell>
          <cell r="E539" t="str">
            <v>Eli</v>
          </cell>
          <cell r="G539">
            <v>5.5623417580951517E-2</v>
          </cell>
          <cell r="I539" t="str">
            <v>Kirby</v>
          </cell>
        </row>
        <row r="540">
          <cell r="A540" t="str">
            <v>Lenora</v>
          </cell>
          <cell r="C540">
            <v>0.16304202801867393</v>
          </cell>
          <cell r="E540" t="str">
            <v>Bryce</v>
          </cell>
          <cell r="G540">
            <v>5.5445742459910345E-2</v>
          </cell>
          <cell r="I540" t="str">
            <v>Huffman</v>
          </cell>
        </row>
        <row r="541">
          <cell r="A541" t="str">
            <v>Etta</v>
          </cell>
          <cell r="C541">
            <v>0.16277518345563188</v>
          </cell>
          <cell r="E541" t="str">
            <v>Antoine</v>
          </cell>
          <cell r="G541">
            <v>5.526806733886918E-2</v>
          </cell>
          <cell r="I541" t="str">
            <v>Bradford</v>
          </cell>
        </row>
        <row r="542">
          <cell r="A542" t="str">
            <v>Lottie</v>
          </cell>
          <cell r="C542">
            <v>0.16250833889258987</v>
          </cell>
          <cell r="E542" t="str">
            <v>Robbie</v>
          </cell>
          <cell r="G542">
            <v>5.5090392217828008E-2</v>
          </cell>
          <cell r="I542" t="str">
            <v>Charles</v>
          </cell>
        </row>
        <row r="543">
          <cell r="A543" t="str">
            <v>Kerri</v>
          </cell>
          <cell r="C543">
            <v>0.16224149432954785</v>
          </cell>
          <cell r="E543" t="str">
            <v>Kendall</v>
          </cell>
          <cell r="G543">
            <v>5.4912717096786842E-2</v>
          </cell>
          <cell r="I543" t="str">
            <v>Gilmore</v>
          </cell>
        </row>
        <row r="544">
          <cell r="A544" t="str">
            <v>Trisha</v>
          </cell>
          <cell r="C544">
            <v>0.16197464976650583</v>
          </cell>
          <cell r="E544" t="str">
            <v>Royce</v>
          </cell>
          <cell r="G544">
            <v>5.473504197574567E-2</v>
          </cell>
          <cell r="I544" t="str">
            <v>Dominguez</v>
          </cell>
        </row>
        <row r="545">
          <cell r="A545" t="str">
            <v>Nikki</v>
          </cell>
          <cell r="C545">
            <v>0.16170780520346381</v>
          </cell>
          <cell r="E545" t="str">
            <v>Sterling</v>
          </cell>
          <cell r="G545">
            <v>5.4557366854704491E-2</v>
          </cell>
          <cell r="I545" t="str">
            <v>Oneal</v>
          </cell>
        </row>
        <row r="546">
          <cell r="A546" t="str">
            <v>Estella</v>
          </cell>
          <cell r="C546">
            <v>0.16144096064042179</v>
          </cell>
          <cell r="E546" t="str">
            <v>Mickey</v>
          </cell>
          <cell r="G546">
            <v>5.4379691733663318E-2</v>
          </cell>
          <cell r="I546" t="str">
            <v>Bruce</v>
          </cell>
        </row>
        <row r="547">
          <cell r="A547" t="str">
            <v>Francisca</v>
          </cell>
          <cell r="C547">
            <v>0.16117411607737978</v>
          </cell>
          <cell r="E547" t="str">
            <v>Chase</v>
          </cell>
          <cell r="G547">
            <v>5.4202016612622146E-2</v>
          </cell>
          <cell r="I547" t="str">
            <v>Lang</v>
          </cell>
        </row>
        <row r="548">
          <cell r="A548" t="str">
            <v>Josie</v>
          </cell>
          <cell r="C548">
            <v>0.16090727151433776</v>
          </cell>
          <cell r="E548" t="str">
            <v>Grover</v>
          </cell>
          <cell r="G548">
            <v>5.4024341491580967E-2</v>
          </cell>
          <cell r="I548" t="str">
            <v>Combs</v>
          </cell>
        </row>
        <row r="549">
          <cell r="A549" t="str">
            <v>Tracie</v>
          </cell>
          <cell r="C549">
            <v>0.16064042695129574</v>
          </cell>
          <cell r="E549" t="str">
            <v>Elton</v>
          </cell>
          <cell r="G549">
            <v>5.3846666370539795E-2</v>
          </cell>
          <cell r="I549" t="str">
            <v>Kramer</v>
          </cell>
        </row>
        <row r="550">
          <cell r="A550" t="str">
            <v>Marissa</v>
          </cell>
          <cell r="C550">
            <v>0.16037358238825375</v>
          </cell>
          <cell r="E550" t="str">
            <v>Cleveland</v>
          </cell>
          <cell r="G550">
            <v>5.3668991249498622E-2</v>
          </cell>
          <cell r="I550" t="str">
            <v>Heath</v>
          </cell>
        </row>
        <row r="551">
          <cell r="A551" t="str">
            <v>Karin</v>
          </cell>
          <cell r="C551">
            <v>0.16010673782521173</v>
          </cell>
          <cell r="E551" t="str">
            <v>Dylan</v>
          </cell>
          <cell r="G551">
            <v>5.3491316128457443E-2</v>
          </cell>
          <cell r="I551" t="str">
            <v>Hancock</v>
          </cell>
        </row>
        <row r="552">
          <cell r="A552" t="str">
            <v>Brittney</v>
          </cell>
          <cell r="C552">
            <v>0.15983989326216969</v>
          </cell>
          <cell r="E552" t="str">
            <v>Chuck</v>
          </cell>
          <cell r="G552">
            <v>5.3313641007416271E-2</v>
          </cell>
          <cell r="I552" t="str">
            <v>Gallagher</v>
          </cell>
        </row>
        <row r="553">
          <cell r="A553" t="str">
            <v>Janelle</v>
          </cell>
          <cell r="C553">
            <v>0.1595730486991277</v>
          </cell>
          <cell r="E553" t="str">
            <v>Damian</v>
          </cell>
          <cell r="G553">
            <v>5.3135965886375099E-2</v>
          </cell>
          <cell r="I553" t="str">
            <v>Gaines</v>
          </cell>
        </row>
        <row r="554">
          <cell r="A554" t="str">
            <v>Lourdes</v>
          </cell>
          <cell r="C554">
            <v>0.15930620413608568</v>
          </cell>
          <cell r="E554" t="str">
            <v>Reuben</v>
          </cell>
          <cell r="G554">
            <v>5.2958290765333919E-2</v>
          </cell>
          <cell r="I554" t="str">
            <v>Shaffer</v>
          </cell>
        </row>
        <row r="555">
          <cell r="A555" t="str">
            <v>Laurel</v>
          </cell>
          <cell r="C555">
            <v>0.15903935957304366</v>
          </cell>
          <cell r="E555" t="str">
            <v>Stan</v>
          </cell>
          <cell r="G555">
            <v>5.2791720339357813E-2</v>
          </cell>
          <cell r="I555" t="str">
            <v>Short</v>
          </cell>
        </row>
        <row r="556">
          <cell r="A556" t="str">
            <v>Helene</v>
          </cell>
          <cell r="C556">
            <v>0.15877251501000164</v>
          </cell>
          <cell r="E556" t="str">
            <v>August</v>
          </cell>
          <cell r="G556">
            <v>5.2625149913381714E-2</v>
          </cell>
          <cell r="I556" t="str">
            <v>Wiggins</v>
          </cell>
        </row>
        <row r="557">
          <cell r="A557" t="str">
            <v>Fern</v>
          </cell>
          <cell r="C557">
            <v>0.15850567044695962</v>
          </cell>
          <cell r="E557" t="str">
            <v>Leonardo</v>
          </cell>
          <cell r="G557">
            <v>5.2458579487405607E-2</v>
          </cell>
          <cell r="I557" t="str">
            <v>Mathews</v>
          </cell>
        </row>
        <row r="558">
          <cell r="A558" t="str">
            <v>Elva</v>
          </cell>
          <cell r="C558">
            <v>0.15823882588391761</v>
          </cell>
          <cell r="E558" t="str">
            <v>Jasper</v>
          </cell>
          <cell r="G558">
            <v>5.2292009061429508E-2</v>
          </cell>
          <cell r="I558" t="str">
            <v>Mcclain</v>
          </cell>
        </row>
        <row r="559">
          <cell r="A559" t="str">
            <v>Corinne</v>
          </cell>
          <cell r="C559">
            <v>0.15797198132087556</v>
          </cell>
          <cell r="E559" t="str">
            <v>Russel</v>
          </cell>
          <cell r="G559">
            <v>5.2125438635453415E-2</v>
          </cell>
          <cell r="I559" t="str">
            <v>Fischer</v>
          </cell>
        </row>
        <row r="560">
          <cell r="A560" t="str">
            <v>Kelsey</v>
          </cell>
          <cell r="C560">
            <v>0.15770513675783349</v>
          </cell>
          <cell r="E560" t="str">
            <v>Erwin</v>
          </cell>
          <cell r="G560">
            <v>5.1958868209477309E-2</v>
          </cell>
          <cell r="I560" t="str">
            <v>Wall</v>
          </cell>
        </row>
        <row r="561">
          <cell r="A561" t="str">
            <v>Ina</v>
          </cell>
          <cell r="C561">
            <v>0.15743829219479141</v>
          </cell>
          <cell r="E561" t="str">
            <v>Benito</v>
          </cell>
          <cell r="G561">
            <v>5.1792297783501209E-2</v>
          </cell>
          <cell r="I561" t="str">
            <v>Small</v>
          </cell>
        </row>
        <row r="562">
          <cell r="A562" t="str">
            <v>Bettie</v>
          </cell>
          <cell r="C562">
            <v>0.15718256615520945</v>
          </cell>
          <cell r="E562" t="str">
            <v>Hans</v>
          </cell>
          <cell r="G562">
            <v>5.1625727357525124E-2</v>
          </cell>
          <cell r="I562" t="str">
            <v>Melton</v>
          </cell>
        </row>
        <row r="563">
          <cell r="A563" t="str">
            <v>Elisabeth</v>
          </cell>
          <cell r="C563">
            <v>0.15692684011562746</v>
          </cell>
          <cell r="E563" t="str">
            <v>Monte</v>
          </cell>
          <cell r="G563">
            <v>5.1459156931549045E-2</v>
          </cell>
          <cell r="I563" t="str">
            <v>Hensley</v>
          </cell>
        </row>
        <row r="564">
          <cell r="A564" t="str">
            <v>Aida</v>
          </cell>
          <cell r="C564">
            <v>0.15667111407604553</v>
          </cell>
          <cell r="E564" t="str">
            <v>Blaine</v>
          </cell>
          <cell r="G564">
            <v>5.1292586505572967E-2</v>
          </cell>
          <cell r="I564" t="str">
            <v>Bond</v>
          </cell>
        </row>
        <row r="565">
          <cell r="A565" t="str">
            <v>Caitlin</v>
          </cell>
          <cell r="C565">
            <v>0.15641538803646354</v>
          </cell>
          <cell r="E565" t="str">
            <v>Ernie</v>
          </cell>
          <cell r="G565">
            <v>5.1126016079596881E-2</v>
          </cell>
          <cell r="I565" t="str">
            <v>Dyer</v>
          </cell>
        </row>
        <row r="566">
          <cell r="A566" t="str">
            <v>Ingrid</v>
          </cell>
          <cell r="C566">
            <v>0.15615966199688155</v>
          </cell>
          <cell r="E566" t="str">
            <v>Curt</v>
          </cell>
          <cell r="G566">
            <v>5.0959445653620802E-2</v>
          </cell>
          <cell r="I566" t="str">
            <v>Cameron</v>
          </cell>
        </row>
        <row r="567">
          <cell r="A567" t="str">
            <v>Iva</v>
          </cell>
          <cell r="C567">
            <v>0.15590393595729959</v>
          </cell>
          <cell r="E567" t="str">
            <v>Quentin</v>
          </cell>
          <cell r="G567">
            <v>5.079287522764471E-2</v>
          </cell>
          <cell r="I567" t="str">
            <v>Grimes</v>
          </cell>
        </row>
        <row r="568">
          <cell r="A568" t="str">
            <v>Eugenia</v>
          </cell>
          <cell r="C568">
            <v>0.15564820991771763</v>
          </cell>
          <cell r="E568" t="str">
            <v>Agustin</v>
          </cell>
          <cell r="G568">
            <v>5.0626304801668638E-2</v>
          </cell>
          <cell r="I568" t="str">
            <v>Contreras</v>
          </cell>
        </row>
        <row r="569">
          <cell r="A569" t="str">
            <v>Christa</v>
          </cell>
          <cell r="C569">
            <v>0.15539248387813567</v>
          </cell>
          <cell r="E569" t="str">
            <v>Murray</v>
          </cell>
          <cell r="G569">
            <v>5.045973437569256E-2</v>
          </cell>
          <cell r="I569" t="str">
            <v>Christian</v>
          </cell>
        </row>
        <row r="570">
          <cell r="A570" t="str">
            <v>Goldie</v>
          </cell>
          <cell r="C570">
            <v>0.15513675783855368</v>
          </cell>
          <cell r="E570" t="str">
            <v>Jamal</v>
          </cell>
          <cell r="G570">
            <v>5.0293163949716467E-2</v>
          </cell>
          <cell r="I570" t="str">
            <v>Wyatt</v>
          </cell>
        </row>
        <row r="571">
          <cell r="A571" t="str">
            <v>Cassie</v>
          </cell>
          <cell r="C571">
            <v>0.15488103179897172</v>
          </cell>
          <cell r="E571" t="str">
            <v>Devon</v>
          </cell>
          <cell r="G571">
            <v>5.0137698218805461E-2</v>
          </cell>
          <cell r="I571" t="str">
            <v>Baxter</v>
          </cell>
        </row>
        <row r="572">
          <cell r="A572" t="str">
            <v>Maude</v>
          </cell>
          <cell r="C572">
            <v>0.15462530575938974</v>
          </cell>
          <cell r="E572" t="str">
            <v>Adolfo</v>
          </cell>
          <cell r="G572">
            <v>4.9982232487894449E-2</v>
          </cell>
          <cell r="I572" t="str">
            <v>Snow</v>
          </cell>
        </row>
        <row r="573">
          <cell r="A573" t="str">
            <v>Jenifer</v>
          </cell>
          <cell r="C573">
            <v>0.15436957971980778</v>
          </cell>
          <cell r="E573" t="str">
            <v>Harrison</v>
          </cell>
          <cell r="G573">
            <v>4.982676675698345E-2</v>
          </cell>
          <cell r="I573" t="str">
            <v>Mosley</v>
          </cell>
        </row>
        <row r="574">
          <cell r="A574" t="str">
            <v>Therese</v>
          </cell>
          <cell r="C574">
            <v>0.15411385368022582</v>
          </cell>
          <cell r="E574" t="str">
            <v>Tyson</v>
          </cell>
          <cell r="G574">
            <v>4.9671301026072437E-2</v>
          </cell>
          <cell r="I574" t="str">
            <v>Shepherd</v>
          </cell>
        </row>
        <row r="575">
          <cell r="A575" t="str">
            <v>Frankie</v>
          </cell>
          <cell r="C575">
            <v>0.15386924616410391</v>
          </cell>
          <cell r="E575" t="str">
            <v>Burton</v>
          </cell>
          <cell r="G575">
            <v>4.9515835295161424E-2</v>
          </cell>
          <cell r="I575" t="str">
            <v>Larsen</v>
          </cell>
        </row>
        <row r="576">
          <cell r="A576" t="str">
            <v>Dena</v>
          </cell>
          <cell r="C576">
            <v>0.15362463864798204</v>
          </cell>
          <cell r="E576" t="str">
            <v>Brady</v>
          </cell>
          <cell r="G576">
            <v>4.9360369564250418E-2</v>
          </cell>
          <cell r="I576" t="str">
            <v>Hoover</v>
          </cell>
        </row>
        <row r="577">
          <cell r="A577" t="str">
            <v>Lorna</v>
          </cell>
          <cell r="C577">
            <v>0.15338003113186013</v>
          </cell>
          <cell r="E577" t="str">
            <v>Elliott</v>
          </cell>
          <cell r="G577">
            <v>4.9204903833339406E-2</v>
          </cell>
          <cell r="I577" t="str">
            <v>Beasley</v>
          </cell>
        </row>
        <row r="578">
          <cell r="A578" t="str">
            <v>Janette</v>
          </cell>
          <cell r="C578">
            <v>0.15313542361573823</v>
          </cell>
          <cell r="E578" t="str">
            <v>Wilfredo</v>
          </cell>
          <cell r="G578">
            <v>4.9049438102428393E-2</v>
          </cell>
          <cell r="I578" t="str">
            <v>Glenn</v>
          </cell>
        </row>
        <row r="579">
          <cell r="A579" t="str">
            <v>Latonya</v>
          </cell>
          <cell r="C579">
            <v>0.15289081609961636</v>
          </cell>
          <cell r="E579" t="str">
            <v>Bart</v>
          </cell>
          <cell r="G579">
            <v>4.8893972371517394E-2</v>
          </cell>
          <cell r="I579" t="str">
            <v>Petersen</v>
          </cell>
        </row>
        <row r="580">
          <cell r="A580" t="str">
            <v>Candy</v>
          </cell>
          <cell r="C580">
            <v>0.15264620858349445</v>
          </cell>
          <cell r="E580" t="str">
            <v>Jarrod</v>
          </cell>
          <cell r="G580">
            <v>4.8738506640606381E-2</v>
          </cell>
          <cell r="I580" t="str">
            <v>Whitehead</v>
          </cell>
        </row>
        <row r="581">
          <cell r="A581" t="str">
            <v>Morgan</v>
          </cell>
          <cell r="C581">
            <v>0.15240160106737258</v>
          </cell>
          <cell r="E581" t="str">
            <v>Vance</v>
          </cell>
          <cell r="G581">
            <v>4.8583040909695376E-2</v>
          </cell>
          <cell r="I581" t="str">
            <v>Meyers</v>
          </cell>
        </row>
        <row r="582">
          <cell r="A582" t="str">
            <v>Consuelo</v>
          </cell>
          <cell r="C582">
            <v>0.15215699355125065</v>
          </cell>
          <cell r="E582" t="str">
            <v>Denis</v>
          </cell>
          <cell r="G582">
            <v>4.8427575178784363E-2</v>
          </cell>
          <cell r="I582" t="str">
            <v>Keith</v>
          </cell>
        </row>
        <row r="583">
          <cell r="A583" t="str">
            <v>Tamika</v>
          </cell>
          <cell r="C583">
            <v>0.15191238603512877</v>
          </cell>
          <cell r="E583" t="str">
            <v>Damien</v>
          </cell>
          <cell r="G583">
            <v>4.827210944787335E-2</v>
          </cell>
          <cell r="I583" t="str">
            <v>Garrison</v>
          </cell>
        </row>
        <row r="584">
          <cell r="A584" t="str">
            <v>Rosetta</v>
          </cell>
          <cell r="C584">
            <v>0.15166777851900687</v>
          </cell>
          <cell r="E584" t="str">
            <v>Joaquin</v>
          </cell>
          <cell r="G584">
            <v>4.8116643716962344E-2</v>
          </cell>
          <cell r="I584" t="str">
            <v>Vincent</v>
          </cell>
        </row>
        <row r="585">
          <cell r="A585" t="str">
            <v>Debora</v>
          </cell>
          <cell r="C585">
            <v>0.15142317100288497</v>
          </cell>
          <cell r="E585" t="str">
            <v>Harlan</v>
          </cell>
          <cell r="G585">
            <v>4.7961177986051332E-2</v>
          </cell>
          <cell r="I585" t="str">
            <v>Shields</v>
          </cell>
        </row>
        <row r="586">
          <cell r="A586" t="str">
            <v>Cherie</v>
          </cell>
          <cell r="C586">
            <v>0.15117856348676309</v>
          </cell>
          <cell r="E586" t="str">
            <v>Desmond</v>
          </cell>
          <cell r="G586">
            <v>4.7805712255140319E-2</v>
          </cell>
          <cell r="I586" t="str">
            <v>Horn</v>
          </cell>
        </row>
        <row r="587">
          <cell r="A587" t="str">
            <v>Polly</v>
          </cell>
          <cell r="C587">
            <v>0.15093395597064119</v>
          </cell>
          <cell r="E587" t="str">
            <v>Elliot</v>
          </cell>
          <cell r="G587">
            <v>4.7650246524229313E-2</v>
          </cell>
          <cell r="I587" t="str">
            <v>Savage</v>
          </cell>
        </row>
        <row r="588">
          <cell r="A588" t="str">
            <v>Dina</v>
          </cell>
          <cell r="C588">
            <v>0.15068934845451928</v>
          </cell>
          <cell r="E588" t="str">
            <v>Darwin</v>
          </cell>
          <cell r="G588">
            <v>4.74947807933183E-2</v>
          </cell>
          <cell r="I588" t="str">
            <v>Olsen</v>
          </cell>
        </row>
        <row r="589">
          <cell r="A589" t="str">
            <v>Jewell</v>
          </cell>
          <cell r="C589">
            <v>0.15044474093839741</v>
          </cell>
          <cell r="E589" t="str">
            <v>Ashley</v>
          </cell>
          <cell r="G589">
            <v>4.7339315062407288E-2</v>
          </cell>
          <cell r="I589" t="str">
            <v>Schroeder</v>
          </cell>
        </row>
        <row r="590">
          <cell r="A590" t="str">
            <v>Fay</v>
          </cell>
          <cell r="C590">
            <v>0.15021125194573559</v>
          </cell>
          <cell r="E590" t="str">
            <v>Gregorio</v>
          </cell>
          <cell r="G590">
            <v>4.7183849331496282E-2</v>
          </cell>
          <cell r="I590" t="str">
            <v>Hartman</v>
          </cell>
        </row>
        <row r="591">
          <cell r="A591" t="str">
            <v>Jillian</v>
          </cell>
          <cell r="C591">
            <v>0.14997776295307377</v>
          </cell>
          <cell r="E591" t="str">
            <v>Buddy</v>
          </cell>
          <cell r="G591">
            <v>4.7028383600585269E-2</v>
          </cell>
          <cell r="I591" t="str">
            <v>Woodard</v>
          </cell>
        </row>
        <row r="592">
          <cell r="A592" t="str">
            <v>Dorothea</v>
          </cell>
          <cell r="C592">
            <v>0.14974427396041198</v>
          </cell>
          <cell r="E592" t="str">
            <v>Xavier</v>
          </cell>
          <cell r="G592">
            <v>4.6872917869674256E-2</v>
          </cell>
          <cell r="I592" t="str">
            <v>Mueller</v>
          </cell>
        </row>
        <row r="593">
          <cell r="A593" t="str">
            <v>Nell</v>
          </cell>
          <cell r="C593">
            <v>0.14951078496775017</v>
          </cell>
          <cell r="E593" t="str">
            <v>Kermit</v>
          </cell>
          <cell r="G593">
            <v>4.6728556833828323E-2</v>
          </cell>
          <cell r="I593" t="str">
            <v>Kemp</v>
          </cell>
        </row>
        <row r="594">
          <cell r="A594" t="str">
            <v>Trudy</v>
          </cell>
          <cell r="C594">
            <v>0.14927729597508838</v>
          </cell>
          <cell r="E594" t="str">
            <v>Roscoe</v>
          </cell>
          <cell r="G594">
            <v>4.6584195797982383E-2</v>
          </cell>
          <cell r="I594" t="str">
            <v>Deleon</v>
          </cell>
        </row>
        <row r="595">
          <cell r="A595" t="str">
            <v>Esperanza</v>
          </cell>
          <cell r="C595">
            <v>0.14904380698242656</v>
          </cell>
          <cell r="E595" t="str">
            <v>Esteban</v>
          </cell>
          <cell r="G595">
            <v>4.643983476213645E-2</v>
          </cell>
          <cell r="I595" t="str">
            <v>Booth</v>
          </cell>
        </row>
        <row r="596">
          <cell r="A596" t="str">
            <v>Patrica</v>
          </cell>
          <cell r="C596">
            <v>0.14881031798976474</v>
          </cell>
          <cell r="E596" t="str">
            <v>Anton</v>
          </cell>
          <cell r="G596">
            <v>4.6295473726290504E-2</v>
          </cell>
          <cell r="I596" t="str">
            <v>Patel</v>
          </cell>
        </row>
        <row r="597">
          <cell r="A597" t="str">
            <v>Kimberley</v>
          </cell>
          <cell r="C597">
            <v>0.14857682899710292</v>
          </cell>
          <cell r="E597" t="str">
            <v>Solomon</v>
          </cell>
          <cell r="G597">
            <v>4.6151112690444564E-2</v>
          </cell>
          <cell r="I597" t="str">
            <v>Calhoun</v>
          </cell>
        </row>
        <row r="598">
          <cell r="A598" t="str">
            <v>Shanna</v>
          </cell>
          <cell r="C598">
            <v>0.14834334000444113</v>
          </cell>
          <cell r="E598" t="str">
            <v>Scotty</v>
          </cell>
          <cell r="G598">
            <v>4.6006751654598617E-2</v>
          </cell>
          <cell r="I598" t="str">
            <v>Wiley</v>
          </cell>
        </row>
        <row r="599">
          <cell r="A599" t="str">
            <v>Helena</v>
          </cell>
          <cell r="C599">
            <v>0.14810985101177937</v>
          </cell>
          <cell r="E599" t="str">
            <v>Norbert</v>
          </cell>
          <cell r="G599">
            <v>4.5862390618752677E-2</v>
          </cell>
          <cell r="I599" t="str">
            <v>Eaton</v>
          </cell>
        </row>
        <row r="600">
          <cell r="A600" t="str">
            <v>Carolina</v>
          </cell>
          <cell r="C600">
            <v>0.14787636201911761</v>
          </cell>
          <cell r="E600" t="str">
            <v>Elvin</v>
          </cell>
          <cell r="G600">
            <v>4.571802958290673E-2</v>
          </cell>
          <cell r="I600" t="str">
            <v>Cline</v>
          </cell>
        </row>
        <row r="601">
          <cell r="A601" t="str">
            <v>Cleo</v>
          </cell>
          <cell r="C601">
            <v>0.14764287302645585</v>
          </cell>
          <cell r="E601" t="str">
            <v>Williams</v>
          </cell>
          <cell r="G601">
            <v>4.557366854706079E-2</v>
          </cell>
          <cell r="I601" t="str">
            <v>Navarro</v>
          </cell>
        </row>
        <row r="602">
          <cell r="A602" t="str">
            <v>Stefanie</v>
          </cell>
          <cell r="C602">
            <v>0.14740938403379406</v>
          </cell>
          <cell r="E602" t="str">
            <v>Nolan</v>
          </cell>
          <cell r="G602">
            <v>4.5429307511214843E-2</v>
          </cell>
          <cell r="I602" t="str">
            <v>Harrell</v>
          </cell>
        </row>
        <row r="603">
          <cell r="A603" t="str">
            <v>Rosario</v>
          </cell>
          <cell r="C603">
            <v>0.14717589504113229</v>
          </cell>
          <cell r="E603" t="str">
            <v>Carey</v>
          </cell>
          <cell r="G603">
            <v>4.5284946475368903E-2</v>
          </cell>
          <cell r="I603" t="str">
            <v>Lester</v>
          </cell>
        </row>
        <row r="604">
          <cell r="A604" t="str">
            <v>Ola</v>
          </cell>
          <cell r="C604">
            <v>0.14695352457193062</v>
          </cell>
          <cell r="E604" t="str">
            <v>Rod</v>
          </cell>
          <cell r="G604">
            <v>4.5140585439522957E-2</v>
          </cell>
          <cell r="I604" t="str">
            <v>Humphrey</v>
          </cell>
        </row>
        <row r="605">
          <cell r="A605" t="str">
            <v>Janine</v>
          </cell>
          <cell r="C605">
            <v>0.14673115410272894</v>
          </cell>
          <cell r="E605" t="str">
            <v>Quinton</v>
          </cell>
          <cell r="G605">
            <v>4.4996224403677024E-2</v>
          </cell>
          <cell r="I605" t="str">
            <v>Parrish</v>
          </cell>
        </row>
        <row r="606">
          <cell r="A606" t="str">
            <v>Mollie</v>
          </cell>
          <cell r="C606">
            <v>0.14650878363352726</v>
          </cell>
          <cell r="E606" t="str">
            <v>Hal</v>
          </cell>
          <cell r="G606">
            <v>4.485186336783107E-2</v>
          </cell>
          <cell r="I606" t="str">
            <v>Duran</v>
          </cell>
        </row>
        <row r="607">
          <cell r="A607" t="str">
            <v>Lupe</v>
          </cell>
          <cell r="C607">
            <v>0.14628641316432556</v>
          </cell>
          <cell r="E607" t="str">
            <v>Brain</v>
          </cell>
          <cell r="G607">
            <v>4.470750233198513E-2</v>
          </cell>
          <cell r="I607" t="str">
            <v>Hutchinson</v>
          </cell>
        </row>
        <row r="608">
          <cell r="A608" t="str">
            <v>Alisa</v>
          </cell>
          <cell r="C608">
            <v>0.14606404269512388</v>
          </cell>
          <cell r="E608" t="str">
            <v>Rob</v>
          </cell>
          <cell r="G608">
            <v>4.4563141296139183E-2</v>
          </cell>
          <cell r="I608" t="str">
            <v>Hess</v>
          </cell>
        </row>
        <row r="609">
          <cell r="A609" t="str">
            <v>Lou</v>
          </cell>
          <cell r="C609">
            <v>0.1458416722259222</v>
          </cell>
          <cell r="E609" t="str">
            <v>Elwood</v>
          </cell>
          <cell r="G609">
            <v>4.441878026029325E-2</v>
          </cell>
          <cell r="I609" t="str">
            <v>Dorsey</v>
          </cell>
        </row>
        <row r="610">
          <cell r="A610" t="str">
            <v>Maribel</v>
          </cell>
          <cell r="C610">
            <v>0.14561930175672053</v>
          </cell>
          <cell r="E610" t="str">
            <v>Kendrick</v>
          </cell>
          <cell r="G610">
            <v>4.427441922444729E-2</v>
          </cell>
          <cell r="I610" t="str">
            <v>Bullock</v>
          </cell>
        </row>
        <row r="611">
          <cell r="A611" t="str">
            <v>Susanne</v>
          </cell>
          <cell r="C611">
            <v>0.14539693128751885</v>
          </cell>
          <cell r="E611" t="str">
            <v>Darius</v>
          </cell>
          <cell r="G611">
            <v>4.4130058188601329E-2</v>
          </cell>
          <cell r="I611" t="str">
            <v>Robles</v>
          </cell>
        </row>
        <row r="612">
          <cell r="A612" t="str">
            <v>Bette</v>
          </cell>
          <cell r="C612">
            <v>0.14517456081831717</v>
          </cell>
          <cell r="E612" t="str">
            <v>Moises</v>
          </cell>
          <cell r="G612">
            <v>4.3985697152755368E-2</v>
          </cell>
          <cell r="I612" t="str">
            <v>Beard</v>
          </cell>
        </row>
        <row r="613">
          <cell r="A613" t="str">
            <v>Susana</v>
          </cell>
          <cell r="C613">
            <v>0.14496330887257555</v>
          </cell>
          <cell r="E613" t="str">
            <v>Son</v>
          </cell>
          <cell r="G613">
            <v>4.3841336116909407E-2</v>
          </cell>
          <cell r="I613" t="str">
            <v>Dalton</v>
          </cell>
        </row>
        <row r="614">
          <cell r="A614" t="str">
            <v>Elise</v>
          </cell>
          <cell r="C614">
            <v>0.14475205692683396</v>
          </cell>
          <cell r="E614" t="str">
            <v>Marlin</v>
          </cell>
          <cell r="G614">
            <v>4.3708079776128526E-2</v>
          </cell>
          <cell r="I614" t="str">
            <v>Avila</v>
          </cell>
        </row>
        <row r="615">
          <cell r="A615" t="str">
            <v>Cecile</v>
          </cell>
          <cell r="C615">
            <v>0.14454080498109237</v>
          </cell>
          <cell r="E615" t="str">
            <v>Fidel</v>
          </cell>
          <cell r="G615">
            <v>4.3574823435347645E-2</v>
          </cell>
          <cell r="I615" t="str">
            <v>Vance</v>
          </cell>
        </row>
        <row r="616">
          <cell r="A616" t="str">
            <v>Isabelle</v>
          </cell>
          <cell r="C616">
            <v>0.14432955303535078</v>
          </cell>
          <cell r="E616" t="str">
            <v>Thaddeus</v>
          </cell>
          <cell r="G616">
            <v>4.3441567094566765E-2</v>
          </cell>
          <cell r="I616" t="str">
            <v>Rich</v>
          </cell>
        </row>
        <row r="617">
          <cell r="A617" t="str">
            <v>Lesley</v>
          </cell>
          <cell r="C617">
            <v>0.14411830108960919</v>
          </cell>
          <cell r="E617" t="str">
            <v>Cliff</v>
          </cell>
          <cell r="G617">
            <v>4.3308310753785877E-2</v>
          </cell>
          <cell r="I617" t="str">
            <v>Blackwell</v>
          </cell>
        </row>
        <row r="618">
          <cell r="A618" t="str">
            <v>Jocelyn</v>
          </cell>
          <cell r="C618">
            <v>0.14390704914386759</v>
          </cell>
          <cell r="E618" t="str">
            <v>Marcel</v>
          </cell>
          <cell r="G618">
            <v>4.3175054413004996E-2</v>
          </cell>
          <cell r="I618" t="str">
            <v>York</v>
          </cell>
        </row>
        <row r="619">
          <cell r="A619" t="str">
            <v>Paige</v>
          </cell>
          <cell r="C619">
            <v>0.143695797198126</v>
          </cell>
          <cell r="E619" t="str">
            <v>Ali</v>
          </cell>
          <cell r="G619">
            <v>4.3041798072224108E-2</v>
          </cell>
          <cell r="I619" t="str">
            <v>Johns</v>
          </cell>
        </row>
        <row r="620">
          <cell r="A620" t="str">
            <v>Joni</v>
          </cell>
          <cell r="C620">
            <v>0.14348454525238441</v>
          </cell>
          <cell r="E620" t="str">
            <v>Jackson</v>
          </cell>
          <cell r="G620">
            <v>4.2908541731443227E-2</v>
          </cell>
          <cell r="I620" t="str">
            <v>Blankenship</v>
          </cell>
        </row>
        <row r="621">
          <cell r="A621" t="str">
            <v>Rachelle</v>
          </cell>
          <cell r="C621">
            <v>0.14327329330664282</v>
          </cell>
          <cell r="E621" t="str">
            <v>Raphael</v>
          </cell>
          <cell r="G621">
            <v>4.2775285390662346E-2</v>
          </cell>
          <cell r="I621" t="str">
            <v>Trevino</v>
          </cell>
        </row>
        <row r="622">
          <cell r="A622" t="str">
            <v>Leola</v>
          </cell>
          <cell r="C622">
            <v>0.14306204136090123</v>
          </cell>
          <cell r="E622" t="str">
            <v>Bryon</v>
          </cell>
          <cell r="G622">
            <v>4.2642029049881465E-2</v>
          </cell>
          <cell r="I622" t="str">
            <v>Salinas</v>
          </cell>
        </row>
        <row r="623">
          <cell r="A623" t="str">
            <v>Daphne</v>
          </cell>
          <cell r="C623">
            <v>0.14285078941515961</v>
          </cell>
          <cell r="E623" t="str">
            <v>Armand</v>
          </cell>
          <cell r="G623">
            <v>4.2508772709100577E-2</v>
          </cell>
          <cell r="I623" t="str">
            <v>Campos</v>
          </cell>
        </row>
        <row r="624">
          <cell r="A624" t="str">
            <v>Alta</v>
          </cell>
          <cell r="C624">
            <v>0.14263953746941799</v>
          </cell>
          <cell r="E624" t="str">
            <v>Alvaro</v>
          </cell>
          <cell r="G624">
            <v>4.2375516368319696E-2</v>
          </cell>
          <cell r="I624" t="str">
            <v>Pruitt</v>
          </cell>
        </row>
        <row r="625">
          <cell r="A625" t="str">
            <v>Ester</v>
          </cell>
          <cell r="C625">
            <v>0.1424282855236764</v>
          </cell>
          <cell r="E625" t="str">
            <v>Jeffry</v>
          </cell>
          <cell r="G625">
            <v>4.2242260027538808E-2</v>
          </cell>
          <cell r="I625" t="str">
            <v>Moses</v>
          </cell>
        </row>
        <row r="626">
          <cell r="A626" t="str">
            <v>Petra</v>
          </cell>
          <cell r="C626">
            <v>0.1422170335779348</v>
          </cell>
          <cell r="E626" t="str">
            <v>Dane</v>
          </cell>
          <cell r="G626">
            <v>4.2109003686757927E-2</v>
          </cell>
          <cell r="I626" t="str">
            <v>Callahan</v>
          </cell>
        </row>
        <row r="627">
          <cell r="A627" t="str">
            <v>Graciela</v>
          </cell>
          <cell r="C627">
            <v>0.14200578163219318</v>
          </cell>
          <cell r="E627" t="str">
            <v>Joesph</v>
          </cell>
          <cell r="G627">
            <v>4.1975747345977039E-2</v>
          </cell>
          <cell r="I627" t="str">
            <v>Golden</v>
          </cell>
        </row>
        <row r="628">
          <cell r="A628" t="str">
            <v>Imogene</v>
          </cell>
          <cell r="C628">
            <v>0.14179452968645156</v>
          </cell>
          <cell r="E628" t="str">
            <v>Thurman</v>
          </cell>
          <cell r="G628">
            <v>4.1842491005196158E-2</v>
          </cell>
          <cell r="I628" t="str">
            <v>Montoya</v>
          </cell>
        </row>
        <row r="629">
          <cell r="A629" t="str">
            <v>Jolene</v>
          </cell>
          <cell r="C629">
            <v>0.14158327774070997</v>
          </cell>
          <cell r="E629" t="str">
            <v>Ned</v>
          </cell>
          <cell r="G629">
            <v>4.1709234664415284E-2</v>
          </cell>
          <cell r="I629" t="str">
            <v>Hardin</v>
          </cell>
        </row>
        <row r="630">
          <cell r="A630" t="str">
            <v>Keisha</v>
          </cell>
          <cell r="C630">
            <v>0.14137202579496838</v>
          </cell>
          <cell r="E630" t="str">
            <v>Sammie</v>
          </cell>
          <cell r="G630">
            <v>4.1575978323634417E-2</v>
          </cell>
          <cell r="I630" t="str">
            <v>Guerra</v>
          </cell>
        </row>
        <row r="631">
          <cell r="A631" t="str">
            <v>Lacey</v>
          </cell>
          <cell r="C631">
            <v>0.14116077384922676</v>
          </cell>
          <cell r="E631" t="str">
            <v>Rusty</v>
          </cell>
          <cell r="G631">
            <v>4.1442721982853536E-2</v>
          </cell>
          <cell r="I631" t="str">
            <v>Mcdowell</v>
          </cell>
        </row>
        <row r="632">
          <cell r="A632" t="str">
            <v>Glenna</v>
          </cell>
          <cell r="C632">
            <v>0.14096064042694523</v>
          </cell>
          <cell r="E632" t="str">
            <v>Michel</v>
          </cell>
          <cell r="G632">
            <v>4.1309465642072662E-2</v>
          </cell>
          <cell r="I632" t="str">
            <v>Carey</v>
          </cell>
        </row>
        <row r="633">
          <cell r="A633" t="str">
            <v>Gabriela</v>
          </cell>
          <cell r="C633">
            <v>0.14076050700466372</v>
          </cell>
          <cell r="E633" t="str">
            <v>Monty</v>
          </cell>
          <cell r="G633">
            <v>4.1176209301291788E-2</v>
          </cell>
          <cell r="I633" t="str">
            <v>Stafford</v>
          </cell>
        </row>
        <row r="634">
          <cell r="A634" t="str">
            <v>Keri</v>
          </cell>
          <cell r="C634">
            <v>0.14056037358238219</v>
          </cell>
          <cell r="E634" t="str">
            <v>Rory</v>
          </cell>
          <cell r="G634">
            <v>4.1042952960510914E-2</v>
          </cell>
          <cell r="I634" t="str">
            <v>Gallegos</v>
          </cell>
        </row>
        <row r="635">
          <cell r="A635" t="str">
            <v>Ursula</v>
          </cell>
          <cell r="C635">
            <v>0.14036024016010068</v>
          </cell>
          <cell r="E635" t="str">
            <v>Fabian</v>
          </cell>
          <cell r="G635">
            <v>4.090969661973004E-2</v>
          </cell>
          <cell r="I635" t="str">
            <v>Henson</v>
          </cell>
        </row>
        <row r="636">
          <cell r="A636" t="str">
            <v>Lizzie</v>
          </cell>
          <cell r="C636">
            <v>0.14016010673781917</v>
          </cell>
          <cell r="E636" t="str">
            <v>Reggie</v>
          </cell>
          <cell r="G636">
            <v>4.0776440278949166E-2</v>
          </cell>
          <cell r="I636" t="str">
            <v>Wilkinson</v>
          </cell>
        </row>
        <row r="637">
          <cell r="A637" t="str">
            <v>Kirsten</v>
          </cell>
          <cell r="C637">
            <v>0.13995997331553761</v>
          </cell>
          <cell r="E637" t="str">
            <v>Mason</v>
          </cell>
          <cell r="G637">
            <v>4.0643183938168292E-2</v>
          </cell>
          <cell r="I637" t="str">
            <v>Booker</v>
          </cell>
        </row>
        <row r="638">
          <cell r="A638" t="str">
            <v>Shana</v>
          </cell>
          <cell r="C638">
            <v>0.1397598398932561</v>
          </cell>
          <cell r="E638" t="str">
            <v>Graham</v>
          </cell>
          <cell r="G638">
            <v>4.0509927597387418E-2</v>
          </cell>
          <cell r="I638" t="str">
            <v>Merritt</v>
          </cell>
        </row>
        <row r="639">
          <cell r="A639" t="str">
            <v>Adeline</v>
          </cell>
          <cell r="C639">
            <v>0.13955970647097457</v>
          </cell>
          <cell r="E639" t="str">
            <v>Kris</v>
          </cell>
          <cell r="G639">
            <v>4.0376671256606544E-2</v>
          </cell>
          <cell r="I639" t="str">
            <v>Miranda</v>
          </cell>
        </row>
        <row r="640">
          <cell r="A640" t="str">
            <v>Mayra</v>
          </cell>
          <cell r="C640">
            <v>0.13935957304869306</v>
          </cell>
          <cell r="E640" t="str">
            <v>Isaiah</v>
          </cell>
          <cell r="G640">
            <v>4.0254519610890743E-2</v>
          </cell>
          <cell r="I640" t="str">
            <v>Atkinson</v>
          </cell>
        </row>
        <row r="641">
          <cell r="A641" t="str">
            <v>Jayne</v>
          </cell>
          <cell r="C641">
            <v>0.13915943962641153</v>
          </cell>
          <cell r="E641" t="str">
            <v>Vaughn</v>
          </cell>
          <cell r="G641">
            <v>4.0132367965174935E-2</v>
          </cell>
          <cell r="I641" t="str">
            <v>Orr</v>
          </cell>
        </row>
        <row r="642">
          <cell r="A642" t="str">
            <v>Jaclyn</v>
          </cell>
          <cell r="C642">
            <v>0.13895930620413002</v>
          </cell>
          <cell r="E642" t="str">
            <v>Gus</v>
          </cell>
          <cell r="G642">
            <v>4.0010216319459141E-2</v>
          </cell>
          <cell r="I642" t="str">
            <v>Decker</v>
          </cell>
        </row>
        <row r="643">
          <cell r="A643" t="str">
            <v>Gracie</v>
          </cell>
          <cell r="C643">
            <v>0.13875917278184849</v>
          </cell>
          <cell r="E643" t="str">
            <v>Avery</v>
          </cell>
          <cell r="G643">
            <v>3.9888064673743333E-2</v>
          </cell>
          <cell r="I643" t="str">
            <v>Hobbs</v>
          </cell>
        </row>
        <row r="644">
          <cell r="A644" t="str">
            <v>Sondra</v>
          </cell>
          <cell r="C644">
            <v>0.13855903935956695</v>
          </cell>
          <cell r="E644" t="str">
            <v>Loyd</v>
          </cell>
          <cell r="G644">
            <v>3.9765913028027539E-2</v>
          </cell>
          <cell r="I644" t="str">
            <v>Preston</v>
          </cell>
        </row>
        <row r="645">
          <cell r="A645" t="str">
            <v>Carmela</v>
          </cell>
          <cell r="C645">
            <v>0.13835890593728545</v>
          </cell>
          <cell r="E645" t="str">
            <v>Diego</v>
          </cell>
          <cell r="G645">
            <v>3.964376138231173E-2</v>
          </cell>
          <cell r="I645" t="str">
            <v>Tanner</v>
          </cell>
        </row>
        <row r="646">
          <cell r="A646" t="str">
            <v>Marisa</v>
          </cell>
          <cell r="C646">
            <v>0.13815877251500391</v>
          </cell>
          <cell r="E646" t="str">
            <v>Alexis</v>
          </cell>
          <cell r="G646">
            <v>3.9521609736595929E-2</v>
          </cell>
          <cell r="I646" t="str">
            <v>Knox</v>
          </cell>
        </row>
        <row r="647">
          <cell r="A647" t="str">
            <v>Rosalind</v>
          </cell>
          <cell r="C647">
            <v>0.13795863909272238</v>
          </cell>
          <cell r="E647" t="str">
            <v>Adolph</v>
          </cell>
          <cell r="G647">
            <v>3.9399458090880121E-2</v>
          </cell>
          <cell r="I647" t="str">
            <v>Pacheco</v>
          </cell>
        </row>
        <row r="648">
          <cell r="A648" t="str">
            <v>Charity</v>
          </cell>
          <cell r="C648">
            <v>0.13775850567044087</v>
          </cell>
          <cell r="E648" t="str">
            <v>Norris</v>
          </cell>
          <cell r="G648">
            <v>3.927730644516432E-2</v>
          </cell>
          <cell r="I648" t="str">
            <v>Stephenson</v>
          </cell>
        </row>
        <row r="649">
          <cell r="A649" t="str">
            <v>Tonia</v>
          </cell>
          <cell r="C649">
            <v>0.13755837224815934</v>
          </cell>
          <cell r="E649" t="str">
            <v>Millard</v>
          </cell>
          <cell r="G649">
            <v>3.9155154799448519E-2</v>
          </cell>
          <cell r="I649" t="str">
            <v>Glass</v>
          </cell>
        </row>
        <row r="650">
          <cell r="A650" t="str">
            <v>Beatriz</v>
          </cell>
          <cell r="C650">
            <v>0.1373582388258778</v>
          </cell>
          <cell r="E650" t="str">
            <v>Rocco</v>
          </cell>
          <cell r="G650">
            <v>3.9033003153732718E-2</v>
          </cell>
          <cell r="I650" t="str">
            <v>Rojas</v>
          </cell>
        </row>
        <row r="651">
          <cell r="A651" t="str">
            <v>Marisol</v>
          </cell>
          <cell r="C651">
            <v>0.1371581054035963</v>
          </cell>
          <cell r="E651" t="str">
            <v>Gonzalo</v>
          </cell>
          <cell r="G651">
            <v>3.8910851508016917E-2</v>
          </cell>
          <cell r="I651" t="str">
            <v>Serrano</v>
          </cell>
        </row>
        <row r="652">
          <cell r="A652" t="str">
            <v>Clarice</v>
          </cell>
          <cell r="C652">
            <v>0.13695797198131476</v>
          </cell>
          <cell r="E652" t="str">
            <v>Derick</v>
          </cell>
          <cell r="G652">
            <v>3.8788699862301108E-2</v>
          </cell>
          <cell r="I652" t="str">
            <v>Marks</v>
          </cell>
        </row>
        <row r="653">
          <cell r="A653" t="str">
            <v>Jeanine</v>
          </cell>
          <cell r="C653">
            <v>0.13675783855903326</v>
          </cell>
          <cell r="E653" t="str">
            <v>Rodrigo</v>
          </cell>
          <cell r="G653">
            <v>3.8666548216585307E-2</v>
          </cell>
          <cell r="I653" t="str">
            <v>Hickman</v>
          </cell>
        </row>
        <row r="654">
          <cell r="A654" t="str">
            <v>Sheena</v>
          </cell>
          <cell r="C654">
            <v>0.13656882366021181</v>
          </cell>
          <cell r="E654" t="str">
            <v>Gerry</v>
          </cell>
          <cell r="G654">
            <v>3.8544396570869506E-2</v>
          </cell>
          <cell r="I654" t="str">
            <v>English</v>
          </cell>
        </row>
        <row r="655">
          <cell r="A655" t="str">
            <v>Angeline</v>
          </cell>
          <cell r="C655">
            <v>0.13637980876139036</v>
          </cell>
          <cell r="E655" t="str">
            <v>Stacey</v>
          </cell>
          <cell r="G655">
            <v>3.8422244925153705E-2</v>
          </cell>
          <cell r="I655" t="str">
            <v>Sweeney</v>
          </cell>
        </row>
        <row r="656">
          <cell r="A656" t="str">
            <v>Frieda</v>
          </cell>
          <cell r="C656">
            <v>0.13619079386256891</v>
          </cell>
          <cell r="E656" t="str">
            <v>Carmen</v>
          </cell>
          <cell r="G656">
            <v>3.8300093279437897E-2</v>
          </cell>
          <cell r="I656" t="str">
            <v>Strong</v>
          </cell>
        </row>
        <row r="657">
          <cell r="A657" t="str">
            <v>Lily</v>
          </cell>
          <cell r="C657">
            <v>0.13600177896374749</v>
          </cell>
          <cell r="E657" t="str">
            <v>Wiley</v>
          </cell>
          <cell r="G657">
            <v>3.8177941633722096E-2</v>
          </cell>
          <cell r="I657" t="str">
            <v>Prince</v>
          </cell>
        </row>
        <row r="658">
          <cell r="A658" t="str">
            <v>Robbie</v>
          </cell>
          <cell r="C658">
            <v>0.13581276406492604</v>
          </cell>
          <cell r="E658" t="str">
            <v>Rigoberto</v>
          </cell>
          <cell r="G658">
            <v>3.8055789988006294E-2</v>
          </cell>
          <cell r="I658" t="str">
            <v>Mcclure</v>
          </cell>
        </row>
        <row r="659">
          <cell r="A659" t="str">
            <v>Shauna</v>
          </cell>
          <cell r="C659">
            <v>0.13562374916610462</v>
          </cell>
          <cell r="E659" t="str">
            <v>Alphonso</v>
          </cell>
          <cell r="G659">
            <v>3.7933638342290486E-2</v>
          </cell>
          <cell r="I659" t="str">
            <v>Conway</v>
          </cell>
        </row>
        <row r="660">
          <cell r="A660" t="str">
            <v>Millie</v>
          </cell>
          <cell r="C660">
            <v>0.1354347342672832</v>
          </cell>
          <cell r="E660" t="str">
            <v>Ty</v>
          </cell>
          <cell r="G660">
            <v>3.7811486696574685E-2</v>
          </cell>
          <cell r="I660" t="str">
            <v>Walter</v>
          </cell>
        </row>
        <row r="661">
          <cell r="A661" t="str">
            <v>Claudette</v>
          </cell>
          <cell r="C661">
            <v>0.13524571936846178</v>
          </cell>
          <cell r="E661" t="str">
            <v>Shelby</v>
          </cell>
          <cell r="G661">
            <v>3.7689335050858884E-2</v>
          </cell>
          <cell r="I661" t="str">
            <v>Roth</v>
          </cell>
        </row>
        <row r="662">
          <cell r="A662" t="str">
            <v>Cathleen</v>
          </cell>
          <cell r="C662">
            <v>0.13505670446964033</v>
          </cell>
          <cell r="E662" t="str">
            <v>Rickie</v>
          </cell>
          <cell r="G662">
            <v>3.7567183405143083E-2</v>
          </cell>
          <cell r="I662" t="str">
            <v>Maynard</v>
          </cell>
        </row>
        <row r="663">
          <cell r="A663" t="str">
            <v>Angelia</v>
          </cell>
          <cell r="C663">
            <v>0.1348676895708189</v>
          </cell>
          <cell r="E663" t="str">
            <v>Noe</v>
          </cell>
          <cell r="G663">
            <v>3.7445031759427275E-2</v>
          </cell>
          <cell r="I663" t="str">
            <v>Farrell</v>
          </cell>
        </row>
        <row r="664">
          <cell r="A664" t="str">
            <v>Gabrielle</v>
          </cell>
          <cell r="C664">
            <v>0.13467867467199748</v>
          </cell>
          <cell r="E664" t="str">
            <v>Vern</v>
          </cell>
          <cell r="G664">
            <v>3.7322880113711474E-2</v>
          </cell>
          <cell r="I664" t="str">
            <v>Lowery</v>
          </cell>
        </row>
        <row r="665">
          <cell r="A665" t="str">
            <v>Autumn</v>
          </cell>
          <cell r="C665">
            <v>0.13448965977317603</v>
          </cell>
          <cell r="E665" t="str">
            <v>Bobbie</v>
          </cell>
          <cell r="G665">
            <v>3.7211833163060745E-2</v>
          </cell>
          <cell r="I665" t="str">
            <v>Hurst</v>
          </cell>
        </row>
        <row r="666">
          <cell r="A666" t="str">
            <v>Katharine</v>
          </cell>
          <cell r="C666">
            <v>0.13430064487435461</v>
          </cell>
          <cell r="E666" t="str">
            <v>Reed</v>
          </cell>
          <cell r="G666">
            <v>3.7100786212410017E-2</v>
          </cell>
          <cell r="I666" t="str">
            <v>Nixon</v>
          </cell>
        </row>
        <row r="667">
          <cell r="A667" t="str">
            <v>Summer</v>
          </cell>
          <cell r="C667">
            <v>0.13411162997553319</v>
          </cell>
          <cell r="E667" t="str">
            <v>Jefferson</v>
          </cell>
          <cell r="G667">
            <v>3.6989739261759282E-2</v>
          </cell>
          <cell r="I667" t="str">
            <v>Weiss</v>
          </cell>
        </row>
        <row r="668">
          <cell r="A668" t="str">
            <v>Jodie</v>
          </cell>
          <cell r="C668">
            <v>0.13392261507671174</v>
          </cell>
          <cell r="E668" t="str">
            <v>Elvis</v>
          </cell>
          <cell r="G668">
            <v>3.6878692311108553E-2</v>
          </cell>
          <cell r="I668" t="str">
            <v>Trujillo</v>
          </cell>
        </row>
        <row r="669">
          <cell r="A669" t="str">
            <v>Staci</v>
          </cell>
          <cell r="C669">
            <v>0.13373360017789032</v>
          </cell>
          <cell r="E669" t="str">
            <v>Bernardo</v>
          </cell>
          <cell r="G669">
            <v>3.6767645360457825E-2</v>
          </cell>
          <cell r="I669" t="str">
            <v>Ellison</v>
          </cell>
        </row>
        <row r="670">
          <cell r="A670" t="str">
            <v>Lea</v>
          </cell>
          <cell r="C670">
            <v>0.1335445852790689</v>
          </cell>
          <cell r="E670" t="str">
            <v>Mauricio</v>
          </cell>
          <cell r="G670">
            <v>3.6656598409807097E-2</v>
          </cell>
          <cell r="I670" t="str">
            <v>Sloan</v>
          </cell>
        </row>
        <row r="671">
          <cell r="A671" t="str">
            <v>Christi</v>
          </cell>
          <cell r="C671">
            <v>0.13335557038024748</v>
          </cell>
          <cell r="E671" t="str">
            <v>Hiram</v>
          </cell>
          <cell r="G671">
            <v>3.6545551459156361E-2</v>
          </cell>
          <cell r="I671" t="str">
            <v>Juarez</v>
          </cell>
        </row>
        <row r="672">
          <cell r="A672" t="str">
            <v>Jimmie</v>
          </cell>
          <cell r="C672">
            <v>0.13316655548142603</v>
          </cell>
          <cell r="E672" t="str">
            <v>Donovan</v>
          </cell>
          <cell r="G672">
            <v>3.6434504508505633E-2</v>
          </cell>
          <cell r="I672" t="str">
            <v>Winters</v>
          </cell>
        </row>
        <row r="673">
          <cell r="A673" t="str">
            <v>Justine</v>
          </cell>
          <cell r="C673">
            <v>0.13297754058260461</v>
          </cell>
          <cell r="E673" t="str">
            <v>Basil</v>
          </cell>
          <cell r="G673">
            <v>3.6323457557854905E-2</v>
          </cell>
          <cell r="I673" t="str">
            <v>Mclean</v>
          </cell>
        </row>
        <row r="674">
          <cell r="A674" t="str">
            <v>Elma</v>
          </cell>
          <cell r="C674">
            <v>0.13278852568378319</v>
          </cell>
          <cell r="E674" t="str">
            <v>Riley</v>
          </cell>
          <cell r="G674">
            <v>3.6212410607204169E-2</v>
          </cell>
          <cell r="I674" t="str">
            <v>Randolph</v>
          </cell>
        </row>
        <row r="675">
          <cell r="A675" t="str">
            <v>Luella</v>
          </cell>
          <cell r="C675">
            <v>0.13259951078496174</v>
          </cell>
          <cell r="E675" t="str">
            <v>Ollie</v>
          </cell>
          <cell r="G675">
            <v>3.6101363656553441E-2</v>
          </cell>
          <cell r="I675" t="str">
            <v>Leon</v>
          </cell>
        </row>
        <row r="676">
          <cell r="A676" t="str">
            <v>Margret</v>
          </cell>
          <cell r="C676">
            <v>0.13241049588614032</v>
          </cell>
          <cell r="E676" t="str">
            <v>Nickolas</v>
          </cell>
          <cell r="G676">
            <v>3.5990316705902706E-2</v>
          </cell>
          <cell r="I676" t="str">
            <v>Boyer</v>
          </cell>
        </row>
        <row r="677">
          <cell r="A677" t="str">
            <v>Dominique</v>
          </cell>
          <cell r="C677">
            <v>0.1322214809873189</v>
          </cell>
          <cell r="E677" t="str">
            <v>Maynard</v>
          </cell>
          <cell r="G677">
            <v>3.587926975525197E-2</v>
          </cell>
          <cell r="I677" t="str">
            <v>Villarreal</v>
          </cell>
        </row>
        <row r="678">
          <cell r="A678" t="str">
            <v>Socorro</v>
          </cell>
          <cell r="C678">
            <v>0.13204358461195753</v>
          </cell>
          <cell r="E678" t="str">
            <v>Scot</v>
          </cell>
          <cell r="G678">
            <v>3.5768222804601235E-2</v>
          </cell>
          <cell r="I678" t="str">
            <v>Mccall</v>
          </cell>
        </row>
        <row r="679">
          <cell r="A679" t="str">
            <v>Rene</v>
          </cell>
          <cell r="C679">
            <v>0.1318656882365962</v>
          </cell>
          <cell r="E679" t="str">
            <v>Vince</v>
          </cell>
          <cell r="G679">
            <v>3.5657175853950507E-2</v>
          </cell>
          <cell r="I679" t="str">
            <v>Gentry</v>
          </cell>
        </row>
        <row r="680">
          <cell r="A680" t="str">
            <v>Martina</v>
          </cell>
          <cell r="C680">
            <v>0.13168779186123483</v>
          </cell>
          <cell r="E680" t="str">
            <v>Quincy</v>
          </cell>
          <cell r="G680">
            <v>3.5546128903299765E-2</v>
          </cell>
          <cell r="I680" t="str">
            <v>Carrillo</v>
          </cell>
        </row>
        <row r="681">
          <cell r="A681" t="str">
            <v>Margo</v>
          </cell>
          <cell r="C681">
            <v>0.1315098954858735</v>
          </cell>
          <cell r="E681" t="str">
            <v>Eddy</v>
          </cell>
          <cell r="G681">
            <v>3.5435081952649036E-2</v>
          </cell>
          <cell r="I681" t="str">
            <v>Kent</v>
          </cell>
        </row>
        <row r="682">
          <cell r="A682" t="str">
            <v>Mavis</v>
          </cell>
          <cell r="C682">
            <v>0.13133199911051216</v>
          </cell>
          <cell r="E682" t="str">
            <v>Sebastian</v>
          </cell>
          <cell r="G682">
            <v>3.5324035001998301E-2</v>
          </cell>
          <cell r="I682" t="str">
            <v>Ayers</v>
          </cell>
        </row>
        <row r="683">
          <cell r="A683" t="str">
            <v>Callie</v>
          </cell>
          <cell r="C683">
            <v>0.1311541027351508</v>
          </cell>
          <cell r="E683" t="str">
            <v>Federico</v>
          </cell>
          <cell r="G683">
            <v>3.5212988051347566E-2</v>
          </cell>
          <cell r="I683" t="str">
            <v>Lara</v>
          </cell>
        </row>
        <row r="684">
          <cell r="A684" t="str">
            <v>Bobbi</v>
          </cell>
          <cell r="C684">
            <v>0.13097620635978943</v>
          </cell>
          <cell r="E684" t="str">
            <v>Ulysses</v>
          </cell>
          <cell r="G684">
            <v>3.5101941100696837E-2</v>
          </cell>
          <cell r="I684" t="str">
            <v>Shannon</v>
          </cell>
        </row>
        <row r="685">
          <cell r="A685" t="str">
            <v>Maritza</v>
          </cell>
          <cell r="C685">
            <v>0.1307983099844281</v>
          </cell>
          <cell r="E685" t="str">
            <v>Heriberto</v>
          </cell>
          <cell r="G685">
            <v>3.4990894150046102E-2</v>
          </cell>
          <cell r="I685" t="str">
            <v>Sexton</v>
          </cell>
        </row>
        <row r="686">
          <cell r="A686" t="str">
            <v>Lucile</v>
          </cell>
          <cell r="C686">
            <v>0.13062041360906673</v>
          </cell>
          <cell r="E686" t="str">
            <v>Donnell</v>
          </cell>
          <cell r="G686">
            <v>3.4879847199395374E-2</v>
          </cell>
          <cell r="I686" t="str">
            <v>Pace</v>
          </cell>
        </row>
        <row r="687">
          <cell r="A687" t="str">
            <v>Leanne</v>
          </cell>
          <cell r="C687">
            <v>0.1304425172337054</v>
          </cell>
          <cell r="E687" t="str">
            <v>Cole</v>
          </cell>
          <cell r="G687">
            <v>3.4768800248744638E-2</v>
          </cell>
          <cell r="I687" t="str">
            <v>Hull</v>
          </cell>
        </row>
        <row r="688">
          <cell r="A688" t="str">
            <v>Jeannine</v>
          </cell>
          <cell r="C688">
            <v>0.13026462085834403</v>
          </cell>
          <cell r="E688" t="str">
            <v>Denny</v>
          </cell>
          <cell r="G688">
            <v>3.4657753298093903E-2</v>
          </cell>
          <cell r="I688" t="str">
            <v>Leblanc</v>
          </cell>
        </row>
        <row r="689">
          <cell r="A689" t="str">
            <v>Deana</v>
          </cell>
          <cell r="C689">
            <v>0.1300867244829827</v>
          </cell>
          <cell r="E689" t="str">
            <v>Davis</v>
          </cell>
          <cell r="G689">
            <v>3.4546706347443175E-2</v>
          </cell>
          <cell r="I689" t="str">
            <v>Browning</v>
          </cell>
        </row>
        <row r="690">
          <cell r="A690" t="str">
            <v>Aileen</v>
          </cell>
          <cell r="C690">
            <v>0.12990882810762133</v>
          </cell>
          <cell r="E690" t="str">
            <v>Gavin</v>
          </cell>
          <cell r="G690">
            <v>3.443565939679244E-2</v>
          </cell>
          <cell r="I690" t="str">
            <v>Velasquez</v>
          </cell>
        </row>
        <row r="691">
          <cell r="A691" t="str">
            <v>Lorie</v>
          </cell>
          <cell r="C691">
            <v>0.12973093173226</v>
          </cell>
          <cell r="E691" t="str">
            <v>Emery</v>
          </cell>
          <cell r="G691">
            <v>3.4324612446141711E-2</v>
          </cell>
          <cell r="I691" t="str">
            <v>Leach</v>
          </cell>
        </row>
        <row r="692">
          <cell r="A692" t="str">
            <v>Ladonna</v>
          </cell>
          <cell r="C692">
            <v>0.12955303535689863</v>
          </cell>
          <cell r="E692" t="str">
            <v>Ward</v>
          </cell>
          <cell r="G692">
            <v>3.4213565495490976E-2</v>
          </cell>
          <cell r="I692" t="str">
            <v>Chang</v>
          </cell>
        </row>
        <row r="693">
          <cell r="A693" t="str">
            <v>Willa</v>
          </cell>
          <cell r="C693">
            <v>0.1293751389815373</v>
          </cell>
          <cell r="E693" t="str">
            <v>Romeo</v>
          </cell>
          <cell r="G693">
            <v>3.4102518544840248E-2</v>
          </cell>
          <cell r="I693" t="str">
            <v>House</v>
          </cell>
        </row>
        <row r="694">
          <cell r="A694" t="str">
            <v>Manuela</v>
          </cell>
          <cell r="C694">
            <v>0.12919724260617596</v>
          </cell>
          <cell r="E694" t="str">
            <v>Jayson</v>
          </cell>
          <cell r="G694">
            <v>3.3991471594189512E-2</v>
          </cell>
          <cell r="I694" t="str">
            <v>Sellers</v>
          </cell>
        </row>
        <row r="695">
          <cell r="A695" t="str">
            <v>Gale</v>
          </cell>
          <cell r="C695">
            <v>0.12901934623081462</v>
          </cell>
          <cell r="E695" t="str">
            <v>Dion</v>
          </cell>
          <cell r="G695">
            <v>3.3880424643538777E-2</v>
          </cell>
          <cell r="I695" t="str">
            <v>Herring</v>
          </cell>
        </row>
        <row r="696">
          <cell r="A696" t="str">
            <v>Selma</v>
          </cell>
          <cell r="C696">
            <v>0.12884144985545329</v>
          </cell>
          <cell r="E696" t="str">
            <v>Dante</v>
          </cell>
          <cell r="G696">
            <v>3.3769377692888049E-2</v>
          </cell>
          <cell r="I696" t="str">
            <v>Noble</v>
          </cell>
        </row>
        <row r="697">
          <cell r="A697" t="str">
            <v>Dolly</v>
          </cell>
          <cell r="C697">
            <v>0.12866355348009195</v>
          </cell>
          <cell r="E697" t="str">
            <v>Clement</v>
          </cell>
          <cell r="G697">
            <v>3.3658330742237313E-2</v>
          </cell>
          <cell r="I697" t="str">
            <v>Foley</v>
          </cell>
        </row>
        <row r="698">
          <cell r="A698" t="str">
            <v>Sybil</v>
          </cell>
          <cell r="C698">
            <v>0.12848565710473062</v>
          </cell>
          <cell r="E698" t="str">
            <v>Coy</v>
          </cell>
          <cell r="G698">
            <v>3.3547283791586585E-2</v>
          </cell>
          <cell r="I698" t="str">
            <v>Bartlett</v>
          </cell>
        </row>
        <row r="699">
          <cell r="A699" t="str">
            <v>Abby</v>
          </cell>
          <cell r="C699">
            <v>0.12830776072936928</v>
          </cell>
          <cell r="E699" t="str">
            <v>Odell</v>
          </cell>
          <cell r="G699">
            <v>3.343623684093585E-2</v>
          </cell>
          <cell r="I699" t="str">
            <v>Mercado</v>
          </cell>
        </row>
        <row r="700">
          <cell r="A700" t="str">
            <v>Lara</v>
          </cell>
          <cell r="C700">
            <v>0.12812986435400794</v>
          </cell>
          <cell r="E700" t="str">
            <v>Maxwell</v>
          </cell>
          <cell r="G700">
            <v>3.3325189890285122E-2</v>
          </cell>
          <cell r="I700" t="str">
            <v>Landry</v>
          </cell>
        </row>
        <row r="701">
          <cell r="A701" t="str">
            <v>Dale</v>
          </cell>
          <cell r="C701">
            <v>0.12795196797864661</v>
          </cell>
          <cell r="E701" t="str">
            <v>Jarvis</v>
          </cell>
          <cell r="G701">
            <v>3.3214142939634386E-2</v>
          </cell>
          <cell r="I701" t="str">
            <v>Durham</v>
          </cell>
        </row>
        <row r="702">
          <cell r="A702" t="str">
            <v>Ivy</v>
          </cell>
          <cell r="C702">
            <v>0.12777407160328527</v>
          </cell>
          <cell r="E702" t="str">
            <v>Bruno</v>
          </cell>
          <cell r="G702">
            <v>3.3103095988983651E-2</v>
          </cell>
          <cell r="I702" t="str">
            <v>Walls</v>
          </cell>
        </row>
        <row r="703">
          <cell r="A703" t="str">
            <v>Dee</v>
          </cell>
          <cell r="C703">
            <v>0.12759617522792391</v>
          </cell>
          <cell r="E703" t="str">
            <v>Issac</v>
          </cell>
          <cell r="G703">
            <v>3.2992049038332923E-2</v>
          </cell>
          <cell r="I703" t="str">
            <v>Barr</v>
          </cell>
        </row>
        <row r="704">
          <cell r="A704" t="str">
            <v>Winnie</v>
          </cell>
          <cell r="C704">
            <v>0.1274182788525626</v>
          </cell>
          <cell r="E704" t="str">
            <v>Mary</v>
          </cell>
          <cell r="G704">
            <v>3.2881002087682187E-2</v>
          </cell>
          <cell r="I704" t="str">
            <v>Mckee</v>
          </cell>
        </row>
        <row r="705">
          <cell r="A705" t="str">
            <v>Marcy</v>
          </cell>
          <cell r="C705">
            <v>0.12724038247720124</v>
          </cell>
          <cell r="E705" t="str">
            <v>Dudley</v>
          </cell>
          <cell r="G705">
            <v>3.2781059832096532E-2</v>
          </cell>
          <cell r="I705" t="str">
            <v>Bauer</v>
          </cell>
        </row>
        <row r="706">
          <cell r="A706" t="str">
            <v>Luisa</v>
          </cell>
          <cell r="C706">
            <v>0.1270624861018399</v>
          </cell>
          <cell r="E706" t="str">
            <v>Brock</v>
          </cell>
          <cell r="G706">
            <v>3.2681117576510869E-2</v>
          </cell>
          <cell r="I706" t="str">
            <v>Rivers</v>
          </cell>
        </row>
        <row r="707">
          <cell r="A707" t="str">
            <v>Jeri</v>
          </cell>
          <cell r="C707">
            <v>0.12688458972647856</v>
          </cell>
          <cell r="E707" t="str">
            <v>Sanford</v>
          </cell>
          <cell r="G707">
            <v>3.2581175320925207E-2</v>
          </cell>
          <cell r="I707" t="str">
            <v>Everett</v>
          </cell>
        </row>
        <row r="708">
          <cell r="A708" t="str">
            <v>Magdalena</v>
          </cell>
          <cell r="C708">
            <v>0.12671781187457731</v>
          </cell>
          <cell r="E708" t="str">
            <v>Colby</v>
          </cell>
          <cell r="G708">
            <v>3.2481233065339551E-2</v>
          </cell>
          <cell r="I708" t="str">
            <v>Bradshaw</v>
          </cell>
        </row>
        <row r="709">
          <cell r="A709" t="str">
            <v>Ofelia</v>
          </cell>
          <cell r="C709">
            <v>0.12655103402267606</v>
          </cell>
          <cell r="E709" t="str">
            <v>Carmelo</v>
          </cell>
          <cell r="G709">
            <v>3.2381290809753889E-2</v>
          </cell>
          <cell r="I709" t="str">
            <v>Pugh</v>
          </cell>
        </row>
        <row r="710">
          <cell r="A710" t="str">
            <v>Meagan</v>
          </cell>
          <cell r="C710">
            <v>0.12638425617077481</v>
          </cell>
          <cell r="E710" t="str">
            <v>Barney</v>
          </cell>
          <cell r="G710">
            <v>3.2281348554168234E-2</v>
          </cell>
          <cell r="I710" t="str">
            <v>Velez</v>
          </cell>
        </row>
        <row r="711">
          <cell r="A711" t="str">
            <v>Audra</v>
          </cell>
          <cell r="C711">
            <v>0.12621747831887356</v>
          </cell>
          <cell r="E711" t="str">
            <v>Nestor</v>
          </cell>
          <cell r="G711">
            <v>3.2181406298582578E-2</v>
          </cell>
          <cell r="I711" t="str">
            <v>Rush</v>
          </cell>
        </row>
        <row r="712">
          <cell r="A712" t="str">
            <v>Matilda</v>
          </cell>
          <cell r="C712">
            <v>0.12605070046697231</v>
          </cell>
          <cell r="E712" t="str">
            <v>Hollis</v>
          </cell>
          <cell r="G712">
            <v>3.2081464042996916E-2</v>
          </cell>
          <cell r="I712" t="str">
            <v>Estes</v>
          </cell>
        </row>
        <row r="713">
          <cell r="A713" t="str">
            <v>Leila</v>
          </cell>
          <cell r="C713">
            <v>0.12588392261507106</v>
          </cell>
          <cell r="E713" t="str">
            <v>Stefan</v>
          </cell>
          <cell r="G713">
            <v>3.198152178741126E-2</v>
          </cell>
          <cell r="I713" t="str">
            <v>Dodson</v>
          </cell>
        </row>
        <row r="714">
          <cell r="A714" t="str">
            <v>Cornelia</v>
          </cell>
          <cell r="C714">
            <v>0.12571714476316981</v>
          </cell>
          <cell r="E714" t="str">
            <v>Donny</v>
          </cell>
          <cell r="G714">
            <v>3.1881579531825598E-2</v>
          </cell>
          <cell r="I714" t="str">
            <v>Morse</v>
          </cell>
        </row>
        <row r="715">
          <cell r="A715" t="str">
            <v>Bianca</v>
          </cell>
          <cell r="C715">
            <v>0.12555036691126856</v>
          </cell>
          <cell r="E715" t="str">
            <v>Art</v>
          </cell>
          <cell r="G715">
            <v>3.1781637276239942E-2</v>
          </cell>
          <cell r="I715" t="str">
            <v>Sheppard</v>
          </cell>
        </row>
        <row r="716">
          <cell r="A716" t="str">
            <v>Simone</v>
          </cell>
          <cell r="C716">
            <v>0.12538358905936731</v>
          </cell>
          <cell r="E716" t="str">
            <v>Linwood</v>
          </cell>
          <cell r="G716">
            <v>3.168169502065428E-2</v>
          </cell>
          <cell r="I716" t="str">
            <v>Weeks</v>
          </cell>
        </row>
        <row r="717">
          <cell r="A717" t="str">
            <v>Bettye</v>
          </cell>
          <cell r="C717">
            <v>0.12521681120746606</v>
          </cell>
          <cell r="E717" t="str">
            <v>Beau</v>
          </cell>
          <cell r="G717">
            <v>3.1581752765068617E-2</v>
          </cell>
          <cell r="I717" t="str">
            <v>Camacho</v>
          </cell>
        </row>
        <row r="718">
          <cell r="A718" t="str">
            <v>Randi</v>
          </cell>
          <cell r="C718">
            <v>0.1250500333555648</v>
          </cell>
          <cell r="E718" t="str">
            <v>Weldon</v>
          </cell>
          <cell r="G718">
            <v>3.1481810509482962E-2</v>
          </cell>
          <cell r="I718" t="str">
            <v>Bean</v>
          </cell>
        </row>
        <row r="719">
          <cell r="A719" t="str">
            <v>Virgie</v>
          </cell>
          <cell r="C719">
            <v>0.12488325550366357</v>
          </cell>
          <cell r="E719" t="str">
            <v>Galen</v>
          </cell>
          <cell r="G719">
            <v>3.1381868253897299E-2</v>
          </cell>
          <cell r="I719" t="str">
            <v>Barron</v>
          </cell>
        </row>
        <row r="720">
          <cell r="A720" t="str">
            <v>Latisha</v>
          </cell>
          <cell r="C720">
            <v>0.12471647765176232</v>
          </cell>
          <cell r="E720" t="str">
            <v>Isidro</v>
          </cell>
          <cell r="G720">
            <v>3.1281925998311644E-2</v>
          </cell>
          <cell r="I720" t="str">
            <v>Livingston</v>
          </cell>
        </row>
        <row r="721">
          <cell r="A721" t="str">
            <v>Barbra</v>
          </cell>
          <cell r="C721">
            <v>0.12454969979986108</v>
          </cell>
          <cell r="E721" t="str">
            <v>Truman</v>
          </cell>
          <cell r="G721">
            <v>3.1181983742725981E-2</v>
          </cell>
          <cell r="I721" t="str">
            <v>Middleton</v>
          </cell>
        </row>
        <row r="722">
          <cell r="A722" t="str">
            <v>Georgina</v>
          </cell>
          <cell r="C722">
            <v>0.12438292194795983</v>
          </cell>
          <cell r="E722" t="str">
            <v>Delmar</v>
          </cell>
          <cell r="G722">
            <v>3.1082041487140322E-2</v>
          </cell>
          <cell r="I722" t="str">
            <v>Spears</v>
          </cell>
        </row>
        <row r="723">
          <cell r="A723" t="str">
            <v>Eliza</v>
          </cell>
          <cell r="C723">
            <v>0.12421614409605859</v>
          </cell>
          <cell r="E723" t="str">
            <v>Johnathon</v>
          </cell>
          <cell r="G723">
            <v>3.0982099231554663E-2</v>
          </cell>
          <cell r="I723" t="str">
            <v>Branch</v>
          </cell>
        </row>
        <row r="724">
          <cell r="A724" t="str">
            <v>Leann</v>
          </cell>
          <cell r="C724">
            <v>0.12404936624415734</v>
          </cell>
          <cell r="E724" t="str">
            <v>Silas</v>
          </cell>
          <cell r="G724">
            <v>3.0882156975969008E-2</v>
          </cell>
          <cell r="I724" t="str">
            <v>Blevins</v>
          </cell>
        </row>
        <row r="725">
          <cell r="A725" t="str">
            <v>Bridgette</v>
          </cell>
          <cell r="C725">
            <v>0.12388258839225609</v>
          </cell>
          <cell r="E725" t="str">
            <v>Frederic</v>
          </cell>
          <cell r="G725">
            <v>3.0782214720383349E-2</v>
          </cell>
          <cell r="I725" t="str">
            <v>Chen</v>
          </cell>
        </row>
        <row r="726">
          <cell r="A726" t="str">
            <v>Rhoda</v>
          </cell>
          <cell r="C726">
            <v>0.12371581054035484</v>
          </cell>
          <cell r="E726" t="str">
            <v>Dick</v>
          </cell>
          <cell r="G726">
            <v>3.0682272464797686E-2</v>
          </cell>
          <cell r="I726" t="str">
            <v>Kerr</v>
          </cell>
        </row>
        <row r="727">
          <cell r="A727" t="str">
            <v>Haley</v>
          </cell>
          <cell r="C727">
            <v>0.12356015121191367</v>
          </cell>
          <cell r="E727" t="str">
            <v>Kirby</v>
          </cell>
          <cell r="G727">
            <v>3.0582330209212024E-2</v>
          </cell>
          <cell r="I727" t="str">
            <v>Mcconnell</v>
          </cell>
        </row>
        <row r="728">
          <cell r="A728" t="str">
            <v>Adela</v>
          </cell>
          <cell r="C728">
            <v>0.12340449188347249</v>
          </cell>
          <cell r="E728" t="str">
            <v>Irwin</v>
          </cell>
          <cell r="G728">
            <v>3.0482387953626365E-2</v>
          </cell>
          <cell r="I728" t="str">
            <v>Hatfield</v>
          </cell>
        </row>
        <row r="729">
          <cell r="A729" t="str">
            <v>Nola</v>
          </cell>
          <cell r="C729">
            <v>0.12324883255503134</v>
          </cell>
          <cell r="E729" t="str">
            <v>Cruz</v>
          </cell>
          <cell r="G729">
            <v>3.0382445698040706E-2</v>
          </cell>
          <cell r="I729" t="str">
            <v>Harding</v>
          </cell>
        </row>
        <row r="730">
          <cell r="A730" t="str">
            <v>Bernadine</v>
          </cell>
          <cell r="C730">
            <v>0.12309317322659018</v>
          </cell>
          <cell r="E730" t="str">
            <v>Merlin</v>
          </cell>
          <cell r="G730">
            <v>3.0282503442455044E-2</v>
          </cell>
          <cell r="I730" t="str">
            <v>Ashley</v>
          </cell>
        </row>
        <row r="731">
          <cell r="A731" t="str">
            <v>Flossie</v>
          </cell>
          <cell r="C731">
            <v>0.12293751389814897</v>
          </cell>
          <cell r="E731" t="str">
            <v>Merrill</v>
          </cell>
          <cell r="G731">
            <v>3.0182561186869381E-2</v>
          </cell>
          <cell r="I731" t="str">
            <v>Solis</v>
          </cell>
        </row>
        <row r="732">
          <cell r="A732" t="str">
            <v>Ila</v>
          </cell>
          <cell r="C732">
            <v>0.12278185456970774</v>
          </cell>
          <cell r="E732" t="str">
            <v>Charley</v>
          </cell>
          <cell r="G732">
            <v>3.0082618931283722E-2</v>
          </cell>
          <cell r="I732" t="str">
            <v>Herman</v>
          </cell>
        </row>
        <row r="733">
          <cell r="A733" t="str">
            <v>Greta</v>
          </cell>
          <cell r="C733">
            <v>0.1226261952412665</v>
          </cell>
          <cell r="E733" t="str">
            <v>Marcelino</v>
          </cell>
          <cell r="G733">
            <v>2.9982676675698063E-2</v>
          </cell>
          <cell r="I733" t="str">
            <v>Frost</v>
          </cell>
        </row>
        <row r="734">
          <cell r="A734" t="str">
            <v>Ruthie</v>
          </cell>
          <cell r="C734">
            <v>0.12247053591282528</v>
          </cell>
          <cell r="E734" t="str">
            <v>Lane</v>
          </cell>
          <cell r="G734">
            <v>2.9882734420112401E-2</v>
          </cell>
          <cell r="I734" t="str">
            <v>Giles</v>
          </cell>
        </row>
        <row r="735">
          <cell r="A735" t="str">
            <v>Nelda</v>
          </cell>
          <cell r="C735">
            <v>0.12231487658438403</v>
          </cell>
          <cell r="E735" t="str">
            <v>Harris</v>
          </cell>
          <cell r="G735">
            <v>2.9782792164526738E-2</v>
          </cell>
          <cell r="I735" t="str">
            <v>Blackburn</v>
          </cell>
        </row>
        <row r="736">
          <cell r="A736" t="str">
            <v>Minerva</v>
          </cell>
          <cell r="C736">
            <v>0.1221592172559428</v>
          </cell>
          <cell r="E736" t="str">
            <v>Cleo</v>
          </cell>
          <cell r="G736">
            <v>2.9682849908941079E-2</v>
          </cell>
          <cell r="I736" t="str">
            <v>William</v>
          </cell>
        </row>
        <row r="737">
          <cell r="A737" t="str">
            <v>Lilly</v>
          </cell>
          <cell r="C737">
            <v>0.12200355792750156</v>
          </cell>
          <cell r="E737" t="str">
            <v>Carlo</v>
          </cell>
          <cell r="G737">
            <v>2.9582907653355417E-2</v>
          </cell>
          <cell r="I737" t="str">
            <v>Pennington</v>
          </cell>
        </row>
        <row r="738">
          <cell r="A738" t="str">
            <v>Terrie</v>
          </cell>
          <cell r="C738">
            <v>0.12184789859906034</v>
          </cell>
          <cell r="E738" t="str">
            <v>Trenton</v>
          </cell>
          <cell r="G738">
            <v>2.9482965397769758E-2</v>
          </cell>
          <cell r="I738" t="str">
            <v>Woodward</v>
          </cell>
        </row>
        <row r="739">
          <cell r="A739" t="str">
            <v>Letha</v>
          </cell>
          <cell r="C739">
            <v>0.1216922392706191</v>
          </cell>
          <cell r="E739" t="str">
            <v>Kurtis</v>
          </cell>
          <cell r="G739">
            <v>2.9383023142184096E-2</v>
          </cell>
          <cell r="I739" t="str">
            <v>Finley</v>
          </cell>
        </row>
        <row r="740">
          <cell r="A740" t="str">
            <v>Hilary</v>
          </cell>
          <cell r="C740">
            <v>0.12153657994217786</v>
          </cell>
          <cell r="E740" t="str">
            <v>Hunter</v>
          </cell>
          <cell r="G740">
            <v>2.9283080886598437E-2</v>
          </cell>
          <cell r="I740" t="str">
            <v>Mcintosh</v>
          </cell>
        </row>
        <row r="741">
          <cell r="A741" t="str">
            <v>Estela</v>
          </cell>
          <cell r="C741">
            <v>0.12138092061373662</v>
          </cell>
          <cell r="E741" t="str">
            <v>Aurelio</v>
          </cell>
          <cell r="G741">
            <v>2.9183138631012774E-2</v>
          </cell>
          <cell r="I741" t="str">
            <v>Koch</v>
          </cell>
        </row>
        <row r="742">
          <cell r="A742" t="str">
            <v>Valarie</v>
          </cell>
          <cell r="C742">
            <v>0.1212252612852954</v>
          </cell>
          <cell r="E742" t="str">
            <v>Winfred</v>
          </cell>
          <cell r="G742">
            <v>2.9083196375427115E-2</v>
          </cell>
          <cell r="I742" t="str">
            <v>Best</v>
          </cell>
        </row>
        <row r="743">
          <cell r="A743" t="str">
            <v>Brianna</v>
          </cell>
          <cell r="C743">
            <v>0.12106960195685412</v>
          </cell>
          <cell r="E743" t="str">
            <v>Vito</v>
          </cell>
          <cell r="G743">
            <v>2.8983254119841453E-2</v>
          </cell>
          <cell r="I743" t="str">
            <v>Solomon</v>
          </cell>
        </row>
        <row r="744">
          <cell r="A744" t="str">
            <v>Rosalyn</v>
          </cell>
          <cell r="C744">
            <v>0.12091394262841287</v>
          </cell>
          <cell r="E744" t="str">
            <v>Collin</v>
          </cell>
          <cell r="G744">
            <v>2.8883311864255794E-2</v>
          </cell>
          <cell r="I744" t="str">
            <v>Mccullough</v>
          </cell>
        </row>
        <row r="745">
          <cell r="A745" t="str">
            <v>Earline</v>
          </cell>
          <cell r="C745">
            <v>0.12075828329997162</v>
          </cell>
          <cell r="E745" t="str">
            <v>Denver</v>
          </cell>
          <cell r="G745">
            <v>2.8783369608670131E-2</v>
          </cell>
          <cell r="I745" t="str">
            <v>Dudley</v>
          </cell>
        </row>
        <row r="746">
          <cell r="A746" t="str">
            <v>Catalina</v>
          </cell>
          <cell r="C746">
            <v>0.12060262397153036</v>
          </cell>
          <cell r="E746" t="str">
            <v>Carter</v>
          </cell>
          <cell r="G746">
            <v>2.8683427353084472E-2</v>
          </cell>
          <cell r="I746" t="str">
            <v>Nolan</v>
          </cell>
        </row>
        <row r="747">
          <cell r="A747" t="str">
            <v>Ava</v>
          </cell>
          <cell r="C747">
            <v>0.12044696464308911</v>
          </cell>
          <cell r="E747" t="str">
            <v>Leonel</v>
          </cell>
          <cell r="G747">
            <v>2.858348509749881E-2</v>
          </cell>
          <cell r="I747" t="str">
            <v>Blanchard</v>
          </cell>
        </row>
        <row r="748">
          <cell r="A748" t="str">
            <v>Mia</v>
          </cell>
          <cell r="C748">
            <v>0.12029130531464786</v>
          </cell>
          <cell r="E748" t="str">
            <v>Emory</v>
          </cell>
          <cell r="G748">
            <v>2.8494647536978224E-2</v>
          </cell>
          <cell r="I748" t="str">
            <v>Rivas</v>
          </cell>
        </row>
        <row r="749">
          <cell r="A749" t="str">
            <v>Clarissa</v>
          </cell>
          <cell r="C749">
            <v>0.12013564598620659</v>
          </cell>
          <cell r="E749" t="str">
            <v>Pasquale</v>
          </cell>
          <cell r="G749">
            <v>2.8405809976457638E-2</v>
          </cell>
          <cell r="I749" t="str">
            <v>Brennan</v>
          </cell>
        </row>
        <row r="750">
          <cell r="A750" t="str">
            <v>Lidia</v>
          </cell>
          <cell r="C750">
            <v>0.11997998665776534</v>
          </cell>
          <cell r="E750" t="str">
            <v>Mohammad</v>
          </cell>
          <cell r="G750">
            <v>2.8316972415937048E-2</v>
          </cell>
          <cell r="I750" t="str">
            <v>Mejia</v>
          </cell>
        </row>
        <row r="751">
          <cell r="A751" t="str">
            <v>Corrine</v>
          </cell>
          <cell r="C751">
            <v>0.11982432732932409</v>
          </cell>
          <cell r="E751" t="str">
            <v>Mariano</v>
          </cell>
          <cell r="G751">
            <v>2.8228134855416462E-2</v>
          </cell>
          <cell r="I751" t="str">
            <v>Kane</v>
          </cell>
        </row>
        <row r="752">
          <cell r="A752" t="str">
            <v>Alexandria</v>
          </cell>
          <cell r="C752">
            <v>0.11966866800088281</v>
          </cell>
          <cell r="E752" t="str">
            <v>Danial</v>
          </cell>
          <cell r="G752">
            <v>2.8139297294895876E-2</v>
          </cell>
          <cell r="I752" t="str">
            <v>Benton</v>
          </cell>
        </row>
        <row r="753">
          <cell r="A753" t="str">
            <v>Concepcion</v>
          </cell>
          <cell r="C753">
            <v>0.11951300867244156</v>
          </cell>
          <cell r="E753" t="str">
            <v>Blair</v>
          </cell>
          <cell r="G753">
            <v>2.8050459734375286E-2</v>
          </cell>
          <cell r="I753" t="str">
            <v>Joyce</v>
          </cell>
        </row>
        <row r="754">
          <cell r="A754" t="str">
            <v>Tia</v>
          </cell>
          <cell r="C754">
            <v>0.1193573493440003</v>
          </cell>
          <cell r="E754" t="str">
            <v>Landon</v>
          </cell>
          <cell r="G754">
            <v>2.79616221738547E-2</v>
          </cell>
          <cell r="I754" t="str">
            <v>Buckley</v>
          </cell>
        </row>
        <row r="755">
          <cell r="A755" t="str">
            <v>Sharron</v>
          </cell>
          <cell r="C755">
            <v>0.11920169001555905</v>
          </cell>
          <cell r="E755" t="str">
            <v>Dirk</v>
          </cell>
          <cell r="G755">
            <v>2.7872784613334114E-2</v>
          </cell>
          <cell r="I755" t="str">
            <v>Haley</v>
          </cell>
        </row>
        <row r="756">
          <cell r="A756" t="str">
            <v>Rae</v>
          </cell>
          <cell r="C756">
            <v>0.1190460306871178</v>
          </cell>
          <cell r="E756" t="str">
            <v>Branden</v>
          </cell>
          <cell r="G756">
            <v>2.7783947052813524E-2</v>
          </cell>
          <cell r="I756" t="str">
            <v>Valentine</v>
          </cell>
        </row>
        <row r="757">
          <cell r="A757" t="str">
            <v>Dona</v>
          </cell>
          <cell r="C757">
            <v>0.11889037135867653</v>
          </cell>
          <cell r="E757" t="str">
            <v>Adan</v>
          </cell>
          <cell r="G757">
            <v>2.7695109492292938E-2</v>
          </cell>
          <cell r="I757" t="str">
            <v>Maddox</v>
          </cell>
        </row>
        <row r="758">
          <cell r="A758" t="str">
            <v>Ericka</v>
          </cell>
          <cell r="C758">
            <v>0.11873471203023528</v>
          </cell>
          <cell r="E758" t="str">
            <v>Numbers</v>
          </cell>
          <cell r="G758">
            <v>2.7606271931772352E-2</v>
          </cell>
          <cell r="I758" t="str">
            <v>Russo</v>
          </cell>
        </row>
        <row r="759">
          <cell r="A759" t="str">
            <v>Jami</v>
          </cell>
          <cell r="C759">
            <v>0.11857905270179402</v>
          </cell>
          <cell r="E759" t="str">
            <v>Clair</v>
          </cell>
          <cell r="G759">
            <v>2.7517434371251762E-2</v>
          </cell>
          <cell r="I759" t="str">
            <v>Mcknight</v>
          </cell>
        </row>
        <row r="760">
          <cell r="A760" t="str">
            <v>Elnora</v>
          </cell>
          <cell r="C760">
            <v>0.11842339337335277</v>
          </cell>
          <cell r="E760" t="str">
            <v>Buford</v>
          </cell>
          <cell r="G760">
            <v>2.7428596810731176E-2</v>
          </cell>
          <cell r="I760" t="str">
            <v>Buck</v>
          </cell>
        </row>
        <row r="761">
          <cell r="A761" t="str">
            <v>Chandra</v>
          </cell>
          <cell r="C761">
            <v>0.11826773404491152</v>
          </cell>
          <cell r="E761" t="str">
            <v>German</v>
          </cell>
          <cell r="G761">
            <v>2.733975925021059E-2</v>
          </cell>
          <cell r="I761" t="str">
            <v>Moon</v>
          </cell>
        </row>
        <row r="762">
          <cell r="A762" t="str">
            <v>Lenore</v>
          </cell>
          <cell r="C762">
            <v>0.11811207471647024</v>
          </cell>
          <cell r="E762" t="str">
            <v>Bernie</v>
          </cell>
          <cell r="G762">
            <v>2.725092168969E-2</v>
          </cell>
          <cell r="I762" t="str">
            <v>Mcmillan</v>
          </cell>
        </row>
        <row r="763">
          <cell r="A763" t="str">
            <v>Neva</v>
          </cell>
          <cell r="C763">
            <v>0.11795641538802899</v>
          </cell>
          <cell r="E763" t="str">
            <v>Wilmer</v>
          </cell>
          <cell r="G763">
            <v>2.7162084129169414E-2</v>
          </cell>
          <cell r="I763" t="str">
            <v>Crosby</v>
          </cell>
        </row>
        <row r="764">
          <cell r="A764" t="str">
            <v>Marylou</v>
          </cell>
          <cell r="C764">
            <v>0.11781187458304782</v>
          </cell>
          <cell r="E764" t="str">
            <v>Joan</v>
          </cell>
          <cell r="G764">
            <v>2.7073246568648828E-2</v>
          </cell>
          <cell r="I764" t="str">
            <v>Berg</v>
          </cell>
        </row>
        <row r="765">
          <cell r="A765" t="str">
            <v>Melisa</v>
          </cell>
          <cell r="C765">
            <v>0.11766733377806665</v>
          </cell>
          <cell r="E765" t="str">
            <v>Emerson</v>
          </cell>
          <cell r="G765">
            <v>2.6984409008128239E-2</v>
          </cell>
          <cell r="I765" t="str">
            <v>Dotson</v>
          </cell>
        </row>
        <row r="766">
          <cell r="A766" t="str">
            <v>Tabatha</v>
          </cell>
          <cell r="C766">
            <v>0.11752279297308547</v>
          </cell>
          <cell r="E766" t="str">
            <v>Zachery</v>
          </cell>
          <cell r="G766">
            <v>2.6895571447607652E-2</v>
          </cell>
          <cell r="I766" t="str">
            <v>Mays</v>
          </cell>
        </row>
        <row r="767">
          <cell r="A767" t="str">
            <v>Serena</v>
          </cell>
          <cell r="C767">
            <v>0.11737825216810432</v>
          </cell>
          <cell r="E767" t="str">
            <v>Fletcher</v>
          </cell>
          <cell r="G767">
            <v>2.6806733887087066E-2</v>
          </cell>
          <cell r="I767" t="str">
            <v>Roach</v>
          </cell>
        </row>
        <row r="768">
          <cell r="A768" t="str">
            <v>Avis</v>
          </cell>
          <cell r="C768">
            <v>0.11723371136312316</v>
          </cell>
          <cell r="E768" t="str">
            <v>Jacques</v>
          </cell>
          <cell r="G768">
            <v>2.6717896326566477E-2</v>
          </cell>
          <cell r="I768" t="str">
            <v>Church</v>
          </cell>
        </row>
        <row r="769">
          <cell r="A769" t="str">
            <v>Allie</v>
          </cell>
          <cell r="C769">
            <v>0.11708917055814198</v>
          </cell>
          <cell r="E769" t="str">
            <v>Errol</v>
          </cell>
          <cell r="G769">
            <v>2.6629058766045891E-2</v>
          </cell>
          <cell r="I769" t="str">
            <v>Chan</v>
          </cell>
        </row>
        <row r="770">
          <cell r="A770" t="str">
            <v>Sofia</v>
          </cell>
          <cell r="C770">
            <v>0.11694462975316081</v>
          </cell>
          <cell r="E770" t="str">
            <v>Dalton</v>
          </cell>
          <cell r="G770">
            <v>2.6540221205525304E-2</v>
          </cell>
          <cell r="I770" t="str">
            <v>Richmond</v>
          </cell>
        </row>
        <row r="771">
          <cell r="A771" t="str">
            <v>Jeanie</v>
          </cell>
          <cell r="C771">
            <v>0.11680008894817966</v>
          </cell>
          <cell r="E771" t="str">
            <v>Monroe</v>
          </cell>
          <cell r="G771">
            <v>2.6451383645004715E-2</v>
          </cell>
          <cell r="I771" t="str">
            <v>Meadows</v>
          </cell>
        </row>
        <row r="772">
          <cell r="A772" t="str">
            <v>Odessa</v>
          </cell>
          <cell r="C772">
            <v>0.11665554814319849</v>
          </cell>
          <cell r="E772" t="str">
            <v>Josue</v>
          </cell>
          <cell r="G772">
            <v>2.6362546084484129E-2</v>
          </cell>
          <cell r="I772" t="str">
            <v>Faulkner</v>
          </cell>
        </row>
        <row r="773">
          <cell r="A773" t="str">
            <v>Nannie</v>
          </cell>
          <cell r="C773">
            <v>0.11651100733821732</v>
          </cell>
          <cell r="E773" t="str">
            <v>Dominique</v>
          </cell>
          <cell r="G773">
            <v>2.6273708523963542E-2</v>
          </cell>
          <cell r="I773" t="str">
            <v>Oneill</v>
          </cell>
        </row>
        <row r="774">
          <cell r="A774" t="str">
            <v>Harriett</v>
          </cell>
          <cell r="C774">
            <v>0.11636646653323614</v>
          </cell>
          <cell r="E774" t="str">
            <v>Edwardo</v>
          </cell>
          <cell r="G774">
            <v>2.6184870963442953E-2</v>
          </cell>
          <cell r="I774" t="str">
            <v>Knapp</v>
          </cell>
        </row>
        <row r="775">
          <cell r="A775" t="str">
            <v>Loraine</v>
          </cell>
          <cell r="C775">
            <v>0.11622192572825499</v>
          </cell>
          <cell r="E775" t="str">
            <v>Booker</v>
          </cell>
          <cell r="G775">
            <v>2.6096033402922367E-2</v>
          </cell>
          <cell r="I775" t="str">
            <v>Kline</v>
          </cell>
        </row>
        <row r="776">
          <cell r="A776" t="str">
            <v>Penelope</v>
          </cell>
          <cell r="C776">
            <v>0.1160773849232738</v>
          </cell>
          <cell r="E776" t="str">
            <v>Wilford</v>
          </cell>
          <cell r="G776">
            <v>2.6007195842401781E-2</v>
          </cell>
          <cell r="I776" t="str">
            <v>Barry</v>
          </cell>
        </row>
        <row r="777">
          <cell r="A777" t="str">
            <v>Milagros</v>
          </cell>
          <cell r="C777">
            <v>0.11593284411829265</v>
          </cell>
          <cell r="E777" t="str">
            <v>Sonny</v>
          </cell>
          <cell r="G777">
            <v>2.5918358281881191E-2</v>
          </cell>
          <cell r="I777" t="str">
            <v>Ochoa</v>
          </cell>
        </row>
        <row r="778">
          <cell r="A778" t="str">
            <v>Emilia</v>
          </cell>
          <cell r="C778">
            <v>0.11578830331331147</v>
          </cell>
          <cell r="E778" t="str">
            <v>Shelton</v>
          </cell>
          <cell r="G778">
            <v>2.5829520721360605E-2</v>
          </cell>
          <cell r="I778" t="str">
            <v>Jacobson</v>
          </cell>
        </row>
        <row r="779">
          <cell r="A779" t="str">
            <v>Benita</v>
          </cell>
          <cell r="C779">
            <v>0.11564376250833031</v>
          </cell>
          <cell r="E779" t="str">
            <v>Carson</v>
          </cell>
          <cell r="G779">
            <v>2.5740683160840019E-2</v>
          </cell>
          <cell r="I779" t="str">
            <v>Gay</v>
          </cell>
        </row>
        <row r="780">
          <cell r="A780" t="str">
            <v>Allyson</v>
          </cell>
          <cell r="C780">
            <v>0.11549922170334913</v>
          </cell>
          <cell r="E780" t="str">
            <v>Theron</v>
          </cell>
          <cell r="G780">
            <v>2.5651845600319429E-2</v>
          </cell>
          <cell r="I780" t="str">
            <v>Avery</v>
          </cell>
        </row>
        <row r="781">
          <cell r="A781" t="str">
            <v>Ashlee</v>
          </cell>
          <cell r="C781">
            <v>0.11535468089836798</v>
          </cell>
          <cell r="E781" t="str">
            <v>Raymundo</v>
          </cell>
          <cell r="G781">
            <v>2.5563008039798843E-2</v>
          </cell>
          <cell r="I781" t="str">
            <v>Hendricks</v>
          </cell>
        </row>
        <row r="782">
          <cell r="A782" t="str">
            <v>Tania</v>
          </cell>
          <cell r="C782">
            <v>0.11521014009338681</v>
          </cell>
          <cell r="E782" t="str">
            <v>Daren</v>
          </cell>
          <cell r="G782">
            <v>2.5474170479278257E-2</v>
          </cell>
          <cell r="I782" t="str">
            <v>Horne</v>
          </cell>
        </row>
        <row r="783">
          <cell r="A783" t="str">
            <v>Tommie</v>
          </cell>
          <cell r="C783">
            <v>0.11506559928840564</v>
          </cell>
          <cell r="E783" t="str">
            <v>Tristan</v>
          </cell>
          <cell r="G783">
            <v>2.5385332918757667E-2</v>
          </cell>
          <cell r="I783" t="str">
            <v>Shepard</v>
          </cell>
        </row>
        <row r="784">
          <cell r="A784" t="str">
            <v>Esmeralda</v>
          </cell>
          <cell r="C784">
            <v>0.11492105848342446</v>
          </cell>
          <cell r="E784" t="str">
            <v>Houston</v>
          </cell>
          <cell r="G784">
            <v>2.5296495358237081E-2</v>
          </cell>
          <cell r="I784" t="str">
            <v>Hebert</v>
          </cell>
        </row>
        <row r="785">
          <cell r="A785" t="str">
            <v>Karina</v>
          </cell>
          <cell r="C785">
            <v>0.11477651767844331</v>
          </cell>
          <cell r="E785" t="str">
            <v>Robby</v>
          </cell>
          <cell r="G785">
            <v>2.5207657797716495E-2</v>
          </cell>
          <cell r="I785" t="str">
            <v>Cherry</v>
          </cell>
        </row>
        <row r="786">
          <cell r="A786" t="str">
            <v>Eve</v>
          </cell>
          <cell r="C786">
            <v>0.11463197687346215</v>
          </cell>
          <cell r="E786" t="str">
            <v>Lincoln</v>
          </cell>
          <cell r="G786">
            <v>2.5118820237195905E-2</v>
          </cell>
          <cell r="I786" t="str">
            <v>Cardenas</v>
          </cell>
        </row>
        <row r="787">
          <cell r="A787" t="str">
            <v>Pearlie</v>
          </cell>
          <cell r="C787">
            <v>0.11448743606848097</v>
          </cell>
          <cell r="E787" t="str">
            <v>Jame</v>
          </cell>
          <cell r="G787">
            <v>2.5029982676675319E-2</v>
          </cell>
          <cell r="I787" t="str">
            <v>Mcintyre</v>
          </cell>
        </row>
        <row r="788">
          <cell r="A788" t="str">
            <v>Zelma</v>
          </cell>
          <cell r="C788">
            <v>0.11434289526349979</v>
          </cell>
          <cell r="E788" t="str">
            <v>Genaro</v>
          </cell>
          <cell r="G788">
            <v>2.4941145116154737E-2</v>
          </cell>
          <cell r="I788" t="str">
            <v>Whitney</v>
          </cell>
        </row>
        <row r="789">
          <cell r="A789" t="str">
            <v>Malinda</v>
          </cell>
          <cell r="C789">
            <v>0.11419835445851863</v>
          </cell>
          <cell r="E789" t="str">
            <v>Gale</v>
          </cell>
          <cell r="G789">
            <v>2.485230755563415E-2</v>
          </cell>
          <cell r="I789" t="str">
            <v>Waller</v>
          </cell>
        </row>
        <row r="790">
          <cell r="A790" t="str">
            <v>Noreen</v>
          </cell>
          <cell r="C790">
            <v>0.11405381365353745</v>
          </cell>
          <cell r="E790" t="str">
            <v>Bennett</v>
          </cell>
          <cell r="G790">
            <v>2.4763469995113568E-2</v>
          </cell>
          <cell r="I790" t="str">
            <v>Holman</v>
          </cell>
        </row>
        <row r="791">
          <cell r="A791" t="str">
            <v>Tameka</v>
          </cell>
          <cell r="C791">
            <v>0.1139092728485563</v>
          </cell>
          <cell r="E791" t="str">
            <v>Octavio</v>
          </cell>
          <cell r="G791">
            <v>2.4674632434592982E-2</v>
          </cell>
          <cell r="I791" t="str">
            <v>Donaldson</v>
          </cell>
        </row>
        <row r="792">
          <cell r="A792" t="str">
            <v>Saundra</v>
          </cell>
          <cell r="C792">
            <v>0.11376473204357511</v>
          </cell>
          <cell r="E792" t="str">
            <v>Cornell</v>
          </cell>
          <cell r="G792">
            <v>2.4585794874072392E-2</v>
          </cell>
          <cell r="I792" t="str">
            <v>Cantu</v>
          </cell>
        </row>
        <row r="793">
          <cell r="A793" t="str">
            <v>Hillary</v>
          </cell>
          <cell r="C793">
            <v>0.11362019123859396</v>
          </cell>
          <cell r="E793" t="str">
            <v>Laverne</v>
          </cell>
          <cell r="G793">
            <v>2.4496957313551809E-2</v>
          </cell>
          <cell r="I793" t="str">
            <v>Terrell</v>
          </cell>
        </row>
        <row r="794">
          <cell r="A794" t="str">
            <v>Amie</v>
          </cell>
          <cell r="C794">
            <v>0.11347565043361281</v>
          </cell>
          <cell r="E794" t="str">
            <v>Hung</v>
          </cell>
          <cell r="G794">
            <v>2.4408119753031223E-2</v>
          </cell>
          <cell r="I794" t="str">
            <v>Morin</v>
          </cell>
        </row>
        <row r="795">
          <cell r="A795" t="str">
            <v>Althea</v>
          </cell>
          <cell r="C795">
            <v>0.11333110962863166</v>
          </cell>
          <cell r="E795" t="str">
            <v>Arron</v>
          </cell>
          <cell r="G795">
            <v>2.431928219251064E-2</v>
          </cell>
          <cell r="I795" t="str">
            <v>Gillespie</v>
          </cell>
        </row>
        <row r="796">
          <cell r="A796" t="str">
            <v>Rosalinda</v>
          </cell>
          <cell r="C796">
            <v>0.11319768734711058</v>
          </cell>
          <cell r="E796" t="str">
            <v>Antony</v>
          </cell>
          <cell r="G796">
            <v>2.4230444631990054E-2</v>
          </cell>
          <cell r="I796" t="str">
            <v>Fuentes</v>
          </cell>
        </row>
        <row r="797">
          <cell r="A797" t="str">
            <v>Jordan</v>
          </cell>
          <cell r="C797">
            <v>0.1130642650655895</v>
          </cell>
          <cell r="E797" t="str">
            <v>Herschel</v>
          </cell>
          <cell r="G797">
            <v>2.4141607071469465E-2</v>
          </cell>
          <cell r="I797" t="str">
            <v>Tillman</v>
          </cell>
        </row>
        <row r="798">
          <cell r="A798" t="str">
            <v>Lilia</v>
          </cell>
          <cell r="C798">
            <v>0.11293084278406844</v>
          </cell>
          <cell r="E798" t="str">
            <v>Alva</v>
          </cell>
          <cell r="G798">
            <v>2.4063874206013955E-2</v>
          </cell>
          <cell r="I798" t="str">
            <v>Sanford</v>
          </cell>
        </row>
        <row r="799">
          <cell r="A799" t="str">
            <v>Alana</v>
          </cell>
          <cell r="C799">
            <v>0.11279742050254737</v>
          </cell>
          <cell r="E799" t="str">
            <v>Giovanni</v>
          </cell>
          <cell r="G799">
            <v>2.3986141340558445E-2</v>
          </cell>
          <cell r="I799" t="str">
            <v>Bentley</v>
          </cell>
        </row>
        <row r="800">
          <cell r="A800" t="str">
            <v>Gay</v>
          </cell>
          <cell r="C800">
            <v>0.11266399822102631</v>
          </cell>
          <cell r="E800" t="str">
            <v>Garth</v>
          </cell>
          <cell r="G800">
            <v>2.3908408475102932E-2</v>
          </cell>
          <cell r="I800" t="str">
            <v>Peck</v>
          </cell>
        </row>
        <row r="801">
          <cell r="A801" t="str">
            <v>Clare</v>
          </cell>
          <cell r="C801">
            <v>0.11253057593950523</v>
          </cell>
          <cell r="E801" t="str">
            <v>Cyrus</v>
          </cell>
          <cell r="G801">
            <v>2.3830675609647422E-2</v>
          </cell>
          <cell r="I801" t="str">
            <v>Key</v>
          </cell>
        </row>
        <row r="802">
          <cell r="A802" t="str">
            <v>Alejandra</v>
          </cell>
          <cell r="C802">
            <v>0.11239715365798415</v>
          </cell>
          <cell r="E802" t="str">
            <v>Cyril</v>
          </cell>
          <cell r="G802">
            <v>2.3752942744191905E-2</v>
          </cell>
          <cell r="I802" t="str">
            <v>Salas</v>
          </cell>
        </row>
        <row r="803">
          <cell r="A803" t="str">
            <v>Elinor</v>
          </cell>
          <cell r="C803">
            <v>0.1122637313764631</v>
          </cell>
          <cell r="E803" t="str">
            <v>Ronny</v>
          </cell>
          <cell r="G803">
            <v>2.3675209878736395E-2</v>
          </cell>
          <cell r="I803" t="str">
            <v>Rollins</v>
          </cell>
        </row>
        <row r="804">
          <cell r="A804" t="str">
            <v>Michael</v>
          </cell>
          <cell r="C804">
            <v>0.11213030909494202</v>
          </cell>
          <cell r="E804" t="str">
            <v>Stevie</v>
          </cell>
          <cell r="G804">
            <v>2.3597477013280885E-2</v>
          </cell>
          <cell r="I804" t="str">
            <v>Gamble</v>
          </cell>
        </row>
        <row r="805">
          <cell r="A805" t="str">
            <v>Lorrie</v>
          </cell>
          <cell r="C805">
            <v>0.11199688681342096</v>
          </cell>
          <cell r="E805" t="str">
            <v>Lon</v>
          </cell>
          <cell r="G805">
            <v>2.3519744147825369E-2</v>
          </cell>
          <cell r="I805" t="str">
            <v>Dickson</v>
          </cell>
        </row>
        <row r="806">
          <cell r="A806" t="str">
            <v>Jerri</v>
          </cell>
          <cell r="C806">
            <v>0.11186346453189988</v>
          </cell>
          <cell r="E806" t="str">
            <v>Freeman</v>
          </cell>
          <cell r="G806">
            <v>2.3442011282369859E-2</v>
          </cell>
          <cell r="I806" t="str">
            <v>Battle</v>
          </cell>
        </row>
        <row r="807">
          <cell r="A807" t="str">
            <v>Darcy</v>
          </cell>
          <cell r="C807">
            <v>0.11173004225037883</v>
          </cell>
          <cell r="E807" t="str">
            <v>Erin</v>
          </cell>
          <cell r="G807">
            <v>2.3364278416914346E-2</v>
          </cell>
          <cell r="I807" t="str">
            <v>Santana</v>
          </cell>
        </row>
        <row r="808">
          <cell r="A808" t="str">
            <v>Earnestine</v>
          </cell>
          <cell r="C808">
            <v>0.11159661996885775</v>
          </cell>
          <cell r="E808" t="str">
            <v>Duncan</v>
          </cell>
          <cell r="G808">
            <v>2.3286545551458836E-2</v>
          </cell>
          <cell r="I808" t="str">
            <v>Cabrera</v>
          </cell>
        </row>
        <row r="809">
          <cell r="A809" t="str">
            <v>Carmella</v>
          </cell>
          <cell r="C809">
            <v>0.11146319768733667</v>
          </cell>
          <cell r="E809" t="str">
            <v>Kennith</v>
          </cell>
          <cell r="G809">
            <v>2.3208812686003326E-2</v>
          </cell>
          <cell r="I809" t="str">
            <v>Cervantes</v>
          </cell>
        </row>
        <row r="810">
          <cell r="A810" t="str">
            <v>Taylor</v>
          </cell>
          <cell r="C810">
            <v>0.11132977540581561</v>
          </cell>
          <cell r="E810" t="str">
            <v>Carmine</v>
          </cell>
          <cell r="G810">
            <v>2.3131079820547809E-2</v>
          </cell>
          <cell r="I810" t="str">
            <v>Howe</v>
          </cell>
        </row>
        <row r="811">
          <cell r="A811" t="str">
            <v>Noemi</v>
          </cell>
          <cell r="C811">
            <v>0.11119635312429454</v>
          </cell>
          <cell r="E811" t="str">
            <v>Augustine</v>
          </cell>
          <cell r="G811">
            <v>2.3053346955092299E-2</v>
          </cell>
          <cell r="I811" t="str">
            <v>Hinton</v>
          </cell>
        </row>
        <row r="812">
          <cell r="A812" t="str">
            <v>Marcie</v>
          </cell>
          <cell r="C812">
            <v>0.11106293084277348</v>
          </cell>
          <cell r="E812" t="str">
            <v>Young</v>
          </cell>
          <cell r="G812">
            <v>2.2975614089636782E-2</v>
          </cell>
          <cell r="I812" t="str">
            <v>Hurley</v>
          </cell>
        </row>
        <row r="813">
          <cell r="A813" t="str">
            <v>Liza</v>
          </cell>
          <cell r="C813">
            <v>0.1109295085612524</v>
          </cell>
          <cell r="E813" t="str">
            <v>Erich</v>
          </cell>
          <cell r="G813">
            <v>2.2897881224181273E-2</v>
          </cell>
          <cell r="I813" t="str">
            <v>Spence</v>
          </cell>
        </row>
        <row r="814">
          <cell r="A814" t="str">
            <v>Annabelle</v>
          </cell>
          <cell r="C814">
            <v>0.11079608627973132</v>
          </cell>
          <cell r="E814" t="str">
            <v>Chadwick</v>
          </cell>
          <cell r="G814">
            <v>2.2820148358725763E-2</v>
          </cell>
          <cell r="I814" t="str">
            <v>Zamora</v>
          </cell>
        </row>
        <row r="815">
          <cell r="A815" t="str">
            <v>Louisa</v>
          </cell>
          <cell r="C815">
            <v>0.11066266399821027</v>
          </cell>
          <cell r="E815" t="str">
            <v>Wilburn</v>
          </cell>
          <cell r="G815">
            <v>2.2742415493270249E-2</v>
          </cell>
          <cell r="I815" t="str">
            <v>Yang</v>
          </cell>
        </row>
        <row r="816">
          <cell r="A816" t="str">
            <v>Earlene</v>
          </cell>
          <cell r="C816">
            <v>0.11052924171668919</v>
          </cell>
          <cell r="E816" t="str">
            <v>Russ</v>
          </cell>
          <cell r="G816">
            <v>2.266468262781474E-2</v>
          </cell>
          <cell r="I816" t="str">
            <v>Mcneil</v>
          </cell>
        </row>
        <row r="817">
          <cell r="A817" t="str">
            <v>Mallory</v>
          </cell>
          <cell r="C817">
            <v>0.11039581943516813</v>
          </cell>
          <cell r="E817" t="str">
            <v>Reid</v>
          </cell>
          <cell r="G817">
            <v>2.2586949762359223E-2</v>
          </cell>
          <cell r="I817" t="str">
            <v>Suarez</v>
          </cell>
        </row>
        <row r="818">
          <cell r="A818" t="str">
            <v>Carlene</v>
          </cell>
          <cell r="C818">
            <v>0.11026239715364705</v>
          </cell>
          <cell r="E818" t="str">
            <v>Myles</v>
          </cell>
          <cell r="G818">
            <v>2.2509216896903713E-2</v>
          </cell>
          <cell r="I818" t="str">
            <v>Case</v>
          </cell>
        </row>
        <row r="819">
          <cell r="A819" t="str">
            <v>Nita</v>
          </cell>
          <cell r="C819">
            <v>0.110128974872126</v>
          </cell>
          <cell r="E819" t="str">
            <v>Anderson</v>
          </cell>
          <cell r="G819">
            <v>2.2431484031448203E-2</v>
          </cell>
          <cell r="I819" t="str">
            <v>Petty</v>
          </cell>
        </row>
        <row r="820">
          <cell r="A820" t="str">
            <v>Selena</v>
          </cell>
          <cell r="C820">
            <v>0.10999555259060492</v>
          </cell>
          <cell r="E820" t="str">
            <v>Morton</v>
          </cell>
          <cell r="G820">
            <v>2.2353751165992686E-2</v>
          </cell>
          <cell r="I820" t="str">
            <v>Gould</v>
          </cell>
        </row>
        <row r="821">
          <cell r="A821" t="str">
            <v>Tanisha</v>
          </cell>
          <cell r="C821">
            <v>0.10986213030908384</v>
          </cell>
          <cell r="E821" t="str">
            <v>Jonas</v>
          </cell>
          <cell r="G821">
            <v>2.2276018300537177E-2</v>
          </cell>
          <cell r="I821" t="str">
            <v>Mcfarland</v>
          </cell>
        </row>
        <row r="822">
          <cell r="A822" t="str">
            <v>Katy</v>
          </cell>
          <cell r="C822">
            <v>0.10972870802756278</v>
          </cell>
          <cell r="E822" t="str">
            <v>Forest</v>
          </cell>
          <cell r="G822">
            <v>2.2198285435081663E-2</v>
          </cell>
          <cell r="I822" t="str">
            <v>Sampson</v>
          </cell>
        </row>
        <row r="823">
          <cell r="A823" t="str">
            <v>Julianne</v>
          </cell>
          <cell r="C823">
            <v>0.10959528574604172</v>
          </cell>
          <cell r="E823" t="str">
            <v>Mitchel</v>
          </cell>
          <cell r="G823">
            <v>2.2120552569626153E-2</v>
          </cell>
          <cell r="I823" t="str">
            <v>Carver</v>
          </cell>
        </row>
        <row r="824">
          <cell r="A824" t="str">
            <v>John</v>
          </cell>
          <cell r="C824">
            <v>0.10946186346452065</v>
          </cell>
          <cell r="E824" t="str">
            <v>Mervin</v>
          </cell>
          <cell r="G824">
            <v>2.2042819704170644E-2</v>
          </cell>
          <cell r="I824" t="str">
            <v>Bray</v>
          </cell>
        </row>
        <row r="825">
          <cell r="A825" t="str">
            <v>Lakisha</v>
          </cell>
          <cell r="C825">
            <v>0.10932844118299957</v>
          </cell>
          <cell r="E825" t="str">
            <v>Zane</v>
          </cell>
          <cell r="G825">
            <v>2.196508683871513E-2</v>
          </cell>
          <cell r="I825" t="str">
            <v>Rosario</v>
          </cell>
        </row>
        <row r="826">
          <cell r="A826" t="str">
            <v>Edwina</v>
          </cell>
          <cell r="C826">
            <v>0.10920613742493859</v>
          </cell>
          <cell r="E826" t="str">
            <v>Rich</v>
          </cell>
          <cell r="G826">
            <v>2.1887353973259617E-2</v>
          </cell>
          <cell r="I826" t="str">
            <v>Macdonald</v>
          </cell>
        </row>
        <row r="827">
          <cell r="A827" t="str">
            <v>Maricela</v>
          </cell>
          <cell r="C827">
            <v>0.10908383366687761</v>
          </cell>
          <cell r="E827" t="str">
            <v>Jamel</v>
          </cell>
          <cell r="G827">
            <v>2.1809621107804104E-2</v>
          </cell>
          <cell r="I827" t="str">
            <v>Stout</v>
          </cell>
        </row>
        <row r="828">
          <cell r="A828" t="str">
            <v>Margery</v>
          </cell>
          <cell r="C828">
            <v>0.10896152990881665</v>
          </cell>
          <cell r="E828" t="str">
            <v>Lazaro</v>
          </cell>
          <cell r="G828">
            <v>2.1731888242348594E-2</v>
          </cell>
          <cell r="I828" t="str">
            <v>Hester</v>
          </cell>
        </row>
        <row r="829">
          <cell r="A829" t="str">
            <v>Kenya</v>
          </cell>
          <cell r="C829">
            <v>0.10883922615075567</v>
          </cell>
          <cell r="E829" t="str">
            <v>Alphonse</v>
          </cell>
          <cell r="G829">
            <v>2.1654155376893081E-2</v>
          </cell>
          <cell r="I829" t="str">
            <v>Melendez</v>
          </cell>
        </row>
        <row r="830">
          <cell r="A830" t="str">
            <v>Dollie</v>
          </cell>
          <cell r="C830">
            <v>0.10871692239269469</v>
          </cell>
          <cell r="E830" t="str">
            <v>Randell</v>
          </cell>
          <cell r="G830">
            <v>2.1576422511437567E-2</v>
          </cell>
          <cell r="I830" t="str">
            <v>Dillon</v>
          </cell>
        </row>
        <row r="831">
          <cell r="A831" t="str">
            <v>Roxie</v>
          </cell>
          <cell r="C831">
            <v>0.10859461863463371</v>
          </cell>
          <cell r="E831" t="str">
            <v>Major</v>
          </cell>
          <cell r="G831">
            <v>2.1498689645982057E-2</v>
          </cell>
          <cell r="I831" t="str">
            <v>Farley</v>
          </cell>
        </row>
        <row r="832">
          <cell r="A832" t="str">
            <v>Roslyn</v>
          </cell>
          <cell r="C832">
            <v>0.10847231487657272</v>
          </cell>
          <cell r="E832" t="str">
            <v>Johnie</v>
          </cell>
          <cell r="G832">
            <v>2.1420956780526544E-2</v>
          </cell>
          <cell r="I832" t="str">
            <v>Hopper</v>
          </cell>
        </row>
        <row r="833">
          <cell r="A833" t="str">
            <v>Kathrine</v>
          </cell>
          <cell r="C833">
            <v>0.10835001111851177</v>
          </cell>
          <cell r="E833" t="str">
            <v>Jarrett</v>
          </cell>
          <cell r="G833">
            <v>2.1343223915071034E-2</v>
          </cell>
          <cell r="I833" t="str">
            <v>Galloway</v>
          </cell>
        </row>
        <row r="834">
          <cell r="A834" t="str">
            <v>Nanette</v>
          </cell>
          <cell r="C834">
            <v>0.10822770736045076</v>
          </cell>
          <cell r="E834" t="str">
            <v>Brooks</v>
          </cell>
          <cell r="G834">
            <v>2.1265491049615521E-2</v>
          </cell>
          <cell r="I834" t="str">
            <v>Potts</v>
          </cell>
        </row>
        <row r="835">
          <cell r="A835" t="str">
            <v>Charmaine</v>
          </cell>
          <cell r="C835">
            <v>0.10810540360238979</v>
          </cell>
          <cell r="E835" t="str">
            <v>Ariel</v>
          </cell>
          <cell r="G835">
            <v>2.1187758184160008E-2</v>
          </cell>
          <cell r="I835" t="str">
            <v>Bernard</v>
          </cell>
        </row>
        <row r="836">
          <cell r="A836" t="str">
            <v>Lavonne</v>
          </cell>
          <cell r="C836">
            <v>0.10798309984432881</v>
          </cell>
          <cell r="E836" t="str">
            <v>Abdul</v>
          </cell>
          <cell r="G836">
            <v>2.1110025318704494E-2</v>
          </cell>
          <cell r="I836" t="str">
            <v>Joyner</v>
          </cell>
        </row>
        <row r="837">
          <cell r="A837" t="str">
            <v>Ilene</v>
          </cell>
          <cell r="C837">
            <v>0.10786079608626783</v>
          </cell>
          <cell r="E837" t="str">
            <v>Dusty</v>
          </cell>
          <cell r="G837">
            <v>2.1032292453248981E-2</v>
          </cell>
          <cell r="I837" t="str">
            <v>Stein</v>
          </cell>
        </row>
        <row r="838">
          <cell r="A838" t="str">
            <v>Kris</v>
          </cell>
          <cell r="C838">
            <v>0.10773849232820686</v>
          </cell>
          <cell r="E838" t="str">
            <v>Luciano</v>
          </cell>
          <cell r="G838">
            <v>2.0954559587793471E-2</v>
          </cell>
          <cell r="I838" t="str">
            <v>Aguirre</v>
          </cell>
        </row>
        <row r="839">
          <cell r="A839" t="str">
            <v>Tammi</v>
          </cell>
          <cell r="C839">
            <v>0.10761618857014588</v>
          </cell>
          <cell r="E839" t="str">
            <v>Lindsey</v>
          </cell>
          <cell r="G839">
            <v>2.0876826722337961E-2</v>
          </cell>
          <cell r="I839" t="str">
            <v>Osborn</v>
          </cell>
        </row>
        <row r="840">
          <cell r="A840" t="str">
            <v>Suzette</v>
          </cell>
          <cell r="C840">
            <v>0.10749388481208488</v>
          </cell>
          <cell r="E840" t="str">
            <v>Tracey</v>
          </cell>
          <cell r="G840">
            <v>2.0799093856882448E-2</v>
          </cell>
          <cell r="I840" t="str">
            <v>Mercer</v>
          </cell>
        </row>
        <row r="841">
          <cell r="A841" t="str">
            <v>Corine</v>
          </cell>
          <cell r="C841">
            <v>0.10737158105402393</v>
          </cell>
          <cell r="E841" t="str">
            <v>Seymour</v>
          </cell>
          <cell r="G841">
            <v>2.0721360991426935E-2</v>
          </cell>
          <cell r="I841" t="str">
            <v>Bender</v>
          </cell>
        </row>
        <row r="842">
          <cell r="A842" t="str">
            <v>Kaye</v>
          </cell>
          <cell r="C842">
            <v>0.10724927729596294</v>
          </cell>
          <cell r="E842" t="str">
            <v>Scottie</v>
          </cell>
          <cell r="G842">
            <v>2.0643628125971421E-2</v>
          </cell>
          <cell r="I842" t="str">
            <v>Franco</v>
          </cell>
        </row>
        <row r="843">
          <cell r="A843" t="str">
            <v>Jerry</v>
          </cell>
          <cell r="C843">
            <v>0.10712697353790196</v>
          </cell>
          <cell r="E843" t="str">
            <v>Eugenio</v>
          </cell>
          <cell r="G843">
            <v>2.0565895260515912E-2</v>
          </cell>
          <cell r="I843" t="str">
            <v>Rowland</v>
          </cell>
        </row>
        <row r="844">
          <cell r="A844" t="str">
            <v>Merle</v>
          </cell>
          <cell r="C844">
            <v>0.10700466977984098</v>
          </cell>
          <cell r="E844" t="str">
            <v>Mohammed</v>
          </cell>
          <cell r="G844">
            <v>2.0488162395060398E-2</v>
          </cell>
          <cell r="I844" t="str">
            <v>Sykes</v>
          </cell>
        </row>
        <row r="845">
          <cell r="A845" t="str">
            <v>Chrystal</v>
          </cell>
          <cell r="C845">
            <v>0.10688236602178</v>
          </cell>
          <cell r="E845" t="str">
            <v>Sandy</v>
          </cell>
          <cell r="G845">
            <v>2.0410429529604885E-2</v>
          </cell>
          <cell r="I845" t="str">
            <v>Benjamin</v>
          </cell>
        </row>
        <row r="846">
          <cell r="A846" t="str">
            <v>Lina</v>
          </cell>
          <cell r="C846">
            <v>0.10676006226371901</v>
          </cell>
          <cell r="E846" t="str">
            <v>Valentin</v>
          </cell>
          <cell r="G846">
            <v>2.0332696664149375E-2</v>
          </cell>
          <cell r="I846" t="str">
            <v>Travis</v>
          </cell>
        </row>
        <row r="847">
          <cell r="A847" t="str">
            <v>Deanne</v>
          </cell>
          <cell r="C847">
            <v>0.10663775850565803</v>
          </cell>
          <cell r="E847" t="str">
            <v>Chance</v>
          </cell>
          <cell r="G847">
            <v>2.0254963798693862E-2</v>
          </cell>
          <cell r="I847" t="str">
            <v>Pickett</v>
          </cell>
        </row>
        <row r="848">
          <cell r="A848" t="str">
            <v>Lilian</v>
          </cell>
          <cell r="C848">
            <v>0.10651545474759704</v>
          </cell>
          <cell r="E848" t="str">
            <v>Arnulfo</v>
          </cell>
          <cell r="G848">
            <v>2.0177230933238352E-2</v>
          </cell>
          <cell r="I848" t="str">
            <v>Crane</v>
          </cell>
        </row>
        <row r="849">
          <cell r="A849" t="str">
            <v>Juliana</v>
          </cell>
          <cell r="C849">
            <v>0.10639315098953606</v>
          </cell>
          <cell r="E849" t="str">
            <v>Lucien</v>
          </cell>
          <cell r="G849">
            <v>2.0099498067782839E-2</v>
          </cell>
          <cell r="I849" t="str">
            <v>Sears</v>
          </cell>
        </row>
        <row r="850">
          <cell r="A850" t="str">
            <v>Aline</v>
          </cell>
          <cell r="C850">
            <v>0.10627084723147508</v>
          </cell>
          <cell r="E850" t="str">
            <v>Ferdinand</v>
          </cell>
          <cell r="G850">
            <v>2.0021765202327325E-2</v>
          </cell>
          <cell r="I850" t="str">
            <v>Mayo</v>
          </cell>
        </row>
        <row r="851">
          <cell r="A851" t="str">
            <v>Luann</v>
          </cell>
          <cell r="C851">
            <v>0.10614854347341411</v>
          </cell>
          <cell r="E851" t="str">
            <v>Thad</v>
          </cell>
          <cell r="G851">
            <v>1.9944032336871812E-2</v>
          </cell>
          <cell r="I851" t="str">
            <v>Dunlap</v>
          </cell>
        </row>
        <row r="852">
          <cell r="A852" t="str">
            <v>Kasey</v>
          </cell>
          <cell r="C852">
            <v>0.1060262397153531</v>
          </cell>
          <cell r="E852" t="str">
            <v>Ezra</v>
          </cell>
          <cell r="G852">
            <v>1.9866299471416299E-2</v>
          </cell>
          <cell r="I852" t="str">
            <v>Hayden</v>
          </cell>
        </row>
        <row r="853">
          <cell r="A853" t="str">
            <v>Maryanne</v>
          </cell>
          <cell r="C853">
            <v>0.10590393595729214</v>
          </cell>
          <cell r="E853" t="str">
            <v>Sydney</v>
          </cell>
          <cell r="G853">
            <v>1.9788566605960789E-2</v>
          </cell>
          <cell r="I853" t="str">
            <v>Wilder</v>
          </cell>
        </row>
        <row r="854">
          <cell r="A854" t="str">
            <v>Evangeline</v>
          </cell>
          <cell r="C854">
            <v>0.10578163219923116</v>
          </cell>
          <cell r="E854" t="str">
            <v>Aldo</v>
          </cell>
          <cell r="G854">
            <v>1.9710833740505279E-2</v>
          </cell>
          <cell r="I854" t="str">
            <v>Mckay</v>
          </cell>
        </row>
        <row r="855">
          <cell r="A855" t="str">
            <v>Colette</v>
          </cell>
          <cell r="C855">
            <v>0.10565932844117018</v>
          </cell>
          <cell r="E855" t="str">
            <v>Rubin</v>
          </cell>
          <cell r="G855">
            <v>1.9633100875049766E-2</v>
          </cell>
          <cell r="I855" t="str">
            <v>Coffey</v>
          </cell>
        </row>
        <row r="856">
          <cell r="A856" t="str">
            <v>Melva</v>
          </cell>
          <cell r="C856">
            <v>0.10553702468310919</v>
          </cell>
          <cell r="E856" t="str">
            <v>Royal</v>
          </cell>
          <cell r="G856">
            <v>1.9566472704659325E-2</v>
          </cell>
          <cell r="I856" t="str">
            <v>Mccarty</v>
          </cell>
        </row>
        <row r="857">
          <cell r="A857" t="str">
            <v>Lawanda</v>
          </cell>
          <cell r="C857">
            <v>0.10541472092504821</v>
          </cell>
          <cell r="E857" t="str">
            <v>Mitch</v>
          </cell>
          <cell r="G857">
            <v>1.9499844534268885E-2</v>
          </cell>
          <cell r="I857" t="str">
            <v>Ewing</v>
          </cell>
        </row>
        <row r="858">
          <cell r="A858" t="str">
            <v>Yesenia</v>
          </cell>
          <cell r="C858">
            <v>0.10529241716698721</v>
          </cell>
          <cell r="E858" t="str">
            <v>Earle</v>
          </cell>
          <cell r="G858">
            <v>1.9433216363878448E-2</v>
          </cell>
          <cell r="I858" t="str">
            <v>Cooley</v>
          </cell>
        </row>
        <row r="859">
          <cell r="A859" t="str">
            <v>Nadia</v>
          </cell>
          <cell r="C859">
            <v>0.10517011340892624</v>
          </cell>
          <cell r="E859" t="str">
            <v>Abe</v>
          </cell>
          <cell r="G859">
            <v>1.9366588193488007E-2</v>
          </cell>
          <cell r="I859" t="str">
            <v>Vaughan</v>
          </cell>
        </row>
        <row r="860">
          <cell r="A860" t="str">
            <v>Madge</v>
          </cell>
          <cell r="C860">
            <v>0.10504780965086526</v>
          </cell>
          <cell r="E860" t="str">
            <v>Wyatt</v>
          </cell>
          <cell r="G860">
            <v>1.929996002309757E-2</v>
          </cell>
          <cell r="I860" t="str">
            <v>Bonner</v>
          </cell>
        </row>
        <row r="861">
          <cell r="A861" t="str">
            <v>Kathie</v>
          </cell>
          <cell r="C861">
            <v>0.10492550589280429</v>
          </cell>
          <cell r="E861" t="str">
            <v>Marquis</v>
          </cell>
          <cell r="G861">
            <v>1.9233331852707133E-2</v>
          </cell>
          <cell r="I861" t="str">
            <v>Cotton</v>
          </cell>
        </row>
        <row r="862">
          <cell r="A862" t="str">
            <v>Eddie</v>
          </cell>
          <cell r="C862">
            <v>0.10480320213474328</v>
          </cell>
          <cell r="E862" t="str">
            <v>Lanny</v>
          </cell>
          <cell r="G862">
            <v>1.9166703682316693E-2</v>
          </cell>
          <cell r="I862" t="str">
            <v>Holder</v>
          </cell>
        </row>
        <row r="863">
          <cell r="A863" t="str">
            <v>Ophelia</v>
          </cell>
          <cell r="C863">
            <v>0.10468089837668232</v>
          </cell>
          <cell r="E863" t="str">
            <v>Kareem</v>
          </cell>
          <cell r="G863">
            <v>1.9100075511926252E-2</v>
          </cell>
          <cell r="I863" t="str">
            <v>Stark</v>
          </cell>
        </row>
        <row r="864">
          <cell r="A864" t="str">
            <v>Valeria</v>
          </cell>
          <cell r="C864">
            <v>0.10455859461862134</v>
          </cell>
          <cell r="E864" t="str">
            <v>Jamar</v>
          </cell>
          <cell r="G864">
            <v>1.9033447341535812E-2</v>
          </cell>
          <cell r="I864" t="str">
            <v>Ferrell</v>
          </cell>
        </row>
        <row r="865">
          <cell r="A865" t="str">
            <v>Nona</v>
          </cell>
          <cell r="C865">
            <v>0.10443629086056036</v>
          </cell>
          <cell r="E865" t="str">
            <v>Boris</v>
          </cell>
          <cell r="G865">
            <v>1.8966819171145375E-2</v>
          </cell>
          <cell r="I865" t="str">
            <v>Cantrell</v>
          </cell>
        </row>
        <row r="866">
          <cell r="A866" t="str">
            <v>Mitzi</v>
          </cell>
          <cell r="C866">
            <v>0.10431398710249937</v>
          </cell>
          <cell r="E866" t="str">
            <v>Isiah</v>
          </cell>
          <cell r="G866">
            <v>1.8900191000754938E-2</v>
          </cell>
          <cell r="I866" t="str">
            <v>Fulton</v>
          </cell>
        </row>
        <row r="867">
          <cell r="A867" t="str">
            <v>Mari</v>
          </cell>
          <cell r="C867">
            <v>0.10419168334443839</v>
          </cell>
          <cell r="E867" t="str">
            <v>Emile</v>
          </cell>
          <cell r="G867">
            <v>1.8833562830364498E-2</v>
          </cell>
          <cell r="I867" t="str">
            <v>Lynn</v>
          </cell>
        </row>
        <row r="868">
          <cell r="A868" t="str">
            <v>Georgette</v>
          </cell>
          <cell r="C868">
            <v>0.10406937958637739</v>
          </cell>
          <cell r="E868" t="str">
            <v>Elmo</v>
          </cell>
          <cell r="G868">
            <v>1.8766934659974057E-2</v>
          </cell>
          <cell r="I868" t="str">
            <v>Lott</v>
          </cell>
        </row>
        <row r="869">
          <cell r="A869" t="str">
            <v>Claudine</v>
          </cell>
          <cell r="C869">
            <v>0.10394707582831643</v>
          </cell>
          <cell r="E869" t="str">
            <v>Aron</v>
          </cell>
          <cell r="G869">
            <v>1.8700306489583617E-2</v>
          </cell>
          <cell r="I869" t="str">
            <v>Calderon</v>
          </cell>
        </row>
        <row r="870">
          <cell r="A870" t="str">
            <v>Fran</v>
          </cell>
          <cell r="C870">
            <v>0.10382477207025546</v>
          </cell>
          <cell r="E870" t="str">
            <v>Leopoldo</v>
          </cell>
          <cell r="G870">
            <v>1.863367831919318E-2</v>
          </cell>
          <cell r="I870" t="str">
            <v>Rosa</v>
          </cell>
        </row>
        <row r="871">
          <cell r="A871" t="str">
            <v>Alissa</v>
          </cell>
          <cell r="C871">
            <v>0.10370246831219448</v>
          </cell>
          <cell r="E871" t="str">
            <v>Everette</v>
          </cell>
          <cell r="G871">
            <v>1.8567050148802743E-2</v>
          </cell>
          <cell r="I871" t="str">
            <v>Pollard</v>
          </cell>
        </row>
        <row r="872">
          <cell r="A872" t="str">
            <v>Roseann</v>
          </cell>
          <cell r="C872">
            <v>0.10358016455413351</v>
          </cell>
          <cell r="E872" t="str">
            <v>Josef</v>
          </cell>
          <cell r="G872">
            <v>1.8500421978412302E-2</v>
          </cell>
          <cell r="I872" t="str">
            <v>Hooper</v>
          </cell>
        </row>
        <row r="873">
          <cell r="A873" t="str">
            <v>Lakeisha</v>
          </cell>
          <cell r="C873">
            <v>0.10346897931953263</v>
          </cell>
          <cell r="E873" t="str">
            <v>Gail</v>
          </cell>
          <cell r="G873">
            <v>1.8433793808021862E-2</v>
          </cell>
          <cell r="I873" t="str">
            <v>Burch</v>
          </cell>
        </row>
        <row r="874">
          <cell r="A874" t="str">
            <v>Susanna</v>
          </cell>
          <cell r="C874">
            <v>0.10335779408493175</v>
          </cell>
          <cell r="E874" t="str">
            <v>Eloy</v>
          </cell>
          <cell r="G874">
            <v>1.8367165637631421E-2</v>
          </cell>
          <cell r="I874" t="str">
            <v>Mullen</v>
          </cell>
        </row>
        <row r="875">
          <cell r="A875" t="str">
            <v>Reva</v>
          </cell>
          <cell r="C875">
            <v>0.10324660885033086</v>
          </cell>
          <cell r="E875" t="str">
            <v>Dorian</v>
          </cell>
          <cell r="G875">
            <v>1.8300537467240981E-2</v>
          </cell>
          <cell r="I875" t="str">
            <v>Fry</v>
          </cell>
        </row>
        <row r="876">
          <cell r="A876" t="str">
            <v>Deidre</v>
          </cell>
          <cell r="C876">
            <v>0.10313542361572998</v>
          </cell>
          <cell r="E876" t="str">
            <v>Rodrick</v>
          </cell>
          <cell r="G876">
            <v>1.823390929685054E-2</v>
          </cell>
          <cell r="I876" t="str">
            <v>Riddle</v>
          </cell>
        </row>
        <row r="877">
          <cell r="A877" t="str">
            <v>Chasity</v>
          </cell>
          <cell r="C877">
            <v>0.10302423838112912</v>
          </cell>
          <cell r="E877" t="str">
            <v>Reinaldo</v>
          </cell>
          <cell r="G877">
            <v>1.81672811264601E-2</v>
          </cell>
          <cell r="I877" t="str">
            <v>Levy</v>
          </cell>
        </row>
        <row r="878">
          <cell r="A878" t="str">
            <v>Sheree</v>
          </cell>
          <cell r="C878">
            <v>0.10291305314652824</v>
          </cell>
          <cell r="E878" t="str">
            <v>Lucio</v>
          </cell>
          <cell r="G878">
            <v>1.8100652956069659E-2</v>
          </cell>
          <cell r="I878" t="str">
            <v>David</v>
          </cell>
        </row>
        <row r="879">
          <cell r="A879" t="str">
            <v>Carly</v>
          </cell>
          <cell r="C879">
            <v>0.10280186791192736</v>
          </cell>
          <cell r="E879" t="str">
            <v>Jerrod</v>
          </cell>
          <cell r="G879">
            <v>1.8034024785679219E-2</v>
          </cell>
          <cell r="I879" t="str">
            <v>Duke</v>
          </cell>
        </row>
        <row r="880">
          <cell r="A880" t="str">
            <v>James</v>
          </cell>
          <cell r="C880">
            <v>0.10269068267732645</v>
          </cell>
          <cell r="E880" t="str">
            <v>Weston</v>
          </cell>
          <cell r="G880">
            <v>1.7967396615288778E-2</v>
          </cell>
          <cell r="I880" t="str">
            <v>Odonnell</v>
          </cell>
        </row>
        <row r="881">
          <cell r="A881" t="str">
            <v>Elvia</v>
          </cell>
          <cell r="C881">
            <v>0.10257949744272558</v>
          </cell>
          <cell r="E881" t="str">
            <v>Hershel</v>
          </cell>
          <cell r="G881">
            <v>1.7900768444898338E-2</v>
          </cell>
          <cell r="I881" t="str">
            <v>Guy</v>
          </cell>
        </row>
        <row r="882">
          <cell r="A882" t="str">
            <v>Alyce</v>
          </cell>
          <cell r="C882">
            <v>0.10246831220812484</v>
          </cell>
          <cell r="E882" t="str">
            <v>Barton</v>
          </cell>
          <cell r="G882">
            <v>1.7834140274507897E-2</v>
          </cell>
          <cell r="I882" t="str">
            <v>Michael</v>
          </cell>
        </row>
        <row r="883">
          <cell r="A883" t="str">
            <v>Deirdre</v>
          </cell>
          <cell r="C883">
            <v>0.1023571269735241</v>
          </cell>
          <cell r="E883" t="str">
            <v>Parker</v>
          </cell>
          <cell r="G883">
            <v>1.7767512104117457E-2</v>
          </cell>
          <cell r="I883" t="str">
            <v>Britt</v>
          </cell>
        </row>
        <row r="884">
          <cell r="A884" t="str">
            <v>Gena</v>
          </cell>
          <cell r="C884">
            <v>0.10224594173892336</v>
          </cell>
          <cell r="E884" t="str">
            <v>Lemuel</v>
          </cell>
          <cell r="G884">
            <v>1.7700883933727016E-2</v>
          </cell>
          <cell r="I884" t="str">
            <v>Frederick</v>
          </cell>
        </row>
        <row r="885">
          <cell r="A885" t="str">
            <v>Briana</v>
          </cell>
          <cell r="C885">
            <v>0.10213475650432263</v>
          </cell>
          <cell r="E885" t="str">
            <v>Lavern</v>
          </cell>
          <cell r="G885">
            <v>1.7634255763336576E-2</v>
          </cell>
          <cell r="I885" t="str">
            <v>Daugherty</v>
          </cell>
        </row>
        <row r="886">
          <cell r="A886" t="str">
            <v>Araceli</v>
          </cell>
          <cell r="C886">
            <v>0.10202357126972189</v>
          </cell>
          <cell r="E886" t="str">
            <v>Burt</v>
          </cell>
          <cell r="G886">
            <v>1.7567627592946135E-2</v>
          </cell>
          <cell r="I886" t="str">
            <v>Berger</v>
          </cell>
        </row>
        <row r="887">
          <cell r="A887" t="str">
            <v>Katelyn</v>
          </cell>
          <cell r="C887">
            <v>0.10191238603512115</v>
          </cell>
          <cell r="E887" t="str">
            <v>Jules</v>
          </cell>
          <cell r="G887">
            <v>1.7500999422555695E-2</v>
          </cell>
          <cell r="I887" t="str">
            <v>Dillard</v>
          </cell>
        </row>
        <row r="888">
          <cell r="A888" t="str">
            <v>Rosanne</v>
          </cell>
          <cell r="C888">
            <v>0.10180120080052044</v>
          </cell>
          <cell r="E888" t="str">
            <v>Gil</v>
          </cell>
          <cell r="G888">
            <v>1.7434371252165255E-2</v>
          </cell>
          <cell r="I888" t="str">
            <v>Alston</v>
          </cell>
        </row>
        <row r="889">
          <cell r="A889" t="str">
            <v>Wendi</v>
          </cell>
          <cell r="C889">
            <v>0.10169001556591969</v>
          </cell>
          <cell r="E889" t="str">
            <v>Eliseo</v>
          </cell>
          <cell r="G889">
            <v>1.7367743081774814E-2</v>
          </cell>
          <cell r="I889" t="str">
            <v>Jarvis</v>
          </cell>
        </row>
        <row r="890">
          <cell r="A890" t="str">
            <v>Tessa</v>
          </cell>
          <cell r="C890">
            <v>0.10157883033131895</v>
          </cell>
          <cell r="E890" t="str">
            <v>Ahmad</v>
          </cell>
          <cell r="G890">
            <v>1.7301114911384374E-2</v>
          </cell>
          <cell r="I890" t="str">
            <v>Frye</v>
          </cell>
        </row>
        <row r="891">
          <cell r="A891" t="str">
            <v>Berta</v>
          </cell>
          <cell r="C891">
            <v>0.10146764509671824</v>
          </cell>
          <cell r="E891" t="str">
            <v>Nigel</v>
          </cell>
          <cell r="G891">
            <v>1.7234486740993933E-2</v>
          </cell>
          <cell r="I891" t="str">
            <v>Riggs</v>
          </cell>
        </row>
        <row r="892">
          <cell r="A892" t="str">
            <v>Marva</v>
          </cell>
          <cell r="C892">
            <v>0.1013564598621175</v>
          </cell>
          <cell r="E892" t="str">
            <v>Efren</v>
          </cell>
          <cell r="G892">
            <v>1.7167858570603493E-2</v>
          </cell>
          <cell r="I892" t="str">
            <v>Chaney</v>
          </cell>
        </row>
        <row r="893">
          <cell r="A893" t="str">
            <v>Imelda</v>
          </cell>
          <cell r="C893">
            <v>0.10124527462751676</v>
          </cell>
          <cell r="E893" t="str">
            <v>Antwan</v>
          </cell>
          <cell r="G893">
            <v>1.7101230400213052E-2</v>
          </cell>
          <cell r="I893" t="str">
            <v>Odom</v>
          </cell>
        </row>
        <row r="894">
          <cell r="A894" t="str">
            <v>Marietta</v>
          </cell>
          <cell r="C894">
            <v>0.10113408939291602</v>
          </cell>
          <cell r="E894" t="str">
            <v>Alden</v>
          </cell>
          <cell r="G894">
            <v>1.7034602229822612E-2</v>
          </cell>
          <cell r="I894" t="str">
            <v>Duffy</v>
          </cell>
        </row>
        <row r="895">
          <cell r="A895" t="str">
            <v>Marci</v>
          </cell>
          <cell r="C895">
            <v>0.10102290415831529</v>
          </cell>
          <cell r="E895" t="str">
            <v>Margarito</v>
          </cell>
          <cell r="G895">
            <v>1.6967974059432171E-2</v>
          </cell>
          <cell r="I895" t="str">
            <v>Fitzpatrick</v>
          </cell>
        </row>
        <row r="896">
          <cell r="A896" t="str">
            <v>Leonor</v>
          </cell>
          <cell r="C896">
            <v>0.10091171892371455</v>
          </cell>
          <cell r="E896" t="str">
            <v>Coleman</v>
          </cell>
          <cell r="G896">
            <v>1.6901345889041731E-2</v>
          </cell>
          <cell r="I896" t="str">
            <v>Valenzuela</v>
          </cell>
        </row>
        <row r="897">
          <cell r="A897" t="str">
            <v>Arline</v>
          </cell>
          <cell r="C897">
            <v>0.10080053368911383</v>
          </cell>
          <cell r="E897" t="str">
            <v>Refugio</v>
          </cell>
          <cell r="G897">
            <v>1.683471771865129E-2</v>
          </cell>
          <cell r="I897" t="str">
            <v>Merrill</v>
          </cell>
        </row>
        <row r="898">
          <cell r="A898" t="str">
            <v>Sasha</v>
          </cell>
          <cell r="C898">
            <v>0.10068934845451309</v>
          </cell>
          <cell r="E898" t="str">
            <v>Dino</v>
          </cell>
          <cell r="G898">
            <v>1.676808954826085E-2</v>
          </cell>
          <cell r="I898" t="str">
            <v>Mayer</v>
          </cell>
        </row>
        <row r="899">
          <cell r="A899" t="str">
            <v>Madelyn</v>
          </cell>
          <cell r="C899">
            <v>0.10057816321991235</v>
          </cell>
          <cell r="E899" t="str">
            <v>Osvaldo</v>
          </cell>
          <cell r="G899">
            <v>1.6701461377870409E-2</v>
          </cell>
          <cell r="I899" t="str">
            <v>Alford</v>
          </cell>
        </row>
        <row r="900">
          <cell r="A900" t="str">
            <v>Janna</v>
          </cell>
          <cell r="C900">
            <v>0.10046697798531161</v>
          </cell>
          <cell r="E900" t="str">
            <v>Les</v>
          </cell>
          <cell r="G900">
            <v>1.6634833207479969E-2</v>
          </cell>
          <cell r="I900" t="str">
            <v>Mcpherson</v>
          </cell>
        </row>
        <row r="901">
          <cell r="A901" t="str">
            <v>Juliette</v>
          </cell>
          <cell r="C901">
            <v>0.1003557927507109</v>
          </cell>
          <cell r="E901" t="str">
            <v>Deandre</v>
          </cell>
          <cell r="G901">
            <v>1.6568205037089528E-2</v>
          </cell>
          <cell r="I901" t="str">
            <v>Acevedo</v>
          </cell>
        </row>
        <row r="902">
          <cell r="A902" t="str">
            <v>Deena</v>
          </cell>
          <cell r="C902">
            <v>0.10024460751611015</v>
          </cell>
          <cell r="E902" t="str">
            <v>Normand</v>
          </cell>
          <cell r="G902">
            <v>1.6501576866699088E-2</v>
          </cell>
          <cell r="I902" t="str">
            <v>Donovan</v>
          </cell>
        </row>
        <row r="903">
          <cell r="A903" t="str">
            <v>Aurelia</v>
          </cell>
          <cell r="C903">
            <v>0.10013342228150941</v>
          </cell>
          <cell r="E903" t="str">
            <v>Kieth</v>
          </cell>
          <cell r="G903">
            <v>1.6434948696308647E-2</v>
          </cell>
          <cell r="I903" t="str">
            <v>Barrera</v>
          </cell>
        </row>
        <row r="904">
          <cell r="A904" t="str">
            <v>Josefa</v>
          </cell>
          <cell r="C904">
            <v>0.10002223704690869</v>
          </cell>
          <cell r="E904" t="str">
            <v>Ivory</v>
          </cell>
          <cell r="G904">
            <v>1.6368320525918207E-2</v>
          </cell>
          <cell r="I904" t="str">
            <v>Albert</v>
          </cell>
        </row>
        <row r="905">
          <cell r="A905" t="str">
            <v>Augusta</v>
          </cell>
          <cell r="C905">
            <v>9.9911051812307944E-2</v>
          </cell>
          <cell r="E905" t="str">
            <v>Andrea</v>
          </cell>
          <cell r="G905">
            <v>1.6301692355527767E-2</v>
          </cell>
          <cell r="I905" t="str">
            <v>Cote</v>
          </cell>
        </row>
        <row r="906">
          <cell r="A906" t="str">
            <v>Liliana</v>
          </cell>
          <cell r="C906">
            <v>9.9799866577707202E-2</v>
          </cell>
          <cell r="E906" t="str">
            <v>Trey</v>
          </cell>
          <cell r="G906">
            <v>1.6235064185137326E-2</v>
          </cell>
          <cell r="I906" t="str">
            <v>Reilly</v>
          </cell>
        </row>
        <row r="907">
          <cell r="A907" t="str">
            <v>Young</v>
          </cell>
          <cell r="C907">
            <v>9.9688681343106489E-2</v>
          </cell>
          <cell r="E907" t="str">
            <v>Norberto</v>
          </cell>
          <cell r="G907">
            <v>1.6168436014746886E-2</v>
          </cell>
          <cell r="I907" t="str">
            <v>Compton</v>
          </cell>
        </row>
        <row r="908">
          <cell r="A908" t="str">
            <v>Christian</v>
          </cell>
          <cell r="C908">
            <v>9.9577496108505748E-2</v>
          </cell>
          <cell r="E908" t="str">
            <v>Napoleon</v>
          </cell>
          <cell r="G908">
            <v>1.6101807844356445E-2</v>
          </cell>
          <cell r="I908" t="str">
            <v>Raymond</v>
          </cell>
        </row>
        <row r="909">
          <cell r="A909" t="str">
            <v>Lessie</v>
          </cell>
          <cell r="C909">
            <v>9.9466310873905006E-2</v>
          </cell>
          <cell r="E909" t="str">
            <v>Jerold</v>
          </cell>
          <cell r="G909">
            <v>1.6035179673966005E-2</v>
          </cell>
          <cell r="I909" t="str">
            <v>Mooney</v>
          </cell>
        </row>
        <row r="910">
          <cell r="A910" t="str">
            <v>Amalia</v>
          </cell>
          <cell r="C910">
            <v>9.9355125639304293E-2</v>
          </cell>
          <cell r="E910" t="str">
            <v>Fritz</v>
          </cell>
          <cell r="G910">
            <v>1.5968551503575564E-2</v>
          </cell>
          <cell r="I910" t="str">
            <v>Mcgowan</v>
          </cell>
        </row>
        <row r="911">
          <cell r="A911" t="str">
            <v>Savannah</v>
          </cell>
          <cell r="C911">
            <v>9.9243940404703551E-2</v>
          </cell>
          <cell r="E911" t="str">
            <v>Rosendo</v>
          </cell>
          <cell r="G911">
            <v>1.5901923333185124E-2</v>
          </cell>
          <cell r="I911" t="str">
            <v>Craft</v>
          </cell>
        </row>
        <row r="912">
          <cell r="A912" t="str">
            <v>Anastasia</v>
          </cell>
          <cell r="C912">
            <v>9.913275517010281E-2</v>
          </cell>
          <cell r="E912" t="str">
            <v>Milford</v>
          </cell>
          <cell r="G912">
            <v>1.5835295162794683E-2</v>
          </cell>
          <cell r="I912" t="str">
            <v>Cleveland</v>
          </cell>
        </row>
        <row r="913">
          <cell r="A913" t="str">
            <v>Vilma</v>
          </cell>
          <cell r="C913">
            <v>9.9021569935502082E-2</v>
          </cell>
          <cell r="E913" t="str">
            <v>Sang</v>
          </cell>
          <cell r="G913">
            <v>1.5768666992404243E-2</v>
          </cell>
          <cell r="I913" t="str">
            <v>Clemons</v>
          </cell>
        </row>
        <row r="914">
          <cell r="A914" t="str">
            <v>Natalia</v>
          </cell>
          <cell r="C914">
            <v>9.8910384700901341E-2</v>
          </cell>
          <cell r="E914" t="str">
            <v>Deon</v>
          </cell>
          <cell r="G914">
            <v>1.5702038822013802E-2</v>
          </cell>
          <cell r="I914" t="str">
            <v>Wynn</v>
          </cell>
        </row>
        <row r="915">
          <cell r="A915" t="str">
            <v>Rosella</v>
          </cell>
          <cell r="C915">
            <v>9.8799199466300627E-2</v>
          </cell>
          <cell r="E915" t="str">
            <v>Christoper</v>
          </cell>
          <cell r="G915">
            <v>1.5635410651623362E-2</v>
          </cell>
          <cell r="I915" t="str">
            <v>Nielsen</v>
          </cell>
        </row>
        <row r="916">
          <cell r="A916" t="str">
            <v>Lynnette</v>
          </cell>
          <cell r="C916">
            <v>9.86880142316999E-2</v>
          </cell>
          <cell r="E916" t="str">
            <v>Alfonzo</v>
          </cell>
          <cell r="G916">
            <v>1.5568782481232921E-2</v>
          </cell>
          <cell r="I916" t="str">
            <v>Baird</v>
          </cell>
        </row>
        <row r="917">
          <cell r="A917" t="str">
            <v>Corina</v>
          </cell>
          <cell r="C917">
            <v>9.8576828997099186E-2</v>
          </cell>
          <cell r="E917" t="str">
            <v>Lyman</v>
          </cell>
          <cell r="G917">
            <v>1.5502154310842481E-2</v>
          </cell>
          <cell r="I917" t="str">
            <v>Stanton</v>
          </cell>
        </row>
        <row r="918">
          <cell r="A918" t="str">
            <v>Alfreda</v>
          </cell>
          <cell r="C918">
            <v>9.8465643762498445E-2</v>
          </cell>
          <cell r="E918" t="str">
            <v>Josiah</v>
          </cell>
          <cell r="G918">
            <v>1.543552614045204E-2</v>
          </cell>
          <cell r="I918" t="str">
            <v>Snider</v>
          </cell>
        </row>
        <row r="919">
          <cell r="A919" t="str">
            <v>Leanna</v>
          </cell>
          <cell r="C919">
            <v>9.8365577051357803E-2</v>
          </cell>
          <cell r="E919" t="str">
            <v>Brant</v>
          </cell>
          <cell r="G919">
            <v>1.53688979700616E-2</v>
          </cell>
          <cell r="I919" t="str">
            <v>Rosales</v>
          </cell>
        </row>
        <row r="920">
          <cell r="A920" t="str">
            <v>Carey</v>
          </cell>
          <cell r="C920">
            <v>9.8265510340217133E-2</v>
          </cell>
          <cell r="E920" t="str">
            <v>Wilton</v>
          </cell>
          <cell r="G920">
            <v>1.5302269799671159E-2</v>
          </cell>
          <cell r="I920" t="str">
            <v>Bright</v>
          </cell>
        </row>
        <row r="921">
          <cell r="A921" t="str">
            <v>Amparo</v>
          </cell>
          <cell r="C921">
            <v>9.816544362907649E-2</v>
          </cell>
          <cell r="E921" t="str">
            <v>Rico</v>
          </cell>
          <cell r="G921">
            <v>1.5235641629280719E-2</v>
          </cell>
          <cell r="I921" t="str">
            <v>Witt</v>
          </cell>
        </row>
        <row r="922">
          <cell r="A922" t="str">
            <v>Coleen</v>
          </cell>
          <cell r="C922">
            <v>9.8065376917935834E-2</v>
          </cell>
          <cell r="E922" t="str">
            <v>Jamaal</v>
          </cell>
          <cell r="G922">
            <v>1.5169013458890278E-2</v>
          </cell>
          <cell r="I922" t="str">
            <v>Stuart</v>
          </cell>
        </row>
        <row r="923">
          <cell r="A923" t="str">
            <v>Tamra</v>
          </cell>
          <cell r="C923">
            <v>9.7965310206795192E-2</v>
          </cell>
          <cell r="E923" t="str">
            <v>Dewitt</v>
          </cell>
          <cell r="G923">
            <v>1.5102385288499838E-2</v>
          </cell>
          <cell r="I923" t="str">
            <v>Hays</v>
          </cell>
        </row>
        <row r="924">
          <cell r="A924" t="str">
            <v>Aisha</v>
          </cell>
          <cell r="C924">
            <v>9.7865243495654522E-2</v>
          </cell>
          <cell r="E924" t="str">
            <v>Carol</v>
          </cell>
          <cell r="G924">
            <v>1.5035757118109398E-2</v>
          </cell>
          <cell r="I924" t="str">
            <v>Holden</v>
          </cell>
        </row>
        <row r="925">
          <cell r="A925" t="str">
            <v>Wilda</v>
          </cell>
          <cell r="C925">
            <v>9.7765176784513866E-2</v>
          </cell>
          <cell r="E925" t="str">
            <v>Brenton</v>
          </cell>
          <cell r="G925">
            <v>1.4969128947718957E-2</v>
          </cell>
          <cell r="I925" t="str">
            <v>Rutledge</v>
          </cell>
        </row>
        <row r="926">
          <cell r="A926" t="str">
            <v>Karyn</v>
          </cell>
          <cell r="C926">
            <v>9.7665110073373224E-2</v>
          </cell>
          <cell r="E926" t="str">
            <v>Yong</v>
          </cell>
          <cell r="G926">
            <v>1.4902500777328517E-2</v>
          </cell>
          <cell r="I926" t="str">
            <v>Kinney</v>
          </cell>
        </row>
        <row r="927">
          <cell r="A927" t="str">
            <v>Cherry</v>
          </cell>
          <cell r="C927">
            <v>9.7565043362232554E-2</v>
          </cell>
          <cell r="E927" t="str">
            <v>Olin</v>
          </cell>
          <cell r="G927">
            <v>1.4835872606938076E-2</v>
          </cell>
          <cell r="I927" t="str">
            <v>Clements</v>
          </cell>
        </row>
        <row r="928">
          <cell r="A928" t="str">
            <v>Queen</v>
          </cell>
          <cell r="C928">
            <v>9.7464976651091911E-2</v>
          </cell>
          <cell r="E928" t="str">
            <v>Foster</v>
          </cell>
          <cell r="G928">
            <v>1.4769244436547636E-2</v>
          </cell>
          <cell r="I928" t="str">
            <v>Castaneda</v>
          </cell>
        </row>
        <row r="929">
          <cell r="A929" t="str">
            <v>Maura</v>
          </cell>
          <cell r="C929">
            <v>9.7364909939951255E-2</v>
          </cell>
          <cell r="E929" t="str">
            <v>Faustino</v>
          </cell>
          <cell r="G929">
            <v>1.4702616266157195E-2</v>
          </cell>
          <cell r="I929" t="str">
            <v>Slater</v>
          </cell>
        </row>
        <row r="930">
          <cell r="A930" t="str">
            <v>Mai</v>
          </cell>
          <cell r="C930">
            <v>9.7264843228810599E-2</v>
          </cell>
          <cell r="E930" t="str">
            <v>Claudio</v>
          </cell>
          <cell r="G930">
            <v>1.4635988095766755E-2</v>
          </cell>
          <cell r="I930" t="str">
            <v>Hahn</v>
          </cell>
        </row>
        <row r="931">
          <cell r="A931" t="str">
            <v>Evangelina</v>
          </cell>
          <cell r="C931">
            <v>9.7164776517669957E-2</v>
          </cell>
          <cell r="E931" t="str">
            <v>Judson</v>
          </cell>
          <cell r="G931">
            <v>1.4569359925376314E-2</v>
          </cell>
          <cell r="I931" t="str">
            <v>Emerson</v>
          </cell>
        </row>
        <row r="932">
          <cell r="A932" t="str">
            <v>Rosanna</v>
          </cell>
          <cell r="C932">
            <v>9.7064709806529287E-2</v>
          </cell>
          <cell r="E932" t="str">
            <v>Gino</v>
          </cell>
          <cell r="G932">
            <v>1.4502731754985874E-2</v>
          </cell>
          <cell r="I932" t="str">
            <v>Conrad</v>
          </cell>
        </row>
        <row r="933">
          <cell r="A933" t="str">
            <v>Hallie</v>
          </cell>
          <cell r="C933">
            <v>9.6964643095388645E-2</v>
          </cell>
          <cell r="E933" t="str">
            <v>Edgardo</v>
          </cell>
          <cell r="G933">
            <v>1.4436103584595433E-2</v>
          </cell>
          <cell r="I933" t="str">
            <v>Burks</v>
          </cell>
        </row>
        <row r="934">
          <cell r="A934" t="str">
            <v>Erna</v>
          </cell>
          <cell r="C934">
            <v>9.6864576384247988E-2</v>
          </cell>
          <cell r="E934" t="str">
            <v>Berry</v>
          </cell>
          <cell r="G934">
            <v>1.4369475414204993E-2</v>
          </cell>
          <cell r="I934" t="str">
            <v>Delaney</v>
          </cell>
        </row>
        <row r="935">
          <cell r="A935" t="str">
            <v>Enid</v>
          </cell>
          <cell r="C935">
            <v>9.6764509673107346E-2</v>
          </cell>
          <cell r="E935" t="str">
            <v>Alec</v>
          </cell>
          <cell r="G935">
            <v>1.4302847243814552E-2</v>
          </cell>
          <cell r="I935" t="str">
            <v>Pate</v>
          </cell>
        </row>
        <row r="936">
          <cell r="A936" t="str">
            <v>Mariana</v>
          </cell>
          <cell r="C936">
            <v>9.6664442961966676E-2</v>
          </cell>
          <cell r="E936" t="str">
            <v>Tanner</v>
          </cell>
          <cell r="G936">
            <v>1.4236219073424112E-2</v>
          </cell>
          <cell r="I936" t="str">
            <v>Lancaster</v>
          </cell>
        </row>
        <row r="937">
          <cell r="A937" t="str">
            <v>Lacy</v>
          </cell>
          <cell r="C937">
            <v>9.6564376250826034E-2</v>
          </cell>
          <cell r="E937" t="str">
            <v>Jarred</v>
          </cell>
          <cell r="G937">
            <v>1.4169590903033671E-2</v>
          </cell>
          <cell r="I937" t="str">
            <v>Sweet</v>
          </cell>
        </row>
        <row r="938">
          <cell r="A938" t="str">
            <v>Juliet</v>
          </cell>
          <cell r="C938">
            <v>9.6464309539685378E-2</v>
          </cell>
          <cell r="E938" t="str">
            <v>Donn</v>
          </cell>
          <cell r="G938">
            <v>1.4102962732643231E-2</v>
          </cell>
          <cell r="I938" t="str">
            <v>Justice</v>
          </cell>
        </row>
        <row r="939">
          <cell r="A939" t="str">
            <v>Jacklyn</v>
          </cell>
          <cell r="C939">
            <v>9.6364242828544736E-2</v>
          </cell>
          <cell r="E939" t="str">
            <v>Trinidad</v>
          </cell>
          <cell r="G939">
            <v>1.403633456225279E-2</v>
          </cell>
          <cell r="I939" t="str">
            <v>Tyson</v>
          </cell>
        </row>
        <row r="940">
          <cell r="A940" t="str">
            <v>Freida</v>
          </cell>
          <cell r="C940">
            <v>9.6264176117404066E-2</v>
          </cell>
          <cell r="E940" t="str">
            <v>Tad</v>
          </cell>
          <cell r="G940">
            <v>1.3980811086927425E-2</v>
          </cell>
          <cell r="I940" t="str">
            <v>Sharpe</v>
          </cell>
        </row>
        <row r="941">
          <cell r="A941" t="str">
            <v>Madeleine</v>
          </cell>
          <cell r="C941">
            <v>9.6164109406263409E-2</v>
          </cell>
          <cell r="E941" t="str">
            <v>Shirley</v>
          </cell>
          <cell r="G941">
            <v>1.3925287611602055E-2</v>
          </cell>
          <cell r="I941" t="str">
            <v>Whitfield</v>
          </cell>
        </row>
        <row r="942">
          <cell r="A942" t="str">
            <v>Mara</v>
          </cell>
          <cell r="C942">
            <v>9.6064042695122767E-2</v>
          </cell>
          <cell r="E942" t="str">
            <v>Prince</v>
          </cell>
          <cell r="G942">
            <v>1.3869764136276689E-2</v>
          </cell>
          <cell r="I942" t="str">
            <v>Talley</v>
          </cell>
        </row>
        <row r="943">
          <cell r="A943" t="str">
            <v>Hester</v>
          </cell>
          <cell r="C943">
            <v>9.5963975983982125E-2</v>
          </cell>
          <cell r="E943" t="str">
            <v>Porfirio</v>
          </cell>
          <cell r="G943">
            <v>1.3814240660951322E-2</v>
          </cell>
          <cell r="I943" t="str">
            <v>Macias</v>
          </cell>
        </row>
        <row r="944">
          <cell r="A944" t="str">
            <v>Cathryn</v>
          </cell>
          <cell r="C944">
            <v>9.5863909272841455E-2</v>
          </cell>
          <cell r="E944" t="str">
            <v>Odis</v>
          </cell>
          <cell r="G944">
            <v>1.3758717185625956E-2</v>
          </cell>
          <cell r="I944" t="str">
            <v>Irwin</v>
          </cell>
        </row>
        <row r="945">
          <cell r="A945" t="str">
            <v>Lelia</v>
          </cell>
          <cell r="C945">
            <v>9.5763842561700799E-2</v>
          </cell>
          <cell r="E945" t="str">
            <v>Maria</v>
          </cell>
          <cell r="G945">
            <v>1.3703193710300588E-2</v>
          </cell>
          <cell r="I945" t="str">
            <v>Burris</v>
          </cell>
        </row>
        <row r="946">
          <cell r="A946" t="str">
            <v>Casandra</v>
          </cell>
          <cell r="C946">
            <v>9.5663775850560157E-2</v>
          </cell>
          <cell r="E946" t="str">
            <v>Lenard</v>
          </cell>
          <cell r="G946">
            <v>1.3647670234975222E-2</v>
          </cell>
          <cell r="I946" t="str">
            <v>Ratliff</v>
          </cell>
        </row>
        <row r="947">
          <cell r="A947" t="str">
            <v>Bridgett</v>
          </cell>
          <cell r="C947">
            <v>9.5563709139419514E-2</v>
          </cell>
          <cell r="E947" t="str">
            <v>Chauncey</v>
          </cell>
          <cell r="G947">
            <v>1.3592146759649853E-2</v>
          </cell>
          <cell r="I947" t="str">
            <v>Mccray</v>
          </cell>
        </row>
        <row r="948">
          <cell r="A948" t="str">
            <v>Angelita</v>
          </cell>
          <cell r="C948">
            <v>9.5463642428278844E-2</v>
          </cell>
          <cell r="E948" t="str">
            <v>Chang</v>
          </cell>
          <cell r="G948">
            <v>1.3536623284324487E-2</v>
          </cell>
          <cell r="I948" t="str">
            <v>Madden</v>
          </cell>
        </row>
        <row r="949">
          <cell r="A949" t="str">
            <v>Jannie</v>
          </cell>
          <cell r="C949">
            <v>9.5363575717138188E-2</v>
          </cell>
          <cell r="E949" t="str">
            <v>Tod</v>
          </cell>
          <cell r="G949">
            <v>1.3481099808999119E-2</v>
          </cell>
          <cell r="I949" t="str">
            <v>Kaufman</v>
          </cell>
        </row>
        <row r="950">
          <cell r="A950" t="str">
            <v>Dionne</v>
          </cell>
          <cell r="C950">
            <v>9.5263509005997518E-2</v>
          </cell>
          <cell r="E950" t="str">
            <v>Mel</v>
          </cell>
          <cell r="G950">
            <v>1.3425576333673753E-2</v>
          </cell>
          <cell r="I950" t="str">
            <v>Beach</v>
          </cell>
        </row>
        <row r="951">
          <cell r="A951" t="str">
            <v>Annmarie</v>
          </cell>
          <cell r="C951">
            <v>9.5163442294856876E-2</v>
          </cell>
          <cell r="E951" t="str">
            <v>Marcelo</v>
          </cell>
          <cell r="G951">
            <v>1.3370052858348386E-2</v>
          </cell>
          <cell r="I951" t="str">
            <v>Goff</v>
          </cell>
        </row>
        <row r="952">
          <cell r="A952" t="str">
            <v>Katina</v>
          </cell>
          <cell r="C952">
            <v>9.5063375583716234E-2</v>
          </cell>
          <cell r="E952" t="str">
            <v>Kory</v>
          </cell>
          <cell r="G952">
            <v>1.331452938302302E-2</v>
          </cell>
          <cell r="I952" t="str">
            <v>Cash</v>
          </cell>
        </row>
        <row r="953">
          <cell r="A953" t="str">
            <v>Beryl</v>
          </cell>
          <cell r="C953">
            <v>9.4963308872575578E-2</v>
          </cell>
          <cell r="E953" t="str">
            <v>Augustus</v>
          </cell>
          <cell r="G953">
            <v>1.325900590769765E-2</v>
          </cell>
          <cell r="I953" t="str">
            <v>Bolton</v>
          </cell>
        </row>
        <row r="954">
          <cell r="A954" t="str">
            <v>Phoebe</v>
          </cell>
          <cell r="C954">
            <v>9.4863242161434908E-2</v>
          </cell>
          <cell r="E954" t="str">
            <v>Keven</v>
          </cell>
          <cell r="G954">
            <v>1.3203482432372285E-2</v>
          </cell>
          <cell r="I954" t="str">
            <v>Mcfadden</v>
          </cell>
        </row>
        <row r="955">
          <cell r="A955" t="str">
            <v>Millicent</v>
          </cell>
          <cell r="C955">
            <v>9.4763175450294265E-2</v>
          </cell>
          <cell r="E955" t="str">
            <v>Hilario</v>
          </cell>
          <cell r="G955">
            <v>1.3147958957046917E-2</v>
          </cell>
          <cell r="I955" t="str">
            <v>Levine</v>
          </cell>
        </row>
        <row r="956">
          <cell r="A956" t="str">
            <v>Katheryn</v>
          </cell>
          <cell r="C956">
            <v>9.4663108739153623E-2</v>
          </cell>
          <cell r="E956" t="str">
            <v>Bud</v>
          </cell>
          <cell r="G956">
            <v>1.3092435481721551E-2</v>
          </cell>
          <cell r="I956" t="str">
            <v>Good</v>
          </cell>
        </row>
        <row r="957">
          <cell r="A957" t="str">
            <v>Diann</v>
          </cell>
          <cell r="C957">
            <v>9.4563042028012967E-2</v>
          </cell>
          <cell r="E957" t="str">
            <v>Sal</v>
          </cell>
          <cell r="G957">
            <v>1.3036912006396183E-2</v>
          </cell>
          <cell r="I957" t="str">
            <v>Byers</v>
          </cell>
        </row>
        <row r="958">
          <cell r="A958" t="str">
            <v>Carissa</v>
          </cell>
          <cell r="C958">
            <v>9.4462975316872325E-2</v>
          </cell>
          <cell r="E958" t="str">
            <v>Rosario</v>
          </cell>
          <cell r="G958">
            <v>1.2981388531070817E-2</v>
          </cell>
          <cell r="I958" t="str">
            <v>Kirkland</v>
          </cell>
        </row>
        <row r="959">
          <cell r="A959" t="str">
            <v>Maryellen</v>
          </cell>
          <cell r="C959">
            <v>9.4362908605731655E-2</v>
          </cell>
          <cell r="E959" t="str">
            <v>Orval</v>
          </cell>
          <cell r="G959">
            <v>1.2925865055745448E-2</v>
          </cell>
          <cell r="I959" t="str">
            <v>Kidd</v>
          </cell>
        </row>
        <row r="960">
          <cell r="A960" t="str">
            <v>Liz</v>
          </cell>
          <cell r="C960">
            <v>9.4262841894591012E-2</v>
          </cell>
          <cell r="E960" t="str">
            <v>Mauro</v>
          </cell>
          <cell r="G960">
            <v>1.2870341580420082E-2</v>
          </cell>
          <cell r="I960" t="str">
            <v>Workman</v>
          </cell>
        </row>
        <row r="961">
          <cell r="A961" t="str">
            <v>Lauri</v>
          </cell>
          <cell r="C961">
            <v>9.4162775183450356E-2</v>
          </cell>
          <cell r="E961" t="str">
            <v>Dannie</v>
          </cell>
          <cell r="G961">
            <v>1.2814818105094715E-2</v>
          </cell>
          <cell r="I961" t="str">
            <v>Carney</v>
          </cell>
        </row>
        <row r="962">
          <cell r="A962" t="str">
            <v>Helga</v>
          </cell>
          <cell r="C962">
            <v>9.4062708472309714E-2</v>
          </cell>
          <cell r="E962" t="str">
            <v>Zachariah</v>
          </cell>
          <cell r="G962">
            <v>1.2759294629769349E-2</v>
          </cell>
          <cell r="I962" t="str">
            <v>Dale</v>
          </cell>
        </row>
        <row r="963">
          <cell r="A963" t="str">
            <v>Gilda</v>
          </cell>
          <cell r="C963">
            <v>9.3962641761169058E-2</v>
          </cell>
          <cell r="E963" t="str">
            <v>Olen</v>
          </cell>
          <cell r="G963">
            <v>1.2703771154443981E-2</v>
          </cell>
          <cell r="I963" t="str">
            <v>Mcleod</v>
          </cell>
        </row>
        <row r="964">
          <cell r="A964" t="str">
            <v>Adrian</v>
          </cell>
          <cell r="C964">
            <v>9.3862575050028416E-2</v>
          </cell>
          <cell r="E964" t="str">
            <v>Anibal</v>
          </cell>
          <cell r="G964">
            <v>1.2648247679118615E-2</v>
          </cell>
          <cell r="I964" t="str">
            <v>Holcomb</v>
          </cell>
        </row>
        <row r="965">
          <cell r="A965" t="str">
            <v>Rhea</v>
          </cell>
          <cell r="C965">
            <v>9.3762508338887746E-2</v>
          </cell>
          <cell r="E965" t="str">
            <v>Milo</v>
          </cell>
          <cell r="G965">
            <v>1.2592724203793246E-2</v>
          </cell>
          <cell r="I965" t="str">
            <v>England</v>
          </cell>
        </row>
        <row r="966">
          <cell r="A966" t="str">
            <v>Marquita</v>
          </cell>
          <cell r="C966">
            <v>9.3662441627747103E-2</v>
          </cell>
          <cell r="E966" t="str">
            <v>Jed</v>
          </cell>
          <cell r="G966">
            <v>1.253720072846788E-2</v>
          </cell>
          <cell r="I966" t="str">
            <v>Finch</v>
          </cell>
        </row>
        <row r="967">
          <cell r="A967" t="str">
            <v>Hollie</v>
          </cell>
          <cell r="C967">
            <v>9.3562374916606447E-2</v>
          </cell>
          <cell r="E967" t="str">
            <v>Frances</v>
          </cell>
          <cell r="G967">
            <v>1.2481677253142512E-2</v>
          </cell>
          <cell r="I967" t="str">
            <v>Head</v>
          </cell>
        </row>
        <row r="968">
          <cell r="A968" t="str">
            <v>Tisha</v>
          </cell>
          <cell r="C968">
            <v>9.3462308205465805E-2</v>
          </cell>
          <cell r="E968" t="str">
            <v>Thanh</v>
          </cell>
          <cell r="G968">
            <v>1.2426153777817146E-2</v>
          </cell>
          <cell r="I968" t="str">
            <v>Burt</v>
          </cell>
        </row>
        <row r="969">
          <cell r="A969" t="str">
            <v>Tamera</v>
          </cell>
          <cell r="C969">
            <v>9.3362241494325135E-2</v>
          </cell>
          <cell r="E969" t="str">
            <v>Dillon</v>
          </cell>
          <cell r="G969">
            <v>1.2370630302491779E-2</v>
          </cell>
          <cell r="I969" t="str">
            <v>Hendrix</v>
          </cell>
        </row>
        <row r="970">
          <cell r="A970" t="str">
            <v>Angelique</v>
          </cell>
          <cell r="C970">
            <v>9.3262174783184493E-2</v>
          </cell>
          <cell r="E970" t="str">
            <v>Amado</v>
          </cell>
          <cell r="G970">
            <v>1.2315106827166413E-2</v>
          </cell>
          <cell r="I970" t="str">
            <v>Sosa</v>
          </cell>
        </row>
        <row r="971">
          <cell r="A971" t="str">
            <v>Francesca</v>
          </cell>
          <cell r="C971">
            <v>9.3162108072043837E-2</v>
          </cell>
          <cell r="E971" t="str">
            <v>Newton</v>
          </cell>
          <cell r="G971">
            <v>1.2259583351841043E-2</v>
          </cell>
          <cell r="I971" t="str">
            <v>Haney</v>
          </cell>
        </row>
        <row r="972">
          <cell r="A972" t="str">
            <v>Britney</v>
          </cell>
          <cell r="C972">
            <v>9.3062041360903167E-2</v>
          </cell>
          <cell r="E972" t="str">
            <v>Connie</v>
          </cell>
          <cell r="G972">
            <v>1.2204059876515677E-2</v>
          </cell>
          <cell r="I972" t="str">
            <v>Franks</v>
          </cell>
        </row>
        <row r="973">
          <cell r="A973" t="str">
            <v>Kaitlin</v>
          </cell>
          <cell r="C973">
            <v>9.296197464976251E-2</v>
          </cell>
          <cell r="E973" t="str">
            <v>Lenny</v>
          </cell>
          <cell r="G973">
            <v>1.214853640119031E-2</v>
          </cell>
          <cell r="I973" t="str">
            <v>Sargent</v>
          </cell>
        </row>
        <row r="974">
          <cell r="A974" t="str">
            <v>Lolita</v>
          </cell>
          <cell r="C974">
            <v>9.286190793862184E-2</v>
          </cell>
          <cell r="E974" t="str">
            <v>Tory</v>
          </cell>
          <cell r="G974">
            <v>1.2093012925864944E-2</v>
          </cell>
          <cell r="I974" t="str">
            <v>Nieves</v>
          </cell>
        </row>
        <row r="975">
          <cell r="A975" t="str">
            <v>Florine</v>
          </cell>
          <cell r="C975">
            <v>9.2761841227481184E-2</v>
          </cell>
          <cell r="E975" t="str">
            <v>Richie</v>
          </cell>
          <cell r="G975">
            <v>1.2037489450539576E-2</v>
          </cell>
          <cell r="I975" t="str">
            <v>Downs</v>
          </cell>
        </row>
        <row r="976">
          <cell r="A976" t="str">
            <v>Rowena</v>
          </cell>
          <cell r="C976">
            <v>9.2661774516340514E-2</v>
          </cell>
          <cell r="E976" t="str">
            <v>Lupe</v>
          </cell>
          <cell r="G976">
            <v>1.198196597521421E-2</v>
          </cell>
          <cell r="I976" t="str">
            <v>Rasmussen</v>
          </cell>
        </row>
        <row r="977">
          <cell r="A977" t="str">
            <v>Reyna</v>
          </cell>
          <cell r="C977">
            <v>9.2561707805199858E-2</v>
          </cell>
          <cell r="E977" t="str">
            <v>Horacio</v>
          </cell>
          <cell r="G977">
            <v>1.1926442499888841E-2</v>
          </cell>
          <cell r="I977" t="str">
            <v>Bird</v>
          </cell>
        </row>
        <row r="978">
          <cell r="A978" t="str">
            <v>Twila</v>
          </cell>
          <cell r="C978">
            <v>9.2461641094059188E-2</v>
          </cell>
          <cell r="E978" t="str">
            <v>Brice</v>
          </cell>
          <cell r="G978">
            <v>1.1870919024563475E-2</v>
          </cell>
          <cell r="I978" t="str">
            <v>Hewitt</v>
          </cell>
        </row>
        <row r="979">
          <cell r="A979" t="str">
            <v>Fanny</v>
          </cell>
          <cell r="C979">
            <v>9.2361574382918532E-2</v>
          </cell>
          <cell r="E979" t="str">
            <v>Mohamed</v>
          </cell>
          <cell r="G979">
            <v>1.1815395549238107E-2</v>
          </cell>
          <cell r="I979" t="str">
            <v>Lindsay</v>
          </cell>
        </row>
        <row r="980">
          <cell r="A980" t="str">
            <v>Janell</v>
          </cell>
          <cell r="C980">
            <v>9.2261507671777876E-2</v>
          </cell>
          <cell r="E980" t="str">
            <v>Delmer</v>
          </cell>
          <cell r="G980">
            <v>1.1759872073912742E-2</v>
          </cell>
          <cell r="I980" t="str">
            <v>Le</v>
          </cell>
        </row>
        <row r="981">
          <cell r="A981" t="str">
            <v>Ines</v>
          </cell>
          <cell r="C981">
            <v>9.2161440960637206E-2</v>
          </cell>
          <cell r="E981" t="str">
            <v>Dario</v>
          </cell>
          <cell r="G981">
            <v>1.1704348598587374E-2</v>
          </cell>
          <cell r="I981" t="str">
            <v>Foreman</v>
          </cell>
        </row>
        <row r="982">
          <cell r="A982" t="str">
            <v>Concetta</v>
          </cell>
          <cell r="C982">
            <v>9.206137424949655E-2</v>
          </cell>
          <cell r="E982" t="str">
            <v>Reyes</v>
          </cell>
          <cell r="G982">
            <v>1.1648825123262008E-2</v>
          </cell>
          <cell r="I982" t="str">
            <v>Valencia</v>
          </cell>
        </row>
        <row r="983">
          <cell r="A983" t="str">
            <v>Bertie</v>
          </cell>
          <cell r="C983">
            <v>9.196130753835588E-2</v>
          </cell>
          <cell r="E983" t="str">
            <v>Dee</v>
          </cell>
          <cell r="G983">
            <v>1.1593301647936639E-2</v>
          </cell>
          <cell r="I983" t="str">
            <v>Oneil</v>
          </cell>
        </row>
        <row r="984">
          <cell r="A984" t="str">
            <v>Alba</v>
          </cell>
          <cell r="C984">
            <v>9.1861240827215196E-2</v>
          </cell>
          <cell r="E984" t="str">
            <v>Mac</v>
          </cell>
          <cell r="G984">
            <v>1.1537778172611273E-2</v>
          </cell>
          <cell r="I984" t="str">
            <v>Delacruz</v>
          </cell>
        </row>
        <row r="985">
          <cell r="A985" t="str">
            <v>Brigitte</v>
          </cell>
          <cell r="C985">
            <v>9.176117411607454E-2</v>
          </cell>
          <cell r="E985" t="str">
            <v>Jonah</v>
          </cell>
          <cell r="G985">
            <v>1.1482254697285905E-2</v>
          </cell>
          <cell r="I985" t="str">
            <v>Vinson</v>
          </cell>
        </row>
        <row r="986">
          <cell r="A986" t="str">
            <v>Alyson</v>
          </cell>
          <cell r="C986">
            <v>9.166110740493387E-2</v>
          </cell>
          <cell r="E986" t="str">
            <v>Jerrold</v>
          </cell>
          <cell r="G986">
            <v>1.1426731221960539E-2</v>
          </cell>
          <cell r="I986" t="str">
            <v>Dejesus</v>
          </cell>
        </row>
        <row r="987">
          <cell r="A987" t="str">
            <v>Vonda</v>
          </cell>
          <cell r="C987">
            <v>9.1561040693793214E-2</v>
          </cell>
          <cell r="E987" t="str">
            <v>Robt</v>
          </cell>
          <cell r="G987">
            <v>1.1371207746635172E-2</v>
          </cell>
          <cell r="I987" t="str">
            <v>Hyde</v>
          </cell>
        </row>
        <row r="988">
          <cell r="A988" t="str">
            <v>Pansy</v>
          </cell>
          <cell r="C988">
            <v>9.1472092506112629E-2</v>
          </cell>
          <cell r="E988" t="str">
            <v>Hank</v>
          </cell>
          <cell r="G988">
            <v>1.1315684271309806E-2</v>
          </cell>
          <cell r="I988" t="str">
            <v>Forbes</v>
          </cell>
        </row>
        <row r="989">
          <cell r="A989" t="str">
            <v>Elba</v>
          </cell>
          <cell r="C989">
            <v>9.1383144318432044E-2</v>
          </cell>
          <cell r="E989" t="str">
            <v>Sung</v>
          </cell>
          <cell r="G989">
            <v>1.1260160795984436E-2</v>
          </cell>
          <cell r="I989" t="str">
            <v>Gilliam</v>
          </cell>
        </row>
        <row r="990">
          <cell r="A990" t="str">
            <v>Noelle</v>
          </cell>
          <cell r="C990">
            <v>9.1294196130751445E-2</v>
          </cell>
          <cell r="E990" t="str">
            <v>Rupert</v>
          </cell>
          <cell r="G990">
            <v>1.120463732065907E-2</v>
          </cell>
          <cell r="I990" t="str">
            <v>Guthrie</v>
          </cell>
        </row>
        <row r="991">
          <cell r="A991" t="str">
            <v>Letitia</v>
          </cell>
          <cell r="C991">
            <v>9.1205247943070861E-2</v>
          </cell>
          <cell r="E991" t="str">
            <v>Rolland</v>
          </cell>
          <cell r="G991">
            <v>1.1149113845333703E-2</v>
          </cell>
          <cell r="I991" t="str">
            <v>Wooten</v>
          </cell>
        </row>
        <row r="992">
          <cell r="A992" t="str">
            <v>Kitty</v>
          </cell>
          <cell r="C992">
            <v>9.1116299755390248E-2</v>
          </cell>
          <cell r="E992" t="str">
            <v>Kenton</v>
          </cell>
          <cell r="G992">
            <v>1.1093590370008337E-2</v>
          </cell>
          <cell r="I992" t="str">
            <v>Huber</v>
          </cell>
        </row>
        <row r="993">
          <cell r="A993" t="str">
            <v>Deann</v>
          </cell>
          <cell r="C993">
            <v>9.1027351567709663E-2</v>
          </cell>
          <cell r="E993" t="str">
            <v>Damion</v>
          </cell>
          <cell r="G993">
            <v>1.1038066894682969E-2</v>
          </cell>
          <cell r="I993" t="str">
            <v>Barlow</v>
          </cell>
        </row>
        <row r="994">
          <cell r="A994" t="str">
            <v>Brandie</v>
          </cell>
          <cell r="C994">
            <v>9.0938403380029079E-2</v>
          </cell>
          <cell r="E994" t="str">
            <v>Chi</v>
          </cell>
          <cell r="G994">
            <v>1.0982543419357603E-2</v>
          </cell>
          <cell r="I994" t="str">
            <v>Boyle</v>
          </cell>
        </row>
        <row r="995">
          <cell r="A995" t="str">
            <v>Louella</v>
          </cell>
          <cell r="C995">
            <v>9.084945519234848E-2</v>
          </cell>
          <cell r="E995" t="str">
            <v>Antone</v>
          </cell>
          <cell r="G995">
            <v>1.0927019944032236E-2</v>
          </cell>
          <cell r="I995" t="str">
            <v>Mcmahon</v>
          </cell>
        </row>
        <row r="996">
          <cell r="A996" t="str">
            <v>Leta</v>
          </cell>
          <cell r="C996">
            <v>9.0760507004667895E-2</v>
          </cell>
          <cell r="E996" t="str">
            <v>Waldo</v>
          </cell>
          <cell r="G996">
            <v>1.0871496468706868E-2</v>
          </cell>
          <cell r="I996" t="str">
            <v>Buckner</v>
          </cell>
        </row>
        <row r="997">
          <cell r="A997" t="str">
            <v>Felecia</v>
          </cell>
          <cell r="C997">
            <v>9.0671558816987297E-2</v>
          </cell>
          <cell r="E997" t="str">
            <v>Fredric</v>
          </cell>
          <cell r="G997">
            <v>1.0815972993381502E-2</v>
          </cell>
          <cell r="I997" t="str">
            <v>Rocha</v>
          </cell>
        </row>
        <row r="998">
          <cell r="A998" t="str">
            <v>Sharlene</v>
          </cell>
          <cell r="C998">
            <v>9.0582610629306712E-2</v>
          </cell>
          <cell r="E998" t="str">
            <v>Bradly</v>
          </cell>
          <cell r="G998">
            <v>1.0760449518056135E-2</v>
          </cell>
          <cell r="I998" t="str">
            <v>Puckett</v>
          </cell>
        </row>
        <row r="999">
          <cell r="A999" t="str">
            <v>Lesa</v>
          </cell>
          <cell r="C999">
            <v>9.0493662441626099E-2</v>
          </cell>
          <cell r="E999" t="str">
            <v>Quinn</v>
          </cell>
          <cell r="G999">
            <v>1.0704926042730767E-2</v>
          </cell>
          <cell r="I999" t="str">
            <v>Langley</v>
          </cell>
        </row>
        <row r="1000">
          <cell r="A1000" t="str">
            <v>Beverley</v>
          </cell>
          <cell r="C1000">
            <v>9.0404714253945515E-2</v>
          </cell>
          <cell r="E1000" t="str">
            <v>Kip</v>
          </cell>
          <cell r="G1000">
            <v>1.0649402567405401E-2</v>
          </cell>
          <cell r="I1000" t="str">
            <v>Knowles</v>
          </cell>
        </row>
        <row r="1001">
          <cell r="A1001" t="str">
            <v>Robert</v>
          </cell>
          <cell r="C1001">
            <v>9.031576606626493E-2</v>
          </cell>
          <cell r="E1001" t="str">
            <v>Burl</v>
          </cell>
          <cell r="G1001">
            <v>1.0593879092080033E-2</v>
          </cell>
          <cell r="I1001" t="str">
            <v>Cooke</v>
          </cell>
        </row>
        <row r="1002">
          <cell r="A1002" t="str">
            <v>Isabella</v>
          </cell>
          <cell r="C1002">
            <v>9.0226817878584331E-2</v>
          </cell>
          <cell r="E1002" t="str">
            <v>Walker</v>
          </cell>
          <cell r="G1002">
            <v>1.0538355616754666E-2</v>
          </cell>
          <cell r="I1002" t="str">
            <v>Velazquez</v>
          </cell>
        </row>
        <row r="1003">
          <cell r="A1003" t="str">
            <v>Herminia</v>
          </cell>
          <cell r="C1003">
            <v>9.0137869690903746E-2</v>
          </cell>
          <cell r="E1003" t="str">
            <v>Tyree</v>
          </cell>
          <cell r="G1003">
            <v>1.04828321414293E-2</v>
          </cell>
          <cell r="I1003" t="str">
            <v>Whitley</v>
          </cell>
        </row>
        <row r="1004">
          <cell r="A1004" t="str">
            <v>Terra</v>
          </cell>
          <cell r="C1004">
            <v>9.0048921503223148E-2</v>
          </cell>
          <cell r="E1004" t="str">
            <v>Jefferey</v>
          </cell>
          <cell r="G1004">
            <v>1.0427308666103932E-2</v>
          </cell>
          <cell r="I1004" t="str">
            <v>Noel</v>
          </cell>
        </row>
        <row r="1005">
          <cell r="A1005" t="str">
            <v>Celina</v>
          </cell>
          <cell r="C1005">
            <v>8.9959973315542563E-2</v>
          </cell>
          <cell r="E1005" t="str">
            <v>Ahmed</v>
          </cell>
          <cell r="G1005">
            <v>1.0371785190778565E-2</v>
          </cell>
          <cell r="I1005" t="str">
            <v>Vang</v>
          </cell>
        </row>
        <row r="1006">
          <cell r="A1006" t="str">
            <v>Tori</v>
          </cell>
          <cell r="C1006">
            <v>8.987102512786195E-2</v>
          </cell>
          <cell r="E1006" t="str">
            <v>Willy</v>
          </cell>
          <cell r="G1006">
            <v>1.0316261715453199E-2</v>
          </cell>
          <cell r="I1006" t="str">
            <v>Shea</v>
          </cell>
        </row>
        <row r="1007">
          <cell r="A1007" t="str">
            <v>Octavia</v>
          </cell>
          <cell r="C1007">
            <v>8.9782076940181366E-2</v>
          </cell>
          <cell r="E1007" t="str">
            <v>Stanford</v>
          </cell>
          <cell r="G1007">
            <v>1.0260738240127831E-2</v>
          </cell>
          <cell r="I1007" t="str">
            <v>Rouse</v>
          </cell>
        </row>
        <row r="1008">
          <cell r="A1008" t="str">
            <v>Jade</v>
          </cell>
          <cell r="C1008">
            <v>8.9693128752500781E-2</v>
          </cell>
          <cell r="E1008" t="str">
            <v>Oren</v>
          </cell>
          <cell r="G1008">
            <v>1.0205214764802463E-2</v>
          </cell>
          <cell r="I1008" t="str">
            <v>Hartley</v>
          </cell>
        </row>
        <row r="1009">
          <cell r="A1009" t="str">
            <v>Denice</v>
          </cell>
          <cell r="C1009">
            <v>8.9604180564820182E-2</v>
          </cell>
          <cell r="E1009" t="str">
            <v>Noble</v>
          </cell>
          <cell r="G1009">
            <v>1.0149691289477097E-2</v>
          </cell>
          <cell r="I1009" t="str">
            <v>Mayfield</v>
          </cell>
        </row>
        <row r="1010">
          <cell r="A1010" t="str">
            <v>Germaine</v>
          </cell>
          <cell r="C1010">
            <v>8.9515232377139597E-2</v>
          </cell>
          <cell r="E1010" t="str">
            <v>Moshe</v>
          </cell>
          <cell r="G1010">
            <v>1.009416781415173E-2</v>
          </cell>
          <cell r="I1010" t="str">
            <v>Elder</v>
          </cell>
        </row>
        <row r="1011">
          <cell r="A1011" t="str">
            <v>Sierra</v>
          </cell>
          <cell r="C1011">
            <v>8.9426284189458985E-2</v>
          </cell>
          <cell r="E1011" t="str">
            <v>Mikel</v>
          </cell>
          <cell r="G1011">
            <v>1.0038644338826362E-2</v>
          </cell>
          <cell r="I1011" t="str">
            <v>Rankin</v>
          </cell>
        </row>
        <row r="1012">
          <cell r="A1012" t="str">
            <v>Michell</v>
          </cell>
          <cell r="C1012">
            <v>8.9337336001778414E-2</v>
          </cell>
          <cell r="E1012" t="str">
            <v>Enoch</v>
          </cell>
          <cell r="G1012">
            <v>9.9831208635009962E-3</v>
          </cell>
          <cell r="I1012" t="str">
            <v>Hanna</v>
          </cell>
        </row>
        <row r="1013">
          <cell r="A1013" t="str">
            <v>Cortney</v>
          </cell>
          <cell r="C1013">
            <v>8.9248387814097802E-2</v>
          </cell>
          <cell r="E1013" t="str">
            <v>Brendon</v>
          </cell>
          <cell r="G1013">
            <v>9.9275973881756286E-3</v>
          </cell>
          <cell r="I1013" t="str">
            <v>Cowan</v>
          </cell>
        </row>
        <row r="1014">
          <cell r="A1014" t="str">
            <v>Nelly</v>
          </cell>
          <cell r="C1014">
            <v>8.9159439626417217E-2</v>
          </cell>
          <cell r="E1014" t="str">
            <v>Quintin</v>
          </cell>
          <cell r="G1014">
            <v>9.872073912850261E-3</v>
          </cell>
          <cell r="I1014" t="str">
            <v>Lucero</v>
          </cell>
        </row>
        <row r="1015">
          <cell r="A1015" t="str">
            <v>Doretha</v>
          </cell>
          <cell r="C1015">
            <v>8.9070491438736632E-2</v>
          </cell>
          <cell r="E1015" t="str">
            <v>Jamison</v>
          </cell>
          <cell r="G1015">
            <v>9.8165504375248951E-3</v>
          </cell>
          <cell r="I1015" t="str">
            <v>Arroyo</v>
          </cell>
        </row>
        <row r="1016">
          <cell r="A1016" t="str">
            <v>Sydney</v>
          </cell>
          <cell r="C1016">
            <v>8.8981543251056033E-2</v>
          </cell>
          <cell r="E1016" t="str">
            <v>Florencio</v>
          </cell>
          <cell r="G1016">
            <v>9.7610269621995274E-3</v>
          </cell>
          <cell r="I1016" t="str">
            <v>Slaughter</v>
          </cell>
        </row>
        <row r="1017">
          <cell r="A1017" t="str">
            <v>Deidra</v>
          </cell>
          <cell r="C1017">
            <v>8.8892595063375393E-2</v>
          </cell>
          <cell r="E1017" t="str">
            <v>Darrick</v>
          </cell>
          <cell r="G1017">
            <v>9.7055034868741598E-3</v>
          </cell>
          <cell r="I1017" t="str">
            <v>Haas</v>
          </cell>
        </row>
        <row r="1018">
          <cell r="A1018" t="str">
            <v>Monika</v>
          </cell>
          <cell r="C1018">
            <v>8.8803646875694725E-2</v>
          </cell>
          <cell r="E1018" t="str">
            <v>Tobias</v>
          </cell>
          <cell r="G1018">
            <v>9.6499800115487939E-3</v>
          </cell>
          <cell r="I1018" t="str">
            <v>Oconnell</v>
          </cell>
        </row>
        <row r="1019">
          <cell r="A1019" t="str">
            <v>Lashonda</v>
          </cell>
          <cell r="C1019">
            <v>8.8714698688014043E-2</v>
          </cell>
          <cell r="E1019" t="str">
            <v>Minh</v>
          </cell>
          <cell r="G1019">
            <v>9.5944565362234262E-3</v>
          </cell>
          <cell r="I1019" t="str">
            <v>Minor</v>
          </cell>
        </row>
        <row r="1020">
          <cell r="A1020" t="str">
            <v>Judi</v>
          </cell>
          <cell r="C1020">
            <v>8.8625750500333375E-2</v>
          </cell>
          <cell r="E1020" t="str">
            <v>Hassan</v>
          </cell>
          <cell r="G1020">
            <v>9.5389330608980586E-3</v>
          </cell>
          <cell r="I1020" t="str">
            <v>Kendrick</v>
          </cell>
        </row>
        <row r="1021">
          <cell r="A1021" t="str">
            <v>Chelsey</v>
          </cell>
          <cell r="C1021">
            <v>8.8536802312652707E-2</v>
          </cell>
          <cell r="E1021" t="str">
            <v>Giuseppe</v>
          </cell>
          <cell r="G1021">
            <v>9.4834095855726927E-3</v>
          </cell>
          <cell r="I1021" t="str">
            <v>Shirley</v>
          </cell>
        </row>
        <row r="1022">
          <cell r="A1022" t="str">
            <v>Antionette</v>
          </cell>
          <cell r="C1022">
            <v>8.8447854124972039E-2</v>
          </cell>
          <cell r="E1022" t="str">
            <v>Demarcus</v>
          </cell>
          <cell r="G1022">
            <v>9.4278861102473251E-3</v>
          </cell>
          <cell r="I1022" t="str">
            <v>Kendall</v>
          </cell>
        </row>
        <row r="1023">
          <cell r="A1023" t="str">
            <v>Margot</v>
          </cell>
          <cell r="C1023">
            <v>8.8358905937291371E-2</v>
          </cell>
          <cell r="E1023" t="str">
            <v>Cletus</v>
          </cell>
          <cell r="G1023">
            <v>9.3723626349219574E-3</v>
          </cell>
          <cell r="I1023" t="str">
            <v>Boucher</v>
          </cell>
        </row>
        <row r="1024">
          <cell r="A1024" t="str">
            <v>Bobby</v>
          </cell>
          <cell r="C1024">
            <v>8.8269957749610689E-2</v>
          </cell>
          <cell r="E1024" t="str">
            <v>Tyrell</v>
          </cell>
          <cell r="G1024">
            <v>9.3168391595965915E-3</v>
          </cell>
          <cell r="I1024" t="str">
            <v>Archer</v>
          </cell>
        </row>
        <row r="1025">
          <cell r="A1025" t="str">
            <v>Adelaide</v>
          </cell>
          <cell r="C1025">
            <v>8.8181009561930021E-2</v>
          </cell>
          <cell r="E1025" t="str">
            <v>Lyndon</v>
          </cell>
          <cell r="G1025">
            <v>9.2613156842712239E-3</v>
          </cell>
          <cell r="I1025" t="str">
            <v>Boggs</v>
          </cell>
        </row>
        <row r="1026">
          <cell r="A1026" t="str">
            <v>Nan</v>
          </cell>
          <cell r="C1026">
            <v>8.8092061374249353E-2</v>
          </cell>
          <cell r="E1026" t="str">
            <v>Keenan</v>
          </cell>
          <cell r="G1026">
            <v>9.2057922089458562E-3</v>
          </cell>
          <cell r="I1026" t="str">
            <v>Odell</v>
          </cell>
        </row>
        <row r="1027">
          <cell r="A1027" t="str">
            <v>Leeann</v>
          </cell>
          <cell r="C1027">
            <v>8.8003113186568671E-2</v>
          </cell>
          <cell r="E1027" t="str">
            <v>Werner</v>
          </cell>
          <cell r="G1027">
            <v>9.1502687336204903E-3</v>
          </cell>
          <cell r="I1027" t="str">
            <v>Dougherty</v>
          </cell>
        </row>
        <row r="1028">
          <cell r="A1028" t="str">
            <v>Elisha</v>
          </cell>
          <cell r="C1028">
            <v>8.7914164998888003E-2</v>
          </cell>
          <cell r="E1028" t="str">
            <v>Theo</v>
          </cell>
          <cell r="G1028">
            <v>9.0947452582951227E-3</v>
          </cell>
          <cell r="I1028" t="str">
            <v>Andersen</v>
          </cell>
        </row>
        <row r="1029">
          <cell r="A1029" t="str">
            <v>Dessie</v>
          </cell>
          <cell r="C1029">
            <v>8.7825216811207321E-2</v>
          </cell>
          <cell r="E1029" t="str">
            <v>Geraldo</v>
          </cell>
          <cell r="G1029">
            <v>9.0392217829697551E-3</v>
          </cell>
          <cell r="I1029" t="str">
            <v>Newell</v>
          </cell>
        </row>
        <row r="1030">
          <cell r="A1030" t="str">
            <v>Libby</v>
          </cell>
          <cell r="C1030">
            <v>8.7736268623526653E-2</v>
          </cell>
          <cell r="E1030" t="str">
            <v>Lou</v>
          </cell>
          <cell r="G1030">
            <v>8.9836983076443892E-3</v>
          </cell>
          <cell r="I1030" t="str">
            <v>Crowe</v>
          </cell>
        </row>
        <row r="1031">
          <cell r="A1031" t="str">
            <v>Kathi</v>
          </cell>
          <cell r="C1031">
            <v>8.7647320435845985E-2</v>
          </cell>
          <cell r="E1031" t="str">
            <v>Columbus</v>
          </cell>
          <cell r="G1031">
            <v>8.9281748323190215E-3</v>
          </cell>
          <cell r="I1031" t="str">
            <v>Wang</v>
          </cell>
        </row>
        <row r="1032">
          <cell r="A1032" t="str">
            <v>Gayla</v>
          </cell>
          <cell r="C1032">
            <v>8.7558372248165303E-2</v>
          </cell>
          <cell r="E1032" t="str">
            <v>Chet</v>
          </cell>
          <cell r="G1032">
            <v>8.8726513569936539E-3</v>
          </cell>
          <cell r="I1032" t="str">
            <v>Friedman</v>
          </cell>
        </row>
        <row r="1033">
          <cell r="A1033" t="str">
            <v>Latanya</v>
          </cell>
          <cell r="C1033">
            <v>8.7469424060484635E-2</v>
          </cell>
          <cell r="E1033" t="str">
            <v>Bertram</v>
          </cell>
          <cell r="G1033">
            <v>8.817127881668288E-3</v>
          </cell>
          <cell r="I1033" t="str">
            <v>Bland</v>
          </cell>
        </row>
        <row r="1034">
          <cell r="A1034" t="str">
            <v>Mina</v>
          </cell>
          <cell r="C1034">
            <v>8.7380475872803967E-2</v>
          </cell>
          <cell r="E1034" t="str">
            <v>Markus</v>
          </cell>
          <cell r="G1034">
            <v>8.7616044063429203E-3</v>
          </cell>
          <cell r="I1034" t="str">
            <v>Swain</v>
          </cell>
        </row>
        <row r="1035">
          <cell r="A1035" t="str">
            <v>Mellisa</v>
          </cell>
          <cell r="C1035">
            <v>8.7291527685123285E-2</v>
          </cell>
          <cell r="E1035" t="str">
            <v>Huey</v>
          </cell>
          <cell r="G1035">
            <v>8.7060809310175527E-3</v>
          </cell>
          <cell r="I1035" t="str">
            <v>Holley</v>
          </cell>
        </row>
        <row r="1036">
          <cell r="A1036" t="str">
            <v>Kimberlee</v>
          </cell>
          <cell r="C1036">
            <v>8.7202579497442617E-2</v>
          </cell>
          <cell r="E1036" t="str">
            <v>Hilton</v>
          </cell>
          <cell r="G1036">
            <v>8.6505574556921868E-3</v>
          </cell>
          <cell r="I1036" t="str">
            <v>Felix</v>
          </cell>
        </row>
        <row r="1037">
          <cell r="A1037" t="str">
            <v>Jasmin</v>
          </cell>
          <cell r="C1037">
            <v>8.7113631309761935E-2</v>
          </cell>
          <cell r="E1037" t="str">
            <v>Dwain</v>
          </cell>
          <cell r="G1037">
            <v>8.5950339803668192E-3</v>
          </cell>
          <cell r="I1037" t="str">
            <v>Pearce</v>
          </cell>
        </row>
        <row r="1038">
          <cell r="A1038" t="str">
            <v>Renae</v>
          </cell>
          <cell r="C1038">
            <v>8.7024683122081267E-2</v>
          </cell>
          <cell r="E1038" t="str">
            <v>Donte</v>
          </cell>
          <cell r="G1038">
            <v>8.5395105050414515E-3</v>
          </cell>
          <cell r="I1038" t="str">
            <v>Childs</v>
          </cell>
        </row>
        <row r="1039">
          <cell r="A1039" t="str">
            <v>Zelda</v>
          </cell>
          <cell r="C1039">
            <v>8.6935734934400599E-2</v>
          </cell>
          <cell r="E1039" t="str">
            <v>Tyron</v>
          </cell>
          <cell r="G1039">
            <v>8.4839870297160856E-3</v>
          </cell>
          <cell r="I1039" t="str">
            <v>Yarbrough</v>
          </cell>
        </row>
        <row r="1040">
          <cell r="A1040" t="str">
            <v>Elda</v>
          </cell>
          <cell r="C1040">
            <v>8.6846786746719917E-2</v>
          </cell>
          <cell r="E1040" t="str">
            <v>Omer</v>
          </cell>
          <cell r="G1040">
            <v>8.428463554390718E-3</v>
          </cell>
          <cell r="I1040" t="str">
            <v>Galvan</v>
          </cell>
        </row>
        <row r="1041">
          <cell r="A1041" t="str">
            <v>Ma</v>
          </cell>
          <cell r="C1041">
            <v>8.6757838559039249E-2</v>
          </cell>
          <cell r="E1041" t="str">
            <v>Isaias</v>
          </cell>
          <cell r="G1041">
            <v>8.3729400790653503E-3</v>
          </cell>
          <cell r="I1041" t="str">
            <v>Proctor</v>
          </cell>
        </row>
        <row r="1042">
          <cell r="A1042" t="str">
            <v>Justina</v>
          </cell>
          <cell r="C1042">
            <v>8.6668890371358581E-2</v>
          </cell>
          <cell r="E1042" t="str">
            <v>Hipolito</v>
          </cell>
          <cell r="G1042">
            <v>8.3174166037399844E-3</v>
          </cell>
          <cell r="I1042" t="str">
            <v>Meeks</v>
          </cell>
        </row>
        <row r="1043">
          <cell r="A1043" t="str">
            <v>Gussie</v>
          </cell>
          <cell r="C1043">
            <v>8.6579942183677899E-2</v>
          </cell>
          <cell r="E1043" t="str">
            <v>Fermin</v>
          </cell>
          <cell r="G1043">
            <v>8.2618931284146168E-3</v>
          </cell>
          <cell r="I1043" t="str">
            <v>Lozano</v>
          </cell>
        </row>
        <row r="1044">
          <cell r="A1044" t="str">
            <v>Emilie</v>
          </cell>
          <cell r="C1044">
            <v>8.6490993995997231E-2</v>
          </cell>
          <cell r="E1044" t="str">
            <v>Chung</v>
          </cell>
          <cell r="G1044">
            <v>8.2063696530892492E-3</v>
          </cell>
          <cell r="I1044" t="str">
            <v>Mora</v>
          </cell>
        </row>
        <row r="1045">
          <cell r="A1045" t="str">
            <v>Camilla</v>
          </cell>
          <cell r="C1045">
            <v>8.6402045808316549E-2</v>
          </cell>
          <cell r="E1045" t="str">
            <v>Adalberto</v>
          </cell>
          <cell r="G1045">
            <v>8.1508461777638833E-3</v>
          </cell>
          <cell r="I1045" t="str">
            <v>Rangel</v>
          </cell>
        </row>
        <row r="1046">
          <cell r="A1046" t="str">
            <v>Abbie</v>
          </cell>
          <cell r="C1046">
            <v>8.6313097620635881E-2</v>
          </cell>
          <cell r="E1046" t="str">
            <v>Valentine</v>
          </cell>
          <cell r="G1046">
            <v>8.0953227024385156E-3</v>
          </cell>
          <cell r="I1046" t="str">
            <v>Bacon</v>
          </cell>
        </row>
        <row r="1047">
          <cell r="A1047" t="str">
            <v>Rocio</v>
          </cell>
          <cell r="C1047">
            <v>8.6224149432955213E-2</v>
          </cell>
          <cell r="E1047" t="str">
            <v>Jamey</v>
          </cell>
          <cell r="G1047">
            <v>8.039799227113148E-3</v>
          </cell>
          <cell r="I1047" t="str">
            <v>Villanueva</v>
          </cell>
        </row>
        <row r="1048">
          <cell r="A1048" t="str">
            <v>Kaitlyn</v>
          </cell>
          <cell r="C1048">
            <v>8.6135201245274531E-2</v>
          </cell>
          <cell r="E1048" t="str">
            <v>Bo</v>
          </cell>
          <cell r="G1048">
            <v>7.9842757517877821E-3</v>
          </cell>
          <cell r="I1048" t="str">
            <v>Schaefer</v>
          </cell>
        </row>
        <row r="1049">
          <cell r="A1049" t="str">
            <v>Jesse</v>
          </cell>
          <cell r="C1049">
            <v>8.6046253057593863E-2</v>
          </cell>
          <cell r="E1049" t="str">
            <v>Barrett</v>
          </cell>
          <cell r="G1049">
            <v>7.9287522764624144E-3</v>
          </cell>
          <cell r="I1049" t="str">
            <v>Rosado</v>
          </cell>
        </row>
        <row r="1050">
          <cell r="A1050" t="str">
            <v>Edythe</v>
          </cell>
          <cell r="C1050">
            <v>8.5957304869913195E-2</v>
          </cell>
          <cell r="E1050" t="str">
            <v>Whitney</v>
          </cell>
          <cell r="G1050">
            <v>7.8732288011370485E-3</v>
          </cell>
          <cell r="I1050" t="str">
            <v>Helms</v>
          </cell>
        </row>
        <row r="1051">
          <cell r="A1051" t="str">
            <v>Ashleigh</v>
          </cell>
          <cell r="C1051">
            <v>8.5868356682232513E-2</v>
          </cell>
          <cell r="E1051" t="str">
            <v>Teodoro</v>
          </cell>
          <cell r="G1051">
            <v>7.8177053258116809E-3</v>
          </cell>
          <cell r="I1051" t="str">
            <v>Boyce</v>
          </cell>
        </row>
        <row r="1052">
          <cell r="A1052" t="str">
            <v>Selina</v>
          </cell>
          <cell r="C1052">
            <v>8.5779408494551845E-2</v>
          </cell>
          <cell r="E1052" t="str">
            <v>Mckinley</v>
          </cell>
          <cell r="G1052">
            <v>7.7621818504863133E-3</v>
          </cell>
          <cell r="I1052" t="str">
            <v>Goss</v>
          </cell>
        </row>
        <row r="1053">
          <cell r="A1053" t="str">
            <v>Lakesha</v>
          </cell>
          <cell r="C1053">
            <v>8.5690460306871163E-2</v>
          </cell>
          <cell r="E1053" t="str">
            <v>Maximo</v>
          </cell>
          <cell r="G1053">
            <v>7.7066583751609465E-3</v>
          </cell>
          <cell r="I1053" t="str">
            <v>Stinson</v>
          </cell>
        </row>
        <row r="1054">
          <cell r="A1054" t="str">
            <v>Geri</v>
          </cell>
          <cell r="C1054">
            <v>8.5601512119190495E-2</v>
          </cell>
          <cell r="E1054" t="str">
            <v>Garfield</v>
          </cell>
          <cell r="G1054">
            <v>7.6511348998355797E-3</v>
          </cell>
          <cell r="I1054" t="str">
            <v>Smart</v>
          </cell>
        </row>
        <row r="1055">
          <cell r="A1055" t="str">
            <v>Allene</v>
          </cell>
          <cell r="C1055">
            <v>8.5512563931509827E-2</v>
          </cell>
          <cell r="E1055" t="str">
            <v>Sol</v>
          </cell>
          <cell r="G1055">
            <v>7.5956114245102121E-3</v>
          </cell>
          <cell r="I1055" t="str">
            <v>Lake</v>
          </cell>
        </row>
        <row r="1056">
          <cell r="A1056" t="str">
            <v>Pamala</v>
          </cell>
          <cell r="C1056">
            <v>8.5423615743829145E-2</v>
          </cell>
          <cell r="E1056" t="str">
            <v>Raleigh</v>
          </cell>
          <cell r="G1056">
            <v>7.5400879491848453E-3</v>
          </cell>
          <cell r="I1056" t="str">
            <v>Ibarra</v>
          </cell>
        </row>
        <row r="1057">
          <cell r="A1057" t="str">
            <v>Michaela</v>
          </cell>
          <cell r="C1057">
            <v>8.5334667556148477E-2</v>
          </cell>
          <cell r="E1057" t="str">
            <v>Lawerence</v>
          </cell>
          <cell r="G1057">
            <v>7.4845644738594785E-3</v>
          </cell>
          <cell r="I1057" t="str">
            <v>Hutchins</v>
          </cell>
        </row>
        <row r="1058">
          <cell r="A1058" t="str">
            <v>Dayna</v>
          </cell>
          <cell r="C1058">
            <v>8.5245719368467809E-2</v>
          </cell>
          <cell r="E1058" t="str">
            <v>Abram</v>
          </cell>
          <cell r="G1058">
            <v>7.4290409985341109E-3</v>
          </cell>
          <cell r="I1058" t="str">
            <v>Covington</v>
          </cell>
        </row>
        <row r="1059">
          <cell r="A1059" t="str">
            <v>Caryn</v>
          </cell>
          <cell r="C1059">
            <v>8.5156771180787127E-2</v>
          </cell>
          <cell r="E1059" t="str">
            <v>Rashad</v>
          </cell>
          <cell r="G1059">
            <v>7.3735175232087441E-3</v>
          </cell>
          <cell r="I1059" t="str">
            <v>Reyna</v>
          </cell>
        </row>
        <row r="1060">
          <cell r="A1060" t="str">
            <v>Rosalia</v>
          </cell>
          <cell r="C1060">
            <v>8.5067822993106459E-2</v>
          </cell>
          <cell r="E1060" t="str">
            <v>King</v>
          </cell>
          <cell r="G1060">
            <v>7.3290987429484502E-3</v>
          </cell>
          <cell r="I1060" t="str">
            <v>Gregg</v>
          </cell>
        </row>
        <row r="1061">
          <cell r="A1061" t="str">
            <v>Sun</v>
          </cell>
          <cell r="C1061">
            <v>8.4978874805425778E-2</v>
          </cell>
          <cell r="E1061" t="str">
            <v>Emmitt</v>
          </cell>
          <cell r="G1061">
            <v>7.2846799626881571E-3</v>
          </cell>
          <cell r="I1061" t="str">
            <v>Werner</v>
          </cell>
        </row>
        <row r="1062">
          <cell r="A1062" t="str">
            <v>Jacquline</v>
          </cell>
          <cell r="C1062">
            <v>8.4901045141205195E-2</v>
          </cell>
          <cell r="E1062" t="str">
            <v>Daron</v>
          </cell>
          <cell r="G1062">
            <v>7.2402611824278632E-3</v>
          </cell>
          <cell r="I1062" t="str">
            <v>Crowley</v>
          </cell>
        </row>
        <row r="1063">
          <cell r="A1063" t="str">
            <v>Rebeca</v>
          </cell>
          <cell r="C1063">
            <v>8.4823215476984612E-2</v>
          </cell>
          <cell r="E1063" t="str">
            <v>Chong</v>
          </cell>
          <cell r="G1063">
            <v>7.1958424021675692E-3</v>
          </cell>
          <cell r="I1063" t="str">
            <v>Hatcher</v>
          </cell>
        </row>
        <row r="1064">
          <cell r="A1064" t="str">
            <v>Marybeth</v>
          </cell>
          <cell r="C1064">
            <v>8.4745385812764015E-2</v>
          </cell>
          <cell r="E1064" t="str">
            <v>Samual</v>
          </cell>
          <cell r="G1064">
            <v>7.1514236219072762E-3</v>
          </cell>
          <cell r="I1064" t="str">
            <v>Mackey</v>
          </cell>
        </row>
        <row r="1065">
          <cell r="A1065" t="str">
            <v>Krystle</v>
          </cell>
          <cell r="C1065">
            <v>8.4667556148543432E-2</v>
          </cell>
          <cell r="E1065" t="str">
            <v>Paris</v>
          </cell>
          <cell r="G1065">
            <v>7.1070048416469822E-3</v>
          </cell>
          <cell r="I1065" t="str">
            <v>Bunch</v>
          </cell>
        </row>
        <row r="1066">
          <cell r="A1066" t="str">
            <v>Iola</v>
          </cell>
          <cell r="C1066">
            <v>8.4589726484322836E-2</v>
          </cell>
          <cell r="E1066" t="str">
            <v>Otha</v>
          </cell>
          <cell r="G1066">
            <v>7.0625860613866883E-3</v>
          </cell>
          <cell r="I1066" t="str">
            <v>Womack</v>
          </cell>
        </row>
        <row r="1067">
          <cell r="A1067" t="str">
            <v>Dottie</v>
          </cell>
          <cell r="C1067">
            <v>8.4511896820102253E-2</v>
          </cell>
          <cell r="E1067" t="str">
            <v>Miquel</v>
          </cell>
          <cell r="G1067">
            <v>7.0181672811263952E-3</v>
          </cell>
          <cell r="I1067" t="str">
            <v>Polk</v>
          </cell>
        </row>
        <row r="1068">
          <cell r="A1068" t="str">
            <v>Bennie</v>
          </cell>
          <cell r="C1068">
            <v>8.443406715588167E-2</v>
          </cell>
          <cell r="E1068" t="str">
            <v>Lacy</v>
          </cell>
          <cell r="G1068">
            <v>6.9737485008661013E-3</v>
          </cell>
          <cell r="I1068" t="str">
            <v>Jamison</v>
          </cell>
        </row>
        <row r="1069">
          <cell r="A1069" t="str">
            <v>Belle</v>
          </cell>
          <cell r="C1069">
            <v>8.4356237491661074E-2</v>
          </cell>
          <cell r="E1069" t="str">
            <v>Eusebio</v>
          </cell>
          <cell r="G1069">
            <v>6.9293297206058074E-3</v>
          </cell>
          <cell r="I1069" t="str">
            <v>Dodd</v>
          </cell>
        </row>
        <row r="1070">
          <cell r="A1070" t="str">
            <v>Aubrey</v>
          </cell>
          <cell r="C1070">
            <v>8.4278407827440491E-2</v>
          </cell>
          <cell r="E1070" t="str">
            <v>Dong</v>
          </cell>
          <cell r="G1070">
            <v>6.8849109403455143E-3</v>
          </cell>
          <cell r="I1070" t="str">
            <v>Childress</v>
          </cell>
        </row>
        <row r="1071">
          <cell r="A1071" t="str">
            <v>Griselda</v>
          </cell>
          <cell r="C1071">
            <v>8.4200578163219894E-2</v>
          </cell>
          <cell r="E1071" t="str">
            <v>Domenic</v>
          </cell>
          <cell r="G1071">
            <v>6.8404921600852204E-3</v>
          </cell>
          <cell r="I1071" t="str">
            <v>Childers</v>
          </cell>
        </row>
        <row r="1072">
          <cell r="A1072" t="str">
            <v>Ernestina</v>
          </cell>
          <cell r="C1072">
            <v>8.4122748498999311E-2</v>
          </cell>
          <cell r="E1072" t="str">
            <v>Darron</v>
          </cell>
          <cell r="G1072">
            <v>6.7960733798249264E-3</v>
          </cell>
          <cell r="I1072" t="str">
            <v>Camp</v>
          </cell>
        </row>
        <row r="1073">
          <cell r="A1073" t="str">
            <v>Elida</v>
          </cell>
          <cell r="C1073">
            <v>8.4044918834778715E-2</v>
          </cell>
          <cell r="E1073" t="str">
            <v>Buster</v>
          </cell>
          <cell r="G1073">
            <v>6.7516545995646333E-3</v>
          </cell>
          <cell r="I1073" t="str">
            <v>Villa</v>
          </cell>
        </row>
        <row r="1074">
          <cell r="A1074" t="str">
            <v>Adrianne</v>
          </cell>
          <cell r="C1074">
            <v>8.3967089170558118E-2</v>
          </cell>
          <cell r="E1074" t="str">
            <v>Antonia</v>
          </cell>
          <cell r="G1074">
            <v>6.7072358193043394E-3</v>
          </cell>
          <cell r="I1074" t="str">
            <v>Dye</v>
          </cell>
        </row>
        <row r="1075">
          <cell r="A1075" t="str">
            <v>Demetria</v>
          </cell>
          <cell r="C1075">
            <v>8.3889259506337535E-2</v>
          </cell>
          <cell r="E1075" t="str">
            <v>Wilber</v>
          </cell>
          <cell r="G1075">
            <v>6.6628170390440455E-3</v>
          </cell>
          <cell r="I1075" t="str">
            <v>Springer</v>
          </cell>
        </row>
        <row r="1076">
          <cell r="A1076" t="str">
            <v>Delma</v>
          </cell>
          <cell r="C1076">
            <v>8.3811429842116952E-2</v>
          </cell>
          <cell r="E1076" t="str">
            <v>Renato</v>
          </cell>
          <cell r="G1076">
            <v>6.6183982587837524E-3</v>
          </cell>
          <cell r="I1076" t="str">
            <v>Mahoney</v>
          </cell>
        </row>
        <row r="1077">
          <cell r="A1077" t="str">
            <v>Chong</v>
          </cell>
          <cell r="C1077">
            <v>8.3733600177896356E-2</v>
          </cell>
          <cell r="E1077" t="str">
            <v>Jc</v>
          </cell>
          <cell r="G1077">
            <v>6.5739794785234585E-3</v>
          </cell>
          <cell r="I1077" t="str">
            <v>Dailey</v>
          </cell>
        </row>
        <row r="1078">
          <cell r="A1078" t="str">
            <v>Jaqueline</v>
          </cell>
          <cell r="C1078">
            <v>8.3655770513675773E-2</v>
          </cell>
          <cell r="E1078" t="str">
            <v>Hoyt</v>
          </cell>
          <cell r="G1078">
            <v>6.5295606982631645E-3</v>
          </cell>
          <cell r="I1078" t="str">
            <v>Belcher</v>
          </cell>
        </row>
        <row r="1079">
          <cell r="A1079" t="str">
            <v>Destiny</v>
          </cell>
          <cell r="C1079">
            <v>8.357794084945519E-2</v>
          </cell>
          <cell r="E1079" t="str">
            <v>Haywood</v>
          </cell>
          <cell r="G1079">
            <v>6.4851419180028715E-3</v>
          </cell>
          <cell r="I1079" t="str">
            <v>Lockhart</v>
          </cell>
        </row>
        <row r="1080">
          <cell r="A1080" t="str">
            <v>Arleen</v>
          </cell>
          <cell r="C1080">
            <v>8.3500111185234593E-2</v>
          </cell>
          <cell r="E1080" t="str">
            <v>Ezekiel</v>
          </cell>
          <cell r="G1080">
            <v>6.4407231377425775E-3</v>
          </cell>
          <cell r="I1080" t="str">
            <v>Griggs</v>
          </cell>
        </row>
        <row r="1081">
          <cell r="A1081" t="str">
            <v>Virgina</v>
          </cell>
          <cell r="C1081">
            <v>8.3422281521014011E-2</v>
          </cell>
          <cell r="E1081" t="str">
            <v>Chas</v>
          </cell>
          <cell r="G1081">
            <v>6.3963043574822836E-3</v>
          </cell>
          <cell r="I1081" t="str">
            <v>Costa</v>
          </cell>
        </row>
        <row r="1082">
          <cell r="A1082" t="str">
            <v>Retha</v>
          </cell>
          <cell r="C1082">
            <v>8.3344451856793414E-2</v>
          </cell>
          <cell r="E1082" t="str">
            <v>Florentino</v>
          </cell>
          <cell r="G1082">
            <v>6.3518855772219905E-3</v>
          </cell>
          <cell r="I1082" t="str">
            <v>Connor</v>
          </cell>
        </row>
        <row r="1083">
          <cell r="A1083" t="str">
            <v>Fatima</v>
          </cell>
          <cell r="C1083">
            <v>8.3266622192572831E-2</v>
          </cell>
          <cell r="E1083" t="str">
            <v>Elroy</v>
          </cell>
          <cell r="G1083">
            <v>6.3074667969616966E-3</v>
          </cell>
          <cell r="I1083" t="str">
            <v>Brandt</v>
          </cell>
        </row>
        <row r="1084">
          <cell r="A1084" t="str">
            <v>Tillie</v>
          </cell>
          <cell r="C1084">
            <v>8.3188792528352234E-2</v>
          </cell>
          <cell r="E1084" t="str">
            <v>Clemente</v>
          </cell>
          <cell r="G1084">
            <v>6.2630480167014026E-3</v>
          </cell>
          <cell r="I1084" t="str">
            <v>Winter</v>
          </cell>
        </row>
        <row r="1085">
          <cell r="A1085" t="str">
            <v>Eleanore</v>
          </cell>
          <cell r="C1085">
            <v>8.3110962864131652E-2</v>
          </cell>
          <cell r="E1085" t="str">
            <v>Arden</v>
          </cell>
          <cell r="G1085">
            <v>6.2186292364411096E-3</v>
          </cell>
          <cell r="I1085" t="str">
            <v>Walden</v>
          </cell>
        </row>
        <row r="1086">
          <cell r="A1086" t="str">
            <v>Cari</v>
          </cell>
          <cell r="C1086">
            <v>8.3033133199911055E-2</v>
          </cell>
          <cell r="E1086" t="str">
            <v>Neville</v>
          </cell>
          <cell r="G1086">
            <v>6.1742104561808156E-3</v>
          </cell>
          <cell r="I1086" t="str">
            <v>Moser</v>
          </cell>
        </row>
        <row r="1087">
          <cell r="A1087" t="str">
            <v>Treva</v>
          </cell>
          <cell r="C1087">
            <v>8.2955303535690472E-2</v>
          </cell>
          <cell r="E1087" t="str">
            <v>Kelley</v>
          </cell>
          <cell r="G1087">
            <v>6.1297916759205217E-3</v>
          </cell>
          <cell r="I1087" t="str">
            <v>Tracy</v>
          </cell>
        </row>
        <row r="1088">
          <cell r="A1088" t="str">
            <v>Birdie</v>
          </cell>
          <cell r="C1088">
            <v>8.2877473871469876E-2</v>
          </cell>
          <cell r="E1088" t="str">
            <v>Edison</v>
          </cell>
          <cell r="G1088">
            <v>6.0853728956602286E-3</v>
          </cell>
          <cell r="I1088" t="str">
            <v>Tatum</v>
          </cell>
        </row>
        <row r="1089">
          <cell r="A1089" t="str">
            <v>Wilhelmina</v>
          </cell>
          <cell r="C1089">
            <v>8.2799644207249293E-2</v>
          </cell>
          <cell r="E1089" t="str">
            <v>Deshawn</v>
          </cell>
          <cell r="G1089">
            <v>6.0409541153999347E-3</v>
          </cell>
          <cell r="I1089" t="str">
            <v>Mccann</v>
          </cell>
        </row>
        <row r="1090">
          <cell r="A1090" t="str">
            <v>Rosalee</v>
          </cell>
          <cell r="C1090">
            <v>8.2721814543028696E-2</v>
          </cell>
          <cell r="E1090" t="str">
            <v>Carrol</v>
          </cell>
          <cell r="G1090">
            <v>5.9965353351396408E-3</v>
          </cell>
          <cell r="I1090" t="str">
            <v>Akers</v>
          </cell>
        </row>
        <row r="1091">
          <cell r="A1091" t="str">
            <v>Maurine</v>
          </cell>
          <cell r="C1091">
            <v>8.2643984878808113E-2</v>
          </cell>
          <cell r="E1091" t="str">
            <v>Shayne</v>
          </cell>
          <cell r="G1091">
            <v>5.9521165548793477E-3</v>
          </cell>
          <cell r="I1091" t="str">
            <v>Lutz</v>
          </cell>
        </row>
        <row r="1092">
          <cell r="A1092" t="str">
            <v>Latrice</v>
          </cell>
          <cell r="C1092">
            <v>8.256615521458753E-2</v>
          </cell>
          <cell r="E1092" t="str">
            <v>Nathanial</v>
          </cell>
          <cell r="G1092">
            <v>5.9076977746190537E-3</v>
          </cell>
          <cell r="I1092" t="str">
            <v>Pryor</v>
          </cell>
        </row>
        <row r="1093">
          <cell r="A1093" t="str">
            <v>Yong</v>
          </cell>
          <cell r="C1093">
            <v>8.2488325550366934E-2</v>
          </cell>
          <cell r="E1093" t="str">
            <v>Jordon</v>
          </cell>
          <cell r="G1093">
            <v>5.8632789943587598E-3</v>
          </cell>
          <cell r="I1093" t="str">
            <v>Law</v>
          </cell>
        </row>
        <row r="1094">
          <cell r="A1094" t="str">
            <v>Jena</v>
          </cell>
          <cell r="C1094">
            <v>8.2410495886146351E-2</v>
          </cell>
          <cell r="E1094" t="str">
            <v>Danilo</v>
          </cell>
          <cell r="G1094">
            <v>5.8188602140984667E-3</v>
          </cell>
          <cell r="I1094" t="str">
            <v>Orozco</v>
          </cell>
        </row>
        <row r="1095">
          <cell r="A1095" t="str">
            <v>Taryn</v>
          </cell>
          <cell r="C1095">
            <v>8.2332666221925768E-2</v>
          </cell>
          <cell r="E1095" t="str">
            <v>Claud</v>
          </cell>
          <cell r="G1095">
            <v>5.7744414338381728E-3</v>
          </cell>
          <cell r="I1095" t="str">
            <v>Mcallister</v>
          </cell>
        </row>
        <row r="1096">
          <cell r="A1096" t="str">
            <v>Elia</v>
          </cell>
          <cell r="C1096">
            <v>8.2254836557705172E-2</v>
          </cell>
          <cell r="E1096" t="str">
            <v>Val</v>
          </cell>
          <cell r="G1096">
            <v>5.7300226535778789E-3</v>
          </cell>
          <cell r="I1096" t="str">
            <v>Lugo</v>
          </cell>
        </row>
        <row r="1097">
          <cell r="A1097" t="str">
            <v>Debby</v>
          </cell>
          <cell r="C1097">
            <v>8.2177006893484575E-2</v>
          </cell>
          <cell r="E1097" t="str">
            <v>Sherwood</v>
          </cell>
          <cell r="G1097">
            <v>5.6856038733175858E-3</v>
          </cell>
          <cell r="I1097" t="str">
            <v>Davies</v>
          </cell>
        </row>
        <row r="1098">
          <cell r="A1098" t="str">
            <v>Maudie</v>
          </cell>
          <cell r="C1098">
            <v>8.2099177229263992E-2</v>
          </cell>
          <cell r="E1098" t="str">
            <v>Raymon</v>
          </cell>
          <cell r="G1098">
            <v>5.6411850930572919E-3</v>
          </cell>
          <cell r="I1098" t="str">
            <v>Shoemaker</v>
          </cell>
        </row>
        <row r="1099">
          <cell r="A1099" t="str">
            <v>Jeanna</v>
          </cell>
          <cell r="C1099">
            <v>8.2021347565043395E-2</v>
          </cell>
          <cell r="E1099" t="str">
            <v>Rayford</v>
          </cell>
          <cell r="G1099">
            <v>5.5967663127969979E-3</v>
          </cell>
          <cell r="I1099" t="str">
            <v>Madison</v>
          </cell>
        </row>
        <row r="1100">
          <cell r="A1100" t="str">
            <v>Delilah</v>
          </cell>
          <cell r="C1100">
            <v>8.1943517900822813E-2</v>
          </cell>
          <cell r="E1100" t="str">
            <v>Cristobal</v>
          </cell>
          <cell r="G1100">
            <v>5.5523475325367048E-3</v>
          </cell>
          <cell r="I1100" t="str">
            <v>Rutherford</v>
          </cell>
        </row>
        <row r="1101">
          <cell r="A1101" t="str">
            <v>Catrina</v>
          </cell>
          <cell r="C1101">
            <v>8.1865688236602216E-2</v>
          </cell>
          <cell r="E1101" t="str">
            <v>Ambrose</v>
          </cell>
          <cell r="G1101">
            <v>5.5079287522764118E-3</v>
          </cell>
          <cell r="I1101" t="str">
            <v>Newsome</v>
          </cell>
        </row>
        <row r="1102">
          <cell r="A1102" t="str">
            <v>Shonda</v>
          </cell>
          <cell r="C1102">
            <v>8.1787858572381633E-2</v>
          </cell>
          <cell r="E1102" t="str">
            <v>Titus</v>
          </cell>
          <cell r="G1102">
            <v>5.4635099720161178E-3</v>
          </cell>
          <cell r="I1102" t="str">
            <v>Magee</v>
          </cell>
        </row>
        <row r="1103">
          <cell r="A1103" t="str">
            <v>Hortencia</v>
          </cell>
          <cell r="C1103">
            <v>8.1710028908161036E-2</v>
          </cell>
          <cell r="E1103" t="str">
            <v>Hyman</v>
          </cell>
          <cell r="G1103">
            <v>5.4190911917558239E-3</v>
          </cell>
          <cell r="I1103" t="str">
            <v>Chamberlain</v>
          </cell>
        </row>
        <row r="1104">
          <cell r="A1104" t="str">
            <v>Theodora</v>
          </cell>
          <cell r="C1104">
            <v>8.1632199243940454E-2</v>
          </cell>
          <cell r="E1104" t="str">
            <v>Felton</v>
          </cell>
          <cell r="G1104">
            <v>5.3746724114955308E-3</v>
          </cell>
          <cell r="I1104" t="str">
            <v>Blanton</v>
          </cell>
        </row>
        <row r="1105">
          <cell r="A1105" t="str">
            <v>Teresita</v>
          </cell>
          <cell r="C1105">
            <v>8.1554369579719871E-2</v>
          </cell>
          <cell r="E1105" t="str">
            <v>Ezequiel</v>
          </cell>
          <cell r="G1105">
            <v>5.3302536312352369E-3</v>
          </cell>
          <cell r="I1105" t="str">
            <v>Simms</v>
          </cell>
        </row>
        <row r="1106">
          <cell r="A1106" t="str">
            <v>Robbin</v>
          </cell>
          <cell r="C1106">
            <v>8.1476539915499274E-2</v>
          </cell>
          <cell r="E1106" t="str">
            <v>Erasmo</v>
          </cell>
          <cell r="G1106">
            <v>5.285834850974943E-3</v>
          </cell>
          <cell r="I1106" t="str">
            <v>Godfrey</v>
          </cell>
        </row>
        <row r="1107">
          <cell r="A1107" t="str">
            <v>Danette</v>
          </cell>
          <cell r="C1107">
            <v>8.1398710251278691E-2</v>
          </cell>
          <cell r="E1107" t="str">
            <v>Stanton</v>
          </cell>
          <cell r="G1107">
            <v>5.2414160707146499E-3</v>
          </cell>
          <cell r="I1107" t="str">
            <v>Flanagan</v>
          </cell>
        </row>
        <row r="1108">
          <cell r="A1108" t="str">
            <v>Maryjane</v>
          </cell>
          <cell r="C1108">
            <v>8.1320880587058095E-2</v>
          </cell>
          <cell r="E1108" t="str">
            <v>Lonny</v>
          </cell>
          <cell r="G1108">
            <v>5.196997290454356E-3</v>
          </cell>
          <cell r="I1108" t="str">
            <v>Crum</v>
          </cell>
        </row>
        <row r="1109">
          <cell r="A1109" t="str">
            <v>Freddie</v>
          </cell>
          <cell r="C1109">
            <v>8.1243050922837512E-2</v>
          </cell>
          <cell r="E1109" t="str">
            <v>Len</v>
          </cell>
          <cell r="G1109">
            <v>5.152578510194062E-3</v>
          </cell>
          <cell r="I1109" t="str">
            <v>Cordova</v>
          </cell>
        </row>
        <row r="1110">
          <cell r="A1110" t="str">
            <v>Delphine</v>
          </cell>
          <cell r="C1110">
            <v>8.1165221258616915E-2</v>
          </cell>
          <cell r="E1110" t="str">
            <v>Ike</v>
          </cell>
          <cell r="G1110">
            <v>5.1081597299337689E-3</v>
          </cell>
          <cell r="I1110" t="str">
            <v>Escobar</v>
          </cell>
        </row>
        <row r="1111">
          <cell r="A1111" t="str">
            <v>Brianne</v>
          </cell>
          <cell r="C1111">
            <v>8.1087391594396332E-2</v>
          </cell>
          <cell r="E1111" t="str">
            <v>Milan</v>
          </cell>
          <cell r="G1111">
            <v>5.063740949673475E-3</v>
          </cell>
          <cell r="I1111" t="str">
            <v>Downing</v>
          </cell>
        </row>
        <row r="1112">
          <cell r="A1112" t="str">
            <v>Nilda</v>
          </cell>
          <cell r="C1112">
            <v>8.1009561930175736E-2</v>
          </cell>
          <cell r="E1112" t="str">
            <v>Lino</v>
          </cell>
          <cell r="G1112">
            <v>5.0193221694131811E-3</v>
          </cell>
          <cell r="I1112" t="str">
            <v>Sinclair</v>
          </cell>
        </row>
        <row r="1113">
          <cell r="A1113" t="str">
            <v>Danna</v>
          </cell>
          <cell r="C1113">
            <v>8.0931732265955153E-2</v>
          </cell>
          <cell r="E1113" t="str">
            <v>Jarod</v>
          </cell>
          <cell r="G1113">
            <v>4.974903389152888E-3</v>
          </cell>
          <cell r="I1113" t="str">
            <v>Donahue</v>
          </cell>
        </row>
        <row r="1114">
          <cell r="A1114" t="str">
            <v>Cindi</v>
          </cell>
          <cell r="C1114">
            <v>8.0853902601734556E-2</v>
          </cell>
          <cell r="E1114" t="str">
            <v>Herb</v>
          </cell>
          <cell r="G1114">
            <v>4.9304846088925941E-3</v>
          </cell>
          <cell r="I1114" t="str">
            <v>Krueger</v>
          </cell>
        </row>
        <row r="1115">
          <cell r="A1115" t="str">
            <v>Bess</v>
          </cell>
          <cell r="C1115">
            <v>8.0776072937513974E-2</v>
          </cell>
          <cell r="E1115" t="str">
            <v>Andreas</v>
          </cell>
          <cell r="G1115">
            <v>4.8860658286323001E-3</v>
          </cell>
          <cell r="I1115" t="str">
            <v>Mcginnis</v>
          </cell>
        </row>
        <row r="1116">
          <cell r="A1116" t="str">
            <v>Iona</v>
          </cell>
          <cell r="C1116">
            <v>8.0698243273293377E-2</v>
          </cell>
          <cell r="E1116" t="str">
            <v>Walton</v>
          </cell>
          <cell r="G1116">
            <v>4.8416470483720071E-3</v>
          </cell>
          <cell r="I1116" t="str">
            <v>Gore</v>
          </cell>
        </row>
        <row r="1117">
          <cell r="A1117" t="str">
            <v>Hanna</v>
          </cell>
          <cell r="C1117">
            <v>8.0620413609072794E-2</v>
          </cell>
          <cell r="E1117" t="str">
            <v>Rhett</v>
          </cell>
          <cell r="G1117">
            <v>4.7972282681117131E-3</v>
          </cell>
          <cell r="I1117" t="str">
            <v>Farris</v>
          </cell>
        </row>
        <row r="1118">
          <cell r="A1118" t="str">
            <v>Ariel</v>
          </cell>
          <cell r="C1118">
            <v>8.0542583944852211E-2</v>
          </cell>
          <cell r="E1118" t="str">
            <v>Palmer</v>
          </cell>
          <cell r="G1118">
            <v>4.7528094878514192E-3</v>
          </cell>
          <cell r="I1118" t="str">
            <v>Webber</v>
          </cell>
        </row>
        <row r="1119">
          <cell r="A1119" t="str">
            <v>Winona</v>
          </cell>
          <cell r="C1119">
            <v>8.0464754280631615E-2</v>
          </cell>
          <cell r="E1119" t="str">
            <v>Jude</v>
          </cell>
          <cell r="G1119">
            <v>4.7083907075911261E-3</v>
          </cell>
          <cell r="I1119" t="str">
            <v>Corbett</v>
          </cell>
        </row>
        <row r="1120">
          <cell r="A1120" t="str">
            <v>Vida</v>
          </cell>
          <cell r="C1120">
            <v>8.0386924616411032E-2</v>
          </cell>
          <cell r="E1120" t="str">
            <v>Douglass</v>
          </cell>
          <cell r="G1120">
            <v>4.6639719273308322E-3</v>
          </cell>
          <cell r="I1120" t="str">
            <v>Andrade</v>
          </cell>
        </row>
        <row r="1121">
          <cell r="A1121" t="str">
            <v>Rosita</v>
          </cell>
          <cell r="C1121">
            <v>8.0309094952190449E-2</v>
          </cell>
          <cell r="E1121" t="str">
            <v>Cordell</v>
          </cell>
          <cell r="G1121">
            <v>4.6195531470705382E-3</v>
          </cell>
          <cell r="I1121" t="str">
            <v>Starr</v>
          </cell>
        </row>
        <row r="1122">
          <cell r="A1122" t="str">
            <v>Marianna</v>
          </cell>
          <cell r="C1122">
            <v>8.0231265287969852E-2</v>
          </cell>
          <cell r="E1122" t="str">
            <v>Oswaldo</v>
          </cell>
          <cell r="G1122">
            <v>4.5751343668102452E-3</v>
          </cell>
          <cell r="I1122" t="str">
            <v>Lyon</v>
          </cell>
        </row>
        <row r="1123">
          <cell r="A1123" t="str">
            <v>William</v>
          </cell>
          <cell r="C1123">
            <v>8.0153435623749256E-2</v>
          </cell>
          <cell r="E1123" t="str">
            <v>Ellsworth</v>
          </cell>
          <cell r="G1123">
            <v>4.5307155865499512E-3</v>
          </cell>
          <cell r="I1123" t="str">
            <v>Yoder</v>
          </cell>
        </row>
        <row r="1124">
          <cell r="A1124" t="str">
            <v>Racheal</v>
          </cell>
          <cell r="C1124">
            <v>8.0075605959528673E-2</v>
          </cell>
          <cell r="E1124" t="str">
            <v>Virgilio</v>
          </cell>
          <cell r="G1124">
            <v>4.4862968062896573E-3</v>
          </cell>
          <cell r="I1124" t="str">
            <v>Hastings</v>
          </cell>
        </row>
        <row r="1125">
          <cell r="A1125" t="str">
            <v>Guillermina</v>
          </cell>
          <cell r="C1125">
            <v>7.999777629530809E-2</v>
          </cell>
          <cell r="E1125" t="str">
            <v>Toney</v>
          </cell>
          <cell r="G1125">
            <v>4.4418780260293642E-3</v>
          </cell>
          <cell r="I1125" t="str">
            <v>Mcgrath</v>
          </cell>
        </row>
        <row r="1126">
          <cell r="A1126" t="str">
            <v>Eloisa</v>
          </cell>
          <cell r="C1126">
            <v>7.9919946631087507E-2</v>
          </cell>
          <cell r="E1126" t="str">
            <v>Nathanael</v>
          </cell>
          <cell r="G1126">
            <v>4.3974592457690703E-3</v>
          </cell>
          <cell r="I1126" t="str">
            <v>Spivey</v>
          </cell>
        </row>
        <row r="1127">
          <cell r="A1127" t="str">
            <v>Celestine</v>
          </cell>
          <cell r="C1127">
            <v>7.9842116966866924E-2</v>
          </cell>
          <cell r="E1127" t="str">
            <v>Del</v>
          </cell>
          <cell r="G1127">
            <v>4.3530404655087764E-3</v>
          </cell>
          <cell r="I1127" t="str">
            <v>Krause</v>
          </cell>
        </row>
        <row r="1128">
          <cell r="A1128" t="str">
            <v>Caren</v>
          </cell>
          <cell r="C1128">
            <v>7.9764287302646328E-2</v>
          </cell>
          <cell r="E1128" t="str">
            <v>Britt</v>
          </cell>
          <cell r="G1128">
            <v>4.3086216852484833E-3</v>
          </cell>
          <cell r="I1128" t="str">
            <v>Harden</v>
          </cell>
        </row>
        <row r="1129">
          <cell r="A1129" t="str">
            <v>Malissa</v>
          </cell>
          <cell r="C1129">
            <v>7.9686457638425745E-2</v>
          </cell>
          <cell r="E1129" t="str">
            <v>Benedict</v>
          </cell>
          <cell r="G1129">
            <v>4.2642029049881893E-3</v>
          </cell>
          <cell r="I1129" t="str">
            <v>Crabtree</v>
          </cell>
        </row>
        <row r="1130">
          <cell r="A1130" t="str">
            <v>Lona</v>
          </cell>
          <cell r="C1130">
            <v>7.9608627974205148E-2</v>
          </cell>
          <cell r="E1130" t="str">
            <v>Mose</v>
          </cell>
          <cell r="G1130">
            <v>4.2197841247278954E-3</v>
          </cell>
          <cell r="I1130" t="str">
            <v>Kirkpatrick</v>
          </cell>
        </row>
        <row r="1131">
          <cell r="A1131" t="str">
            <v>Chantel</v>
          </cell>
          <cell r="C1131">
            <v>7.9530798309984566E-2</v>
          </cell>
          <cell r="E1131" t="str">
            <v>Hong</v>
          </cell>
          <cell r="G1131">
            <v>4.1753653444676023E-3</v>
          </cell>
          <cell r="I1131" t="str">
            <v>Hollis</v>
          </cell>
        </row>
        <row r="1132">
          <cell r="A1132" t="str">
            <v>Shellie</v>
          </cell>
          <cell r="C1132">
            <v>7.9452968645763983E-2</v>
          </cell>
          <cell r="E1132" t="str">
            <v>Leigh</v>
          </cell>
          <cell r="G1132">
            <v>4.1309465642073084E-3</v>
          </cell>
          <cell r="I1132" t="str">
            <v>Brandon</v>
          </cell>
        </row>
        <row r="1133">
          <cell r="A1133" t="str">
            <v>Marisela</v>
          </cell>
          <cell r="C1133">
            <v>7.9375138981543386E-2</v>
          </cell>
          <cell r="E1133" t="str">
            <v>Johnson</v>
          </cell>
          <cell r="G1133">
            <v>4.0865277839470145E-3</v>
          </cell>
          <cell r="I1133" t="str">
            <v>Arrington</v>
          </cell>
        </row>
        <row r="1134">
          <cell r="A1134" t="str">
            <v>Leora</v>
          </cell>
          <cell r="C1134">
            <v>7.9297309317322803E-2</v>
          </cell>
          <cell r="E1134" t="str">
            <v>Isreal</v>
          </cell>
          <cell r="G1134">
            <v>4.0421090036867214E-3</v>
          </cell>
          <cell r="I1134" t="str">
            <v>Ervin</v>
          </cell>
        </row>
        <row r="1135">
          <cell r="A1135" t="str">
            <v>Agatha</v>
          </cell>
          <cell r="C1135">
            <v>7.9219479653102221E-2</v>
          </cell>
          <cell r="E1135" t="str">
            <v>Gayle</v>
          </cell>
          <cell r="G1135">
            <v>3.9976902234264275E-3</v>
          </cell>
          <cell r="I1135" t="str">
            <v>Clifton</v>
          </cell>
        </row>
        <row r="1136">
          <cell r="A1136" t="str">
            <v>Soledad</v>
          </cell>
          <cell r="C1136">
            <v>7.9141649988881638E-2</v>
          </cell>
          <cell r="E1136" t="str">
            <v>Garret</v>
          </cell>
          <cell r="G1136">
            <v>3.9532714431661344E-3</v>
          </cell>
          <cell r="I1136" t="str">
            <v>Ritter</v>
          </cell>
        </row>
        <row r="1137">
          <cell r="A1137" t="str">
            <v>Migdalia</v>
          </cell>
          <cell r="C1137">
            <v>7.9063820324661041E-2</v>
          </cell>
          <cell r="E1137" t="str">
            <v>Fausto</v>
          </cell>
          <cell r="G1137">
            <v>3.9088526629058404E-3</v>
          </cell>
          <cell r="I1137" t="str">
            <v>Mcghee</v>
          </cell>
        </row>
        <row r="1138">
          <cell r="A1138" t="str">
            <v>Ivette</v>
          </cell>
          <cell r="C1138">
            <v>7.8985990660440458E-2</v>
          </cell>
          <cell r="E1138" t="str">
            <v>Asa</v>
          </cell>
          <cell r="G1138">
            <v>3.8644338826455465E-3</v>
          </cell>
          <cell r="I1138" t="str">
            <v>Bolden</v>
          </cell>
        </row>
        <row r="1139">
          <cell r="A1139" t="str">
            <v>Christen</v>
          </cell>
          <cell r="C1139">
            <v>7.8908160996219862E-2</v>
          </cell>
          <cell r="E1139" t="str">
            <v>Arlen</v>
          </cell>
          <cell r="G1139">
            <v>3.820015102385253E-3</v>
          </cell>
          <cell r="I1139" t="str">
            <v>Maloney</v>
          </cell>
        </row>
        <row r="1140">
          <cell r="A1140" t="str">
            <v>Athena</v>
          </cell>
          <cell r="C1140">
            <v>7.8830331331999279E-2</v>
          </cell>
          <cell r="E1140" t="str">
            <v>Zack</v>
          </cell>
          <cell r="G1140">
            <v>3.7755963221249595E-3</v>
          </cell>
          <cell r="I1140" t="str">
            <v>Gagnon</v>
          </cell>
        </row>
        <row r="1141">
          <cell r="A1141" t="str">
            <v>Janel</v>
          </cell>
          <cell r="C1141">
            <v>7.8752501667778696E-2</v>
          </cell>
          <cell r="E1141" t="str">
            <v>Warner</v>
          </cell>
          <cell r="G1141">
            <v>3.7311775418646656E-3</v>
          </cell>
          <cell r="I1141" t="str">
            <v>Dunbar</v>
          </cell>
        </row>
        <row r="1142">
          <cell r="A1142" t="str">
            <v>Chloe</v>
          </cell>
          <cell r="C1142">
            <v>7.8674672003558113E-2</v>
          </cell>
          <cell r="E1142" t="str">
            <v>Modesto</v>
          </cell>
          <cell r="G1142">
            <v>3.6867587616043721E-3</v>
          </cell>
          <cell r="I1142" t="str">
            <v>Ponce</v>
          </cell>
        </row>
        <row r="1143">
          <cell r="A1143" t="str">
            <v>Veda</v>
          </cell>
          <cell r="C1143">
            <v>7.8596842339337517E-2</v>
          </cell>
          <cell r="E1143" t="str">
            <v>Francesco</v>
          </cell>
          <cell r="G1143">
            <v>3.6423399813440786E-3</v>
          </cell>
          <cell r="I1143" t="str">
            <v>Pike</v>
          </cell>
        </row>
        <row r="1144">
          <cell r="A1144" t="str">
            <v>Pattie</v>
          </cell>
          <cell r="C1144">
            <v>7.8519012675116934E-2</v>
          </cell>
          <cell r="E1144" t="str">
            <v>Manual</v>
          </cell>
          <cell r="G1144">
            <v>3.5979212010837846E-3</v>
          </cell>
          <cell r="I1144" t="str">
            <v>Mayes</v>
          </cell>
        </row>
        <row r="1145">
          <cell r="A1145" t="str">
            <v>Tessie</v>
          </cell>
          <cell r="C1145">
            <v>7.8441183010896351E-2</v>
          </cell>
          <cell r="E1145" t="str">
            <v>Jae</v>
          </cell>
          <cell r="G1145">
            <v>3.5535024208234911E-3</v>
          </cell>
          <cell r="I1145" t="str">
            <v>Heard</v>
          </cell>
        </row>
        <row r="1146">
          <cell r="A1146" t="str">
            <v>Tera</v>
          </cell>
          <cell r="C1146">
            <v>7.8363353346675754E-2</v>
          </cell>
          <cell r="E1146" t="str">
            <v>Gaylord</v>
          </cell>
          <cell r="G1146">
            <v>3.5090836405631976E-3</v>
          </cell>
          <cell r="I1146" t="str">
            <v>Beatty</v>
          </cell>
        </row>
        <row r="1147">
          <cell r="A1147" t="str">
            <v>Marilynn</v>
          </cell>
          <cell r="C1147">
            <v>7.8285523682455171E-2</v>
          </cell>
          <cell r="E1147" t="str">
            <v>Gaston</v>
          </cell>
          <cell r="G1147">
            <v>3.4646648603029037E-3</v>
          </cell>
          <cell r="I1147" t="str">
            <v>Mobley</v>
          </cell>
        </row>
        <row r="1148">
          <cell r="A1148" t="str">
            <v>Lucretia</v>
          </cell>
          <cell r="C1148">
            <v>7.8207694018234589E-2</v>
          </cell>
          <cell r="E1148" t="str">
            <v>Filiberto</v>
          </cell>
          <cell r="G1148">
            <v>3.4202460800426102E-3</v>
          </cell>
          <cell r="I1148" t="str">
            <v>Kimball</v>
          </cell>
        </row>
        <row r="1149">
          <cell r="A1149" t="str">
            <v>Karrie</v>
          </cell>
          <cell r="C1149">
            <v>7.8129864354014006E-2</v>
          </cell>
          <cell r="E1149" t="str">
            <v>Deangelo</v>
          </cell>
          <cell r="G1149">
            <v>3.3758272997823167E-3</v>
          </cell>
          <cell r="I1149" t="str">
            <v>Butts</v>
          </cell>
        </row>
        <row r="1150">
          <cell r="A1150" t="str">
            <v>Dinah</v>
          </cell>
          <cell r="C1150">
            <v>7.8052034689793409E-2</v>
          </cell>
          <cell r="E1150" t="str">
            <v>Michale</v>
          </cell>
          <cell r="G1150">
            <v>3.3314085195220227E-3</v>
          </cell>
          <cell r="I1150" t="str">
            <v>Montes</v>
          </cell>
        </row>
        <row r="1151">
          <cell r="A1151" t="str">
            <v>Daniela</v>
          </cell>
          <cell r="C1151">
            <v>7.7974205025572826E-2</v>
          </cell>
          <cell r="E1151" t="str">
            <v>Granville</v>
          </cell>
          <cell r="G1151">
            <v>3.2869897392617292E-3</v>
          </cell>
          <cell r="I1151" t="str">
            <v>Herbert</v>
          </cell>
        </row>
        <row r="1152">
          <cell r="A1152" t="str">
            <v>Alecia</v>
          </cell>
          <cell r="C1152">
            <v>7.789637536135223E-2</v>
          </cell>
          <cell r="E1152" t="str">
            <v>Wes</v>
          </cell>
          <cell r="G1152">
            <v>3.2425709590014357E-3</v>
          </cell>
          <cell r="I1152" t="str">
            <v>Grady</v>
          </cell>
        </row>
        <row r="1153">
          <cell r="A1153" t="str">
            <v>Adelina</v>
          </cell>
          <cell r="C1153">
            <v>7.7818545697131647E-2</v>
          </cell>
          <cell r="E1153" t="str">
            <v>Malik</v>
          </cell>
          <cell r="G1153">
            <v>3.1981521787411418E-3</v>
          </cell>
          <cell r="I1153" t="str">
            <v>Eldridge</v>
          </cell>
        </row>
        <row r="1154">
          <cell r="A1154" t="str">
            <v>Vernice</v>
          </cell>
          <cell r="C1154">
            <v>7.7740716032911064E-2</v>
          </cell>
          <cell r="E1154" t="str">
            <v>Zackary</v>
          </cell>
          <cell r="G1154">
            <v>3.1537333984808483E-3</v>
          </cell>
          <cell r="I1154" t="str">
            <v>Braun</v>
          </cell>
        </row>
        <row r="1155">
          <cell r="A1155" t="str">
            <v>Shiela</v>
          </cell>
          <cell r="C1155">
            <v>7.7662886368690467E-2</v>
          </cell>
          <cell r="E1155" t="str">
            <v>Tuan</v>
          </cell>
          <cell r="G1155">
            <v>3.1093146182205548E-3</v>
          </cell>
          <cell r="I1155" t="str">
            <v>Hamm</v>
          </cell>
        </row>
        <row r="1156">
          <cell r="A1156" t="str">
            <v>Portia</v>
          </cell>
          <cell r="C1156">
            <v>7.7585056704469885E-2</v>
          </cell>
          <cell r="E1156" t="str">
            <v>Nicky</v>
          </cell>
          <cell r="G1156">
            <v>3.0648958379602608E-3</v>
          </cell>
          <cell r="I1156" t="str">
            <v>Gibbons</v>
          </cell>
        </row>
        <row r="1157">
          <cell r="A1157" t="str">
            <v>Merry</v>
          </cell>
          <cell r="C1157">
            <v>7.7507227040249302E-2</v>
          </cell>
          <cell r="E1157" t="str">
            <v>Eldridge</v>
          </cell>
          <cell r="G1157">
            <v>3.0204770576999673E-3</v>
          </cell>
          <cell r="I1157" t="str">
            <v>Seymour</v>
          </cell>
        </row>
        <row r="1158">
          <cell r="A1158" t="str">
            <v>Lashawn</v>
          </cell>
          <cell r="C1158">
            <v>7.7429397376028719E-2</v>
          </cell>
          <cell r="E1158" t="str">
            <v>Cristopher</v>
          </cell>
          <cell r="G1158">
            <v>2.9760582774396738E-3</v>
          </cell>
          <cell r="I1158" t="str">
            <v>Moyer</v>
          </cell>
        </row>
        <row r="1159">
          <cell r="A1159" t="str">
            <v>Devon</v>
          </cell>
          <cell r="C1159">
            <v>7.7351567711808122E-2</v>
          </cell>
          <cell r="E1159" t="str">
            <v>Cortez</v>
          </cell>
          <cell r="G1159">
            <v>2.9316394971793799E-3</v>
          </cell>
          <cell r="I1159" t="str">
            <v>Manley</v>
          </cell>
        </row>
        <row r="1160">
          <cell r="A1160" t="str">
            <v>Dara</v>
          </cell>
          <cell r="C1160">
            <v>7.727373804758754E-2</v>
          </cell>
          <cell r="E1160" t="str">
            <v>Antione</v>
          </cell>
          <cell r="G1160">
            <v>2.8872207169190864E-3</v>
          </cell>
          <cell r="I1160" t="str">
            <v>Herron</v>
          </cell>
        </row>
        <row r="1161">
          <cell r="A1161" t="str">
            <v>Tawana</v>
          </cell>
          <cell r="C1161">
            <v>7.7195908383366943E-2</v>
          </cell>
          <cell r="E1161" t="str">
            <v>Malcom</v>
          </cell>
          <cell r="G1161">
            <v>2.8428019366587929E-3</v>
          </cell>
          <cell r="I1161" t="str">
            <v>Plummer</v>
          </cell>
        </row>
        <row r="1162">
          <cell r="A1162" t="str">
            <v>Oma</v>
          </cell>
          <cell r="C1162">
            <v>7.711807871914636E-2</v>
          </cell>
          <cell r="E1162" t="str">
            <v>Long</v>
          </cell>
          <cell r="G1162">
            <v>2.798383156398499E-3</v>
          </cell>
          <cell r="I1162" t="str">
            <v>Elmore</v>
          </cell>
        </row>
        <row r="1163">
          <cell r="A1163" t="str">
            <v>Verda</v>
          </cell>
          <cell r="C1163">
            <v>7.7040249054925777E-2</v>
          </cell>
          <cell r="E1163" t="str">
            <v>Korey</v>
          </cell>
          <cell r="G1163">
            <v>2.7539643761382059E-3</v>
          </cell>
          <cell r="I1163" t="str">
            <v>Cramer</v>
          </cell>
        </row>
        <row r="1164">
          <cell r="A1164" t="str">
            <v>Christin</v>
          </cell>
          <cell r="C1164">
            <v>7.6962419390705195E-2</v>
          </cell>
          <cell r="E1164" t="str">
            <v>Jospeh</v>
          </cell>
          <cell r="G1164">
            <v>2.709545595877912E-3</v>
          </cell>
          <cell r="I1164" t="str">
            <v>Gary</v>
          </cell>
        </row>
        <row r="1165">
          <cell r="A1165" t="str">
            <v>Alene</v>
          </cell>
          <cell r="C1165">
            <v>7.6884589726484598E-2</v>
          </cell>
          <cell r="E1165" t="str">
            <v>Colton</v>
          </cell>
          <cell r="G1165">
            <v>2.6651268156176184E-3</v>
          </cell>
          <cell r="I1165" t="str">
            <v>Rucker</v>
          </cell>
        </row>
        <row r="1166">
          <cell r="A1166" t="str">
            <v>Zella</v>
          </cell>
          <cell r="C1166">
            <v>7.6806760062264015E-2</v>
          </cell>
          <cell r="E1166" t="str">
            <v>Waylon</v>
          </cell>
          <cell r="G1166">
            <v>2.6207080353573249E-3</v>
          </cell>
          <cell r="I1166" t="str">
            <v>Hilton</v>
          </cell>
        </row>
        <row r="1167">
          <cell r="A1167" t="str">
            <v>Sandi</v>
          </cell>
          <cell r="C1167">
            <v>7.6740048921503518E-2</v>
          </cell>
          <cell r="E1167" t="str">
            <v>Von</v>
          </cell>
          <cell r="G1167">
            <v>2.576289255097031E-3</v>
          </cell>
          <cell r="I1167" t="str">
            <v>Blue</v>
          </cell>
        </row>
        <row r="1168">
          <cell r="A1168" t="str">
            <v>Rafaela</v>
          </cell>
          <cell r="C1168">
            <v>7.6673337780743006E-2</v>
          </cell>
          <cell r="E1168" t="str">
            <v>Hosea</v>
          </cell>
          <cell r="G1168">
            <v>2.5318704748367375E-3</v>
          </cell>
          <cell r="I1168" t="str">
            <v>Pierson</v>
          </cell>
        </row>
        <row r="1169">
          <cell r="A1169" t="str">
            <v>Maya</v>
          </cell>
          <cell r="C1169">
            <v>7.6606626639982495E-2</v>
          </cell>
          <cell r="E1169" t="str">
            <v>Shad</v>
          </cell>
          <cell r="G1169">
            <v>2.487451694576444E-3</v>
          </cell>
          <cell r="I1169" t="str">
            <v>Fontenot</v>
          </cell>
        </row>
        <row r="1170">
          <cell r="A1170" t="str">
            <v>Kira</v>
          </cell>
          <cell r="C1170">
            <v>7.6539915499221997E-2</v>
          </cell>
          <cell r="E1170" t="str">
            <v>Santo</v>
          </cell>
          <cell r="G1170">
            <v>2.4430329143161501E-3</v>
          </cell>
          <cell r="I1170" t="str">
            <v>Field</v>
          </cell>
        </row>
        <row r="1171">
          <cell r="A1171" t="str">
            <v>Candida</v>
          </cell>
          <cell r="C1171">
            <v>7.64732043584615E-2</v>
          </cell>
          <cell r="E1171" t="str">
            <v>Rudolf</v>
          </cell>
          <cell r="G1171">
            <v>2.3986141340558566E-3</v>
          </cell>
          <cell r="I1171" t="str">
            <v>Rubio</v>
          </cell>
        </row>
        <row r="1172">
          <cell r="A1172" t="str">
            <v>Alvina</v>
          </cell>
          <cell r="C1172">
            <v>7.6406493217701002E-2</v>
          </cell>
          <cell r="E1172" t="str">
            <v>Rolf</v>
          </cell>
          <cell r="G1172">
            <v>2.3541953537955631E-3</v>
          </cell>
          <cell r="I1172" t="str">
            <v>Grace</v>
          </cell>
        </row>
        <row r="1173">
          <cell r="A1173" t="str">
            <v>Suzan</v>
          </cell>
          <cell r="C1173">
            <v>7.6339782076940491E-2</v>
          </cell>
          <cell r="E1173" t="str">
            <v>Rey</v>
          </cell>
          <cell r="G1173">
            <v>2.3097765735352691E-3</v>
          </cell>
          <cell r="I1173" t="str">
            <v>Goldstein</v>
          </cell>
        </row>
        <row r="1174">
          <cell r="A1174" t="str">
            <v>Shayla</v>
          </cell>
          <cell r="C1174">
            <v>7.6273070936179979E-2</v>
          </cell>
          <cell r="E1174" t="str">
            <v>Renaldo</v>
          </cell>
          <cell r="G1174">
            <v>2.2653577932749756E-3</v>
          </cell>
          <cell r="I1174" t="str">
            <v>Elkins</v>
          </cell>
        </row>
        <row r="1175">
          <cell r="A1175" t="str">
            <v>Lyn</v>
          </cell>
          <cell r="C1175">
            <v>7.6206359795419482E-2</v>
          </cell>
          <cell r="E1175" t="str">
            <v>Marcellus</v>
          </cell>
          <cell r="G1175">
            <v>2.2209390130146821E-3</v>
          </cell>
          <cell r="I1175" t="str">
            <v>Wills</v>
          </cell>
        </row>
        <row r="1176">
          <cell r="A1176" t="str">
            <v>Lettie</v>
          </cell>
          <cell r="C1176">
            <v>7.613964865465897E-2</v>
          </cell>
          <cell r="E1176" t="str">
            <v>Lucius</v>
          </cell>
          <cell r="G1176">
            <v>2.1765202327543882E-3</v>
          </cell>
          <cell r="I1176" t="str">
            <v>Novak</v>
          </cell>
        </row>
        <row r="1177">
          <cell r="A1177" t="str">
            <v>Alva</v>
          </cell>
          <cell r="C1177">
            <v>7.6072937513898473E-2</v>
          </cell>
          <cell r="E1177" t="str">
            <v>Lesley</v>
          </cell>
          <cell r="G1177">
            <v>2.1321014524940947E-3</v>
          </cell>
          <cell r="I1177" t="str">
            <v>John</v>
          </cell>
        </row>
        <row r="1178">
          <cell r="A1178" t="str">
            <v>Samatha</v>
          </cell>
          <cell r="C1178">
            <v>7.6006226373137975E-2</v>
          </cell>
          <cell r="E1178" t="str">
            <v>Kristofer</v>
          </cell>
          <cell r="G1178">
            <v>2.0876826722338012E-3</v>
          </cell>
          <cell r="I1178" t="str">
            <v>Hickey</v>
          </cell>
        </row>
        <row r="1179">
          <cell r="A1179" t="str">
            <v>Oralia</v>
          </cell>
          <cell r="C1179">
            <v>7.5939515232377464E-2</v>
          </cell>
          <cell r="E1179" t="str">
            <v>Boyce</v>
          </cell>
          <cell r="G1179">
            <v>2.0432638919735072E-3</v>
          </cell>
          <cell r="I1179" t="str">
            <v>Worley</v>
          </cell>
        </row>
        <row r="1180">
          <cell r="A1180" t="str">
            <v>Matilde</v>
          </cell>
          <cell r="C1180">
            <v>7.5872804091616966E-2</v>
          </cell>
          <cell r="E1180" t="str">
            <v>Benton</v>
          </cell>
          <cell r="G1180">
            <v>1.9988451117132137E-3</v>
          </cell>
          <cell r="I1180" t="str">
            <v>Gorman</v>
          </cell>
        </row>
        <row r="1181">
          <cell r="A1181" t="str">
            <v>Madonna</v>
          </cell>
          <cell r="C1181">
            <v>7.5806092950856455E-2</v>
          </cell>
          <cell r="E1181" t="str">
            <v>Man</v>
          </cell>
          <cell r="G1181">
            <v>1.9544263314529202E-3</v>
          </cell>
          <cell r="I1181" t="str">
            <v>Katz</v>
          </cell>
        </row>
        <row r="1182">
          <cell r="A1182" t="str">
            <v>Larissa</v>
          </cell>
          <cell r="C1182">
            <v>7.5739381810095957E-2</v>
          </cell>
          <cell r="E1182" t="str">
            <v>Kasey</v>
          </cell>
          <cell r="G1182">
            <v>1.9100075511926265E-3</v>
          </cell>
          <cell r="I1182" t="str">
            <v>Dickinson</v>
          </cell>
        </row>
        <row r="1183">
          <cell r="A1183" t="str">
            <v>Vesta</v>
          </cell>
          <cell r="C1183">
            <v>7.5672670669335459E-2</v>
          </cell>
          <cell r="E1183" t="str">
            <v>Jewell</v>
          </cell>
          <cell r="G1183">
            <v>1.8655887709323328E-3</v>
          </cell>
          <cell r="I1183" t="str">
            <v>Broussard</v>
          </cell>
        </row>
        <row r="1184">
          <cell r="A1184" t="str">
            <v>Renita</v>
          </cell>
          <cell r="C1184">
            <v>7.5605959528574948E-2</v>
          </cell>
          <cell r="E1184" t="str">
            <v>Hayden</v>
          </cell>
          <cell r="G1184">
            <v>1.8211699906720393E-3</v>
          </cell>
          <cell r="I1184" t="str">
            <v>Fritz</v>
          </cell>
        </row>
        <row r="1185">
          <cell r="A1185" t="str">
            <v>India</v>
          </cell>
          <cell r="C1185">
            <v>7.5539248387814451E-2</v>
          </cell>
          <cell r="E1185" t="str">
            <v>Harland</v>
          </cell>
          <cell r="G1185">
            <v>1.7767512104117456E-3</v>
          </cell>
          <cell r="I1185" t="str">
            <v>Woodruff</v>
          </cell>
        </row>
        <row r="1186">
          <cell r="A1186" t="str">
            <v>Delois</v>
          </cell>
          <cell r="C1186">
            <v>7.5472537247053939E-2</v>
          </cell>
          <cell r="E1186" t="str">
            <v>Arnoldo</v>
          </cell>
          <cell r="G1186">
            <v>1.7323324301514518E-3</v>
          </cell>
          <cell r="I1186" t="str">
            <v>Crow</v>
          </cell>
        </row>
        <row r="1187">
          <cell r="A1187" t="str">
            <v>Shanda</v>
          </cell>
          <cell r="C1187">
            <v>7.5405826106293442E-2</v>
          </cell>
          <cell r="E1187" t="str">
            <v>Rueben</v>
          </cell>
          <cell r="G1187">
            <v>1.6879136498911583E-3</v>
          </cell>
          <cell r="I1187" t="str">
            <v>Christopher</v>
          </cell>
        </row>
        <row r="1188">
          <cell r="A1188" t="str">
            <v>Phillis</v>
          </cell>
          <cell r="C1188">
            <v>7.5339114965532944E-2</v>
          </cell>
          <cell r="E1188" t="str">
            <v>Leandro</v>
          </cell>
          <cell r="G1188">
            <v>1.6434948696308646E-3</v>
          </cell>
          <cell r="I1188" t="str">
            <v>Britton</v>
          </cell>
        </row>
        <row r="1189">
          <cell r="A1189" t="str">
            <v>Lorri</v>
          </cell>
          <cell r="C1189">
            <v>7.5272403824772433E-2</v>
          </cell>
          <cell r="E1189" t="str">
            <v>Kraig</v>
          </cell>
          <cell r="G1189">
            <v>1.5990760893705709E-3</v>
          </cell>
          <cell r="I1189" t="str">
            <v>Forrest</v>
          </cell>
        </row>
        <row r="1190">
          <cell r="A1190" t="str">
            <v>Erlinda</v>
          </cell>
          <cell r="C1190">
            <v>7.5205692684011935E-2</v>
          </cell>
          <cell r="E1190" t="str">
            <v>Jerrell</v>
          </cell>
          <cell r="G1190">
            <v>1.5546573091102774E-3</v>
          </cell>
          <cell r="I1190" t="str">
            <v>Nance</v>
          </cell>
        </row>
        <row r="1191">
          <cell r="A1191" t="str">
            <v>Cruz</v>
          </cell>
          <cell r="C1191">
            <v>7.5138981543251424E-2</v>
          </cell>
          <cell r="E1191" t="str">
            <v>Jeromy</v>
          </cell>
          <cell r="G1191">
            <v>1.5102385288499837E-3</v>
          </cell>
          <cell r="I1191" t="str">
            <v>Lehman</v>
          </cell>
        </row>
        <row r="1192">
          <cell r="A1192" t="str">
            <v>Cathrine</v>
          </cell>
          <cell r="C1192">
            <v>7.5072270402490926E-2</v>
          </cell>
          <cell r="E1192" t="str">
            <v>Hobert</v>
          </cell>
          <cell r="G1192">
            <v>1.46581974858969E-3</v>
          </cell>
          <cell r="I1192" t="str">
            <v>Bingham</v>
          </cell>
        </row>
        <row r="1193">
          <cell r="A1193" t="str">
            <v>Barb</v>
          </cell>
          <cell r="C1193">
            <v>7.5005559261730415E-2</v>
          </cell>
          <cell r="E1193" t="str">
            <v>Cedrick</v>
          </cell>
          <cell r="G1193">
            <v>1.4214009683293964E-3</v>
          </cell>
          <cell r="I1193" t="str">
            <v>Zuniga</v>
          </cell>
        </row>
        <row r="1194">
          <cell r="A1194" t="str">
            <v>Zoe</v>
          </cell>
          <cell r="C1194">
            <v>7.4938848120969917E-2</v>
          </cell>
          <cell r="E1194" t="str">
            <v>Arlie</v>
          </cell>
          <cell r="G1194">
            <v>1.3769821880691027E-3</v>
          </cell>
          <cell r="I1194" t="str">
            <v>Whaley</v>
          </cell>
        </row>
        <row r="1195">
          <cell r="A1195" t="str">
            <v>Isabell</v>
          </cell>
          <cell r="C1195">
            <v>7.4872136980209419E-2</v>
          </cell>
          <cell r="E1195" t="str">
            <v>Winford</v>
          </cell>
          <cell r="G1195">
            <v>1.332563407808809E-3</v>
          </cell>
          <cell r="I1195" t="str">
            <v>Shafer</v>
          </cell>
        </row>
        <row r="1196">
          <cell r="A1196" t="str">
            <v>Ione</v>
          </cell>
          <cell r="C1196">
            <v>7.4805425839448908E-2</v>
          </cell>
          <cell r="E1196" t="str">
            <v>Wally</v>
          </cell>
          <cell r="G1196">
            <v>1.2881446275485155E-3</v>
          </cell>
          <cell r="I1196" t="str">
            <v>Coffman</v>
          </cell>
        </row>
        <row r="1197">
          <cell r="A1197" t="str">
            <v>Gisela</v>
          </cell>
          <cell r="C1197">
            <v>7.473871469868841E-2</v>
          </cell>
          <cell r="E1197" t="str">
            <v>Patricia</v>
          </cell>
          <cell r="G1197">
            <v>1.2437258472882218E-3</v>
          </cell>
          <cell r="I1197" t="str">
            <v>Steward</v>
          </cell>
        </row>
        <row r="1198">
          <cell r="A1198" t="str">
            <v>Charlie</v>
          </cell>
          <cell r="C1198">
            <v>7.4672003557927899E-2</v>
          </cell>
          <cell r="E1198" t="str">
            <v>Luigi</v>
          </cell>
          <cell r="G1198">
            <v>1.1993070670279281E-3</v>
          </cell>
          <cell r="I1198" t="str">
            <v>Delarosa</v>
          </cell>
        </row>
        <row r="1199">
          <cell r="A1199" t="str">
            <v>Valencia</v>
          </cell>
          <cell r="C1199">
            <v>7.4605292417167401E-2</v>
          </cell>
          <cell r="E1199" t="str">
            <v>Keneth</v>
          </cell>
          <cell r="G1199">
            <v>1.1548882867676346E-3</v>
          </cell>
          <cell r="I1199" t="str">
            <v>Nix</v>
          </cell>
        </row>
        <row r="1200">
          <cell r="A1200" t="str">
            <v>Roxanna</v>
          </cell>
          <cell r="C1200">
            <v>7.4538581276406904E-2</v>
          </cell>
          <cell r="E1200" t="str">
            <v>Jacinto</v>
          </cell>
          <cell r="G1200">
            <v>1.1104695065073408E-3</v>
          </cell>
          <cell r="I1200" t="str">
            <v>Neely</v>
          </cell>
        </row>
        <row r="1201">
          <cell r="A1201" t="str">
            <v>Mayme</v>
          </cell>
          <cell r="C1201">
            <v>7.4471870135646392E-2</v>
          </cell>
          <cell r="E1201" t="str">
            <v>Graig</v>
          </cell>
          <cell r="G1201">
            <v>1.0660507262470471E-3</v>
          </cell>
          <cell r="I1201" t="str">
            <v>Numbers</v>
          </cell>
        </row>
        <row r="1202">
          <cell r="A1202" t="str">
            <v>Kisha</v>
          </cell>
          <cell r="C1202">
            <v>7.4405158994885895E-2</v>
          </cell>
          <cell r="E1202" t="str">
            <v>Franklyn</v>
          </cell>
          <cell r="G1202">
            <v>1.0216319459867536E-3</v>
          </cell>
          <cell r="I1202" t="str">
            <v>Mata</v>
          </cell>
        </row>
        <row r="1203">
          <cell r="A1203" t="str">
            <v>Ellie</v>
          </cell>
          <cell r="C1203">
            <v>7.4338447854125383E-2</v>
          </cell>
          <cell r="E1203" t="str">
            <v>Edmundo</v>
          </cell>
          <cell r="G1203">
            <v>9.772131657264599E-4</v>
          </cell>
          <cell r="I1203" t="str">
            <v>Manuel</v>
          </cell>
        </row>
        <row r="1204">
          <cell r="A1204" t="str">
            <v>Mellissa</v>
          </cell>
          <cell r="C1204">
            <v>7.4271736713364872E-2</v>
          </cell>
          <cell r="E1204" t="str">
            <v>Sid</v>
          </cell>
          <cell r="G1204">
            <v>9.3279438546616628E-4</v>
          </cell>
          <cell r="I1204" t="str">
            <v>Davila</v>
          </cell>
        </row>
        <row r="1205">
          <cell r="A1205" t="str">
            <v>Dorris</v>
          </cell>
          <cell r="C1205">
            <v>7.4205025572604374E-2</v>
          </cell>
          <cell r="E1205" t="str">
            <v>Porter</v>
          </cell>
          <cell r="G1205">
            <v>8.8837560520587267E-4</v>
          </cell>
          <cell r="I1205" t="str">
            <v>Mccabe</v>
          </cell>
        </row>
        <row r="1206">
          <cell r="A1206" t="str">
            <v>Dalia</v>
          </cell>
          <cell r="C1206">
            <v>7.4138314431843877E-2</v>
          </cell>
          <cell r="E1206" t="str">
            <v>Leif</v>
          </cell>
          <cell r="G1206">
            <v>8.4395682494557895E-4</v>
          </cell>
          <cell r="I1206" t="str">
            <v>Kessler</v>
          </cell>
        </row>
        <row r="1207">
          <cell r="A1207" t="str">
            <v>Bella</v>
          </cell>
          <cell r="C1207">
            <v>7.4071603291083379E-2</v>
          </cell>
          <cell r="E1207" t="str">
            <v>Lauren</v>
          </cell>
          <cell r="G1207">
            <v>7.9953804468528534E-4</v>
          </cell>
          <cell r="I1207" t="str">
            <v>Emery</v>
          </cell>
        </row>
        <row r="1208">
          <cell r="A1208" t="str">
            <v>Annetta</v>
          </cell>
          <cell r="C1208">
            <v>7.4004892150322868E-2</v>
          </cell>
          <cell r="E1208" t="str">
            <v>Jeramy</v>
          </cell>
          <cell r="G1208">
            <v>7.5511926442499173E-4</v>
          </cell>
          <cell r="I1208" t="str">
            <v>Bowling</v>
          </cell>
        </row>
        <row r="1209">
          <cell r="A1209" t="str">
            <v>Zoila</v>
          </cell>
          <cell r="C1209">
            <v>7.3938181009562357E-2</v>
          </cell>
          <cell r="E1209" t="str">
            <v>Elisha</v>
          </cell>
          <cell r="G1209">
            <v>7.1070048416469801E-4</v>
          </cell>
          <cell r="I1209" t="str">
            <v>Hinkle</v>
          </cell>
        </row>
        <row r="1210">
          <cell r="A1210" t="str">
            <v>Reta</v>
          </cell>
          <cell r="C1210">
            <v>7.3871469868801859E-2</v>
          </cell>
          <cell r="E1210" t="str">
            <v>Buck</v>
          </cell>
          <cell r="G1210">
            <v>6.662817039044044E-4</v>
          </cell>
          <cell r="I1210" t="str">
            <v>Welsh</v>
          </cell>
        </row>
        <row r="1211">
          <cell r="A1211" t="str">
            <v>Reina</v>
          </cell>
          <cell r="C1211">
            <v>7.3804758728041361E-2</v>
          </cell>
          <cell r="E1211" t="str">
            <v>Willian</v>
          </cell>
          <cell r="G1211">
            <v>6.2186292364411078E-4</v>
          </cell>
          <cell r="I1211" t="str">
            <v>Pagan</v>
          </cell>
        </row>
        <row r="1212">
          <cell r="A1212" t="str">
            <v>Lauretta</v>
          </cell>
          <cell r="C1212">
            <v>7.3738047587280864E-2</v>
          </cell>
          <cell r="E1212" t="str">
            <v>Vincenzo</v>
          </cell>
          <cell r="G1212">
            <v>5.7744414338381706E-4</v>
          </cell>
          <cell r="I1212" t="str">
            <v>Goldberg</v>
          </cell>
        </row>
        <row r="1213">
          <cell r="A1213" t="str">
            <v>Kylie</v>
          </cell>
          <cell r="C1213">
            <v>7.3671336446520352E-2</v>
          </cell>
          <cell r="E1213" t="str">
            <v>Shon</v>
          </cell>
          <cell r="G1213">
            <v>5.3302536312352345E-4</v>
          </cell>
          <cell r="I1213" t="str">
            <v>Goins</v>
          </cell>
        </row>
        <row r="1214">
          <cell r="A1214" t="str">
            <v>Christal</v>
          </cell>
          <cell r="C1214">
            <v>7.3604625305759841E-2</v>
          </cell>
          <cell r="E1214" t="str">
            <v>Michal</v>
          </cell>
          <cell r="G1214">
            <v>4.8860658286322984E-4</v>
          </cell>
          <cell r="I1214" t="str">
            <v>Crouch</v>
          </cell>
        </row>
        <row r="1215">
          <cell r="A1215" t="str">
            <v>Pilar</v>
          </cell>
          <cell r="C1215">
            <v>7.3537914164999343E-2</v>
          </cell>
          <cell r="E1215" t="str">
            <v>Lynwood</v>
          </cell>
          <cell r="G1215">
            <v>4.4418780260293617E-4</v>
          </cell>
          <cell r="I1215" t="str">
            <v>Cuevas</v>
          </cell>
        </row>
        <row r="1216">
          <cell r="A1216" t="str">
            <v>Charla</v>
          </cell>
          <cell r="C1216">
            <v>7.3471203024238832E-2</v>
          </cell>
          <cell r="E1216" t="str">
            <v>Lindsay</v>
          </cell>
          <cell r="G1216">
            <v>3.9976902234264251E-4</v>
          </cell>
          <cell r="I1216" t="str">
            <v>Quinones</v>
          </cell>
        </row>
        <row r="1217">
          <cell r="A1217" t="str">
            <v>Elissa</v>
          </cell>
          <cell r="C1217">
            <v>7.3404491883478334E-2</v>
          </cell>
          <cell r="E1217" t="str">
            <v>Jewel</v>
          </cell>
          <cell r="G1217">
            <v>3.5535024208234884E-4</v>
          </cell>
          <cell r="I1217" t="str">
            <v>Mcdermott</v>
          </cell>
        </row>
        <row r="1218">
          <cell r="A1218" t="str">
            <v>Tiffani</v>
          </cell>
          <cell r="C1218">
            <v>7.3337780742717837E-2</v>
          </cell>
          <cell r="E1218" t="str">
            <v>Jere</v>
          </cell>
          <cell r="G1218">
            <v>3.1093146182205528E-4</v>
          </cell>
          <cell r="I1218" t="str">
            <v>Hendrickson</v>
          </cell>
        </row>
        <row r="1219">
          <cell r="A1219" t="str">
            <v>Tana</v>
          </cell>
          <cell r="C1219">
            <v>7.3271069601957325E-2</v>
          </cell>
          <cell r="E1219" t="str">
            <v>Hai</v>
          </cell>
          <cell r="G1219">
            <v>2.6651268156176167E-4</v>
          </cell>
          <cell r="I1219" t="str">
            <v>Samuels</v>
          </cell>
        </row>
        <row r="1220">
          <cell r="A1220" t="str">
            <v>Paulina</v>
          </cell>
          <cell r="C1220">
            <v>7.3204358461196828E-2</v>
          </cell>
          <cell r="E1220" t="str">
            <v>Elden</v>
          </cell>
          <cell r="G1220">
            <v>2.2209390130146803E-4</v>
          </cell>
          <cell r="I1220" t="str">
            <v>Denton</v>
          </cell>
        </row>
        <row r="1221">
          <cell r="A1221" t="str">
            <v>Leota</v>
          </cell>
          <cell r="C1221">
            <v>7.3137647320436316E-2</v>
          </cell>
          <cell r="E1221" t="str">
            <v>Dorsey</v>
          </cell>
          <cell r="G1221">
            <v>1.7767512104117442E-4</v>
          </cell>
          <cell r="I1221" t="str">
            <v>Bergeron</v>
          </cell>
        </row>
        <row r="1222">
          <cell r="A1222" t="str">
            <v>Breanna</v>
          </cell>
          <cell r="C1222">
            <v>7.3070936179675819E-2</v>
          </cell>
          <cell r="E1222" t="str">
            <v>Darell</v>
          </cell>
          <cell r="G1222">
            <v>1.3325634078088084E-4</v>
          </cell>
          <cell r="I1222" t="str">
            <v>Lam</v>
          </cell>
        </row>
        <row r="1223">
          <cell r="A1223" t="str">
            <v>Jayme</v>
          </cell>
          <cell r="C1223">
            <v>7.3004225038915321E-2</v>
          </cell>
          <cell r="E1223" t="str">
            <v>Broderick</v>
          </cell>
          <cell r="G1223">
            <v>8.883756052058721E-5</v>
          </cell>
          <cell r="I1223" t="str">
            <v>Ivey</v>
          </cell>
        </row>
        <row r="1224">
          <cell r="A1224" t="str">
            <v>Carmel</v>
          </cell>
          <cell r="C1224">
            <v>7.293751389815481E-2</v>
          </cell>
          <cell r="E1224" t="str">
            <v>Alonso</v>
          </cell>
          <cell r="G1224">
            <v>4.4418780260293605E-5</v>
          </cell>
          <cell r="I1224" t="str">
            <v>Locke</v>
          </cell>
        </row>
        <row r="1225">
          <cell r="A1225" t="str">
            <v>Vernell</v>
          </cell>
          <cell r="C1225">
            <v>7.2870802757394312E-2</v>
          </cell>
          <cell r="I1225" t="str">
            <v>Haines</v>
          </cell>
        </row>
        <row r="1226">
          <cell r="A1226" t="str">
            <v>Tomasa</v>
          </cell>
          <cell r="C1226">
            <v>7.2804091616633801E-2</v>
          </cell>
          <cell r="I1226" t="str">
            <v>Thurman</v>
          </cell>
        </row>
        <row r="1227">
          <cell r="A1227" t="str">
            <v>Mandi</v>
          </cell>
          <cell r="C1227">
            <v>7.2737380475873303E-2</v>
          </cell>
          <cell r="I1227" t="str">
            <v>Snell</v>
          </cell>
        </row>
        <row r="1228">
          <cell r="A1228" t="str">
            <v>Dominga</v>
          </cell>
          <cell r="C1228">
            <v>7.2670669335112806E-2</v>
          </cell>
          <cell r="I1228" t="str">
            <v>Hoskins</v>
          </cell>
        </row>
        <row r="1229">
          <cell r="A1229" t="str">
            <v>Santa</v>
          </cell>
          <cell r="C1229">
            <v>7.2603958194352294E-2</v>
          </cell>
          <cell r="I1229" t="str">
            <v>Byrne</v>
          </cell>
        </row>
        <row r="1230">
          <cell r="A1230" t="str">
            <v>Melodie</v>
          </cell>
          <cell r="C1230">
            <v>7.2537247053591797E-2</v>
          </cell>
          <cell r="I1230" t="str">
            <v>Milton</v>
          </cell>
        </row>
        <row r="1231">
          <cell r="A1231" t="str">
            <v>Lura</v>
          </cell>
          <cell r="C1231">
            <v>7.2470535912831285E-2</v>
          </cell>
          <cell r="I1231" t="str">
            <v>Winston</v>
          </cell>
        </row>
        <row r="1232">
          <cell r="A1232" t="str">
            <v>Alexa</v>
          </cell>
          <cell r="C1232">
            <v>7.2403824772070788E-2</v>
          </cell>
          <cell r="I1232" t="str">
            <v>Arthur</v>
          </cell>
        </row>
        <row r="1233">
          <cell r="A1233" t="str">
            <v>Tamela</v>
          </cell>
          <cell r="C1233">
            <v>7.2337113631310276E-2</v>
          </cell>
          <cell r="I1233" t="str">
            <v>Arias</v>
          </cell>
        </row>
        <row r="1234">
          <cell r="A1234" t="str">
            <v>Ryan</v>
          </cell>
          <cell r="C1234">
            <v>7.2270402490549779E-2</v>
          </cell>
          <cell r="I1234" t="str">
            <v>Stanford</v>
          </cell>
        </row>
        <row r="1235">
          <cell r="A1235" t="str">
            <v>Mirna</v>
          </cell>
          <cell r="C1235">
            <v>7.2203691349789281E-2</v>
          </cell>
          <cell r="I1235" t="str">
            <v>Roe</v>
          </cell>
        </row>
        <row r="1236">
          <cell r="A1236" t="str">
            <v>Kerrie</v>
          </cell>
          <cell r="C1236">
            <v>7.213698020902877E-2</v>
          </cell>
          <cell r="I1236" t="str">
            <v>Corbin</v>
          </cell>
        </row>
        <row r="1237">
          <cell r="A1237" t="str">
            <v>Venus</v>
          </cell>
          <cell r="C1237">
            <v>7.2070269068268272E-2</v>
          </cell>
          <cell r="I1237" t="str">
            <v>Beltran</v>
          </cell>
        </row>
        <row r="1238">
          <cell r="A1238" t="str">
            <v>Noel</v>
          </cell>
          <cell r="C1238">
            <v>7.2003557927507761E-2</v>
          </cell>
          <cell r="I1238" t="str">
            <v>Chappell</v>
          </cell>
        </row>
        <row r="1239">
          <cell r="A1239" t="str">
            <v>Felicita</v>
          </cell>
          <cell r="C1239">
            <v>7.1936846786747263E-2</v>
          </cell>
          <cell r="I1239" t="str">
            <v>Hurt</v>
          </cell>
        </row>
        <row r="1240">
          <cell r="A1240" t="str">
            <v>Cristy</v>
          </cell>
          <cell r="C1240">
            <v>7.1870135645986766E-2</v>
          </cell>
          <cell r="I1240" t="str">
            <v>Downey</v>
          </cell>
        </row>
        <row r="1241">
          <cell r="A1241" t="str">
            <v>Carmelita</v>
          </cell>
          <cell r="C1241">
            <v>7.1803424505226254E-2</v>
          </cell>
          <cell r="I1241" t="str">
            <v>Dooley</v>
          </cell>
        </row>
        <row r="1242">
          <cell r="A1242" t="str">
            <v>Berniece</v>
          </cell>
          <cell r="C1242">
            <v>7.1736713364465757E-2</v>
          </cell>
          <cell r="I1242" t="str">
            <v>Tuttle</v>
          </cell>
        </row>
        <row r="1243">
          <cell r="A1243" t="str">
            <v>Annemarie</v>
          </cell>
          <cell r="C1243">
            <v>7.1670002223705245E-2</v>
          </cell>
          <cell r="I1243" t="str">
            <v>Couch</v>
          </cell>
        </row>
        <row r="1244">
          <cell r="A1244" t="str">
            <v>Tiara</v>
          </cell>
          <cell r="C1244">
            <v>7.1603291082944734E-2</v>
          </cell>
          <cell r="I1244" t="str">
            <v>Payton</v>
          </cell>
        </row>
        <row r="1245">
          <cell r="A1245" t="str">
            <v>Roseanne</v>
          </cell>
          <cell r="C1245">
            <v>7.1536579942184236E-2</v>
          </cell>
          <cell r="I1245" t="str">
            <v>Mcelroy</v>
          </cell>
        </row>
        <row r="1246">
          <cell r="A1246" t="str">
            <v>Missy</v>
          </cell>
          <cell r="C1246">
            <v>7.1469868801423739E-2</v>
          </cell>
          <cell r="I1246" t="str">
            <v>Crockett</v>
          </cell>
        </row>
        <row r="1247">
          <cell r="A1247" t="str">
            <v>Cori</v>
          </cell>
          <cell r="C1247">
            <v>7.1403157660663241E-2</v>
          </cell>
          <cell r="I1247" t="str">
            <v>Groves</v>
          </cell>
        </row>
        <row r="1248">
          <cell r="A1248" t="str">
            <v>Roxana</v>
          </cell>
          <cell r="C1248">
            <v>7.133644651990273E-2</v>
          </cell>
          <cell r="I1248" t="str">
            <v>Clement</v>
          </cell>
        </row>
        <row r="1249">
          <cell r="A1249" t="str">
            <v>Pricilla</v>
          </cell>
          <cell r="C1249">
            <v>7.1269735379142218E-2</v>
          </cell>
          <cell r="I1249" t="str">
            <v>Leslie</v>
          </cell>
        </row>
        <row r="1250">
          <cell r="A1250" t="str">
            <v>Kristal</v>
          </cell>
          <cell r="C1250">
            <v>7.1203024238381721E-2</v>
          </cell>
          <cell r="I1250" t="str">
            <v>Cartwright</v>
          </cell>
        </row>
        <row r="1251">
          <cell r="A1251" t="str">
            <v>Jung</v>
          </cell>
          <cell r="C1251">
            <v>7.1136313097621223E-2</v>
          </cell>
          <cell r="I1251" t="str">
            <v>Dickey</v>
          </cell>
        </row>
        <row r="1252">
          <cell r="A1252" t="str">
            <v>Elyse</v>
          </cell>
          <cell r="C1252">
            <v>7.1069601956860726E-2</v>
          </cell>
          <cell r="I1252" t="str">
            <v>Mcgill</v>
          </cell>
        </row>
        <row r="1253">
          <cell r="A1253" t="str">
            <v>Haydee</v>
          </cell>
          <cell r="C1253">
            <v>7.1002890816100214E-2</v>
          </cell>
          <cell r="I1253" t="str">
            <v>Dubois</v>
          </cell>
        </row>
        <row r="1254">
          <cell r="A1254" t="str">
            <v>Aletha</v>
          </cell>
          <cell r="C1254">
            <v>7.0936179675339703E-2</v>
          </cell>
          <cell r="I1254" t="str">
            <v>Muniz</v>
          </cell>
        </row>
        <row r="1255">
          <cell r="A1255" t="str">
            <v>Bettina</v>
          </cell>
          <cell r="C1255">
            <v>7.0869468534579191E-2</v>
          </cell>
          <cell r="I1255" t="str">
            <v>Erwin</v>
          </cell>
        </row>
        <row r="1256">
          <cell r="A1256" t="str">
            <v>Marge</v>
          </cell>
          <cell r="C1256">
            <v>7.0802757393818694E-2</v>
          </cell>
          <cell r="I1256" t="str">
            <v>Self</v>
          </cell>
        </row>
        <row r="1257">
          <cell r="A1257" t="str">
            <v>Gillian</v>
          </cell>
          <cell r="C1257">
            <v>7.0736046253058182E-2</v>
          </cell>
          <cell r="I1257" t="str">
            <v>Tolbert</v>
          </cell>
        </row>
        <row r="1258">
          <cell r="A1258" t="str">
            <v>Filomena</v>
          </cell>
          <cell r="C1258">
            <v>7.0669335112297671E-2</v>
          </cell>
          <cell r="I1258" t="str">
            <v>Dempsey</v>
          </cell>
        </row>
        <row r="1259">
          <cell r="A1259" t="str">
            <v>Charles</v>
          </cell>
          <cell r="C1259">
            <v>7.0602623971537173E-2</v>
          </cell>
          <cell r="I1259" t="str">
            <v>Cisneros</v>
          </cell>
        </row>
        <row r="1260">
          <cell r="A1260" t="str">
            <v>Zenaida</v>
          </cell>
          <cell r="C1260">
            <v>7.0535912830776662E-2</v>
          </cell>
          <cell r="I1260" t="str">
            <v>Sewell</v>
          </cell>
        </row>
        <row r="1261">
          <cell r="A1261" t="str">
            <v>Harriette</v>
          </cell>
          <cell r="C1261">
            <v>7.0469201690016151E-2</v>
          </cell>
          <cell r="I1261" t="str">
            <v>Latham</v>
          </cell>
        </row>
        <row r="1262">
          <cell r="A1262" t="str">
            <v>Caridad</v>
          </cell>
          <cell r="C1262">
            <v>7.0402490549255639E-2</v>
          </cell>
          <cell r="I1262" t="str">
            <v>Garland</v>
          </cell>
        </row>
        <row r="1263">
          <cell r="A1263" t="str">
            <v>Vada</v>
          </cell>
          <cell r="C1263">
            <v>7.0335779408495128E-2</v>
          </cell>
          <cell r="I1263" t="str">
            <v>Vigil</v>
          </cell>
        </row>
        <row r="1264">
          <cell r="A1264" t="str">
            <v>Una</v>
          </cell>
          <cell r="C1264">
            <v>7.0269068267734616E-2</v>
          </cell>
          <cell r="I1264" t="str">
            <v>Tapia</v>
          </cell>
        </row>
        <row r="1265">
          <cell r="A1265" t="str">
            <v>Aretha</v>
          </cell>
          <cell r="C1265">
            <v>7.0202357126974105E-2</v>
          </cell>
          <cell r="I1265" t="str">
            <v>Sterling</v>
          </cell>
        </row>
        <row r="1266">
          <cell r="A1266" t="str">
            <v>Pearline</v>
          </cell>
          <cell r="C1266">
            <v>7.0135645986213593E-2</v>
          </cell>
          <cell r="I1266" t="str">
            <v>Rainey</v>
          </cell>
        </row>
        <row r="1267">
          <cell r="A1267" t="str">
            <v>Marjory</v>
          </cell>
          <cell r="C1267">
            <v>7.0068934845453096E-2</v>
          </cell>
          <cell r="I1267" t="str">
            <v>Norwood</v>
          </cell>
        </row>
        <row r="1268">
          <cell r="A1268" t="str">
            <v>Marcela</v>
          </cell>
          <cell r="C1268">
            <v>7.000222370469257E-2</v>
          </cell>
          <cell r="I1268" t="str">
            <v>Lacy</v>
          </cell>
        </row>
        <row r="1269">
          <cell r="A1269" t="str">
            <v>Flor</v>
          </cell>
          <cell r="C1269">
            <v>6.9935512563932059E-2</v>
          </cell>
          <cell r="I1269" t="str">
            <v>Stroud</v>
          </cell>
        </row>
        <row r="1270">
          <cell r="A1270" t="str">
            <v>Evette</v>
          </cell>
          <cell r="C1270">
            <v>6.9868801423171562E-2</v>
          </cell>
          <cell r="I1270" t="str">
            <v>Meade</v>
          </cell>
        </row>
        <row r="1271">
          <cell r="A1271" t="str">
            <v>Elouise</v>
          </cell>
          <cell r="C1271">
            <v>6.980209028241105E-2</v>
          </cell>
          <cell r="I1271" t="str">
            <v>Amos</v>
          </cell>
        </row>
        <row r="1272">
          <cell r="A1272" t="str">
            <v>Alina</v>
          </cell>
          <cell r="C1272">
            <v>6.9735379141650539E-2</v>
          </cell>
          <cell r="I1272" t="str">
            <v>Tipton</v>
          </cell>
        </row>
        <row r="1273">
          <cell r="A1273" t="str">
            <v>Trinidad</v>
          </cell>
          <cell r="C1273">
            <v>6.9668668000890027E-2</v>
          </cell>
          <cell r="I1273" t="str">
            <v>Lord</v>
          </cell>
        </row>
        <row r="1274">
          <cell r="A1274" t="str">
            <v>David</v>
          </cell>
          <cell r="C1274">
            <v>6.9601956860129516E-2</v>
          </cell>
          <cell r="I1274" t="str">
            <v>Kuhn</v>
          </cell>
        </row>
        <row r="1275">
          <cell r="A1275" t="str">
            <v>Damaris</v>
          </cell>
          <cell r="C1275">
            <v>6.9535245719369004E-2</v>
          </cell>
          <cell r="I1275" t="str">
            <v>Hilliard</v>
          </cell>
        </row>
        <row r="1276">
          <cell r="A1276" t="str">
            <v>Catharine</v>
          </cell>
          <cell r="C1276">
            <v>6.9468534578608493E-2</v>
          </cell>
          <cell r="I1276" t="str">
            <v>Bonilla</v>
          </cell>
        </row>
        <row r="1277">
          <cell r="A1277" t="str">
            <v>Carroll</v>
          </cell>
          <cell r="C1277">
            <v>6.9401823437847981E-2</v>
          </cell>
          <cell r="I1277" t="str">
            <v>Teague</v>
          </cell>
        </row>
        <row r="1278">
          <cell r="A1278" t="str">
            <v>Belva</v>
          </cell>
          <cell r="C1278">
            <v>6.9335112297087484E-2</v>
          </cell>
          <cell r="I1278" t="str">
            <v>Courtney</v>
          </cell>
        </row>
        <row r="1279">
          <cell r="A1279" t="str">
            <v>Nakia</v>
          </cell>
          <cell r="C1279">
            <v>6.9268401156326972E-2</v>
          </cell>
          <cell r="I1279" t="str">
            <v>Gunn</v>
          </cell>
        </row>
        <row r="1280">
          <cell r="A1280" t="str">
            <v>Marlena</v>
          </cell>
          <cell r="C1280">
            <v>6.9212808539026546E-2</v>
          </cell>
          <cell r="I1280" t="str">
            <v>Ho</v>
          </cell>
        </row>
        <row r="1281">
          <cell r="A1281" t="str">
            <v>Luanne</v>
          </cell>
          <cell r="C1281">
            <v>6.915721592172612E-2</v>
          </cell>
          <cell r="I1281" t="str">
            <v>Greenwood</v>
          </cell>
        </row>
        <row r="1282">
          <cell r="A1282" t="str">
            <v>Lorine</v>
          </cell>
          <cell r="C1282">
            <v>6.9101623304425694E-2</v>
          </cell>
          <cell r="I1282" t="str">
            <v>Correa</v>
          </cell>
        </row>
        <row r="1283">
          <cell r="A1283" t="str">
            <v>Karon</v>
          </cell>
          <cell r="C1283">
            <v>6.9046030687125268E-2</v>
          </cell>
          <cell r="I1283" t="str">
            <v>Reece</v>
          </cell>
        </row>
        <row r="1284">
          <cell r="A1284" t="str">
            <v>Dorene</v>
          </cell>
          <cell r="C1284">
            <v>6.8990438069824842E-2</v>
          </cell>
          <cell r="I1284" t="str">
            <v>Weston</v>
          </cell>
        </row>
        <row r="1285">
          <cell r="A1285" t="str">
            <v>Danita</v>
          </cell>
          <cell r="C1285">
            <v>6.8934845452524415E-2</v>
          </cell>
          <cell r="I1285" t="str">
            <v>Poe</v>
          </cell>
        </row>
        <row r="1286">
          <cell r="A1286" t="str">
            <v>Brenna</v>
          </cell>
          <cell r="C1286">
            <v>6.8879252835223989E-2</v>
          </cell>
          <cell r="I1286" t="str">
            <v>Trent</v>
          </cell>
        </row>
        <row r="1287">
          <cell r="A1287" t="str">
            <v>Tatiana</v>
          </cell>
          <cell r="C1287">
            <v>6.8823660217923563E-2</v>
          </cell>
          <cell r="I1287" t="str">
            <v>Pineda</v>
          </cell>
        </row>
        <row r="1288">
          <cell r="A1288" t="str">
            <v>Sammie</v>
          </cell>
          <cell r="C1288">
            <v>6.8768067600623151E-2</v>
          </cell>
          <cell r="I1288" t="str">
            <v>Phipps</v>
          </cell>
        </row>
        <row r="1289">
          <cell r="A1289" t="str">
            <v>Louann</v>
          </cell>
          <cell r="C1289">
            <v>6.8712474983322711E-2</v>
          </cell>
          <cell r="I1289" t="str">
            <v>Frey</v>
          </cell>
        </row>
        <row r="1290">
          <cell r="A1290" t="str">
            <v>Loren</v>
          </cell>
          <cell r="C1290">
            <v>6.8656882366022298E-2</v>
          </cell>
          <cell r="I1290" t="str">
            <v>Kaiser</v>
          </cell>
        </row>
        <row r="1291">
          <cell r="A1291" t="str">
            <v>Julianna</v>
          </cell>
          <cell r="C1291">
            <v>6.8601289748721872E-2</v>
          </cell>
          <cell r="I1291" t="str">
            <v>Ames</v>
          </cell>
        </row>
        <row r="1292">
          <cell r="A1292" t="str">
            <v>Andria</v>
          </cell>
          <cell r="C1292">
            <v>6.8545697131421446E-2</v>
          </cell>
          <cell r="I1292" t="str">
            <v>Paige</v>
          </cell>
        </row>
        <row r="1293">
          <cell r="A1293" t="str">
            <v>Philomena</v>
          </cell>
          <cell r="C1293">
            <v>6.849010451412102E-2</v>
          </cell>
          <cell r="I1293" t="str">
            <v>Gunter</v>
          </cell>
        </row>
        <row r="1294">
          <cell r="A1294" t="str">
            <v>Lucila</v>
          </cell>
          <cell r="C1294">
            <v>6.8434511896820593E-2</v>
          </cell>
          <cell r="I1294" t="str">
            <v>Schmitt</v>
          </cell>
        </row>
        <row r="1295">
          <cell r="A1295" t="str">
            <v>Leonora</v>
          </cell>
          <cell r="C1295">
            <v>6.8378919279520167E-2</v>
          </cell>
          <cell r="I1295" t="str">
            <v>Milligan</v>
          </cell>
        </row>
        <row r="1296">
          <cell r="A1296" t="str">
            <v>Dovie</v>
          </cell>
          <cell r="C1296">
            <v>6.8323326662219741E-2</v>
          </cell>
          <cell r="I1296" t="str">
            <v>Espinosa</v>
          </cell>
        </row>
        <row r="1297">
          <cell r="A1297" t="str">
            <v>Romona</v>
          </cell>
          <cell r="C1297">
            <v>6.8267734044919315E-2</v>
          </cell>
          <cell r="I1297" t="str">
            <v>Carlton</v>
          </cell>
        </row>
        <row r="1298">
          <cell r="A1298" t="str">
            <v>Mimi</v>
          </cell>
          <cell r="C1298">
            <v>6.8212141427618889E-2</v>
          </cell>
          <cell r="I1298" t="str">
            <v>Bowden</v>
          </cell>
        </row>
        <row r="1299">
          <cell r="A1299" t="str">
            <v>Jacquelin</v>
          </cell>
          <cell r="C1299">
            <v>6.8156548810318476E-2</v>
          </cell>
          <cell r="I1299" t="str">
            <v>Vickers</v>
          </cell>
        </row>
        <row r="1300">
          <cell r="A1300" t="str">
            <v>Gaye</v>
          </cell>
          <cell r="C1300">
            <v>6.8100956193018036E-2</v>
          </cell>
          <cell r="I1300" t="str">
            <v>Lowry</v>
          </cell>
        </row>
        <row r="1301">
          <cell r="A1301" t="str">
            <v>Tonja</v>
          </cell>
          <cell r="C1301">
            <v>6.8045363575717624E-2</v>
          </cell>
          <cell r="I1301" t="str">
            <v>Pritchard</v>
          </cell>
        </row>
        <row r="1302">
          <cell r="A1302" t="str">
            <v>Misti</v>
          </cell>
          <cell r="C1302">
            <v>6.7989770958417198E-2</v>
          </cell>
          <cell r="I1302" t="str">
            <v>Costello</v>
          </cell>
        </row>
        <row r="1303">
          <cell r="A1303" t="str">
            <v>Joe</v>
          </cell>
          <cell r="C1303">
            <v>6.7934178341116772E-2</v>
          </cell>
          <cell r="I1303" t="str">
            <v>Piper</v>
          </cell>
        </row>
        <row r="1304">
          <cell r="A1304" t="str">
            <v>Gene</v>
          </cell>
          <cell r="C1304">
            <v>6.7878585723816345E-2</v>
          </cell>
          <cell r="I1304" t="str">
            <v>Mcclellan</v>
          </cell>
        </row>
        <row r="1305">
          <cell r="A1305" t="str">
            <v>Chastity</v>
          </cell>
          <cell r="C1305">
            <v>6.7822993106515919E-2</v>
          </cell>
          <cell r="I1305" t="str">
            <v>Lovell</v>
          </cell>
        </row>
        <row r="1306">
          <cell r="A1306" t="str">
            <v>Stacia</v>
          </cell>
          <cell r="C1306">
            <v>6.7767400489215493E-2</v>
          </cell>
          <cell r="I1306" t="str">
            <v>Drew</v>
          </cell>
        </row>
        <row r="1307">
          <cell r="A1307" t="str">
            <v>Roxann</v>
          </cell>
          <cell r="C1307">
            <v>6.7711807871915081E-2</v>
          </cell>
          <cell r="I1307" t="str">
            <v>Sheehan</v>
          </cell>
        </row>
        <row r="1308">
          <cell r="A1308" t="str">
            <v>Micaela</v>
          </cell>
          <cell r="C1308">
            <v>6.7656215254614641E-2</v>
          </cell>
          <cell r="I1308" t="str">
            <v>Quick</v>
          </cell>
        </row>
        <row r="1309">
          <cell r="A1309" t="str">
            <v>Nikita</v>
          </cell>
          <cell r="C1309">
            <v>6.7600622637314214E-2</v>
          </cell>
          <cell r="I1309" t="str">
            <v>Hatch</v>
          </cell>
        </row>
        <row r="1310">
          <cell r="A1310" t="str">
            <v>Mei</v>
          </cell>
          <cell r="C1310">
            <v>6.7545030020013802E-2</v>
          </cell>
          <cell r="I1310" t="str">
            <v>Dobson</v>
          </cell>
        </row>
        <row r="1311">
          <cell r="A1311" t="str">
            <v>Velda</v>
          </cell>
          <cell r="C1311">
            <v>6.7489437402713362E-2</v>
          </cell>
          <cell r="I1311" t="str">
            <v>Singh</v>
          </cell>
        </row>
        <row r="1312">
          <cell r="A1312" t="str">
            <v>Marlys</v>
          </cell>
          <cell r="C1312">
            <v>6.743384478541295E-2</v>
          </cell>
          <cell r="I1312" t="str">
            <v>Jeffries</v>
          </cell>
        </row>
        <row r="1313">
          <cell r="A1313" t="str">
            <v>Johnna</v>
          </cell>
          <cell r="C1313">
            <v>6.7378252168112523E-2</v>
          </cell>
          <cell r="I1313" t="str">
            <v>Hollingsworth</v>
          </cell>
        </row>
        <row r="1314">
          <cell r="A1314" t="str">
            <v>Aura</v>
          </cell>
          <cell r="C1314">
            <v>6.7322659550812097E-2</v>
          </cell>
          <cell r="I1314" t="str">
            <v>Sorensen</v>
          </cell>
        </row>
        <row r="1315">
          <cell r="A1315" t="str">
            <v>Lavern</v>
          </cell>
          <cell r="C1315">
            <v>6.7267066933511671E-2</v>
          </cell>
          <cell r="I1315" t="str">
            <v>Meza</v>
          </cell>
        </row>
        <row r="1316">
          <cell r="A1316" t="str">
            <v>Ivonne</v>
          </cell>
          <cell r="C1316">
            <v>6.7211474316211245E-2</v>
          </cell>
          <cell r="I1316" t="str">
            <v>Fink</v>
          </cell>
        </row>
        <row r="1317">
          <cell r="A1317" t="str">
            <v>Hayley</v>
          </cell>
          <cell r="C1317">
            <v>6.7155881698910819E-2</v>
          </cell>
          <cell r="I1317" t="str">
            <v>Donnelly</v>
          </cell>
        </row>
        <row r="1318">
          <cell r="A1318" t="str">
            <v>Nicki</v>
          </cell>
          <cell r="C1318">
            <v>6.7100289081610393E-2</v>
          </cell>
          <cell r="I1318" t="str">
            <v>Burrell</v>
          </cell>
        </row>
        <row r="1319">
          <cell r="A1319" t="str">
            <v>Majorie</v>
          </cell>
          <cell r="C1319">
            <v>6.7044696464309966E-2</v>
          </cell>
          <cell r="I1319" t="str">
            <v>Bruno</v>
          </cell>
        </row>
        <row r="1320">
          <cell r="A1320" t="str">
            <v>Herlinda</v>
          </cell>
          <cell r="C1320">
            <v>6.698910384700954E-2</v>
          </cell>
          <cell r="I1320" t="str">
            <v>Tomlinson</v>
          </cell>
        </row>
        <row r="1321">
          <cell r="A1321" t="str">
            <v>George</v>
          </cell>
          <cell r="C1321">
            <v>6.6933511229709128E-2</v>
          </cell>
          <cell r="I1321" t="str">
            <v>Colbert</v>
          </cell>
        </row>
        <row r="1322">
          <cell r="A1322" t="str">
            <v>Alpha</v>
          </cell>
          <cell r="C1322">
            <v>6.6877918612408688E-2</v>
          </cell>
          <cell r="I1322" t="str">
            <v>Billings</v>
          </cell>
        </row>
        <row r="1323">
          <cell r="A1323" t="str">
            <v>Yadira</v>
          </cell>
          <cell r="C1323">
            <v>6.6822325995108275E-2</v>
          </cell>
          <cell r="I1323" t="str">
            <v>Ritchie</v>
          </cell>
        </row>
        <row r="1324">
          <cell r="A1324" t="str">
            <v>Perla</v>
          </cell>
          <cell r="C1324">
            <v>6.6766733377807849E-2</v>
          </cell>
          <cell r="I1324" t="str">
            <v>Helton</v>
          </cell>
        </row>
        <row r="1325">
          <cell r="A1325" t="str">
            <v>Gregoria</v>
          </cell>
          <cell r="C1325">
            <v>6.6711140760507423E-2</v>
          </cell>
          <cell r="I1325" t="str">
            <v>Sutherland</v>
          </cell>
        </row>
        <row r="1326">
          <cell r="A1326" t="str">
            <v>Daniel</v>
          </cell>
          <cell r="C1326">
            <v>6.6655548143206997E-2</v>
          </cell>
          <cell r="I1326" t="str">
            <v>Peoples</v>
          </cell>
        </row>
        <row r="1327">
          <cell r="A1327" t="str">
            <v>Antonette</v>
          </cell>
          <cell r="C1327">
            <v>6.6599955525906571E-2</v>
          </cell>
          <cell r="I1327" t="str">
            <v>Mcqueen</v>
          </cell>
        </row>
        <row r="1328">
          <cell r="A1328" t="str">
            <v>Shelli</v>
          </cell>
          <cell r="C1328">
            <v>6.6544362908606144E-2</v>
          </cell>
          <cell r="I1328" t="str">
            <v>Gaston</v>
          </cell>
        </row>
        <row r="1329">
          <cell r="A1329" t="str">
            <v>Mozelle</v>
          </cell>
          <cell r="C1329">
            <v>6.6488770291305732E-2</v>
          </cell>
          <cell r="I1329" t="str">
            <v>Thomason</v>
          </cell>
        </row>
        <row r="1330">
          <cell r="A1330" t="str">
            <v>Mariah</v>
          </cell>
          <cell r="C1330">
            <v>6.6433177674005292E-2</v>
          </cell>
          <cell r="I1330" t="str">
            <v>Mckinley</v>
          </cell>
        </row>
        <row r="1331">
          <cell r="A1331" t="str">
            <v>Joelle</v>
          </cell>
          <cell r="C1331">
            <v>6.637758505670488E-2</v>
          </cell>
          <cell r="I1331" t="str">
            <v>Givens</v>
          </cell>
        </row>
        <row r="1332">
          <cell r="A1332" t="str">
            <v>Cordelia</v>
          </cell>
          <cell r="C1332">
            <v>6.6321992439404454E-2</v>
          </cell>
          <cell r="I1332" t="str">
            <v>Crocker</v>
          </cell>
        </row>
        <row r="1333">
          <cell r="A1333" t="str">
            <v>Josette</v>
          </cell>
          <cell r="C1333">
            <v>6.6266399822104013E-2</v>
          </cell>
          <cell r="I1333" t="str">
            <v>Vogel</v>
          </cell>
        </row>
        <row r="1334">
          <cell r="A1334" t="str">
            <v>Chiquita</v>
          </cell>
          <cell r="C1334">
            <v>6.6210807204803601E-2</v>
          </cell>
          <cell r="I1334" t="str">
            <v>Robison</v>
          </cell>
        </row>
        <row r="1335">
          <cell r="A1335" t="str">
            <v>Trista</v>
          </cell>
          <cell r="C1335">
            <v>6.6155214587503175E-2</v>
          </cell>
          <cell r="I1335" t="str">
            <v>Dunham</v>
          </cell>
        </row>
        <row r="1336">
          <cell r="A1336" t="str">
            <v>Louis</v>
          </cell>
          <cell r="C1336">
            <v>6.6099621970202749E-2</v>
          </cell>
          <cell r="I1336" t="str">
            <v>Coker</v>
          </cell>
        </row>
        <row r="1337">
          <cell r="A1337" t="str">
            <v>Laquita</v>
          </cell>
          <cell r="C1337">
            <v>6.6044029352902323E-2</v>
          </cell>
          <cell r="I1337" t="str">
            <v>Swartz</v>
          </cell>
        </row>
        <row r="1338">
          <cell r="A1338" t="str">
            <v>Georgiana</v>
          </cell>
          <cell r="C1338">
            <v>6.5988436735601896E-2</v>
          </cell>
          <cell r="I1338" t="str">
            <v>Keys</v>
          </cell>
        </row>
        <row r="1339">
          <cell r="A1339" t="str">
            <v>Candi</v>
          </cell>
          <cell r="C1339">
            <v>6.593284411830147E-2</v>
          </cell>
          <cell r="I1339" t="str">
            <v>Lilly</v>
          </cell>
        </row>
        <row r="1340">
          <cell r="A1340" t="str">
            <v>Shanon</v>
          </cell>
          <cell r="C1340">
            <v>6.5877251501001058E-2</v>
          </cell>
          <cell r="I1340" t="str">
            <v>Ladner</v>
          </cell>
        </row>
        <row r="1341">
          <cell r="A1341" t="str">
            <v>Lonnie</v>
          </cell>
          <cell r="C1341">
            <v>6.5821658883700618E-2</v>
          </cell>
          <cell r="I1341" t="str">
            <v>Hannah</v>
          </cell>
        </row>
        <row r="1342">
          <cell r="A1342" t="str">
            <v>Hildegard</v>
          </cell>
          <cell r="C1342">
            <v>6.5766066266400192E-2</v>
          </cell>
          <cell r="I1342" t="str">
            <v>Willard</v>
          </cell>
        </row>
        <row r="1343">
          <cell r="A1343" t="str">
            <v>Cecil</v>
          </cell>
          <cell r="C1343">
            <v>6.5710473649099779E-2</v>
          </cell>
          <cell r="I1343" t="str">
            <v>Richter</v>
          </cell>
        </row>
        <row r="1344">
          <cell r="A1344" t="str">
            <v>Valentina</v>
          </cell>
          <cell r="C1344">
            <v>6.5654881031799339E-2</v>
          </cell>
          <cell r="I1344" t="str">
            <v>Hargrove</v>
          </cell>
        </row>
        <row r="1345">
          <cell r="A1345" t="str">
            <v>Stephany</v>
          </cell>
          <cell r="C1345">
            <v>6.5599288414498927E-2</v>
          </cell>
          <cell r="I1345" t="str">
            <v>Edmonds</v>
          </cell>
        </row>
        <row r="1346">
          <cell r="A1346" t="str">
            <v>Magda</v>
          </cell>
          <cell r="C1346">
            <v>6.5543695797198501E-2</v>
          </cell>
          <cell r="I1346" t="str">
            <v>Brantley</v>
          </cell>
        </row>
        <row r="1347">
          <cell r="A1347" t="str">
            <v>Karol</v>
          </cell>
          <cell r="C1347">
            <v>6.5488103179898075E-2</v>
          </cell>
          <cell r="I1347" t="str">
            <v>Albright</v>
          </cell>
        </row>
        <row r="1348">
          <cell r="A1348" t="str">
            <v>Gerry</v>
          </cell>
          <cell r="C1348">
            <v>6.5432510562597648E-2</v>
          </cell>
          <cell r="I1348" t="str">
            <v>Murdock</v>
          </cell>
        </row>
        <row r="1349">
          <cell r="A1349" t="str">
            <v>Gabriella</v>
          </cell>
          <cell r="C1349">
            <v>6.5376917945297222E-2</v>
          </cell>
          <cell r="I1349" t="str">
            <v>Boswell</v>
          </cell>
        </row>
        <row r="1350">
          <cell r="A1350" t="str">
            <v>Tiana</v>
          </cell>
          <cell r="C1350">
            <v>6.5321325327996796E-2</v>
          </cell>
          <cell r="I1350" t="str">
            <v>Muller</v>
          </cell>
        </row>
        <row r="1351">
          <cell r="A1351" t="str">
            <v>Roma</v>
          </cell>
          <cell r="C1351">
            <v>6.5265732710696384E-2</v>
          </cell>
          <cell r="I1351" t="str">
            <v>Quintero</v>
          </cell>
        </row>
        <row r="1352">
          <cell r="A1352" t="str">
            <v>Richelle</v>
          </cell>
          <cell r="C1352">
            <v>6.5210140093395944E-2</v>
          </cell>
          <cell r="I1352" t="str">
            <v>Padgett</v>
          </cell>
        </row>
        <row r="1353">
          <cell r="A1353" t="str">
            <v>Ray</v>
          </cell>
          <cell r="C1353">
            <v>6.5154547476095531E-2</v>
          </cell>
          <cell r="I1353" t="str">
            <v>Kenney</v>
          </cell>
        </row>
        <row r="1354">
          <cell r="A1354" t="str">
            <v>Princess</v>
          </cell>
          <cell r="C1354">
            <v>6.5098954858795105E-2</v>
          </cell>
          <cell r="I1354" t="str">
            <v>Daly</v>
          </cell>
        </row>
        <row r="1355">
          <cell r="A1355" t="str">
            <v>Oleta</v>
          </cell>
          <cell r="C1355">
            <v>6.5043362241494679E-2</v>
          </cell>
          <cell r="I1355" t="str">
            <v>Connolly</v>
          </cell>
        </row>
        <row r="1356">
          <cell r="A1356" t="str">
            <v>Jacque</v>
          </cell>
          <cell r="C1356">
            <v>6.4987769624194253E-2</v>
          </cell>
          <cell r="I1356" t="str">
            <v>Pierre</v>
          </cell>
        </row>
        <row r="1357">
          <cell r="A1357" t="str">
            <v>Idella</v>
          </cell>
          <cell r="C1357">
            <v>6.4932177006893826E-2</v>
          </cell>
          <cell r="I1357" t="str">
            <v>Inman</v>
          </cell>
        </row>
        <row r="1358">
          <cell r="A1358" t="str">
            <v>Alaina</v>
          </cell>
          <cell r="C1358">
            <v>6.48765843895934E-2</v>
          </cell>
          <cell r="I1358" t="str">
            <v>Quintana</v>
          </cell>
        </row>
        <row r="1359">
          <cell r="A1359" t="str">
            <v>Suzanna</v>
          </cell>
          <cell r="C1359">
            <v>6.4820991772292974E-2</v>
          </cell>
          <cell r="I1359" t="str">
            <v>Lund</v>
          </cell>
        </row>
        <row r="1360">
          <cell r="A1360" t="str">
            <v>Jovita</v>
          </cell>
          <cell r="C1360">
            <v>6.4765399154992548E-2</v>
          </cell>
          <cell r="I1360" t="str">
            <v>Barnard</v>
          </cell>
        </row>
        <row r="1361">
          <cell r="A1361" t="str">
            <v>Blair</v>
          </cell>
          <cell r="C1361">
            <v>6.4709806537692122E-2</v>
          </cell>
          <cell r="I1361" t="str">
            <v>Villegas</v>
          </cell>
        </row>
        <row r="1362">
          <cell r="A1362" t="str">
            <v>Tosha</v>
          </cell>
          <cell r="C1362">
            <v>6.4654213920391709E-2</v>
          </cell>
          <cell r="I1362" t="str">
            <v>Simons</v>
          </cell>
        </row>
        <row r="1363">
          <cell r="A1363" t="str">
            <v>Raven</v>
          </cell>
          <cell r="C1363">
            <v>6.4598621303091269E-2</v>
          </cell>
          <cell r="I1363" t="str">
            <v>Land</v>
          </cell>
        </row>
        <row r="1364">
          <cell r="A1364" t="str">
            <v>Nereida</v>
          </cell>
          <cell r="C1364">
            <v>6.4543028685790857E-2</v>
          </cell>
          <cell r="I1364" t="str">
            <v>Huggins</v>
          </cell>
        </row>
        <row r="1365">
          <cell r="A1365" t="str">
            <v>Marlyn</v>
          </cell>
          <cell r="C1365">
            <v>6.4487436068490431E-2</v>
          </cell>
          <cell r="I1365" t="str">
            <v>Tidwell</v>
          </cell>
        </row>
        <row r="1366">
          <cell r="A1366" t="str">
            <v>Kyla</v>
          </cell>
          <cell r="C1366">
            <v>6.4431843451189991E-2</v>
          </cell>
          <cell r="I1366" t="str">
            <v>Sanderson</v>
          </cell>
        </row>
        <row r="1367">
          <cell r="A1367" t="str">
            <v>Joseph</v>
          </cell>
          <cell r="C1367">
            <v>6.4376250833889578E-2</v>
          </cell>
          <cell r="I1367" t="str">
            <v>Bullard</v>
          </cell>
        </row>
        <row r="1368">
          <cell r="A1368" t="str">
            <v>Delfina</v>
          </cell>
          <cell r="C1368">
            <v>6.4320658216589152E-2</v>
          </cell>
          <cell r="I1368" t="str">
            <v>Mcclendon</v>
          </cell>
        </row>
        <row r="1369">
          <cell r="A1369" t="str">
            <v>Tena</v>
          </cell>
          <cell r="C1369">
            <v>6.4265065599288726E-2</v>
          </cell>
          <cell r="I1369" t="str">
            <v>Duarte</v>
          </cell>
        </row>
        <row r="1370">
          <cell r="A1370" t="str">
            <v>Stephenie</v>
          </cell>
          <cell r="C1370">
            <v>6.42094729819883E-2</v>
          </cell>
          <cell r="I1370" t="str">
            <v>Draper</v>
          </cell>
        </row>
        <row r="1371">
          <cell r="A1371" t="str">
            <v>Sabina</v>
          </cell>
          <cell r="C1371">
            <v>6.4153880364687874E-2</v>
          </cell>
          <cell r="I1371" t="str">
            <v>Meredith</v>
          </cell>
        </row>
        <row r="1372">
          <cell r="A1372" t="str">
            <v>Nathalie</v>
          </cell>
          <cell r="C1372">
            <v>6.4098287747387447E-2</v>
          </cell>
          <cell r="I1372" t="str">
            <v>Marrero</v>
          </cell>
        </row>
        <row r="1373">
          <cell r="A1373" t="str">
            <v>Marcelle</v>
          </cell>
          <cell r="C1373">
            <v>6.4042695130087035E-2</v>
          </cell>
          <cell r="I1373" t="str">
            <v>Dwyer</v>
          </cell>
        </row>
        <row r="1374">
          <cell r="A1374" t="str">
            <v>Gertie</v>
          </cell>
          <cell r="C1374">
            <v>6.3987102512786595E-2</v>
          </cell>
          <cell r="I1374" t="str">
            <v>Abrams</v>
          </cell>
        </row>
        <row r="1375">
          <cell r="A1375" t="str">
            <v>Darleen</v>
          </cell>
          <cell r="C1375">
            <v>6.3931509895486183E-2</v>
          </cell>
          <cell r="I1375" t="str">
            <v>Stover</v>
          </cell>
        </row>
        <row r="1376">
          <cell r="A1376" t="str">
            <v>Thea</v>
          </cell>
          <cell r="C1376">
            <v>6.3875917278185756E-2</v>
          </cell>
          <cell r="I1376" t="str">
            <v>Goode</v>
          </cell>
        </row>
        <row r="1377">
          <cell r="A1377" t="str">
            <v>Sharonda</v>
          </cell>
          <cell r="C1377">
            <v>6.382032466088533E-2</v>
          </cell>
          <cell r="I1377" t="str">
            <v>Fraser</v>
          </cell>
        </row>
        <row r="1378">
          <cell r="A1378" t="str">
            <v>Shantel</v>
          </cell>
          <cell r="C1378">
            <v>6.3764732043584904E-2</v>
          </cell>
          <cell r="I1378" t="str">
            <v>Crews</v>
          </cell>
        </row>
        <row r="1379">
          <cell r="A1379" t="str">
            <v>Belen</v>
          </cell>
          <cell r="C1379">
            <v>6.3709139426284478E-2</v>
          </cell>
          <cell r="I1379" t="str">
            <v>Bernal</v>
          </cell>
        </row>
        <row r="1380">
          <cell r="A1380" t="str">
            <v>Venessa</v>
          </cell>
          <cell r="C1380">
            <v>6.3653546808984052E-2</v>
          </cell>
          <cell r="I1380" t="str">
            <v>Smiley</v>
          </cell>
        </row>
        <row r="1381">
          <cell r="A1381" t="str">
            <v>Rosalina</v>
          </cell>
          <cell r="C1381">
            <v>6.3597954191683626E-2</v>
          </cell>
          <cell r="I1381" t="str">
            <v>Godwin</v>
          </cell>
        </row>
        <row r="1382">
          <cell r="A1382" t="str">
            <v>Ona</v>
          </cell>
          <cell r="C1382">
            <v>6.3542361574383199E-2</v>
          </cell>
          <cell r="I1382" t="str">
            <v>Fish</v>
          </cell>
        </row>
        <row r="1383">
          <cell r="A1383" t="str">
            <v>Genoveva</v>
          </cell>
          <cell r="C1383">
            <v>6.3486768957082773E-2</v>
          </cell>
          <cell r="I1383" t="str">
            <v>Conklin</v>
          </cell>
        </row>
        <row r="1384">
          <cell r="A1384" t="str">
            <v>Corey</v>
          </cell>
          <cell r="C1384">
            <v>6.3431176339782361E-2</v>
          </cell>
          <cell r="I1384" t="str">
            <v>Mcneal</v>
          </cell>
        </row>
        <row r="1385">
          <cell r="A1385" t="str">
            <v>Clementine</v>
          </cell>
          <cell r="C1385">
            <v>6.3375583722481921E-2</v>
          </cell>
          <cell r="I1385" t="str">
            <v>Baca</v>
          </cell>
        </row>
        <row r="1386">
          <cell r="A1386" t="str">
            <v>Rosalba</v>
          </cell>
          <cell r="C1386">
            <v>6.3319991105181508E-2</v>
          </cell>
          <cell r="I1386" t="str">
            <v>Esparza</v>
          </cell>
        </row>
        <row r="1387">
          <cell r="A1387" t="str">
            <v>Renate</v>
          </cell>
          <cell r="C1387">
            <v>6.3264398487881082E-2</v>
          </cell>
          <cell r="I1387" t="str">
            <v>Crowder</v>
          </cell>
        </row>
        <row r="1388">
          <cell r="A1388" t="str">
            <v>Renata</v>
          </cell>
          <cell r="C1388">
            <v>6.3208805870580656E-2</v>
          </cell>
          <cell r="I1388" t="str">
            <v>Bower</v>
          </cell>
        </row>
        <row r="1389">
          <cell r="A1389" t="str">
            <v>Mi</v>
          </cell>
          <cell r="C1389">
            <v>6.315321325328023E-2</v>
          </cell>
          <cell r="I1389" t="str">
            <v>Nicholas</v>
          </cell>
        </row>
        <row r="1390">
          <cell r="A1390" t="str">
            <v>Ivory</v>
          </cell>
          <cell r="C1390">
            <v>6.3097620635979804E-2</v>
          </cell>
          <cell r="I1390" t="str">
            <v>Chung</v>
          </cell>
        </row>
        <row r="1391">
          <cell r="A1391" t="str">
            <v>Georgianna</v>
          </cell>
          <cell r="C1391">
            <v>6.3042028018679377E-2</v>
          </cell>
          <cell r="I1391" t="str">
            <v>Brewster</v>
          </cell>
        </row>
        <row r="1392">
          <cell r="A1392" t="str">
            <v>Floy</v>
          </cell>
          <cell r="C1392">
            <v>6.2986435401378951E-2</v>
          </cell>
          <cell r="I1392" t="str">
            <v>Mcneill</v>
          </cell>
        </row>
        <row r="1393">
          <cell r="A1393" t="str">
            <v>Dorcas</v>
          </cell>
          <cell r="C1393">
            <v>6.2930842784078525E-2</v>
          </cell>
          <cell r="I1393" t="str">
            <v>Dick</v>
          </cell>
        </row>
        <row r="1394">
          <cell r="A1394" t="str">
            <v>Ariana</v>
          </cell>
          <cell r="C1394">
            <v>6.2875250166778099E-2</v>
          </cell>
          <cell r="I1394" t="str">
            <v>Rodrigues</v>
          </cell>
        </row>
        <row r="1395">
          <cell r="A1395" t="str">
            <v>Tyra</v>
          </cell>
          <cell r="C1395">
            <v>6.2819657549477687E-2</v>
          </cell>
          <cell r="I1395" t="str">
            <v>Leal</v>
          </cell>
        </row>
        <row r="1396">
          <cell r="A1396" t="str">
            <v>Theda</v>
          </cell>
          <cell r="C1396">
            <v>6.2764064932177246E-2</v>
          </cell>
          <cell r="I1396" t="str">
            <v>Coates</v>
          </cell>
        </row>
        <row r="1397">
          <cell r="A1397" t="str">
            <v>Mariam</v>
          </cell>
          <cell r="C1397">
            <v>6.2708472314876834E-2</v>
          </cell>
          <cell r="I1397" t="str">
            <v>Raines</v>
          </cell>
        </row>
        <row r="1398">
          <cell r="A1398" t="str">
            <v>Juli</v>
          </cell>
          <cell r="C1398">
            <v>6.2652879697576408E-2</v>
          </cell>
          <cell r="I1398" t="str">
            <v>Mccain</v>
          </cell>
        </row>
        <row r="1399">
          <cell r="A1399" t="str">
            <v>Jesica</v>
          </cell>
          <cell r="C1399">
            <v>6.2597287080275982E-2</v>
          </cell>
          <cell r="I1399" t="str">
            <v>Mccord</v>
          </cell>
        </row>
        <row r="1400">
          <cell r="A1400" t="str">
            <v>Donnie</v>
          </cell>
          <cell r="C1400">
            <v>6.2541694462975556E-2</v>
          </cell>
          <cell r="I1400" t="str">
            <v>Miner</v>
          </cell>
        </row>
        <row r="1401">
          <cell r="A1401" t="str">
            <v>Vikki</v>
          </cell>
          <cell r="C1401">
            <v>6.2486101845675136E-2</v>
          </cell>
          <cell r="I1401" t="str">
            <v>Holbrook</v>
          </cell>
        </row>
        <row r="1402">
          <cell r="A1402" t="str">
            <v>Verla</v>
          </cell>
          <cell r="C1402">
            <v>6.2430509228374703E-2</v>
          </cell>
          <cell r="I1402" t="str">
            <v>Swift</v>
          </cell>
        </row>
        <row r="1403">
          <cell r="A1403" t="str">
            <v>Roselyn</v>
          </cell>
          <cell r="C1403">
            <v>6.2374916611074284E-2</v>
          </cell>
          <cell r="I1403" t="str">
            <v>Dukes</v>
          </cell>
        </row>
        <row r="1404">
          <cell r="A1404" t="str">
            <v>Melvina</v>
          </cell>
          <cell r="C1404">
            <v>6.2319323993773858E-2</v>
          </cell>
          <cell r="I1404" t="str">
            <v>Carlisle</v>
          </cell>
        </row>
        <row r="1405">
          <cell r="A1405" t="str">
            <v>Jannette</v>
          </cell>
          <cell r="C1405">
            <v>6.2263731376473425E-2</v>
          </cell>
          <cell r="I1405" t="str">
            <v>Aldridge</v>
          </cell>
        </row>
        <row r="1406">
          <cell r="A1406" t="str">
            <v>Ginny</v>
          </cell>
          <cell r="C1406">
            <v>6.2208138759173005E-2</v>
          </cell>
          <cell r="I1406" t="str">
            <v>Ackerman</v>
          </cell>
        </row>
        <row r="1407">
          <cell r="A1407" t="str">
            <v>Debrah</v>
          </cell>
          <cell r="C1407">
            <v>6.2152546141872579E-2</v>
          </cell>
          <cell r="I1407" t="str">
            <v>Starks</v>
          </cell>
        </row>
        <row r="1408">
          <cell r="A1408" t="str">
            <v>Corrie</v>
          </cell>
          <cell r="C1408">
            <v>6.209695352457216E-2</v>
          </cell>
          <cell r="I1408" t="str">
            <v>Ricks</v>
          </cell>
        </row>
        <row r="1409">
          <cell r="A1409" t="str">
            <v>Asia</v>
          </cell>
          <cell r="C1409">
            <v>6.2041360907271727E-2</v>
          </cell>
          <cell r="I1409" t="str">
            <v>Holliday</v>
          </cell>
        </row>
        <row r="1410">
          <cell r="A1410" t="str">
            <v>Violeta</v>
          </cell>
          <cell r="C1410">
            <v>6.1985768289971307E-2</v>
          </cell>
          <cell r="I1410" t="str">
            <v>Ferris</v>
          </cell>
        </row>
        <row r="1411">
          <cell r="A1411" t="str">
            <v>Myrtis</v>
          </cell>
          <cell r="C1411">
            <v>6.1930175672670881E-2</v>
          </cell>
          <cell r="I1411" t="str">
            <v>Hairston</v>
          </cell>
        </row>
        <row r="1412">
          <cell r="A1412" t="str">
            <v>Latricia</v>
          </cell>
          <cell r="C1412">
            <v>6.1874583055370462E-2</v>
          </cell>
          <cell r="I1412" t="str">
            <v>Sheffield</v>
          </cell>
        </row>
        <row r="1413">
          <cell r="A1413" t="str">
            <v>Collette</v>
          </cell>
          <cell r="C1413">
            <v>6.1818990438070029E-2</v>
          </cell>
          <cell r="I1413" t="str">
            <v>Lange</v>
          </cell>
        </row>
        <row r="1414">
          <cell r="A1414" t="str">
            <v>Charleen</v>
          </cell>
          <cell r="C1414">
            <v>6.1763397820769603E-2</v>
          </cell>
          <cell r="I1414" t="str">
            <v>Fountain</v>
          </cell>
        </row>
        <row r="1415">
          <cell r="A1415" t="str">
            <v>Anissa</v>
          </cell>
          <cell r="C1415">
            <v>6.1707805203469183E-2</v>
          </cell>
          <cell r="I1415" t="str">
            <v>Marino</v>
          </cell>
        </row>
        <row r="1416">
          <cell r="A1416" t="str">
            <v>Viviana</v>
          </cell>
          <cell r="C1416">
            <v>6.165221258616875E-2</v>
          </cell>
          <cell r="I1416" t="str">
            <v>Doss</v>
          </cell>
        </row>
        <row r="1417">
          <cell r="A1417" t="str">
            <v>Twyla</v>
          </cell>
          <cell r="C1417">
            <v>6.1596619968868331E-2</v>
          </cell>
          <cell r="I1417" t="str">
            <v>Betts</v>
          </cell>
        </row>
        <row r="1418">
          <cell r="A1418" t="str">
            <v>Precious</v>
          </cell>
          <cell r="C1418">
            <v>6.1541027351567905E-2</v>
          </cell>
          <cell r="I1418" t="str">
            <v>Kaplan</v>
          </cell>
        </row>
        <row r="1419">
          <cell r="A1419" t="str">
            <v>Nedra</v>
          </cell>
          <cell r="C1419">
            <v>6.1485434734267486E-2</v>
          </cell>
          <cell r="I1419" t="str">
            <v>Carmichael</v>
          </cell>
        </row>
        <row r="1420">
          <cell r="A1420" t="str">
            <v>Latonia</v>
          </cell>
          <cell r="C1420">
            <v>6.1429842116967052E-2</v>
          </cell>
          <cell r="I1420" t="str">
            <v>Bloom</v>
          </cell>
        </row>
        <row r="1421">
          <cell r="A1421" t="str">
            <v>Lan</v>
          </cell>
          <cell r="C1421">
            <v>6.1374249499666633E-2</v>
          </cell>
          <cell r="I1421" t="str">
            <v>Ruffin</v>
          </cell>
        </row>
        <row r="1422">
          <cell r="A1422" t="str">
            <v>Hellen</v>
          </cell>
          <cell r="C1422">
            <v>6.1318656882366207E-2</v>
          </cell>
          <cell r="I1422" t="str">
            <v>Penn</v>
          </cell>
        </row>
        <row r="1423">
          <cell r="A1423" t="str">
            <v>Fabiola</v>
          </cell>
          <cell r="C1423">
            <v>6.1263064265065788E-2</v>
          </cell>
          <cell r="I1423" t="str">
            <v>Kern</v>
          </cell>
        </row>
        <row r="1424">
          <cell r="A1424" t="str">
            <v>Annamarie</v>
          </cell>
          <cell r="C1424">
            <v>6.1207471647765355E-2</v>
          </cell>
          <cell r="I1424" t="str">
            <v>Bowles</v>
          </cell>
        </row>
        <row r="1425">
          <cell r="A1425" t="str">
            <v>Adell</v>
          </cell>
          <cell r="C1425">
            <v>6.1151879030464935E-2</v>
          </cell>
          <cell r="I1425" t="str">
            <v>Sizemore</v>
          </cell>
        </row>
        <row r="1426">
          <cell r="A1426" t="str">
            <v>Sharyn</v>
          </cell>
          <cell r="C1426">
            <v>6.1096286413164509E-2</v>
          </cell>
          <cell r="I1426" t="str">
            <v>Larkin</v>
          </cell>
        </row>
        <row r="1427">
          <cell r="A1427" t="str">
            <v>Chantal</v>
          </cell>
          <cell r="C1427">
            <v>6.104069379586409E-2</v>
          </cell>
          <cell r="I1427" t="str">
            <v>Dupree</v>
          </cell>
        </row>
        <row r="1428">
          <cell r="A1428" t="str">
            <v>Niki</v>
          </cell>
          <cell r="C1428">
            <v>6.0985101178563657E-2</v>
          </cell>
          <cell r="I1428" t="str">
            <v>Jewell</v>
          </cell>
        </row>
        <row r="1429">
          <cell r="A1429" t="str">
            <v>Maud</v>
          </cell>
          <cell r="C1429">
            <v>6.0929508561263231E-2</v>
          </cell>
          <cell r="I1429" t="str">
            <v>Silver</v>
          </cell>
        </row>
        <row r="1430">
          <cell r="A1430" t="str">
            <v>Lizette</v>
          </cell>
          <cell r="C1430">
            <v>6.0873915943962811E-2</v>
          </cell>
          <cell r="I1430" t="str">
            <v>Seals</v>
          </cell>
        </row>
        <row r="1431">
          <cell r="A1431" t="str">
            <v>Lindy</v>
          </cell>
          <cell r="C1431">
            <v>6.0818323326662378E-2</v>
          </cell>
          <cell r="I1431" t="str">
            <v>Metcalf</v>
          </cell>
        </row>
        <row r="1432">
          <cell r="A1432" t="str">
            <v>Kia</v>
          </cell>
          <cell r="C1432">
            <v>6.0762730709361959E-2</v>
          </cell>
          <cell r="I1432" t="str">
            <v>Hutchison</v>
          </cell>
        </row>
        <row r="1433">
          <cell r="A1433" t="str">
            <v>Kesha</v>
          </cell>
          <cell r="C1433">
            <v>6.0707138092061533E-2</v>
          </cell>
          <cell r="I1433" t="str">
            <v>Henley</v>
          </cell>
        </row>
        <row r="1434">
          <cell r="A1434" t="str">
            <v>Jeana</v>
          </cell>
          <cell r="C1434">
            <v>6.0651545474761114E-2</v>
          </cell>
          <cell r="I1434" t="str">
            <v>Farr</v>
          </cell>
        </row>
        <row r="1435">
          <cell r="A1435" t="str">
            <v>Danelle</v>
          </cell>
          <cell r="C1435">
            <v>6.059595285746068E-2</v>
          </cell>
          <cell r="I1435" t="str">
            <v>Castle</v>
          </cell>
        </row>
        <row r="1436">
          <cell r="A1436" t="str">
            <v>Charline</v>
          </cell>
          <cell r="C1436">
            <v>6.0540360240160261E-2</v>
          </cell>
          <cell r="I1436" t="str">
            <v>Mccauley</v>
          </cell>
        </row>
        <row r="1437">
          <cell r="A1437" t="str">
            <v>Chanel</v>
          </cell>
          <cell r="C1437">
            <v>6.0484767622859835E-2</v>
          </cell>
          <cell r="I1437" t="str">
            <v>Hankins</v>
          </cell>
        </row>
        <row r="1438">
          <cell r="A1438" t="str">
            <v>Carrol</v>
          </cell>
          <cell r="C1438">
            <v>6.0429175005559402E-2</v>
          </cell>
          <cell r="I1438" t="str">
            <v>Gustafson</v>
          </cell>
        </row>
        <row r="1439">
          <cell r="A1439" t="str">
            <v>Valorie</v>
          </cell>
          <cell r="C1439">
            <v>6.0373582388258983E-2</v>
          </cell>
          <cell r="I1439" t="str">
            <v>Deal</v>
          </cell>
        </row>
        <row r="1440">
          <cell r="A1440" t="str">
            <v>Lia</v>
          </cell>
          <cell r="C1440">
            <v>6.0317989770958556E-2</v>
          </cell>
          <cell r="I1440" t="str">
            <v>Curran</v>
          </cell>
        </row>
        <row r="1441">
          <cell r="A1441" t="str">
            <v>Dortha</v>
          </cell>
          <cell r="C1441">
            <v>6.0262397153658137E-2</v>
          </cell>
          <cell r="I1441" t="str">
            <v>Ash</v>
          </cell>
        </row>
        <row r="1442">
          <cell r="A1442" t="str">
            <v>Cristal</v>
          </cell>
          <cell r="C1442">
            <v>6.0206804536357704E-2</v>
          </cell>
          <cell r="I1442" t="str">
            <v>Waddell</v>
          </cell>
        </row>
        <row r="1443">
          <cell r="A1443" t="str">
            <v>Sunny</v>
          </cell>
          <cell r="C1443">
            <v>6.0151211919057285E-2</v>
          </cell>
          <cell r="I1443" t="str">
            <v>Ramey</v>
          </cell>
        </row>
        <row r="1444">
          <cell r="A1444" t="str">
            <v>Leone</v>
          </cell>
          <cell r="C1444">
            <v>6.0095619301756859E-2</v>
          </cell>
          <cell r="I1444" t="str">
            <v>Cates</v>
          </cell>
        </row>
        <row r="1445">
          <cell r="A1445" t="str">
            <v>Leilani</v>
          </cell>
          <cell r="C1445">
            <v>6.0040026684456439E-2</v>
          </cell>
          <cell r="I1445" t="str">
            <v>Pollock</v>
          </cell>
        </row>
        <row r="1446">
          <cell r="A1446" t="str">
            <v>Gerri</v>
          </cell>
          <cell r="C1446">
            <v>5.9984434067156006E-2</v>
          </cell>
          <cell r="I1446" t="str">
            <v>Major</v>
          </cell>
        </row>
        <row r="1447">
          <cell r="A1447" t="str">
            <v>Debi</v>
          </cell>
          <cell r="C1447">
            <v>5.9928841449855587E-2</v>
          </cell>
          <cell r="I1447" t="str">
            <v>Irvin</v>
          </cell>
        </row>
        <row r="1448">
          <cell r="A1448" t="str">
            <v>Andra</v>
          </cell>
          <cell r="C1448">
            <v>5.9873248832555161E-2</v>
          </cell>
          <cell r="I1448" t="str">
            <v>Cummins</v>
          </cell>
        </row>
        <row r="1449">
          <cell r="A1449" t="str">
            <v>Keshia</v>
          </cell>
          <cell r="C1449">
            <v>5.9817656215254741E-2</v>
          </cell>
          <cell r="I1449" t="str">
            <v>Messer</v>
          </cell>
        </row>
        <row r="1450">
          <cell r="A1450" t="str">
            <v>Ima</v>
          </cell>
          <cell r="C1450">
            <v>5.9762063597954308E-2</v>
          </cell>
          <cell r="I1450" t="str">
            <v>Heller</v>
          </cell>
        </row>
        <row r="1451">
          <cell r="A1451" t="str">
            <v>Eulalia</v>
          </cell>
          <cell r="C1451">
            <v>5.9706470980653889E-2</v>
          </cell>
          <cell r="I1451" t="str">
            <v>Dewitt</v>
          </cell>
        </row>
        <row r="1452">
          <cell r="A1452" t="str">
            <v>Easter</v>
          </cell>
          <cell r="C1452">
            <v>5.965087836335347E-2</v>
          </cell>
          <cell r="I1452" t="str">
            <v>Lin</v>
          </cell>
        </row>
        <row r="1453">
          <cell r="A1453" t="str">
            <v>Dulce</v>
          </cell>
          <cell r="C1453">
            <v>5.9595285746053044E-2</v>
          </cell>
          <cell r="I1453" t="str">
            <v>Funk</v>
          </cell>
        </row>
        <row r="1454">
          <cell r="A1454" t="str">
            <v>Natividad</v>
          </cell>
          <cell r="C1454">
            <v>5.9539693128752624E-2</v>
          </cell>
          <cell r="I1454" t="str">
            <v>Cornett</v>
          </cell>
        </row>
        <row r="1455">
          <cell r="A1455" t="str">
            <v>Linnie</v>
          </cell>
          <cell r="C1455">
            <v>5.9495219034912283E-2</v>
          </cell>
          <cell r="I1455" t="str">
            <v>Palacios</v>
          </cell>
        </row>
        <row r="1456">
          <cell r="A1456" t="str">
            <v>Kami</v>
          </cell>
          <cell r="C1456">
            <v>5.9450744941071949E-2</v>
          </cell>
          <cell r="I1456" t="str">
            <v>Galindo</v>
          </cell>
        </row>
        <row r="1457">
          <cell r="A1457" t="str">
            <v>Georgie</v>
          </cell>
          <cell r="C1457">
            <v>5.9406270847231608E-2</v>
          </cell>
          <cell r="I1457" t="str">
            <v>Cano</v>
          </cell>
        </row>
        <row r="1458">
          <cell r="A1458" t="str">
            <v>Catina</v>
          </cell>
          <cell r="C1458">
            <v>5.9361796753391267E-2</v>
          </cell>
          <cell r="I1458" t="str">
            <v>Hathaway</v>
          </cell>
        </row>
        <row r="1459">
          <cell r="A1459" t="str">
            <v>Brook</v>
          </cell>
          <cell r="C1459">
            <v>5.9317322659550933E-2</v>
          </cell>
          <cell r="I1459" t="str">
            <v>Singer</v>
          </cell>
        </row>
        <row r="1460">
          <cell r="A1460" t="str">
            <v>Alda</v>
          </cell>
          <cell r="C1460">
            <v>5.9272848565710592E-2</v>
          </cell>
          <cell r="I1460" t="str">
            <v>Pham</v>
          </cell>
        </row>
        <row r="1461">
          <cell r="A1461" t="str">
            <v>Winnifred</v>
          </cell>
          <cell r="C1461">
            <v>5.9228374471870252E-2</v>
          </cell>
          <cell r="I1461" t="str">
            <v>Enriquez</v>
          </cell>
        </row>
        <row r="1462">
          <cell r="A1462" t="str">
            <v>Sharla</v>
          </cell>
          <cell r="C1462">
            <v>5.9183900378029917E-2</v>
          </cell>
          <cell r="I1462" t="str">
            <v>Aaron</v>
          </cell>
        </row>
        <row r="1463">
          <cell r="A1463" t="str">
            <v>Ruthann</v>
          </cell>
          <cell r="C1463">
            <v>5.9139426284189577E-2</v>
          </cell>
          <cell r="I1463" t="str">
            <v>Salgado</v>
          </cell>
        </row>
        <row r="1464">
          <cell r="A1464" t="str">
            <v>Meaghan</v>
          </cell>
          <cell r="C1464">
            <v>5.9094952190349236E-2</v>
          </cell>
          <cell r="I1464" t="str">
            <v>Pelletier</v>
          </cell>
        </row>
        <row r="1465">
          <cell r="A1465" t="str">
            <v>Magdalene</v>
          </cell>
          <cell r="C1465">
            <v>5.9050478096508902E-2</v>
          </cell>
          <cell r="I1465" t="str">
            <v>Painter</v>
          </cell>
        </row>
        <row r="1466">
          <cell r="A1466" t="str">
            <v>Lissette</v>
          </cell>
          <cell r="C1466">
            <v>5.9006004002668561E-2</v>
          </cell>
          <cell r="I1466" t="str">
            <v>Wiseman</v>
          </cell>
        </row>
        <row r="1467">
          <cell r="A1467" t="str">
            <v>Adelaida</v>
          </cell>
          <cell r="C1467">
            <v>5.896152990882822E-2</v>
          </cell>
          <cell r="I1467" t="str">
            <v>Blount</v>
          </cell>
        </row>
        <row r="1468">
          <cell r="A1468" t="str">
            <v>Venita</v>
          </cell>
          <cell r="C1468">
            <v>5.8917055814987893E-2</v>
          </cell>
          <cell r="I1468" t="str">
            <v>Hand</v>
          </cell>
        </row>
        <row r="1469">
          <cell r="A1469" t="str">
            <v>Trena</v>
          </cell>
          <cell r="C1469">
            <v>5.8872581721147545E-2</v>
          </cell>
          <cell r="I1469" t="str">
            <v>Feliciano</v>
          </cell>
        </row>
        <row r="1470">
          <cell r="A1470" t="str">
            <v>Shirlene</v>
          </cell>
          <cell r="C1470">
            <v>5.8828107627307204E-2</v>
          </cell>
          <cell r="I1470" t="str">
            <v>Temple</v>
          </cell>
        </row>
        <row r="1471">
          <cell r="A1471" t="str">
            <v>Shameka</v>
          </cell>
          <cell r="C1471">
            <v>5.8783633533466877E-2</v>
          </cell>
          <cell r="I1471" t="str">
            <v>Houser</v>
          </cell>
        </row>
        <row r="1472">
          <cell r="A1472" t="str">
            <v>Elizebeth</v>
          </cell>
          <cell r="C1472">
            <v>5.8739159439626536E-2</v>
          </cell>
          <cell r="I1472" t="str">
            <v>Doherty</v>
          </cell>
        </row>
        <row r="1473">
          <cell r="A1473" t="str">
            <v>Dian</v>
          </cell>
          <cell r="C1473">
            <v>5.8694685345786195E-2</v>
          </cell>
          <cell r="I1473" t="str">
            <v>Mead</v>
          </cell>
        </row>
        <row r="1474">
          <cell r="A1474" t="str">
            <v>Shanta</v>
          </cell>
          <cell r="C1474">
            <v>5.8650211251945861E-2</v>
          </cell>
          <cell r="I1474" t="str">
            <v>Mcgraw</v>
          </cell>
        </row>
        <row r="1475">
          <cell r="A1475" t="str">
            <v>Mickey</v>
          </cell>
          <cell r="C1475">
            <v>5.860573715810552E-2</v>
          </cell>
          <cell r="I1475" t="str">
            <v>Toney</v>
          </cell>
        </row>
        <row r="1476">
          <cell r="A1476" t="str">
            <v>Latosha</v>
          </cell>
          <cell r="C1476">
            <v>5.8561263064265179E-2</v>
          </cell>
          <cell r="I1476" t="str">
            <v>Swan</v>
          </cell>
        </row>
        <row r="1477">
          <cell r="A1477" t="str">
            <v>Carlotta</v>
          </cell>
          <cell r="C1477">
            <v>5.8516788970424845E-2</v>
          </cell>
          <cell r="I1477" t="str">
            <v>Melvin</v>
          </cell>
        </row>
        <row r="1478">
          <cell r="A1478" t="str">
            <v>Windy</v>
          </cell>
          <cell r="C1478">
            <v>5.8472314876584504E-2</v>
          </cell>
          <cell r="I1478" t="str">
            <v>Capps</v>
          </cell>
        </row>
        <row r="1479">
          <cell r="A1479" t="str">
            <v>Soon</v>
          </cell>
          <cell r="C1479">
            <v>5.8427840782744163E-2</v>
          </cell>
          <cell r="I1479" t="str">
            <v>Blanco</v>
          </cell>
        </row>
        <row r="1480">
          <cell r="A1480" t="str">
            <v>Rosina</v>
          </cell>
          <cell r="C1480">
            <v>5.8383366688903829E-2</v>
          </cell>
          <cell r="I1480" t="str">
            <v>Blackmon</v>
          </cell>
        </row>
        <row r="1481">
          <cell r="A1481" t="str">
            <v>Mariann</v>
          </cell>
          <cell r="C1481">
            <v>5.8338892595063488E-2</v>
          </cell>
          <cell r="I1481" t="str">
            <v>Wesley</v>
          </cell>
        </row>
        <row r="1482">
          <cell r="A1482" t="str">
            <v>Leisa</v>
          </cell>
          <cell r="C1482">
            <v>5.8294418501223147E-2</v>
          </cell>
          <cell r="I1482" t="str">
            <v>Thomson</v>
          </cell>
        </row>
        <row r="1483">
          <cell r="A1483" t="str">
            <v>Jonnie</v>
          </cell>
          <cell r="C1483">
            <v>5.8249944407382813E-2</v>
          </cell>
          <cell r="I1483" t="str">
            <v>Mcmanus</v>
          </cell>
        </row>
        <row r="1484">
          <cell r="A1484" t="str">
            <v>Dawna</v>
          </cell>
          <cell r="C1484">
            <v>5.8205470313542472E-2</v>
          </cell>
          <cell r="I1484" t="str">
            <v>Fair</v>
          </cell>
        </row>
        <row r="1485">
          <cell r="A1485" t="str">
            <v>Cathie</v>
          </cell>
          <cell r="C1485">
            <v>5.8160996219702131E-2</v>
          </cell>
          <cell r="I1485" t="str">
            <v>Burkett</v>
          </cell>
        </row>
        <row r="1486">
          <cell r="A1486" t="str">
            <v>Billy</v>
          </cell>
          <cell r="C1486">
            <v>5.8116522125861804E-2</v>
          </cell>
          <cell r="I1486" t="str">
            <v>Post</v>
          </cell>
        </row>
        <row r="1487">
          <cell r="A1487" t="str">
            <v>Astrid</v>
          </cell>
          <cell r="C1487">
            <v>5.8072048032021449E-2</v>
          </cell>
          <cell r="I1487" t="str">
            <v>Gleason</v>
          </cell>
        </row>
        <row r="1488">
          <cell r="A1488" t="str">
            <v>Sidney</v>
          </cell>
          <cell r="C1488">
            <v>5.8027573938181087E-2</v>
          </cell>
          <cell r="I1488" t="str">
            <v>Rudolph</v>
          </cell>
        </row>
        <row r="1489">
          <cell r="A1489" t="str">
            <v>Laureen</v>
          </cell>
          <cell r="C1489">
            <v>5.7983099844340739E-2</v>
          </cell>
          <cell r="I1489" t="str">
            <v>Ott</v>
          </cell>
        </row>
        <row r="1490">
          <cell r="A1490" t="str">
            <v>Janeen</v>
          </cell>
          <cell r="C1490">
            <v>5.7938625750500378E-2</v>
          </cell>
          <cell r="I1490" t="str">
            <v>Dickens</v>
          </cell>
        </row>
        <row r="1491">
          <cell r="A1491" t="str">
            <v>Holli</v>
          </cell>
          <cell r="C1491">
            <v>5.7894151656660016E-2</v>
          </cell>
          <cell r="I1491" t="str">
            <v>Cormier</v>
          </cell>
        </row>
        <row r="1492">
          <cell r="A1492" t="str">
            <v>Fawn</v>
          </cell>
          <cell r="C1492">
            <v>5.7849677562819661E-2</v>
          </cell>
          <cell r="I1492" t="str">
            <v>Voss</v>
          </cell>
        </row>
        <row r="1493">
          <cell r="A1493" t="str">
            <v>Vickey</v>
          </cell>
          <cell r="C1493">
            <v>5.7805203468979299E-2</v>
          </cell>
          <cell r="I1493" t="str">
            <v>Rushing</v>
          </cell>
        </row>
        <row r="1494">
          <cell r="A1494" t="str">
            <v>Teressa</v>
          </cell>
          <cell r="C1494">
            <v>5.7760729375138938E-2</v>
          </cell>
          <cell r="I1494" t="str">
            <v>Rosenberg</v>
          </cell>
        </row>
        <row r="1495">
          <cell r="A1495" t="str">
            <v>Shante</v>
          </cell>
          <cell r="C1495">
            <v>5.771625528129859E-2</v>
          </cell>
          <cell r="I1495" t="str">
            <v>Hurd</v>
          </cell>
        </row>
        <row r="1496">
          <cell r="A1496" t="str">
            <v>Rubye</v>
          </cell>
          <cell r="C1496">
            <v>5.7671781187458228E-2</v>
          </cell>
          <cell r="I1496" t="str">
            <v>Dumas</v>
          </cell>
        </row>
        <row r="1497">
          <cell r="A1497" t="str">
            <v>Marcelina</v>
          </cell>
          <cell r="C1497">
            <v>5.7627307093617866E-2</v>
          </cell>
          <cell r="I1497" t="str">
            <v>Benitez</v>
          </cell>
        </row>
        <row r="1498">
          <cell r="A1498" t="str">
            <v>Chanda</v>
          </cell>
          <cell r="C1498">
            <v>5.7582832999777511E-2</v>
          </cell>
          <cell r="I1498" t="str">
            <v>Arellano</v>
          </cell>
        </row>
        <row r="1499">
          <cell r="A1499" t="str">
            <v>Cary</v>
          </cell>
          <cell r="C1499">
            <v>5.7538358905937156E-2</v>
          </cell>
          <cell r="I1499" t="str">
            <v>Story</v>
          </cell>
        </row>
        <row r="1500">
          <cell r="A1500" t="str">
            <v>Terese</v>
          </cell>
          <cell r="C1500">
            <v>5.7493884812096795E-2</v>
          </cell>
          <cell r="I1500" t="str">
            <v>Marin</v>
          </cell>
        </row>
        <row r="1501">
          <cell r="A1501" t="str">
            <v>Scarlett</v>
          </cell>
          <cell r="C1501">
            <v>5.744941071825644E-2</v>
          </cell>
          <cell r="I1501" t="str">
            <v>Caudill</v>
          </cell>
        </row>
        <row r="1502">
          <cell r="A1502" t="str">
            <v>Marty</v>
          </cell>
          <cell r="C1502">
            <v>5.7404936624416078E-2</v>
          </cell>
          <cell r="I1502" t="str">
            <v>Bragg</v>
          </cell>
        </row>
        <row r="1503">
          <cell r="A1503" t="str">
            <v>Marnie</v>
          </cell>
          <cell r="C1503">
            <v>5.7360462530575716E-2</v>
          </cell>
          <cell r="I1503" t="str">
            <v>Jaramillo</v>
          </cell>
        </row>
        <row r="1504">
          <cell r="A1504" t="str">
            <v>Lulu</v>
          </cell>
          <cell r="C1504">
            <v>5.7315988436735368E-2</v>
          </cell>
          <cell r="I1504" t="str">
            <v>Huerta</v>
          </cell>
        </row>
        <row r="1505">
          <cell r="A1505" t="str">
            <v>Lisette</v>
          </cell>
          <cell r="C1505">
            <v>5.7271514342895007E-2</v>
          </cell>
          <cell r="I1505" t="str">
            <v>Gipson</v>
          </cell>
        </row>
        <row r="1506">
          <cell r="A1506" t="str">
            <v>Jeniffer</v>
          </cell>
          <cell r="C1506">
            <v>5.7227040249054645E-2</v>
          </cell>
          <cell r="I1506" t="str">
            <v>Colvin</v>
          </cell>
        </row>
        <row r="1507">
          <cell r="A1507" t="str">
            <v>Elenor</v>
          </cell>
          <cell r="C1507">
            <v>5.718256615521429E-2</v>
          </cell>
          <cell r="I1507" t="str">
            <v>Biggs</v>
          </cell>
        </row>
        <row r="1508">
          <cell r="A1508" t="str">
            <v>Dorinda</v>
          </cell>
          <cell r="C1508">
            <v>5.7138092061373928E-2</v>
          </cell>
          <cell r="I1508" t="str">
            <v>Vela</v>
          </cell>
        </row>
        <row r="1509">
          <cell r="A1509" t="str">
            <v>Donita</v>
          </cell>
          <cell r="C1509">
            <v>5.7093617967533566E-2</v>
          </cell>
          <cell r="I1509" t="str">
            <v>Platt</v>
          </cell>
        </row>
        <row r="1510">
          <cell r="A1510" t="str">
            <v>Carman</v>
          </cell>
          <cell r="C1510">
            <v>5.7049143873693219E-2</v>
          </cell>
          <cell r="I1510" t="str">
            <v>Cassidy</v>
          </cell>
        </row>
        <row r="1511">
          <cell r="A1511" t="str">
            <v>Bernita</v>
          </cell>
          <cell r="C1511">
            <v>5.7004669779852857E-2</v>
          </cell>
          <cell r="I1511" t="str">
            <v>Tompkins</v>
          </cell>
        </row>
        <row r="1512">
          <cell r="A1512" t="str">
            <v>Altagracia</v>
          </cell>
          <cell r="C1512">
            <v>5.6960195686012495E-2</v>
          </cell>
          <cell r="I1512" t="str">
            <v>Mccollum</v>
          </cell>
        </row>
        <row r="1513">
          <cell r="A1513" t="str">
            <v>Aleta</v>
          </cell>
          <cell r="C1513">
            <v>5.6915721592172147E-2</v>
          </cell>
          <cell r="I1513" t="str">
            <v>Kay</v>
          </cell>
        </row>
        <row r="1514">
          <cell r="A1514" t="str">
            <v>Adrianna</v>
          </cell>
          <cell r="C1514">
            <v>5.6871247498331785E-2</v>
          </cell>
          <cell r="I1514" t="str">
            <v>Gabriel</v>
          </cell>
        </row>
        <row r="1515">
          <cell r="A1515" t="str">
            <v>Zoraida</v>
          </cell>
          <cell r="C1515">
            <v>5.6826773404491424E-2</v>
          </cell>
          <cell r="I1515" t="str">
            <v>Dolan</v>
          </cell>
        </row>
        <row r="1516">
          <cell r="A1516" t="str">
            <v>Ronnie</v>
          </cell>
          <cell r="C1516">
            <v>5.6782299310651069E-2</v>
          </cell>
          <cell r="I1516" t="str">
            <v>Daley</v>
          </cell>
        </row>
        <row r="1517">
          <cell r="A1517" t="str">
            <v>Nicola</v>
          </cell>
          <cell r="C1517">
            <v>5.6737825216810707E-2</v>
          </cell>
          <cell r="I1517" t="str">
            <v>Crump</v>
          </cell>
        </row>
        <row r="1518">
          <cell r="A1518" t="str">
            <v>Lyndsey</v>
          </cell>
          <cell r="C1518">
            <v>5.6693351122970345E-2</v>
          </cell>
          <cell r="I1518" t="str">
            <v>Street</v>
          </cell>
        </row>
        <row r="1519">
          <cell r="A1519" t="str">
            <v>Kendall</v>
          </cell>
          <cell r="C1519">
            <v>5.6648877029129997E-2</v>
          </cell>
          <cell r="I1519" t="str">
            <v>Sneed</v>
          </cell>
        </row>
        <row r="1520">
          <cell r="A1520" t="str">
            <v>Janina</v>
          </cell>
          <cell r="C1520">
            <v>5.6604402935289636E-2</v>
          </cell>
          <cell r="I1520" t="str">
            <v>Kilgore</v>
          </cell>
        </row>
        <row r="1521">
          <cell r="A1521" t="str">
            <v>Chrissy</v>
          </cell>
          <cell r="C1521">
            <v>5.6559928841449274E-2</v>
          </cell>
          <cell r="I1521" t="str">
            <v>Grove</v>
          </cell>
        </row>
        <row r="1522">
          <cell r="A1522" t="str">
            <v>Ami</v>
          </cell>
          <cell r="C1522">
            <v>5.6515454747608919E-2</v>
          </cell>
          <cell r="I1522" t="str">
            <v>Grimm</v>
          </cell>
        </row>
        <row r="1523">
          <cell r="A1523" t="str">
            <v>Starla</v>
          </cell>
          <cell r="C1523">
            <v>5.6470980653768564E-2</v>
          </cell>
          <cell r="I1523" t="str">
            <v>Davison</v>
          </cell>
        </row>
        <row r="1524">
          <cell r="A1524" t="str">
            <v>Phylis</v>
          </cell>
          <cell r="C1524">
            <v>5.6426506559928202E-2</v>
          </cell>
          <cell r="I1524" t="str">
            <v>Brunson</v>
          </cell>
        </row>
        <row r="1525">
          <cell r="A1525" t="str">
            <v>Phuong</v>
          </cell>
          <cell r="C1525">
            <v>5.6382032466087847E-2</v>
          </cell>
          <cell r="I1525" t="str">
            <v>Prater</v>
          </cell>
        </row>
        <row r="1526">
          <cell r="A1526" t="str">
            <v>Kyra</v>
          </cell>
          <cell r="C1526">
            <v>5.6337558372247486E-2</v>
          </cell>
          <cell r="I1526" t="str">
            <v>Marcum</v>
          </cell>
        </row>
        <row r="1527">
          <cell r="A1527" t="str">
            <v>Charisse</v>
          </cell>
          <cell r="C1527">
            <v>5.6293084278407138E-2</v>
          </cell>
          <cell r="I1527" t="str">
            <v>Devine</v>
          </cell>
        </row>
        <row r="1528">
          <cell r="A1528" t="str">
            <v>Blanch</v>
          </cell>
          <cell r="C1528">
            <v>5.6248610184566783E-2</v>
          </cell>
          <cell r="I1528" t="str">
            <v>Kyle</v>
          </cell>
        </row>
        <row r="1529">
          <cell r="A1529" t="str">
            <v>Sanjuanita</v>
          </cell>
          <cell r="C1529">
            <v>5.6204136090726435E-2</v>
          </cell>
          <cell r="I1529" t="str">
            <v>Dodge</v>
          </cell>
        </row>
        <row r="1530">
          <cell r="A1530" t="str">
            <v>Rona</v>
          </cell>
          <cell r="C1530">
            <v>5.6159661996886094E-2</v>
          </cell>
          <cell r="I1530" t="str">
            <v>Stratton</v>
          </cell>
        </row>
        <row r="1531">
          <cell r="A1531" t="str">
            <v>Nanci</v>
          </cell>
          <cell r="C1531">
            <v>5.6115187903045739E-2</v>
          </cell>
          <cell r="I1531" t="str">
            <v>Rosas</v>
          </cell>
        </row>
        <row r="1532">
          <cell r="A1532" t="str">
            <v>Marilee</v>
          </cell>
          <cell r="C1532">
            <v>5.6070713809205384E-2</v>
          </cell>
          <cell r="I1532" t="str">
            <v>Choi</v>
          </cell>
        </row>
        <row r="1533">
          <cell r="A1533" t="str">
            <v>Maranda</v>
          </cell>
          <cell r="C1533">
            <v>5.6026239715365037E-2</v>
          </cell>
          <cell r="I1533" t="str">
            <v>Tripp</v>
          </cell>
        </row>
        <row r="1534">
          <cell r="A1534" t="str">
            <v>Cory</v>
          </cell>
          <cell r="C1534">
            <v>5.5981765621524682E-2</v>
          </cell>
          <cell r="I1534" t="str">
            <v>Ledbetter</v>
          </cell>
        </row>
        <row r="1535">
          <cell r="A1535" t="str">
            <v>Brigette</v>
          </cell>
          <cell r="C1535">
            <v>5.5937291527684334E-2</v>
          </cell>
          <cell r="I1535" t="str">
            <v>Lay</v>
          </cell>
        </row>
        <row r="1536">
          <cell r="A1536" t="str">
            <v>Sanjuana</v>
          </cell>
          <cell r="C1536">
            <v>5.5892817433843993E-2</v>
          </cell>
          <cell r="I1536" t="str">
            <v>Hightower</v>
          </cell>
        </row>
        <row r="1537">
          <cell r="A1537" t="str">
            <v>Marita</v>
          </cell>
          <cell r="C1537">
            <v>5.5848343340003638E-2</v>
          </cell>
          <cell r="I1537" t="str">
            <v>Haywood</v>
          </cell>
        </row>
        <row r="1538">
          <cell r="A1538" t="str">
            <v>Kassandra</v>
          </cell>
          <cell r="C1538">
            <v>5.580386924616329E-2</v>
          </cell>
          <cell r="I1538" t="str">
            <v>Feldman</v>
          </cell>
        </row>
        <row r="1539">
          <cell r="A1539" t="str">
            <v>Joycelyn</v>
          </cell>
          <cell r="C1539">
            <v>5.5759395152322935E-2</v>
          </cell>
          <cell r="I1539" t="str">
            <v>Epps</v>
          </cell>
        </row>
        <row r="1540">
          <cell r="A1540" t="str">
            <v>Ira</v>
          </cell>
          <cell r="C1540">
            <v>5.5714921058482587E-2</v>
          </cell>
          <cell r="I1540" t="str">
            <v>Yeager</v>
          </cell>
        </row>
        <row r="1541">
          <cell r="A1541" t="str">
            <v>Felipa</v>
          </cell>
          <cell r="C1541">
            <v>5.5670446964642233E-2</v>
          </cell>
          <cell r="I1541" t="str">
            <v>Posey</v>
          </cell>
        </row>
        <row r="1542">
          <cell r="A1542" t="str">
            <v>Chelsie</v>
          </cell>
          <cell r="C1542">
            <v>5.5625972870801892E-2</v>
          </cell>
          <cell r="I1542" t="str">
            <v>Sylvester</v>
          </cell>
        </row>
        <row r="1543">
          <cell r="A1543" t="str">
            <v>Bonny</v>
          </cell>
          <cell r="C1543">
            <v>5.5581498776961544E-2</v>
          </cell>
          <cell r="I1543" t="str">
            <v>Scruggs</v>
          </cell>
        </row>
        <row r="1544">
          <cell r="A1544" t="str">
            <v>Mireya</v>
          </cell>
          <cell r="C1544">
            <v>5.5537024683121189E-2</v>
          </cell>
          <cell r="I1544" t="str">
            <v>Cope</v>
          </cell>
        </row>
        <row r="1545">
          <cell r="A1545" t="str">
            <v>Lorenza</v>
          </cell>
          <cell r="C1545">
            <v>5.5492550589280841E-2</v>
          </cell>
          <cell r="I1545" t="str">
            <v>Stubbs</v>
          </cell>
        </row>
        <row r="1546">
          <cell r="A1546" t="str">
            <v>Kyong</v>
          </cell>
          <cell r="C1546">
            <v>5.5448076495440486E-2</v>
          </cell>
          <cell r="I1546" t="str">
            <v>Richey</v>
          </cell>
        </row>
        <row r="1547">
          <cell r="A1547" t="str">
            <v>Ileana</v>
          </cell>
          <cell r="C1547">
            <v>5.5403602401600138E-2</v>
          </cell>
          <cell r="I1547" t="str">
            <v>Overton</v>
          </cell>
        </row>
        <row r="1548">
          <cell r="A1548" t="str">
            <v>Candelaria</v>
          </cell>
          <cell r="C1548">
            <v>5.5359128307759797E-2</v>
          </cell>
          <cell r="I1548" t="str">
            <v>Trotter</v>
          </cell>
        </row>
        <row r="1549">
          <cell r="A1549" t="str">
            <v>Tony</v>
          </cell>
          <cell r="C1549">
            <v>5.5314654213919442E-2</v>
          </cell>
          <cell r="I1549" t="str">
            <v>Sprague</v>
          </cell>
        </row>
        <row r="1550">
          <cell r="A1550" t="str">
            <v>Toby</v>
          </cell>
          <cell r="C1550">
            <v>5.5270180120079095E-2</v>
          </cell>
          <cell r="I1550" t="str">
            <v>Cordero</v>
          </cell>
        </row>
        <row r="1551">
          <cell r="A1551" t="str">
            <v>Sherie</v>
          </cell>
          <cell r="C1551">
            <v>5.522570602623874E-2</v>
          </cell>
          <cell r="I1551" t="str">
            <v>Butcher</v>
          </cell>
        </row>
        <row r="1552">
          <cell r="A1552" t="str">
            <v>Ok</v>
          </cell>
          <cell r="C1552">
            <v>5.5181231932398392E-2</v>
          </cell>
          <cell r="I1552" t="str">
            <v>Burger</v>
          </cell>
        </row>
        <row r="1553">
          <cell r="A1553" t="str">
            <v>Mark</v>
          </cell>
          <cell r="C1553">
            <v>5.5136757838558037E-2</v>
          </cell>
          <cell r="I1553" t="str">
            <v>Stiles</v>
          </cell>
        </row>
        <row r="1554">
          <cell r="A1554" t="str">
            <v>Lucie</v>
          </cell>
          <cell r="C1554">
            <v>5.5092283744717696E-2</v>
          </cell>
          <cell r="I1554" t="str">
            <v>Burgos</v>
          </cell>
        </row>
        <row r="1555">
          <cell r="A1555" t="str">
            <v>Leatrice</v>
          </cell>
          <cell r="C1555">
            <v>5.5047809650877341E-2</v>
          </cell>
          <cell r="I1555" t="str">
            <v>Woodson</v>
          </cell>
        </row>
        <row r="1556">
          <cell r="A1556" t="str">
            <v>Lakeshia</v>
          </cell>
          <cell r="C1556">
            <v>5.5003335557036993E-2</v>
          </cell>
          <cell r="I1556" t="str">
            <v>Horner</v>
          </cell>
        </row>
        <row r="1557">
          <cell r="A1557" t="str">
            <v>Gerda</v>
          </cell>
          <cell r="C1557">
            <v>5.4958861463196639E-2</v>
          </cell>
          <cell r="I1557" t="str">
            <v>Bassett</v>
          </cell>
        </row>
        <row r="1558">
          <cell r="A1558" t="str">
            <v>Edie</v>
          </cell>
          <cell r="C1558">
            <v>5.4914387369356291E-2</v>
          </cell>
          <cell r="I1558" t="str">
            <v>Purcell</v>
          </cell>
        </row>
        <row r="1559">
          <cell r="A1559" t="str">
            <v>Bambi</v>
          </cell>
          <cell r="C1559">
            <v>5.4869913275515936E-2</v>
          </cell>
          <cell r="I1559" t="str">
            <v>Haskins</v>
          </cell>
        </row>
        <row r="1560">
          <cell r="A1560" t="str">
            <v>Marylin</v>
          </cell>
          <cell r="C1560">
            <v>5.4825439181675595E-2</v>
          </cell>
          <cell r="I1560" t="str">
            <v>Gee</v>
          </cell>
        </row>
        <row r="1561">
          <cell r="A1561" t="str">
            <v>Lavon</v>
          </cell>
          <cell r="C1561">
            <v>5.4780965087835247E-2</v>
          </cell>
          <cell r="I1561" t="str">
            <v>Akins</v>
          </cell>
        </row>
        <row r="1562">
          <cell r="A1562" t="str">
            <v>Hortense</v>
          </cell>
          <cell r="C1562">
            <v>5.4736490993994892E-2</v>
          </cell>
          <cell r="I1562" t="str">
            <v>Abraham</v>
          </cell>
        </row>
        <row r="1563">
          <cell r="A1563" t="str">
            <v>Garnet</v>
          </cell>
          <cell r="C1563">
            <v>5.4692016900154544E-2</v>
          </cell>
          <cell r="I1563" t="str">
            <v>Hoyt</v>
          </cell>
        </row>
        <row r="1564">
          <cell r="A1564" t="str">
            <v>Evie</v>
          </cell>
          <cell r="C1564">
            <v>5.4647542806314189E-2</v>
          </cell>
          <cell r="I1564" t="str">
            <v>Ziegler</v>
          </cell>
        </row>
        <row r="1565">
          <cell r="A1565" t="str">
            <v>Tressa</v>
          </cell>
          <cell r="C1565">
            <v>5.4603068712473841E-2</v>
          </cell>
          <cell r="I1565" t="str">
            <v>Spaulding</v>
          </cell>
        </row>
        <row r="1566">
          <cell r="A1566" t="str">
            <v>Shayna</v>
          </cell>
          <cell r="C1566">
            <v>5.4558594618633501E-2</v>
          </cell>
          <cell r="I1566" t="str">
            <v>Hadley</v>
          </cell>
        </row>
        <row r="1567">
          <cell r="A1567" t="str">
            <v>Lavina</v>
          </cell>
          <cell r="C1567">
            <v>5.4514120524793146E-2</v>
          </cell>
          <cell r="I1567" t="str">
            <v>Grubbs</v>
          </cell>
        </row>
        <row r="1568">
          <cell r="A1568" t="str">
            <v>Kyung</v>
          </cell>
          <cell r="C1568">
            <v>5.4469646430952798E-2</v>
          </cell>
          <cell r="I1568" t="str">
            <v>Sumner</v>
          </cell>
        </row>
        <row r="1569">
          <cell r="A1569" t="str">
            <v>Jeanetta</v>
          </cell>
          <cell r="C1569">
            <v>5.4425172337112443E-2</v>
          </cell>
          <cell r="I1569" t="str">
            <v>Murillo</v>
          </cell>
        </row>
        <row r="1570">
          <cell r="A1570" t="str">
            <v>Sherrill</v>
          </cell>
          <cell r="C1570">
            <v>5.4380698243272095E-2</v>
          </cell>
          <cell r="I1570" t="str">
            <v>Zavala</v>
          </cell>
        </row>
        <row r="1571">
          <cell r="A1571" t="str">
            <v>Shara</v>
          </cell>
          <cell r="C1571">
            <v>5.433622414943174E-2</v>
          </cell>
          <cell r="I1571" t="str">
            <v>Shook</v>
          </cell>
        </row>
        <row r="1572">
          <cell r="A1572" t="str">
            <v>Phyliss</v>
          </cell>
          <cell r="C1572">
            <v>5.4291750055591399E-2</v>
          </cell>
          <cell r="I1572" t="str">
            <v>Lockwood</v>
          </cell>
        </row>
        <row r="1573">
          <cell r="A1573" t="str">
            <v>Mittie</v>
          </cell>
          <cell r="C1573">
            <v>5.4247275961751051E-2</v>
          </cell>
          <cell r="I1573" t="str">
            <v>Jarrett</v>
          </cell>
        </row>
        <row r="1574">
          <cell r="A1574" t="str">
            <v>Anabel</v>
          </cell>
          <cell r="C1574">
            <v>5.4202801867910697E-2</v>
          </cell>
          <cell r="I1574" t="str">
            <v>Driscoll</v>
          </cell>
        </row>
        <row r="1575">
          <cell r="A1575" t="str">
            <v>Alesia</v>
          </cell>
          <cell r="C1575">
            <v>5.4158327774070342E-2</v>
          </cell>
          <cell r="I1575" t="str">
            <v>Dahl</v>
          </cell>
        </row>
        <row r="1576">
          <cell r="A1576" t="str">
            <v>Thuy</v>
          </cell>
          <cell r="C1576">
            <v>5.4113853680229994E-2</v>
          </cell>
          <cell r="I1576" t="str">
            <v>Thorpe</v>
          </cell>
        </row>
        <row r="1577">
          <cell r="A1577" t="str">
            <v>Tawanda</v>
          </cell>
          <cell r="C1577">
            <v>5.4069379586389639E-2</v>
          </cell>
          <cell r="I1577" t="str">
            <v>Sheridan</v>
          </cell>
        </row>
        <row r="1578">
          <cell r="A1578" t="str">
            <v>Richard</v>
          </cell>
          <cell r="C1578">
            <v>5.4024905492549298E-2</v>
          </cell>
          <cell r="I1578" t="str">
            <v>Redmond</v>
          </cell>
        </row>
        <row r="1579">
          <cell r="A1579" t="str">
            <v>Joanie</v>
          </cell>
          <cell r="C1579">
            <v>5.398043139870895E-2</v>
          </cell>
          <cell r="I1579" t="str">
            <v>Putnam</v>
          </cell>
        </row>
        <row r="1580">
          <cell r="A1580" t="str">
            <v>Tiffanie</v>
          </cell>
          <cell r="C1580">
            <v>5.3935957304868595E-2</v>
          </cell>
          <cell r="I1580" t="str">
            <v>Mcwilliams</v>
          </cell>
        </row>
        <row r="1581">
          <cell r="A1581" t="str">
            <v>Lashanda</v>
          </cell>
          <cell r="C1581">
            <v>5.3891483211028247E-2</v>
          </cell>
          <cell r="I1581" t="str">
            <v>Mcrae</v>
          </cell>
        </row>
        <row r="1582">
          <cell r="A1582" t="str">
            <v>Karissa</v>
          </cell>
          <cell r="C1582">
            <v>5.3847009117187893E-2</v>
          </cell>
          <cell r="I1582" t="str">
            <v>Cornell</v>
          </cell>
        </row>
        <row r="1583">
          <cell r="A1583" t="str">
            <v>Enriqueta</v>
          </cell>
          <cell r="C1583">
            <v>5.3802535023347545E-2</v>
          </cell>
          <cell r="I1583" t="str">
            <v>Felton</v>
          </cell>
        </row>
        <row r="1584">
          <cell r="A1584" t="str">
            <v>Daria</v>
          </cell>
          <cell r="C1584">
            <v>5.3758060929507204E-2</v>
          </cell>
          <cell r="I1584" t="str">
            <v>Romano</v>
          </cell>
        </row>
        <row r="1585">
          <cell r="A1585" t="str">
            <v>Daniella</v>
          </cell>
          <cell r="C1585">
            <v>5.3713586835666849E-2</v>
          </cell>
          <cell r="I1585" t="str">
            <v>Joiner</v>
          </cell>
        </row>
        <row r="1586">
          <cell r="A1586" t="str">
            <v>Corinna</v>
          </cell>
          <cell r="C1586">
            <v>5.3669112741826501E-2</v>
          </cell>
          <cell r="I1586" t="str">
            <v>Sadler</v>
          </cell>
        </row>
        <row r="1587">
          <cell r="A1587" t="str">
            <v>Alanna</v>
          </cell>
          <cell r="C1587">
            <v>5.3624638647986146E-2</v>
          </cell>
          <cell r="I1587" t="str">
            <v>Hedrick</v>
          </cell>
        </row>
        <row r="1588">
          <cell r="A1588" t="str">
            <v>Abbey</v>
          </cell>
          <cell r="C1588">
            <v>5.3580164554145798E-2</v>
          </cell>
          <cell r="I1588" t="str">
            <v>Hager</v>
          </cell>
        </row>
        <row r="1589">
          <cell r="A1589" t="str">
            <v>Roxane</v>
          </cell>
          <cell r="C1589">
            <v>5.3535690460305443E-2</v>
          </cell>
          <cell r="I1589" t="str">
            <v>Hagen</v>
          </cell>
        </row>
        <row r="1590">
          <cell r="A1590" t="str">
            <v>Roseanna</v>
          </cell>
          <cell r="C1590">
            <v>5.3491216366465102E-2</v>
          </cell>
          <cell r="I1590" t="str">
            <v>Fitch</v>
          </cell>
        </row>
        <row r="1591">
          <cell r="A1591" t="str">
            <v>Magnolia</v>
          </cell>
          <cell r="C1591">
            <v>5.3446742272624755E-2</v>
          </cell>
          <cell r="I1591" t="str">
            <v>Coulter</v>
          </cell>
        </row>
        <row r="1592">
          <cell r="A1592" t="str">
            <v>Lida</v>
          </cell>
          <cell r="C1592">
            <v>5.34022681787844E-2</v>
          </cell>
          <cell r="I1592" t="str">
            <v>Thacker</v>
          </cell>
        </row>
        <row r="1593">
          <cell r="A1593" t="str">
            <v>Kyle</v>
          </cell>
          <cell r="C1593">
            <v>5.3357794084944052E-2</v>
          </cell>
          <cell r="I1593" t="str">
            <v>Mansfield</v>
          </cell>
        </row>
        <row r="1594">
          <cell r="A1594" t="str">
            <v>Joellen</v>
          </cell>
          <cell r="C1594">
            <v>5.3313319991103697E-2</v>
          </cell>
          <cell r="I1594" t="str">
            <v>Langston</v>
          </cell>
        </row>
        <row r="1595">
          <cell r="A1595" t="str">
            <v>Era</v>
          </cell>
          <cell r="C1595">
            <v>5.3268845897263349E-2</v>
          </cell>
          <cell r="I1595" t="str">
            <v>Guidry</v>
          </cell>
        </row>
        <row r="1596">
          <cell r="A1596" t="str">
            <v>Coral</v>
          </cell>
          <cell r="C1596">
            <v>5.3224371803423001E-2</v>
          </cell>
          <cell r="I1596" t="str">
            <v>Ferreira</v>
          </cell>
        </row>
        <row r="1597">
          <cell r="A1597" t="str">
            <v>Carleen</v>
          </cell>
          <cell r="C1597">
            <v>5.3179897709582653E-2</v>
          </cell>
          <cell r="I1597" t="str">
            <v>Corley</v>
          </cell>
        </row>
        <row r="1598">
          <cell r="A1598" t="str">
            <v>Tresa</v>
          </cell>
          <cell r="C1598">
            <v>5.3135423615742298E-2</v>
          </cell>
          <cell r="I1598" t="str">
            <v>Conn</v>
          </cell>
        </row>
        <row r="1599">
          <cell r="A1599" t="str">
            <v>Peggie</v>
          </cell>
          <cell r="C1599">
            <v>5.3090949521901951E-2</v>
          </cell>
          <cell r="I1599" t="str">
            <v>Rossi</v>
          </cell>
        </row>
        <row r="1600">
          <cell r="A1600" t="str">
            <v>Novella</v>
          </cell>
          <cell r="C1600">
            <v>5.3046475428061596E-2</v>
          </cell>
          <cell r="I1600" t="str">
            <v>Lackey</v>
          </cell>
        </row>
        <row r="1601">
          <cell r="A1601" t="str">
            <v>Nila</v>
          </cell>
          <cell r="C1601">
            <v>5.3002001334221248E-2</v>
          </cell>
          <cell r="I1601" t="str">
            <v>Cody</v>
          </cell>
        </row>
        <row r="1602">
          <cell r="A1602" t="str">
            <v>Maybelle</v>
          </cell>
          <cell r="C1602">
            <v>5.2957527240380907E-2</v>
          </cell>
          <cell r="I1602" t="str">
            <v>Baez</v>
          </cell>
        </row>
        <row r="1603">
          <cell r="A1603" t="str">
            <v>Jenelle</v>
          </cell>
          <cell r="C1603">
            <v>5.2913053146540552E-2</v>
          </cell>
          <cell r="I1603" t="str">
            <v>Saenz</v>
          </cell>
        </row>
        <row r="1604">
          <cell r="A1604" t="str">
            <v>Carina</v>
          </cell>
          <cell r="C1604">
            <v>5.2868579052700204E-2</v>
          </cell>
          <cell r="I1604" t="str">
            <v>Mcnamara</v>
          </cell>
        </row>
        <row r="1605">
          <cell r="A1605" t="str">
            <v>Nova</v>
          </cell>
          <cell r="C1605">
            <v>5.2824104958859849E-2</v>
          </cell>
          <cell r="I1605" t="str">
            <v>Darnell</v>
          </cell>
        </row>
        <row r="1606">
          <cell r="A1606" t="str">
            <v>Melina</v>
          </cell>
          <cell r="C1606">
            <v>5.2779630865019501E-2</v>
          </cell>
          <cell r="I1606" t="str">
            <v>Michel</v>
          </cell>
        </row>
        <row r="1607">
          <cell r="A1607" t="str">
            <v>Marquerite</v>
          </cell>
          <cell r="C1607">
            <v>5.2735156771179147E-2</v>
          </cell>
          <cell r="I1607" t="str">
            <v>Mcmullen</v>
          </cell>
        </row>
        <row r="1608">
          <cell r="A1608" t="str">
            <v>Margarette</v>
          </cell>
          <cell r="C1608">
            <v>5.2690682677338806E-2</v>
          </cell>
          <cell r="I1608" t="str">
            <v>Mckenna</v>
          </cell>
        </row>
        <row r="1609">
          <cell r="A1609" t="str">
            <v>Josephina</v>
          </cell>
          <cell r="C1609">
            <v>5.2646208583498458E-2</v>
          </cell>
          <cell r="I1609" t="str">
            <v>Mcdonough</v>
          </cell>
        </row>
        <row r="1610">
          <cell r="A1610" t="str">
            <v>Evonne</v>
          </cell>
          <cell r="C1610">
            <v>5.2601734489658103E-2</v>
          </cell>
          <cell r="I1610" t="str">
            <v>Link</v>
          </cell>
        </row>
        <row r="1611">
          <cell r="A1611" t="str">
            <v>Devin</v>
          </cell>
          <cell r="C1611">
            <v>5.2557260395817755E-2</v>
          </cell>
          <cell r="I1611" t="str">
            <v>Engel</v>
          </cell>
        </row>
        <row r="1612">
          <cell r="A1612" t="str">
            <v>Cinthia</v>
          </cell>
          <cell r="C1612">
            <v>5.25127863019774E-2</v>
          </cell>
          <cell r="I1612" t="str">
            <v>Browne</v>
          </cell>
        </row>
        <row r="1613">
          <cell r="A1613" t="str">
            <v>Albina</v>
          </cell>
          <cell r="C1613">
            <v>5.2468312208137052E-2</v>
          </cell>
          <cell r="I1613" t="str">
            <v>Roper</v>
          </cell>
        </row>
        <row r="1614">
          <cell r="A1614" t="str">
            <v>Toya</v>
          </cell>
          <cell r="C1614">
            <v>5.2423838114296711E-2</v>
          </cell>
          <cell r="I1614" t="str">
            <v>Peacock</v>
          </cell>
        </row>
        <row r="1615">
          <cell r="A1615" t="str">
            <v>Tawnya</v>
          </cell>
          <cell r="C1615">
            <v>5.2379364020456357E-2</v>
          </cell>
          <cell r="I1615" t="str">
            <v>Eubanks</v>
          </cell>
        </row>
        <row r="1616">
          <cell r="A1616" t="str">
            <v>Sherita</v>
          </cell>
          <cell r="C1616">
            <v>5.2334889926616009E-2</v>
          </cell>
          <cell r="I1616" t="str">
            <v>Drummond</v>
          </cell>
        </row>
        <row r="1617">
          <cell r="A1617" t="str">
            <v>Santos</v>
          </cell>
          <cell r="C1617">
            <v>5.2290415832775654E-2</v>
          </cell>
          <cell r="I1617" t="str">
            <v>Stringer</v>
          </cell>
        </row>
        <row r="1618">
          <cell r="A1618" t="str">
            <v>Myriam</v>
          </cell>
          <cell r="C1618">
            <v>5.2245941738935306E-2</v>
          </cell>
          <cell r="I1618" t="str">
            <v>Pritchett</v>
          </cell>
        </row>
        <row r="1619">
          <cell r="A1619" t="str">
            <v>Lizabeth</v>
          </cell>
          <cell r="C1619">
            <v>5.2201467645094951E-2</v>
          </cell>
          <cell r="I1619" t="str">
            <v>Parham</v>
          </cell>
        </row>
        <row r="1620">
          <cell r="A1620" t="str">
            <v>Lise</v>
          </cell>
          <cell r="C1620">
            <v>5.215699355125461E-2</v>
          </cell>
          <cell r="I1620" t="str">
            <v>Mims</v>
          </cell>
        </row>
        <row r="1621">
          <cell r="A1621" t="str">
            <v>Keely</v>
          </cell>
          <cell r="C1621">
            <v>5.2112519457414255E-2</v>
          </cell>
          <cell r="I1621" t="str">
            <v>Landers</v>
          </cell>
        </row>
        <row r="1622">
          <cell r="A1622" t="str">
            <v>Jenni</v>
          </cell>
          <cell r="C1622">
            <v>5.2068045363573907E-2</v>
          </cell>
          <cell r="I1622" t="str">
            <v>Ham</v>
          </cell>
        </row>
        <row r="1623">
          <cell r="A1623" t="str">
            <v>Giselle</v>
          </cell>
          <cell r="C1623">
            <v>5.2023571269733553E-2</v>
          </cell>
          <cell r="I1623" t="str">
            <v>Grayson</v>
          </cell>
        </row>
        <row r="1624">
          <cell r="A1624" t="str">
            <v>Cheryle</v>
          </cell>
          <cell r="C1624">
            <v>5.1979097175893205E-2</v>
          </cell>
          <cell r="I1624" t="str">
            <v>Stacy</v>
          </cell>
        </row>
        <row r="1625">
          <cell r="A1625" t="str">
            <v>Ardith</v>
          </cell>
          <cell r="C1625">
            <v>5.193462308205285E-2</v>
          </cell>
          <cell r="I1625" t="str">
            <v>Schafer</v>
          </cell>
        </row>
        <row r="1626">
          <cell r="A1626" t="str">
            <v>Ardis</v>
          </cell>
          <cell r="C1626">
            <v>5.1890148988212509E-2</v>
          </cell>
          <cell r="I1626" t="str">
            <v>Egan</v>
          </cell>
        </row>
        <row r="1627">
          <cell r="A1627" t="str">
            <v>Alesha</v>
          </cell>
          <cell r="C1627">
            <v>5.1845674894372161E-2</v>
          </cell>
          <cell r="I1627" t="str">
            <v>Timmons</v>
          </cell>
        </row>
        <row r="1628">
          <cell r="A1628" t="str">
            <v>Adriane</v>
          </cell>
          <cell r="C1628">
            <v>5.1801200800531806E-2</v>
          </cell>
          <cell r="I1628" t="str">
            <v>Ohara</v>
          </cell>
        </row>
        <row r="1629">
          <cell r="A1629" t="str">
            <v>Shaina</v>
          </cell>
          <cell r="C1629">
            <v>5.1756726706691458E-2</v>
          </cell>
          <cell r="I1629" t="str">
            <v>Keen</v>
          </cell>
        </row>
        <row r="1630">
          <cell r="A1630" t="str">
            <v>Linnea</v>
          </cell>
          <cell r="C1630">
            <v>5.1712252612851103E-2</v>
          </cell>
          <cell r="I1630" t="str">
            <v>Hamlin</v>
          </cell>
        </row>
        <row r="1631">
          <cell r="A1631" t="str">
            <v>Karolyn</v>
          </cell>
          <cell r="C1631">
            <v>5.1667778519010756E-2</v>
          </cell>
          <cell r="I1631" t="str">
            <v>Finn</v>
          </cell>
        </row>
        <row r="1632">
          <cell r="A1632" t="str">
            <v>Hong</v>
          </cell>
          <cell r="C1632">
            <v>5.1623304425170415E-2</v>
          </cell>
          <cell r="I1632" t="str">
            <v>Cortes</v>
          </cell>
        </row>
        <row r="1633">
          <cell r="A1633" t="str">
            <v>Florida</v>
          </cell>
          <cell r="C1633">
            <v>5.157883033133006E-2</v>
          </cell>
          <cell r="I1633" t="str">
            <v>Mcnair</v>
          </cell>
        </row>
        <row r="1634">
          <cell r="A1634" t="str">
            <v>Felisha</v>
          </cell>
          <cell r="C1634">
            <v>5.1534356237489712E-2</v>
          </cell>
          <cell r="I1634" t="str">
            <v>Louis</v>
          </cell>
        </row>
        <row r="1635">
          <cell r="A1635" t="str">
            <v>Dori</v>
          </cell>
          <cell r="C1635">
            <v>5.1489882143649357E-2</v>
          </cell>
          <cell r="I1635" t="str">
            <v>Clifford</v>
          </cell>
        </row>
        <row r="1636">
          <cell r="A1636" t="str">
            <v>Darci</v>
          </cell>
          <cell r="C1636">
            <v>5.1445408049809009E-2</v>
          </cell>
          <cell r="I1636" t="str">
            <v>Nadeau</v>
          </cell>
        </row>
        <row r="1637">
          <cell r="A1637" t="str">
            <v>Artie</v>
          </cell>
          <cell r="C1637">
            <v>5.1400933955968654E-2</v>
          </cell>
          <cell r="I1637" t="str">
            <v>Moseley</v>
          </cell>
        </row>
        <row r="1638">
          <cell r="A1638" t="str">
            <v>Armida</v>
          </cell>
          <cell r="C1638">
            <v>5.1356459862128313E-2</v>
          </cell>
          <cell r="I1638" t="str">
            <v>Michaud</v>
          </cell>
        </row>
        <row r="1639">
          <cell r="A1639" t="str">
            <v>Zola</v>
          </cell>
          <cell r="C1639">
            <v>5.1311985768287958E-2</v>
          </cell>
          <cell r="I1639" t="str">
            <v>Rosen</v>
          </cell>
        </row>
        <row r="1640">
          <cell r="A1640" t="str">
            <v>Xiomara</v>
          </cell>
          <cell r="C1640">
            <v>5.1267511674447611E-2</v>
          </cell>
          <cell r="I1640" t="str">
            <v>Oakes</v>
          </cell>
        </row>
        <row r="1641">
          <cell r="A1641" t="str">
            <v>Vergie</v>
          </cell>
          <cell r="C1641">
            <v>5.1223037580607256E-2</v>
          </cell>
          <cell r="I1641" t="str">
            <v>Kurtz</v>
          </cell>
        </row>
        <row r="1642">
          <cell r="A1642" t="str">
            <v>Shamika</v>
          </cell>
          <cell r="C1642">
            <v>5.1178563486766908E-2</v>
          </cell>
          <cell r="I1642" t="str">
            <v>Jeffers</v>
          </cell>
        </row>
        <row r="1643">
          <cell r="A1643" t="str">
            <v>Nena</v>
          </cell>
          <cell r="C1643">
            <v>5.1134089392926553E-2</v>
          </cell>
          <cell r="I1643" t="str">
            <v>Calloway</v>
          </cell>
        </row>
        <row r="1644">
          <cell r="A1644" t="str">
            <v>Nannette</v>
          </cell>
          <cell r="C1644">
            <v>5.1089615299086212E-2</v>
          </cell>
          <cell r="I1644" t="str">
            <v>Beal</v>
          </cell>
        </row>
        <row r="1645">
          <cell r="A1645" t="str">
            <v>Maxie</v>
          </cell>
          <cell r="C1645">
            <v>5.1045141205245864E-2</v>
          </cell>
          <cell r="I1645" t="str">
            <v>Bautista</v>
          </cell>
        </row>
        <row r="1646">
          <cell r="A1646" t="str">
            <v>Lovie</v>
          </cell>
          <cell r="C1646">
            <v>5.1000667111405509E-2</v>
          </cell>
          <cell r="I1646" t="str">
            <v>Winn</v>
          </cell>
        </row>
        <row r="1647">
          <cell r="A1647" t="str">
            <v>Jeane</v>
          </cell>
          <cell r="C1647">
            <v>5.0956193017565161E-2</v>
          </cell>
          <cell r="I1647" t="str">
            <v>Suggs</v>
          </cell>
        </row>
        <row r="1648">
          <cell r="A1648" t="str">
            <v>Jaimie</v>
          </cell>
          <cell r="C1648">
            <v>5.0911718923724807E-2</v>
          </cell>
          <cell r="I1648" t="str">
            <v>Stern</v>
          </cell>
        </row>
        <row r="1649">
          <cell r="A1649" t="str">
            <v>Inge</v>
          </cell>
          <cell r="C1649">
            <v>5.0867244829884459E-2</v>
          </cell>
          <cell r="I1649" t="str">
            <v>Stapleton</v>
          </cell>
        </row>
        <row r="1650">
          <cell r="A1650" t="str">
            <v>Farrah</v>
          </cell>
          <cell r="C1650">
            <v>5.0822770736044118E-2</v>
          </cell>
          <cell r="I1650" t="str">
            <v>Lyles</v>
          </cell>
        </row>
        <row r="1651">
          <cell r="A1651" t="str">
            <v>Elaina</v>
          </cell>
          <cell r="C1651">
            <v>5.0778296642203763E-2</v>
          </cell>
          <cell r="I1651" t="str">
            <v>Laird</v>
          </cell>
        </row>
        <row r="1652">
          <cell r="A1652" t="str">
            <v>Caitlyn</v>
          </cell>
          <cell r="C1652">
            <v>5.0733822548363415E-2</v>
          </cell>
          <cell r="I1652" t="str">
            <v>Montano</v>
          </cell>
        </row>
        <row r="1653">
          <cell r="A1653" t="str">
            <v>Starr</v>
          </cell>
          <cell r="C1653">
            <v>5.068934845452306E-2</v>
          </cell>
          <cell r="I1653" t="str">
            <v>Diamond</v>
          </cell>
        </row>
        <row r="1654">
          <cell r="A1654" t="str">
            <v>Felicitas</v>
          </cell>
          <cell r="C1654">
            <v>5.0644874360682712E-2</v>
          </cell>
          <cell r="I1654" t="str">
            <v>Dawkins</v>
          </cell>
        </row>
        <row r="1655">
          <cell r="A1655" t="str">
            <v>Cherly</v>
          </cell>
          <cell r="C1655">
            <v>5.0600400266842357E-2</v>
          </cell>
          <cell r="I1655" t="str">
            <v>Roland</v>
          </cell>
        </row>
        <row r="1656">
          <cell r="A1656" t="str">
            <v>Caryl</v>
          </cell>
          <cell r="C1656">
            <v>5.0555926173002017E-2</v>
          </cell>
          <cell r="I1656" t="str">
            <v>Hagan</v>
          </cell>
        </row>
        <row r="1657">
          <cell r="A1657" t="str">
            <v>Yolonda</v>
          </cell>
          <cell r="C1657">
            <v>5.0511452079161669E-2</v>
          </cell>
          <cell r="I1657" t="str">
            <v>Goldman</v>
          </cell>
        </row>
        <row r="1658">
          <cell r="A1658" t="str">
            <v>Yasmin</v>
          </cell>
          <cell r="C1658">
            <v>5.0466977985321314E-2</v>
          </cell>
          <cell r="I1658" t="str">
            <v>Bryson</v>
          </cell>
        </row>
        <row r="1659">
          <cell r="A1659" t="str">
            <v>Teena</v>
          </cell>
          <cell r="C1659">
            <v>5.0422503891480966E-2</v>
          </cell>
          <cell r="I1659" t="str">
            <v>Barajas</v>
          </cell>
        </row>
        <row r="1660">
          <cell r="A1660" t="str">
            <v>Prudence</v>
          </cell>
          <cell r="C1660">
            <v>5.0378029797640611E-2</v>
          </cell>
          <cell r="I1660" t="str">
            <v>Lovett</v>
          </cell>
        </row>
        <row r="1661">
          <cell r="A1661" t="str">
            <v>Pennie</v>
          </cell>
          <cell r="C1661">
            <v>5.0333555703800263E-2</v>
          </cell>
          <cell r="I1661" t="str">
            <v>Segura</v>
          </cell>
        </row>
        <row r="1662">
          <cell r="A1662" t="str">
            <v>Nydia</v>
          </cell>
          <cell r="C1662">
            <v>5.0289081609959915E-2</v>
          </cell>
          <cell r="I1662" t="str">
            <v>Metz</v>
          </cell>
        </row>
        <row r="1663">
          <cell r="A1663" t="str">
            <v>Mackenzie</v>
          </cell>
          <cell r="C1663">
            <v>5.0244607516119567E-2</v>
          </cell>
          <cell r="I1663" t="str">
            <v>Lockett</v>
          </cell>
        </row>
        <row r="1664">
          <cell r="A1664" t="str">
            <v>Orpha</v>
          </cell>
          <cell r="C1664">
            <v>5.0200133422279213E-2</v>
          </cell>
          <cell r="I1664" t="str">
            <v>Langford</v>
          </cell>
        </row>
        <row r="1665">
          <cell r="A1665" t="str">
            <v>Marvel</v>
          </cell>
          <cell r="C1665">
            <v>5.0155659328438865E-2</v>
          </cell>
          <cell r="I1665" t="str">
            <v>Hinson</v>
          </cell>
        </row>
        <row r="1666">
          <cell r="A1666" t="str">
            <v>Lizbeth</v>
          </cell>
          <cell r="C1666">
            <v>5.011118523459851E-2</v>
          </cell>
          <cell r="I1666" t="str">
            <v>Eastman</v>
          </cell>
        </row>
        <row r="1667">
          <cell r="A1667" t="str">
            <v>Laurette</v>
          </cell>
          <cell r="C1667">
            <v>5.0066711140758162E-2</v>
          </cell>
          <cell r="I1667" t="str">
            <v>Rock</v>
          </cell>
        </row>
        <row r="1668">
          <cell r="A1668" t="str">
            <v>Jerrie</v>
          </cell>
          <cell r="C1668">
            <v>5.0022237046917821E-2</v>
          </cell>
          <cell r="I1668" t="str">
            <v>Hooks</v>
          </cell>
        </row>
        <row r="1669">
          <cell r="A1669" t="str">
            <v>Hermelinda</v>
          </cell>
          <cell r="C1669">
            <v>4.9977762953077466E-2</v>
          </cell>
          <cell r="I1669" t="str">
            <v>Woody</v>
          </cell>
        </row>
        <row r="1670">
          <cell r="A1670" t="str">
            <v>Carolee</v>
          </cell>
          <cell r="C1670">
            <v>4.9933288859237118E-2</v>
          </cell>
          <cell r="I1670" t="str">
            <v>Smallwood</v>
          </cell>
        </row>
        <row r="1671">
          <cell r="A1671" t="str">
            <v>Tierra</v>
          </cell>
          <cell r="C1671">
            <v>4.9888814765396763E-2</v>
          </cell>
          <cell r="I1671" t="str">
            <v>Shapiro</v>
          </cell>
        </row>
        <row r="1672">
          <cell r="A1672" t="str">
            <v>Mirian</v>
          </cell>
          <cell r="C1672">
            <v>4.9844340671556416E-2</v>
          </cell>
          <cell r="I1672" t="str">
            <v>Crowell</v>
          </cell>
        </row>
        <row r="1673">
          <cell r="A1673" t="str">
            <v>Meta</v>
          </cell>
          <cell r="C1673">
            <v>4.9799866577716061E-2</v>
          </cell>
          <cell r="I1673" t="str">
            <v>Whalen</v>
          </cell>
        </row>
        <row r="1674">
          <cell r="A1674" t="str">
            <v>Melony</v>
          </cell>
          <cell r="C1674">
            <v>4.975539248387572E-2</v>
          </cell>
          <cell r="I1674" t="str">
            <v>Triplett</v>
          </cell>
        </row>
        <row r="1675">
          <cell r="A1675" t="str">
            <v>Kori</v>
          </cell>
          <cell r="C1675">
            <v>4.9710918390035372E-2</v>
          </cell>
          <cell r="I1675" t="str">
            <v>Hooker</v>
          </cell>
        </row>
        <row r="1676">
          <cell r="A1676" t="str">
            <v>Jennette</v>
          </cell>
          <cell r="C1676">
            <v>4.9666444296195017E-2</v>
          </cell>
          <cell r="I1676" t="str">
            <v>Chatman</v>
          </cell>
        </row>
        <row r="1677">
          <cell r="A1677" t="str">
            <v>Jamila</v>
          </cell>
          <cell r="C1677">
            <v>4.9621970202354669E-2</v>
          </cell>
          <cell r="I1677" t="str">
            <v>Aldrich</v>
          </cell>
        </row>
        <row r="1678">
          <cell r="A1678" t="str">
            <v>Ena</v>
          </cell>
          <cell r="C1678">
            <v>4.9577496108514314E-2</v>
          </cell>
          <cell r="I1678" t="str">
            <v>Cahill</v>
          </cell>
        </row>
        <row r="1679">
          <cell r="A1679" t="str">
            <v>Anh</v>
          </cell>
          <cell r="C1679">
            <v>4.9533022014673966E-2</v>
          </cell>
          <cell r="I1679" t="str">
            <v>Youngblood</v>
          </cell>
        </row>
        <row r="1680">
          <cell r="A1680" t="str">
            <v>Yoshiko</v>
          </cell>
          <cell r="C1680">
            <v>4.9488547920833625E-2</v>
          </cell>
          <cell r="I1680" t="str">
            <v>Ybarra</v>
          </cell>
        </row>
        <row r="1681">
          <cell r="A1681" t="str">
            <v>Susannah</v>
          </cell>
          <cell r="C1681">
            <v>4.9444073826993271E-2</v>
          </cell>
          <cell r="I1681" t="str">
            <v>Stallings</v>
          </cell>
        </row>
        <row r="1682">
          <cell r="A1682" t="str">
            <v>Salina</v>
          </cell>
          <cell r="C1682">
            <v>4.9399599733152916E-2</v>
          </cell>
          <cell r="I1682" t="str">
            <v>Sheets</v>
          </cell>
        </row>
        <row r="1683">
          <cell r="A1683" t="str">
            <v>Rhiannon</v>
          </cell>
          <cell r="C1683">
            <v>4.9355125639312568E-2</v>
          </cell>
          <cell r="I1683" t="str">
            <v>Samuel</v>
          </cell>
        </row>
        <row r="1684">
          <cell r="A1684" t="str">
            <v>Joleen</v>
          </cell>
          <cell r="C1684">
            <v>4.9310651545472213E-2</v>
          </cell>
          <cell r="I1684" t="str">
            <v>Reeder</v>
          </cell>
        </row>
        <row r="1685">
          <cell r="A1685" t="str">
            <v>Cristine</v>
          </cell>
          <cell r="C1685">
            <v>4.9266177451631865E-2</v>
          </cell>
          <cell r="I1685" t="str">
            <v>Person</v>
          </cell>
        </row>
        <row r="1686">
          <cell r="A1686" t="str">
            <v>Ashton</v>
          </cell>
          <cell r="C1686">
            <v>4.9221703357791524E-2</v>
          </cell>
          <cell r="I1686" t="str">
            <v>Pack</v>
          </cell>
        </row>
        <row r="1687">
          <cell r="A1687" t="str">
            <v>Aracely</v>
          </cell>
          <cell r="C1687">
            <v>4.9177229263951169E-2</v>
          </cell>
          <cell r="I1687" t="str">
            <v>Lacey</v>
          </cell>
        </row>
        <row r="1688">
          <cell r="A1688" t="str">
            <v>Tomeka</v>
          </cell>
          <cell r="C1688">
            <v>4.9132755170110821E-2</v>
          </cell>
          <cell r="I1688" t="str">
            <v>Connelly</v>
          </cell>
        </row>
        <row r="1689">
          <cell r="A1689" t="str">
            <v>Shalonda</v>
          </cell>
          <cell r="C1689">
            <v>4.9088281076270467E-2</v>
          </cell>
          <cell r="I1689" t="str">
            <v>Bateman</v>
          </cell>
        </row>
        <row r="1690">
          <cell r="A1690" t="str">
            <v>Marti</v>
          </cell>
          <cell r="C1690">
            <v>4.9043806982430119E-2</v>
          </cell>
          <cell r="I1690" t="str">
            <v>Abernathy</v>
          </cell>
        </row>
        <row r="1691">
          <cell r="A1691" t="str">
            <v>Lacie</v>
          </cell>
          <cell r="C1691">
            <v>4.8999332888589764E-2</v>
          </cell>
          <cell r="I1691" t="str">
            <v>Winkler</v>
          </cell>
        </row>
        <row r="1692">
          <cell r="A1692" t="str">
            <v>Kala</v>
          </cell>
          <cell r="C1692">
            <v>4.8954858794749423E-2</v>
          </cell>
          <cell r="I1692" t="str">
            <v>Wilkes</v>
          </cell>
        </row>
        <row r="1693">
          <cell r="A1693" t="str">
            <v>Jada</v>
          </cell>
          <cell r="C1693">
            <v>4.8910384700909075E-2</v>
          </cell>
          <cell r="I1693" t="str">
            <v>Masters</v>
          </cell>
        </row>
        <row r="1694">
          <cell r="A1694" t="str">
            <v>Ilse</v>
          </cell>
          <cell r="C1694">
            <v>4.886591060706872E-2</v>
          </cell>
          <cell r="I1694" t="str">
            <v>Hackett</v>
          </cell>
        </row>
        <row r="1695">
          <cell r="A1695" t="str">
            <v>Hailey</v>
          </cell>
          <cell r="C1695">
            <v>4.8821436513228372E-2</v>
          </cell>
          <cell r="I1695" t="str">
            <v>Granger</v>
          </cell>
        </row>
        <row r="1696">
          <cell r="A1696" t="str">
            <v>Brittani</v>
          </cell>
          <cell r="C1696">
            <v>4.8776962419388017E-2</v>
          </cell>
          <cell r="I1696" t="str">
            <v>Gillis</v>
          </cell>
        </row>
        <row r="1697">
          <cell r="A1697" t="str">
            <v>Zona</v>
          </cell>
          <cell r="C1697">
            <v>4.873248832554767E-2</v>
          </cell>
          <cell r="I1697" t="str">
            <v>Schmitz</v>
          </cell>
        </row>
        <row r="1698">
          <cell r="A1698" t="str">
            <v>Syble</v>
          </cell>
          <cell r="C1698">
            <v>4.8699132755167414E-2</v>
          </cell>
          <cell r="I1698" t="str">
            <v>Sapp</v>
          </cell>
        </row>
        <row r="1699">
          <cell r="A1699" t="str">
            <v>Sherryl</v>
          </cell>
          <cell r="C1699">
            <v>4.8665777184787151E-2</v>
          </cell>
          <cell r="I1699" t="str">
            <v>Napier</v>
          </cell>
        </row>
        <row r="1700">
          <cell r="A1700" t="str">
            <v>Randy</v>
          </cell>
          <cell r="C1700">
            <v>4.8632421614406889E-2</v>
          </cell>
          <cell r="I1700" t="str">
            <v>Souza</v>
          </cell>
        </row>
        <row r="1701">
          <cell r="A1701" t="str">
            <v>Nidia</v>
          </cell>
          <cell r="C1701">
            <v>4.8599066044026626E-2</v>
          </cell>
          <cell r="I1701" t="str">
            <v>Lanier</v>
          </cell>
        </row>
        <row r="1702">
          <cell r="A1702" t="str">
            <v>Marlo</v>
          </cell>
          <cell r="C1702">
            <v>4.8565710473646356E-2</v>
          </cell>
          <cell r="I1702" t="str">
            <v>Gomes</v>
          </cell>
        </row>
        <row r="1703">
          <cell r="A1703" t="str">
            <v>Kandice</v>
          </cell>
          <cell r="C1703">
            <v>4.8532354903266094E-2</v>
          </cell>
          <cell r="I1703" t="str">
            <v>Weir</v>
          </cell>
        </row>
        <row r="1704">
          <cell r="A1704" t="str">
            <v>Kandi</v>
          </cell>
          <cell r="C1704">
            <v>4.8498999332885831E-2</v>
          </cell>
          <cell r="I1704" t="str">
            <v>Otero</v>
          </cell>
        </row>
        <row r="1705">
          <cell r="A1705" t="str">
            <v>Deb</v>
          </cell>
          <cell r="C1705">
            <v>4.8465643762505568E-2</v>
          </cell>
          <cell r="I1705" t="str">
            <v>Ledford</v>
          </cell>
        </row>
        <row r="1706">
          <cell r="A1706" t="str">
            <v>Dean</v>
          </cell>
          <cell r="C1706">
            <v>4.8432288192125313E-2</v>
          </cell>
          <cell r="I1706" t="str">
            <v>Burroughs</v>
          </cell>
        </row>
        <row r="1707">
          <cell r="A1707" t="str">
            <v>America</v>
          </cell>
          <cell r="C1707">
            <v>4.839893262174505E-2</v>
          </cell>
          <cell r="I1707" t="str">
            <v>Babcock</v>
          </cell>
        </row>
        <row r="1708">
          <cell r="A1708" t="str">
            <v>Alycia</v>
          </cell>
          <cell r="C1708">
            <v>4.8365577051364787E-2</v>
          </cell>
          <cell r="I1708" t="str">
            <v>Ventura</v>
          </cell>
        </row>
        <row r="1709">
          <cell r="A1709" t="str">
            <v>Tommy</v>
          </cell>
          <cell r="C1709">
            <v>4.8332221480984525E-2</v>
          </cell>
          <cell r="I1709" t="str">
            <v>Siegel</v>
          </cell>
        </row>
        <row r="1710">
          <cell r="A1710" t="str">
            <v>Ronna</v>
          </cell>
          <cell r="C1710">
            <v>4.8298865910604262E-2</v>
          </cell>
          <cell r="I1710" t="str">
            <v>Dugan</v>
          </cell>
        </row>
        <row r="1711">
          <cell r="A1711" t="str">
            <v>Norene</v>
          </cell>
          <cell r="C1711">
            <v>4.8265510340223999E-2</v>
          </cell>
          <cell r="I1711" t="str">
            <v>Clinton</v>
          </cell>
        </row>
        <row r="1712">
          <cell r="A1712" t="str">
            <v>Mercy</v>
          </cell>
          <cell r="C1712">
            <v>4.8232154769843737E-2</v>
          </cell>
          <cell r="I1712" t="str">
            <v>Christie</v>
          </cell>
        </row>
        <row r="1713">
          <cell r="A1713" t="str">
            <v>Jose</v>
          </cell>
          <cell r="C1713">
            <v>4.8198799199463467E-2</v>
          </cell>
          <cell r="I1713" t="str">
            <v>Bledsoe</v>
          </cell>
        </row>
        <row r="1714">
          <cell r="A1714" t="str">
            <v>Ingeborg</v>
          </cell>
          <cell r="C1714">
            <v>4.8165443629083218E-2</v>
          </cell>
          <cell r="I1714" t="str">
            <v>Atwood</v>
          </cell>
        </row>
        <row r="1715">
          <cell r="A1715" t="str">
            <v>Giovanna</v>
          </cell>
          <cell r="C1715">
            <v>4.8132088058702956E-2</v>
          </cell>
          <cell r="I1715" t="str">
            <v>Wray</v>
          </cell>
        </row>
        <row r="1716">
          <cell r="A1716" t="str">
            <v>Gemma</v>
          </cell>
          <cell r="C1716">
            <v>4.8098732488322686E-2</v>
          </cell>
          <cell r="I1716" t="str">
            <v>Varner</v>
          </cell>
        </row>
        <row r="1717">
          <cell r="A1717" t="str">
            <v>Christel</v>
          </cell>
          <cell r="C1717">
            <v>4.8065376917942423E-2</v>
          </cell>
          <cell r="I1717" t="str">
            <v>Spangler</v>
          </cell>
        </row>
        <row r="1718">
          <cell r="A1718" t="str">
            <v>Audry</v>
          </cell>
          <cell r="C1718">
            <v>4.8032021347562161E-2</v>
          </cell>
          <cell r="I1718" t="str">
            <v>Otto</v>
          </cell>
        </row>
        <row r="1719">
          <cell r="A1719" t="str">
            <v>Zora</v>
          </cell>
          <cell r="C1719">
            <v>4.7998665777181898E-2</v>
          </cell>
          <cell r="I1719" t="str">
            <v>Anaya</v>
          </cell>
        </row>
        <row r="1720">
          <cell r="A1720" t="str">
            <v>Vita</v>
          </cell>
          <cell r="C1720">
            <v>4.7965310206801635E-2</v>
          </cell>
          <cell r="I1720" t="str">
            <v>Staley</v>
          </cell>
        </row>
        <row r="1721">
          <cell r="A1721" t="str">
            <v>Van</v>
          </cell>
          <cell r="C1721">
            <v>4.7931954636421373E-2</v>
          </cell>
          <cell r="I1721" t="str">
            <v>Kraft</v>
          </cell>
        </row>
        <row r="1722">
          <cell r="A1722" t="str">
            <v>Trish</v>
          </cell>
          <cell r="C1722">
            <v>4.7898599066041117E-2</v>
          </cell>
          <cell r="I1722" t="str">
            <v>Fournier</v>
          </cell>
        </row>
        <row r="1723">
          <cell r="A1723" t="str">
            <v>Stephaine</v>
          </cell>
          <cell r="C1723">
            <v>4.7865243495660854E-2</v>
          </cell>
          <cell r="I1723" t="str">
            <v>Eddy</v>
          </cell>
        </row>
        <row r="1724">
          <cell r="A1724" t="str">
            <v>Shirlee</v>
          </cell>
          <cell r="C1724">
            <v>4.7831887925280592E-2</v>
          </cell>
          <cell r="I1724" t="str">
            <v>Belanger</v>
          </cell>
        </row>
        <row r="1725">
          <cell r="A1725" t="str">
            <v>Shanika</v>
          </cell>
          <cell r="C1725">
            <v>4.7798532354900329E-2</v>
          </cell>
          <cell r="I1725" t="str">
            <v>Wolff</v>
          </cell>
        </row>
        <row r="1726">
          <cell r="A1726" t="str">
            <v>Melonie</v>
          </cell>
          <cell r="C1726">
            <v>4.7765176784520066E-2</v>
          </cell>
          <cell r="I1726" t="str">
            <v>Thorne</v>
          </cell>
        </row>
        <row r="1727">
          <cell r="A1727" t="str">
            <v>Mazie</v>
          </cell>
          <cell r="C1727">
            <v>4.7731821214139797E-2</v>
          </cell>
          <cell r="I1727" t="str">
            <v>Bynum</v>
          </cell>
        </row>
        <row r="1728">
          <cell r="A1728" t="str">
            <v>Jazmin</v>
          </cell>
          <cell r="C1728">
            <v>4.7698465643759534E-2</v>
          </cell>
          <cell r="I1728" t="str">
            <v>Burnette</v>
          </cell>
        </row>
        <row r="1729">
          <cell r="A1729" t="str">
            <v>Inga</v>
          </cell>
          <cell r="C1729">
            <v>4.7665110073379272E-2</v>
          </cell>
          <cell r="I1729" t="str">
            <v>Boykin</v>
          </cell>
        </row>
        <row r="1730">
          <cell r="A1730" t="str">
            <v>Hoa</v>
          </cell>
          <cell r="C1730">
            <v>4.7631754502999016E-2</v>
          </cell>
          <cell r="I1730" t="str">
            <v>Swenson</v>
          </cell>
        </row>
        <row r="1731">
          <cell r="A1731" t="str">
            <v>Hettie</v>
          </cell>
          <cell r="C1731">
            <v>4.7598398932618753E-2</v>
          </cell>
          <cell r="I1731" t="str">
            <v>Purvis</v>
          </cell>
        </row>
        <row r="1732">
          <cell r="A1732" t="str">
            <v>Geralyn</v>
          </cell>
          <cell r="C1732">
            <v>4.756504336223849E-2</v>
          </cell>
          <cell r="I1732" t="str">
            <v>Pina</v>
          </cell>
        </row>
        <row r="1733">
          <cell r="A1733" t="str">
            <v>Fonda</v>
          </cell>
          <cell r="C1733">
            <v>4.7531687791858228E-2</v>
          </cell>
          <cell r="I1733" t="str">
            <v>Khan</v>
          </cell>
        </row>
        <row r="1734">
          <cell r="A1734" t="str">
            <v>Estrella</v>
          </cell>
          <cell r="C1734">
            <v>4.7498332221477965E-2</v>
          </cell>
          <cell r="I1734" t="str">
            <v>Duvall</v>
          </cell>
        </row>
        <row r="1735">
          <cell r="A1735" t="str">
            <v>Adella</v>
          </cell>
          <cell r="C1735">
            <v>4.7464976651097703E-2</v>
          </cell>
          <cell r="I1735" t="str">
            <v>Darby</v>
          </cell>
        </row>
        <row r="1736">
          <cell r="A1736" t="str">
            <v>Su</v>
          </cell>
          <cell r="C1736">
            <v>4.743162108071744E-2</v>
          </cell>
          <cell r="I1736" t="str">
            <v>Xiong</v>
          </cell>
        </row>
        <row r="1737">
          <cell r="A1737" t="str">
            <v>Sarita</v>
          </cell>
          <cell r="C1737">
            <v>4.739826551033717E-2</v>
          </cell>
          <cell r="I1737" t="str">
            <v>Kauffman</v>
          </cell>
        </row>
        <row r="1738">
          <cell r="A1738" t="str">
            <v>Rina</v>
          </cell>
          <cell r="C1738">
            <v>4.7364909939956922E-2</v>
          </cell>
          <cell r="I1738" t="str">
            <v>Ali</v>
          </cell>
        </row>
        <row r="1739">
          <cell r="A1739" t="str">
            <v>Milissa</v>
          </cell>
          <cell r="C1739">
            <v>4.7331554369576659E-2</v>
          </cell>
          <cell r="I1739" t="str">
            <v>Yu</v>
          </cell>
        </row>
        <row r="1740">
          <cell r="A1740" t="str">
            <v>Maribeth</v>
          </cell>
          <cell r="C1740">
            <v>4.7298198799196389E-2</v>
          </cell>
          <cell r="I1740" t="str">
            <v>Healy</v>
          </cell>
        </row>
        <row r="1741">
          <cell r="A1741" t="str">
            <v>Golda</v>
          </cell>
          <cell r="C1741">
            <v>4.7264843228816127E-2</v>
          </cell>
          <cell r="I1741" t="str">
            <v>Engle</v>
          </cell>
        </row>
        <row r="1742">
          <cell r="A1742" t="str">
            <v>Evon</v>
          </cell>
          <cell r="C1742">
            <v>4.7231487658435864E-2</v>
          </cell>
          <cell r="I1742" t="str">
            <v>Corona</v>
          </cell>
        </row>
        <row r="1743">
          <cell r="A1743" t="str">
            <v>Ethelyn</v>
          </cell>
          <cell r="C1743">
            <v>4.7198132088055601E-2</v>
          </cell>
          <cell r="I1743" t="str">
            <v>Benoit</v>
          </cell>
        </row>
        <row r="1744">
          <cell r="A1744" t="str">
            <v>Enedina</v>
          </cell>
          <cell r="C1744">
            <v>4.7164776517675339E-2</v>
          </cell>
          <cell r="I1744" t="str">
            <v>Valle</v>
          </cell>
        </row>
        <row r="1745">
          <cell r="A1745" t="str">
            <v>Cherise</v>
          </cell>
          <cell r="C1745">
            <v>4.7131420947295076E-2</v>
          </cell>
          <cell r="I1745" t="str">
            <v>Steiner</v>
          </cell>
        </row>
        <row r="1746">
          <cell r="A1746" t="str">
            <v>Chana</v>
          </cell>
          <cell r="C1746">
            <v>4.709806537691482E-2</v>
          </cell>
          <cell r="I1746" t="str">
            <v>Spicer</v>
          </cell>
        </row>
        <row r="1747">
          <cell r="A1747" t="str">
            <v>Velva</v>
          </cell>
          <cell r="C1747">
            <v>4.7064709806534558E-2</v>
          </cell>
          <cell r="I1747" t="str">
            <v>Shaver</v>
          </cell>
        </row>
        <row r="1748">
          <cell r="A1748" t="str">
            <v>Tawanna</v>
          </cell>
          <cell r="C1748">
            <v>4.7031354236154295E-2</v>
          </cell>
          <cell r="I1748" t="str">
            <v>Randle</v>
          </cell>
        </row>
        <row r="1749">
          <cell r="A1749" t="str">
            <v>Sade</v>
          </cell>
          <cell r="C1749">
            <v>4.6997998665774032E-2</v>
          </cell>
          <cell r="I1749" t="str">
            <v>Lundy</v>
          </cell>
        </row>
        <row r="1750">
          <cell r="A1750" t="str">
            <v>Mirta</v>
          </cell>
          <cell r="C1750">
            <v>4.696464309539377E-2</v>
          </cell>
          <cell r="I1750" t="str">
            <v>Dow</v>
          </cell>
        </row>
        <row r="1751">
          <cell r="A1751" t="str">
            <v>Li</v>
          </cell>
          <cell r="C1751">
            <v>4.69312875250135E-2</v>
          </cell>
          <cell r="I1751" t="str">
            <v>Chin</v>
          </cell>
        </row>
        <row r="1752">
          <cell r="A1752" t="str">
            <v>Karie</v>
          </cell>
          <cell r="C1752">
            <v>4.6897931954633237E-2</v>
          </cell>
          <cell r="I1752" t="str">
            <v>Calvert</v>
          </cell>
        </row>
        <row r="1753">
          <cell r="A1753" t="str">
            <v>Jacinta</v>
          </cell>
          <cell r="C1753">
            <v>4.6864576384252975E-2</v>
          </cell>
          <cell r="I1753" t="str">
            <v>Staton</v>
          </cell>
        </row>
        <row r="1754">
          <cell r="A1754" t="str">
            <v>Elna</v>
          </cell>
          <cell r="C1754">
            <v>4.6831220813872719E-2</v>
          </cell>
          <cell r="I1754" t="str">
            <v>Neff</v>
          </cell>
        </row>
        <row r="1755">
          <cell r="A1755" t="str">
            <v>Davina</v>
          </cell>
          <cell r="C1755">
            <v>4.6797865243492456E-2</v>
          </cell>
          <cell r="I1755" t="str">
            <v>Kearney</v>
          </cell>
        </row>
        <row r="1756">
          <cell r="A1756" t="str">
            <v>Cierra</v>
          </cell>
          <cell r="C1756">
            <v>4.6764509673112194E-2</v>
          </cell>
          <cell r="I1756" t="str">
            <v>Darden</v>
          </cell>
        </row>
        <row r="1757">
          <cell r="A1757" t="str">
            <v>Ashlie</v>
          </cell>
          <cell r="C1757">
            <v>4.6731154102731931E-2</v>
          </cell>
          <cell r="I1757" t="str">
            <v>Oakley</v>
          </cell>
        </row>
        <row r="1758">
          <cell r="A1758" t="str">
            <v>Albertha</v>
          </cell>
          <cell r="C1758">
            <v>4.6697798532351668E-2</v>
          </cell>
          <cell r="I1758" t="str">
            <v>Medeiros</v>
          </cell>
        </row>
        <row r="1759">
          <cell r="A1759" t="str">
            <v>Tanesha</v>
          </cell>
          <cell r="C1759">
            <v>4.6664442961971406E-2</v>
          </cell>
          <cell r="I1759" t="str">
            <v>Mccracken</v>
          </cell>
        </row>
        <row r="1760">
          <cell r="A1760" t="str">
            <v>Stephani</v>
          </cell>
          <cell r="C1760">
            <v>4.6631087391591143E-2</v>
          </cell>
          <cell r="I1760" t="str">
            <v>Crenshaw</v>
          </cell>
        </row>
        <row r="1761">
          <cell r="A1761" t="str">
            <v>Nelle</v>
          </cell>
          <cell r="C1761">
            <v>4.659773182121088E-2</v>
          </cell>
          <cell r="I1761" t="str">
            <v>Block</v>
          </cell>
        </row>
        <row r="1762">
          <cell r="A1762" t="str">
            <v>Mindi</v>
          </cell>
          <cell r="C1762">
            <v>4.6564376250830625E-2</v>
          </cell>
          <cell r="I1762" t="str">
            <v>Beaver</v>
          </cell>
        </row>
        <row r="1763">
          <cell r="A1763" t="str">
            <v>Lu</v>
          </cell>
          <cell r="C1763">
            <v>4.6531020680450362E-2</v>
          </cell>
          <cell r="I1763" t="str">
            <v>Perdue</v>
          </cell>
        </row>
        <row r="1764">
          <cell r="A1764" t="str">
            <v>Lorinda</v>
          </cell>
          <cell r="C1764">
            <v>4.6497665110070099E-2</v>
          </cell>
          <cell r="I1764" t="str">
            <v>Dill</v>
          </cell>
        </row>
        <row r="1765">
          <cell r="A1765" t="str">
            <v>Larue</v>
          </cell>
          <cell r="C1765">
            <v>4.646430953968983E-2</v>
          </cell>
          <cell r="I1765" t="str">
            <v>Whittaker</v>
          </cell>
        </row>
        <row r="1766">
          <cell r="A1766" t="str">
            <v>Florene</v>
          </cell>
          <cell r="C1766">
            <v>4.6430953969309567E-2</v>
          </cell>
          <cell r="I1766" t="str">
            <v>Tobin</v>
          </cell>
        </row>
        <row r="1767">
          <cell r="A1767" t="str">
            <v>Demetra</v>
          </cell>
          <cell r="C1767">
            <v>4.6397598398929304E-2</v>
          </cell>
          <cell r="I1767" t="str">
            <v>Cornelius</v>
          </cell>
        </row>
        <row r="1768">
          <cell r="A1768" t="str">
            <v>Dedra</v>
          </cell>
          <cell r="C1768">
            <v>4.6364242828549042E-2</v>
          </cell>
          <cell r="I1768" t="str">
            <v>Washburn</v>
          </cell>
        </row>
        <row r="1769">
          <cell r="A1769" t="str">
            <v>Ciara</v>
          </cell>
          <cell r="C1769">
            <v>4.6330887258168779E-2</v>
          </cell>
          <cell r="I1769" t="str">
            <v>Hogue</v>
          </cell>
        </row>
        <row r="1770">
          <cell r="A1770" t="str">
            <v>Chantelle</v>
          </cell>
          <cell r="C1770">
            <v>4.6297531687788523E-2</v>
          </cell>
          <cell r="I1770" t="str">
            <v>Goodrich</v>
          </cell>
        </row>
        <row r="1771">
          <cell r="A1771" t="str">
            <v>Ashly</v>
          </cell>
          <cell r="C1771">
            <v>4.6264176117408261E-2</v>
          </cell>
          <cell r="I1771" t="str">
            <v>Easley</v>
          </cell>
        </row>
        <row r="1772">
          <cell r="A1772" t="str">
            <v>Suzy</v>
          </cell>
          <cell r="C1772">
            <v>4.6230820547027998E-2</v>
          </cell>
          <cell r="I1772" t="str">
            <v>Bravo</v>
          </cell>
        </row>
        <row r="1773">
          <cell r="A1773" t="str">
            <v>Rosalva</v>
          </cell>
          <cell r="C1773">
            <v>4.6197464976647735E-2</v>
          </cell>
          <cell r="I1773" t="str">
            <v>Dennison</v>
          </cell>
        </row>
        <row r="1774">
          <cell r="A1774" t="str">
            <v>Noelia</v>
          </cell>
          <cell r="C1774">
            <v>4.6164109406267473E-2</v>
          </cell>
          <cell r="I1774" t="str">
            <v>Vera</v>
          </cell>
        </row>
        <row r="1775">
          <cell r="A1775" t="str">
            <v>Lyda</v>
          </cell>
          <cell r="C1775">
            <v>4.613075383588721E-2</v>
          </cell>
          <cell r="I1775" t="str">
            <v>Shipley</v>
          </cell>
        </row>
        <row r="1776">
          <cell r="A1776" t="str">
            <v>Leatha</v>
          </cell>
          <cell r="C1776">
            <v>4.6097398265506941E-2</v>
          </cell>
          <cell r="I1776" t="str">
            <v>Kerns</v>
          </cell>
        </row>
        <row r="1777">
          <cell r="A1777" t="str">
            <v>Krystyna</v>
          </cell>
          <cell r="C1777">
            <v>4.6064042695126678E-2</v>
          </cell>
          <cell r="I1777" t="str">
            <v>Jorgensen</v>
          </cell>
        </row>
        <row r="1778">
          <cell r="A1778" t="str">
            <v>Kristan</v>
          </cell>
          <cell r="C1778">
            <v>4.6030687124746429E-2</v>
          </cell>
          <cell r="I1778" t="str">
            <v>Crain</v>
          </cell>
        </row>
        <row r="1779">
          <cell r="A1779" t="str">
            <v>Karri</v>
          </cell>
          <cell r="C1779">
            <v>4.599733155436616E-2</v>
          </cell>
          <cell r="I1779" t="str">
            <v>Abel</v>
          </cell>
        </row>
        <row r="1780">
          <cell r="A1780" t="str">
            <v>Darline</v>
          </cell>
          <cell r="C1780">
            <v>4.5963975983985897E-2</v>
          </cell>
          <cell r="I1780" t="str">
            <v>Villalobos</v>
          </cell>
        </row>
        <row r="1781">
          <cell r="A1781" t="str">
            <v>Darcie</v>
          </cell>
          <cell r="C1781">
            <v>4.5930620413605634E-2</v>
          </cell>
          <cell r="I1781" t="str">
            <v>Maurer</v>
          </cell>
        </row>
        <row r="1782">
          <cell r="A1782" t="str">
            <v>Cinda</v>
          </cell>
          <cell r="C1782">
            <v>4.5897264843225372E-2</v>
          </cell>
          <cell r="I1782" t="str">
            <v>Longoria</v>
          </cell>
        </row>
        <row r="1783">
          <cell r="A1783" t="str">
            <v>Cheyenne</v>
          </cell>
          <cell r="C1783">
            <v>4.5863909272845109E-2</v>
          </cell>
          <cell r="I1783" t="str">
            <v>Keene</v>
          </cell>
        </row>
        <row r="1784">
          <cell r="A1784" t="str">
            <v>Cherrie</v>
          </cell>
          <cell r="C1784">
            <v>4.5830553702464846E-2</v>
          </cell>
          <cell r="I1784" t="str">
            <v>Coon</v>
          </cell>
        </row>
        <row r="1785">
          <cell r="A1785" t="str">
            <v>Awilda</v>
          </cell>
          <cell r="C1785">
            <v>4.5797198132084584E-2</v>
          </cell>
          <cell r="I1785" t="str">
            <v>Sierra</v>
          </cell>
        </row>
        <row r="1786">
          <cell r="A1786" t="str">
            <v>Almeda</v>
          </cell>
          <cell r="C1786">
            <v>4.5763842561704328E-2</v>
          </cell>
          <cell r="I1786" t="str">
            <v>Witherspoon</v>
          </cell>
        </row>
        <row r="1787">
          <cell r="A1787" t="str">
            <v>Rolanda</v>
          </cell>
          <cell r="C1787">
            <v>4.5730486991324065E-2</v>
          </cell>
          <cell r="I1787" t="str">
            <v>Staples</v>
          </cell>
        </row>
        <row r="1788">
          <cell r="A1788" t="str">
            <v>Lanette</v>
          </cell>
          <cell r="C1788">
            <v>4.5697131420943803E-2</v>
          </cell>
          <cell r="I1788" t="str">
            <v>Pettit</v>
          </cell>
        </row>
        <row r="1789">
          <cell r="A1789" t="str">
            <v>Jerilyn</v>
          </cell>
          <cell r="C1789">
            <v>4.566377585056354E-2</v>
          </cell>
          <cell r="I1789" t="str">
            <v>Kincaid</v>
          </cell>
        </row>
        <row r="1790">
          <cell r="A1790" t="str">
            <v>Gisele</v>
          </cell>
          <cell r="C1790">
            <v>4.563042028018327E-2</v>
          </cell>
          <cell r="I1790" t="str">
            <v>Eason</v>
          </cell>
        </row>
        <row r="1791">
          <cell r="A1791" t="str">
            <v>Evalyn</v>
          </cell>
          <cell r="C1791">
            <v>4.5597064709803008E-2</v>
          </cell>
          <cell r="I1791" t="str">
            <v>Madrid</v>
          </cell>
        </row>
        <row r="1792">
          <cell r="A1792" t="str">
            <v>Cyndi</v>
          </cell>
          <cell r="C1792">
            <v>4.5563709139422745E-2</v>
          </cell>
          <cell r="I1792" t="str">
            <v>Echols</v>
          </cell>
        </row>
        <row r="1793">
          <cell r="A1793" t="str">
            <v>Cleta</v>
          </cell>
          <cell r="C1793">
            <v>4.5530353569042482E-2</v>
          </cell>
          <cell r="I1793" t="str">
            <v>Lusk</v>
          </cell>
        </row>
        <row r="1794">
          <cell r="A1794" t="str">
            <v>Carin</v>
          </cell>
          <cell r="C1794">
            <v>4.549699799866222E-2</v>
          </cell>
          <cell r="I1794" t="str">
            <v>Wu</v>
          </cell>
        </row>
        <row r="1795">
          <cell r="A1795" t="str">
            <v>Zina</v>
          </cell>
          <cell r="C1795">
            <v>4.5463642428281964E-2</v>
          </cell>
          <cell r="I1795" t="str">
            <v>Stahl</v>
          </cell>
        </row>
        <row r="1796">
          <cell r="A1796" t="str">
            <v>Zena</v>
          </cell>
          <cell r="C1796">
            <v>4.5430286857901701E-2</v>
          </cell>
          <cell r="I1796" t="str">
            <v>Currie</v>
          </cell>
        </row>
        <row r="1797">
          <cell r="A1797" t="str">
            <v>Velia</v>
          </cell>
          <cell r="C1797">
            <v>4.5396931287521439E-2</v>
          </cell>
          <cell r="I1797" t="str">
            <v>Thayer</v>
          </cell>
        </row>
        <row r="1798">
          <cell r="A1798" t="str">
            <v>Tanika</v>
          </cell>
          <cell r="C1798">
            <v>4.5363575717141176E-2</v>
          </cell>
          <cell r="I1798" t="str">
            <v>Shultz</v>
          </cell>
        </row>
        <row r="1799">
          <cell r="A1799" t="str">
            <v>Paul</v>
          </cell>
          <cell r="C1799">
            <v>4.5330220146760913E-2</v>
          </cell>
          <cell r="I1799" t="str">
            <v>Sherwood</v>
          </cell>
        </row>
        <row r="1800">
          <cell r="A1800" t="str">
            <v>Charissa</v>
          </cell>
          <cell r="C1800">
            <v>4.5296864576380644E-2</v>
          </cell>
          <cell r="I1800" t="str">
            <v>Mcnally</v>
          </cell>
        </row>
        <row r="1801">
          <cell r="A1801" t="str">
            <v>Thomas</v>
          </cell>
          <cell r="C1801">
            <v>4.5263509006000381E-2</v>
          </cell>
          <cell r="I1801" t="str">
            <v>Seay</v>
          </cell>
        </row>
        <row r="1802">
          <cell r="A1802" t="str">
            <v>Talia</v>
          </cell>
          <cell r="C1802">
            <v>4.5230153435620118E-2</v>
          </cell>
          <cell r="I1802" t="str">
            <v>North</v>
          </cell>
        </row>
        <row r="1803">
          <cell r="A1803" t="str">
            <v>Margarete</v>
          </cell>
          <cell r="C1803">
            <v>4.519679786523987E-2</v>
          </cell>
          <cell r="I1803" t="str">
            <v>Maher</v>
          </cell>
        </row>
        <row r="1804">
          <cell r="A1804" t="str">
            <v>Lavonda</v>
          </cell>
          <cell r="C1804">
            <v>4.5163442294859593E-2</v>
          </cell>
          <cell r="I1804" t="str">
            <v>Kenny</v>
          </cell>
        </row>
        <row r="1805">
          <cell r="A1805" t="str">
            <v>Kaylee</v>
          </cell>
          <cell r="C1805">
            <v>4.5130086724479337E-2</v>
          </cell>
          <cell r="I1805" t="str">
            <v>Hope</v>
          </cell>
        </row>
        <row r="1806">
          <cell r="A1806" t="str">
            <v>Kathlene</v>
          </cell>
          <cell r="C1806">
            <v>4.5096731154099068E-2</v>
          </cell>
          <cell r="I1806" t="str">
            <v>Gagne</v>
          </cell>
        </row>
        <row r="1807">
          <cell r="A1807" t="str">
            <v>Jonna</v>
          </cell>
          <cell r="C1807">
            <v>4.5063375583718812E-2</v>
          </cell>
          <cell r="I1807" t="str">
            <v>Barrow</v>
          </cell>
        </row>
        <row r="1808">
          <cell r="A1808" t="str">
            <v>Irena</v>
          </cell>
          <cell r="C1808">
            <v>4.5030020013338536E-2</v>
          </cell>
          <cell r="I1808" t="str">
            <v>Nava</v>
          </cell>
        </row>
        <row r="1809">
          <cell r="A1809" t="str">
            <v>Ilona</v>
          </cell>
          <cell r="C1809">
            <v>4.4996664442958287E-2</v>
          </cell>
          <cell r="I1809" t="str">
            <v>Myles</v>
          </cell>
        </row>
        <row r="1810">
          <cell r="A1810" t="str">
            <v>Idalia</v>
          </cell>
          <cell r="C1810">
            <v>4.496330887257801E-2</v>
          </cell>
          <cell r="I1810" t="str">
            <v>Moreland</v>
          </cell>
        </row>
        <row r="1811">
          <cell r="A1811" t="str">
            <v>Candis</v>
          </cell>
          <cell r="C1811">
            <v>4.4929953302197755E-2</v>
          </cell>
          <cell r="I1811" t="str">
            <v>Honeycutt</v>
          </cell>
        </row>
        <row r="1812">
          <cell r="A1812" t="str">
            <v>Candance</v>
          </cell>
          <cell r="C1812">
            <v>4.4896597731817485E-2</v>
          </cell>
          <cell r="I1812" t="str">
            <v>Hearn</v>
          </cell>
        </row>
        <row r="1813">
          <cell r="A1813" t="str">
            <v>Brandee</v>
          </cell>
          <cell r="C1813">
            <v>4.4863242161437229E-2</v>
          </cell>
          <cell r="I1813" t="str">
            <v>Diggs</v>
          </cell>
        </row>
        <row r="1814">
          <cell r="A1814" t="str">
            <v>Anitra</v>
          </cell>
          <cell r="C1814">
            <v>4.482988659105696E-2</v>
          </cell>
          <cell r="I1814" t="str">
            <v>Caron</v>
          </cell>
        </row>
        <row r="1815">
          <cell r="A1815" t="str">
            <v>Alida</v>
          </cell>
          <cell r="C1815">
            <v>4.4796531020676704E-2</v>
          </cell>
          <cell r="I1815" t="str">
            <v>Whitten</v>
          </cell>
        </row>
        <row r="1816">
          <cell r="A1816" t="str">
            <v>Sigrid</v>
          </cell>
          <cell r="C1816">
            <v>4.4763175450296427E-2</v>
          </cell>
          <cell r="I1816" t="str">
            <v>Westbrook</v>
          </cell>
        </row>
        <row r="1817">
          <cell r="A1817" t="str">
            <v>Nicolette</v>
          </cell>
          <cell r="C1817">
            <v>4.4729819879916179E-2</v>
          </cell>
          <cell r="I1817" t="str">
            <v>Stovall</v>
          </cell>
        </row>
        <row r="1818">
          <cell r="A1818" t="str">
            <v>Maryjo</v>
          </cell>
          <cell r="C1818">
            <v>4.4696464309535902E-2</v>
          </cell>
          <cell r="I1818" t="str">
            <v>Ragland</v>
          </cell>
        </row>
        <row r="1819">
          <cell r="A1819" t="str">
            <v>Linette</v>
          </cell>
          <cell r="C1819">
            <v>4.4663108739155646E-2</v>
          </cell>
          <cell r="I1819" t="str">
            <v>Queen</v>
          </cell>
        </row>
        <row r="1820">
          <cell r="A1820" t="str">
            <v>Hedwig</v>
          </cell>
          <cell r="C1820">
            <v>4.4629753168775377E-2</v>
          </cell>
          <cell r="I1820" t="str">
            <v>Munson</v>
          </cell>
        </row>
        <row r="1821">
          <cell r="A1821" t="str">
            <v>Christiana</v>
          </cell>
          <cell r="C1821">
            <v>4.4596397598395121E-2</v>
          </cell>
          <cell r="I1821" t="str">
            <v>Meier</v>
          </cell>
        </row>
        <row r="1822">
          <cell r="A1822" t="str">
            <v>Cassidy</v>
          </cell>
          <cell r="C1822">
            <v>4.4563042028014851E-2</v>
          </cell>
          <cell r="I1822" t="str">
            <v>Looney</v>
          </cell>
        </row>
        <row r="1823">
          <cell r="A1823" t="str">
            <v>Alexia</v>
          </cell>
          <cell r="C1823">
            <v>4.4529686457634596E-2</v>
          </cell>
          <cell r="I1823" t="str">
            <v>Kimble</v>
          </cell>
        </row>
        <row r="1824">
          <cell r="A1824" t="str">
            <v>Tressie</v>
          </cell>
          <cell r="C1824">
            <v>4.4496330887254319E-2</v>
          </cell>
          <cell r="I1824" t="str">
            <v>Jolly</v>
          </cell>
        </row>
        <row r="1825">
          <cell r="A1825" t="str">
            <v>Modesta</v>
          </cell>
          <cell r="C1825">
            <v>4.446297531687407E-2</v>
          </cell>
          <cell r="I1825" t="str">
            <v>Hobson</v>
          </cell>
        </row>
        <row r="1826">
          <cell r="A1826" t="str">
            <v>Lupita</v>
          </cell>
          <cell r="C1826">
            <v>4.4429619746493822E-2</v>
          </cell>
          <cell r="I1826" t="str">
            <v>London</v>
          </cell>
        </row>
        <row r="1827">
          <cell r="A1827" t="str">
            <v>Lita</v>
          </cell>
          <cell r="C1827">
            <v>4.4396264176113573E-2</v>
          </cell>
          <cell r="I1827" t="str">
            <v>Goddard</v>
          </cell>
        </row>
        <row r="1828">
          <cell r="A1828" t="str">
            <v>Gladis</v>
          </cell>
          <cell r="C1828">
            <v>4.4362908605733324E-2</v>
          </cell>
          <cell r="I1828" t="str">
            <v>Culver</v>
          </cell>
        </row>
        <row r="1829">
          <cell r="A1829" t="str">
            <v>Evelia</v>
          </cell>
          <cell r="C1829">
            <v>4.4329553035353075E-2</v>
          </cell>
          <cell r="I1829" t="str">
            <v>Burr</v>
          </cell>
        </row>
        <row r="1830">
          <cell r="A1830" t="str">
            <v>Davida</v>
          </cell>
          <cell r="C1830">
            <v>4.4296197464972827E-2</v>
          </cell>
          <cell r="I1830" t="str">
            <v>Presley</v>
          </cell>
        </row>
        <row r="1831">
          <cell r="A1831" t="str">
            <v>Cherri</v>
          </cell>
          <cell r="C1831">
            <v>4.4262841894592578E-2</v>
          </cell>
          <cell r="I1831" t="str">
            <v>Negron</v>
          </cell>
        </row>
        <row r="1832">
          <cell r="A1832" t="str">
            <v>Cecily</v>
          </cell>
          <cell r="C1832">
            <v>4.4229486324212329E-2</v>
          </cell>
          <cell r="I1832" t="str">
            <v>Connell</v>
          </cell>
        </row>
        <row r="1833">
          <cell r="A1833" t="str">
            <v>Ashely</v>
          </cell>
          <cell r="C1833">
            <v>4.419613075383208E-2</v>
          </cell>
          <cell r="I1833" t="str">
            <v>Tovar</v>
          </cell>
        </row>
        <row r="1834">
          <cell r="A1834" t="str">
            <v>Annabel</v>
          </cell>
          <cell r="C1834">
            <v>4.4162775183451831E-2</v>
          </cell>
          <cell r="I1834" t="str">
            <v>Marcus</v>
          </cell>
        </row>
        <row r="1835">
          <cell r="A1835" t="str">
            <v>Agustina</v>
          </cell>
          <cell r="C1835">
            <v>4.4129419613071583E-2</v>
          </cell>
          <cell r="I1835" t="str">
            <v>Huddleston</v>
          </cell>
        </row>
        <row r="1836">
          <cell r="A1836" t="str">
            <v>Wanita</v>
          </cell>
          <cell r="C1836">
            <v>4.4096064042691334E-2</v>
          </cell>
          <cell r="I1836" t="str">
            <v>Hammer</v>
          </cell>
        </row>
        <row r="1837">
          <cell r="A1837" t="str">
            <v>Shirly</v>
          </cell>
          <cell r="C1837">
            <v>4.4062708472311085E-2</v>
          </cell>
          <cell r="I1837" t="str">
            <v>Ashby</v>
          </cell>
        </row>
        <row r="1838">
          <cell r="A1838" t="str">
            <v>Rosaura</v>
          </cell>
          <cell r="C1838">
            <v>4.4029352901930836E-2</v>
          </cell>
          <cell r="I1838" t="str">
            <v>Salter</v>
          </cell>
        </row>
        <row r="1839">
          <cell r="A1839" t="str">
            <v>Hulda</v>
          </cell>
          <cell r="C1839">
            <v>4.3995997331550588E-2</v>
          </cell>
          <cell r="I1839" t="str">
            <v>Root</v>
          </cell>
        </row>
        <row r="1840">
          <cell r="A1840" t="str">
            <v>Eun</v>
          </cell>
          <cell r="C1840">
            <v>4.3962641761170339E-2</v>
          </cell>
          <cell r="I1840" t="str">
            <v>Pendleton</v>
          </cell>
        </row>
        <row r="1841">
          <cell r="A1841" t="str">
            <v>Bailey</v>
          </cell>
          <cell r="C1841">
            <v>4.392928619079009E-2</v>
          </cell>
          <cell r="I1841" t="str">
            <v>Oleary</v>
          </cell>
        </row>
        <row r="1842">
          <cell r="A1842" t="str">
            <v>Yetta</v>
          </cell>
          <cell r="C1842">
            <v>4.3895930620409841E-2</v>
          </cell>
          <cell r="I1842" t="str">
            <v>Nickerson</v>
          </cell>
        </row>
        <row r="1843">
          <cell r="A1843" t="str">
            <v>Verona</v>
          </cell>
          <cell r="C1843">
            <v>4.3862575050029592E-2</v>
          </cell>
          <cell r="I1843" t="str">
            <v>Myrick</v>
          </cell>
        </row>
        <row r="1844">
          <cell r="A1844" t="str">
            <v>Thomasina</v>
          </cell>
          <cell r="C1844">
            <v>4.3829219479649344E-2</v>
          </cell>
          <cell r="I1844" t="str">
            <v>Judd</v>
          </cell>
        </row>
        <row r="1845">
          <cell r="A1845" t="str">
            <v>Sibyl</v>
          </cell>
          <cell r="C1845">
            <v>4.3795863909269095E-2</v>
          </cell>
          <cell r="I1845" t="str">
            <v>Jacobsen</v>
          </cell>
        </row>
        <row r="1846">
          <cell r="A1846" t="str">
            <v>Shannan</v>
          </cell>
          <cell r="C1846">
            <v>4.3762508338888846E-2</v>
          </cell>
          <cell r="I1846" t="str">
            <v>Elliot</v>
          </cell>
        </row>
        <row r="1847">
          <cell r="A1847" t="str">
            <v>Mechelle</v>
          </cell>
          <cell r="C1847">
            <v>4.3729152768508597E-2</v>
          </cell>
          <cell r="I1847" t="str">
            <v>Bain</v>
          </cell>
        </row>
        <row r="1848">
          <cell r="A1848" t="str">
            <v>Lue</v>
          </cell>
          <cell r="C1848">
            <v>4.3695797198128349E-2</v>
          </cell>
          <cell r="I1848" t="str">
            <v>Adair</v>
          </cell>
        </row>
        <row r="1849">
          <cell r="A1849" t="str">
            <v>Leandra</v>
          </cell>
          <cell r="C1849">
            <v>4.36624416277481E-2</v>
          </cell>
          <cell r="I1849" t="str">
            <v>Starnes</v>
          </cell>
        </row>
        <row r="1850">
          <cell r="A1850" t="str">
            <v>Lani</v>
          </cell>
          <cell r="C1850">
            <v>4.3629086057367851E-2</v>
          </cell>
          <cell r="I1850" t="str">
            <v>Sheldon</v>
          </cell>
        </row>
        <row r="1851">
          <cell r="A1851" t="str">
            <v>Kylee</v>
          </cell>
          <cell r="C1851">
            <v>4.3595730486987602E-2</v>
          </cell>
          <cell r="I1851" t="str">
            <v>Matos</v>
          </cell>
        </row>
        <row r="1852">
          <cell r="A1852" t="str">
            <v>Kandy</v>
          </cell>
          <cell r="C1852">
            <v>4.3562374916607353E-2</v>
          </cell>
          <cell r="I1852" t="str">
            <v>Light</v>
          </cell>
        </row>
        <row r="1853">
          <cell r="A1853" t="str">
            <v>Jolynn</v>
          </cell>
          <cell r="C1853">
            <v>4.3529019346227105E-2</v>
          </cell>
          <cell r="I1853" t="str">
            <v>Busby</v>
          </cell>
        </row>
        <row r="1854">
          <cell r="A1854" t="str">
            <v>Ferne</v>
          </cell>
          <cell r="C1854">
            <v>4.3495663775846856E-2</v>
          </cell>
          <cell r="I1854" t="str">
            <v>Herndon</v>
          </cell>
        </row>
        <row r="1855">
          <cell r="A1855" t="str">
            <v>Eboni</v>
          </cell>
          <cell r="C1855">
            <v>4.3462308205466607E-2</v>
          </cell>
          <cell r="I1855" t="str">
            <v>Hanley</v>
          </cell>
        </row>
        <row r="1856">
          <cell r="A1856" t="str">
            <v>Corene</v>
          </cell>
          <cell r="C1856">
            <v>4.3428952635086358E-2</v>
          </cell>
          <cell r="I1856" t="str">
            <v>Bellamy</v>
          </cell>
        </row>
        <row r="1857">
          <cell r="A1857" t="str">
            <v>Alysia</v>
          </cell>
          <cell r="C1857">
            <v>4.339559706470611E-2</v>
          </cell>
          <cell r="I1857" t="str">
            <v>Jack</v>
          </cell>
        </row>
        <row r="1858">
          <cell r="A1858" t="str">
            <v>Zula</v>
          </cell>
          <cell r="C1858">
            <v>4.3362241494325861E-2</v>
          </cell>
          <cell r="I1858" t="str">
            <v>Doty</v>
          </cell>
        </row>
        <row r="1859">
          <cell r="A1859" t="str">
            <v>Nada</v>
          </cell>
          <cell r="C1859">
            <v>4.3328885923945612E-2</v>
          </cell>
          <cell r="I1859" t="str">
            <v>Bartley</v>
          </cell>
        </row>
        <row r="1860">
          <cell r="A1860" t="str">
            <v>Moira</v>
          </cell>
          <cell r="C1860">
            <v>4.3295530353565363E-2</v>
          </cell>
          <cell r="I1860" t="str">
            <v>Yazzie</v>
          </cell>
        </row>
        <row r="1861">
          <cell r="A1861" t="str">
            <v>Lyndsay</v>
          </cell>
          <cell r="C1861">
            <v>4.3262174783185114E-2</v>
          </cell>
          <cell r="I1861" t="str">
            <v>Rowell</v>
          </cell>
        </row>
        <row r="1862">
          <cell r="A1862" t="str">
            <v>Lorretta</v>
          </cell>
          <cell r="C1862">
            <v>4.3228819212804866E-2</v>
          </cell>
          <cell r="I1862" t="str">
            <v>Parson</v>
          </cell>
        </row>
        <row r="1863">
          <cell r="A1863" t="str">
            <v>Juan</v>
          </cell>
          <cell r="C1863">
            <v>4.3195463642424617E-2</v>
          </cell>
          <cell r="I1863" t="str">
            <v>Gifford</v>
          </cell>
        </row>
        <row r="1864">
          <cell r="A1864" t="str">
            <v>Jammie</v>
          </cell>
          <cell r="C1864">
            <v>4.3162108072044368E-2</v>
          </cell>
          <cell r="I1864" t="str">
            <v>Cullen</v>
          </cell>
        </row>
        <row r="1865">
          <cell r="A1865" t="str">
            <v>Hortensia</v>
          </cell>
          <cell r="C1865">
            <v>4.3128752501664119E-2</v>
          </cell>
          <cell r="I1865" t="str">
            <v>Christiansen</v>
          </cell>
        </row>
        <row r="1866">
          <cell r="A1866" t="str">
            <v>Gaynell</v>
          </cell>
          <cell r="C1866">
            <v>4.3095396931283871E-2</v>
          </cell>
          <cell r="I1866" t="str">
            <v>Benavides</v>
          </cell>
        </row>
        <row r="1867">
          <cell r="A1867" t="str">
            <v>Cameron</v>
          </cell>
          <cell r="C1867">
            <v>4.3062041360903622E-2</v>
          </cell>
          <cell r="I1867" t="str">
            <v>Barnhart</v>
          </cell>
        </row>
        <row r="1868">
          <cell r="A1868" t="str">
            <v>Adria</v>
          </cell>
          <cell r="C1868">
            <v>4.3028685790523373E-2</v>
          </cell>
          <cell r="I1868" t="str">
            <v>Talbot</v>
          </cell>
        </row>
        <row r="1869">
          <cell r="A1869" t="str">
            <v>Vina</v>
          </cell>
          <cell r="C1869">
            <v>4.2995330220143124E-2</v>
          </cell>
          <cell r="I1869" t="str">
            <v>Mock</v>
          </cell>
        </row>
        <row r="1870">
          <cell r="A1870" t="str">
            <v>Vicenta</v>
          </cell>
          <cell r="C1870">
            <v>4.2961974649762875E-2</v>
          </cell>
          <cell r="I1870" t="str">
            <v>Crandall</v>
          </cell>
        </row>
        <row r="1871">
          <cell r="A1871" t="str">
            <v>Tangela</v>
          </cell>
          <cell r="C1871">
            <v>4.2928619079382627E-2</v>
          </cell>
          <cell r="I1871" t="str">
            <v>Connors</v>
          </cell>
        </row>
        <row r="1872">
          <cell r="A1872" t="str">
            <v>Stephine</v>
          </cell>
          <cell r="C1872">
            <v>4.2895263509002378E-2</v>
          </cell>
          <cell r="I1872" t="str">
            <v>Bonds</v>
          </cell>
        </row>
        <row r="1873">
          <cell r="A1873" t="str">
            <v>Norine</v>
          </cell>
          <cell r="C1873">
            <v>4.2861907938622129E-2</v>
          </cell>
          <cell r="I1873" t="str">
            <v>Whitt</v>
          </cell>
        </row>
        <row r="1874">
          <cell r="A1874" t="str">
            <v>Nella</v>
          </cell>
          <cell r="C1874">
            <v>4.282855236824188E-2</v>
          </cell>
          <cell r="I1874" t="str">
            <v>Gage</v>
          </cell>
        </row>
        <row r="1875">
          <cell r="A1875" t="str">
            <v>Liana</v>
          </cell>
          <cell r="C1875">
            <v>4.2795196797861632E-2</v>
          </cell>
          <cell r="I1875" t="str">
            <v>Bergman</v>
          </cell>
        </row>
        <row r="1876">
          <cell r="A1876" t="str">
            <v>Leslee</v>
          </cell>
          <cell r="C1876">
            <v>4.2761841227481383E-2</v>
          </cell>
          <cell r="I1876" t="str">
            <v>Arredondo</v>
          </cell>
        </row>
        <row r="1877">
          <cell r="A1877" t="str">
            <v>Kimberely</v>
          </cell>
          <cell r="C1877">
            <v>4.2728485657101134E-2</v>
          </cell>
          <cell r="I1877" t="str">
            <v>Addison</v>
          </cell>
        </row>
        <row r="1878">
          <cell r="A1878" t="str">
            <v>Iliana</v>
          </cell>
          <cell r="C1878">
            <v>4.2695130086720885E-2</v>
          </cell>
          <cell r="I1878" t="str">
            <v>Marion</v>
          </cell>
        </row>
        <row r="1879">
          <cell r="A1879" t="str">
            <v>Glory</v>
          </cell>
          <cell r="C1879">
            <v>4.2661774516340636E-2</v>
          </cell>
          <cell r="I1879" t="str">
            <v>Lujan</v>
          </cell>
        </row>
        <row r="1880">
          <cell r="A1880" t="str">
            <v>Felica</v>
          </cell>
          <cell r="C1880">
            <v>4.2628418945960388E-2</v>
          </cell>
          <cell r="I1880" t="str">
            <v>Dowdy</v>
          </cell>
        </row>
        <row r="1881">
          <cell r="A1881" t="str">
            <v>Emogene</v>
          </cell>
          <cell r="C1881">
            <v>4.2595063375580139E-2</v>
          </cell>
          <cell r="I1881" t="str">
            <v>Jernigan</v>
          </cell>
        </row>
        <row r="1882">
          <cell r="A1882" t="str">
            <v>Elfriede</v>
          </cell>
          <cell r="C1882">
            <v>4.256170780519989E-2</v>
          </cell>
          <cell r="I1882" t="str">
            <v>Huynh</v>
          </cell>
        </row>
        <row r="1883">
          <cell r="A1883" t="str">
            <v>Eden</v>
          </cell>
          <cell r="C1883">
            <v>4.2528352234819641E-2</v>
          </cell>
          <cell r="I1883" t="str">
            <v>Bouchard</v>
          </cell>
        </row>
        <row r="1884">
          <cell r="A1884" t="str">
            <v>Eartha</v>
          </cell>
          <cell r="C1884">
            <v>4.2494996664439393E-2</v>
          </cell>
          <cell r="I1884" t="str">
            <v>Dutton</v>
          </cell>
        </row>
        <row r="1885">
          <cell r="A1885" t="str">
            <v>Carma</v>
          </cell>
          <cell r="C1885">
            <v>4.2461641094059144E-2</v>
          </cell>
          <cell r="I1885" t="str">
            <v>Rhoades</v>
          </cell>
        </row>
        <row r="1886">
          <cell r="A1886" t="str">
            <v>Bea</v>
          </cell>
          <cell r="C1886">
            <v>4.2428285523678895E-2</v>
          </cell>
          <cell r="I1886" t="str">
            <v>Ouellette</v>
          </cell>
        </row>
        <row r="1887">
          <cell r="A1887" t="str">
            <v>Ocie</v>
          </cell>
          <cell r="C1887">
            <v>4.2394929953298646E-2</v>
          </cell>
          <cell r="I1887" t="str">
            <v>Kiser</v>
          </cell>
        </row>
        <row r="1888">
          <cell r="A1888" t="str">
            <v>Marry</v>
          </cell>
          <cell r="C1888">
            <v>4.2361574382918397E-2</v>
          </cell>
          <cell r="I1888" t="str">
            <v>Rubin</v>
          </cell>
        </row>
        <row r="1889">
          <cell r="A1889" t="str">
            <v>Lennie</v>
          </cell>
          <cell r="C1889">
            <v>4.2328218812538149E-2</v>
          </cell>
          <cell r="I1889" t="str">
            <v>Herrington</v>
          </cell>
        </row>
        <row r="1890">
          <cell r="A1890" t="str">
            <v>Kiara</v>
          </cell>
          <cell r="C1890">
            <v>4.22948632421579E-2</v>
          </cell>
          <cell r="I1890" t="str">
            <v>Hare</v>
          </cell>
        </row>
        <row r="1891">
          <cell r="A1891" t="str">
            <v>Jacalyn</v>
          </cell>
          <cell r="C1891">
            <v>4.2261507671777651E-2</v>
          </cell>
          <cell r="I1891" t="str">
            <v>Denny</v>
          </cell>
        </row>
        <row r="1892">
          <cell r="A1892" t="str">
            <v>Carlota</v>
          </cell>
          <cell r="C1892">
            <v>4.2228152101397402E-2</v>
          </cell>
          <cell r="I1892" t="str">
            <v>Blackman</v>
          </cell>
        </row>
        <row r="1893">
          <cell r="A1893" t="str">
            <v>Arielle</v>
          </cell>
          <cell r="C1893">
            <v>4.2194796531017154E-2</v>
          </cell>
          <cell r="I1893" t="str">
            <v>Babb</v>
          </cell>
        </row>
        <row r="1894">
          <cell r="A1894" t="str">
            <v>Yu</v>
          </cell>
          <cell r="C1894">
            <v>4.2161440960636905E-2</v>
          </cell>
          <cell r="I1894" t="str">
            <v>Allred</v>
          </cell>
        </row>
        <row r="1895">
          <cell r="A1895" t="str">
            <v>Star</v>
          </cell>
          <cell r="C1895">
            <v>4.2128085390256656E-2</v>
          </cell>
          <cell r="I1895" t="str">
            <v>Rudd</v>
          </cell>
        </row>
        <row r="1896">
          <cell r="A1896" t="str">
            <v>Otilia</v>
          </cell>
          <cell r="C1896">
            <v>4.2094729819876407E-2</v>
          </cell>
          <cell r="I1896" t="str">
            <v>Paulson</v>
          </cell>
        </row>
        <row r="1897">
          <cell r="A1897" t="str">
            <v>Kirstin</v>
          </cell>
          <cell r="C1897">
            <v>4.2061374249496158E-2</v>
          </cell>
          <cell r="I1897" t="str">
            <v>Ogden</v>
          </cell>
        </row>
        <row r="1898">
          <cell r="A1898" t="str">
            <v>Kacey</v>
          </cell>
          <cell r="C1898">
            <v>4.202801867911591E-2</v>
          </cell>
          <cell r="I1898" t="str">
            <v>Koenig</v>
          </cell>
        </row>
        <row r="1899">
          <cell r="A1899" t="str">
            <v>Johnetta</v>
          </cell>
          <cell r="C1899">
            <v>4.1994663108735661E-2</v>
          </cell>
          <cell r="I1899" t="str">
            <v>Jacob</v>
          </cell>
        </row>
        <row r="1900">
          <cell r="A1900" t="str">
            <v>Joey</v>
          </cell>
          <cell r="C1900">
            <v>4.1961307538355412E-2</v>
          </cell>
          <cell r="I1900" t="str">
            <v>Irving</v>
          </cell>
        </row>
        <row r="1901">
          <cell r="A1901" t="str">
            <v>Joetta</v>
          </cell>
          <cell r="C1901">
            <v>4.1927951967975163E-2</v>
          </cell>
          <cell r="I1901" t="str">
            <v>Geiger</v>
          </cell>
        </row>
        <row r="1902">
          <cell r="A1902" t="str">
            <v>Jeraldine</v>
          </cell>
          <cell r="C1902">
            <v>4.1894596397594915E-2</v>
          </cell>
          <cell r="I1902" t="str">
            <v>Begay</v>
          </cell>
        </row>
        <row r="1903">
          <cell r="A1903" t="str">
            <v>Jaunita</v>
          </cell>
          <cell r="C1903">
            <v>4.1861240827214666E-2</v>
          </cell>
          <cell r="I1903" t="str">
            <v>Parra</v>
          </cell>
        </row>
        <row r="1904">
          <cell r="A1904" t="str">
            <v>Elana</v>
          </cell>
          <cell r="C1904">
            <v>4.1827885256834417E-2</v>
          </cell>
          <cell r="I1904" t="str">
            <v>Champion</v>
          </cell>
        </row>
        <row r="1905">
          <cell r="A1905" t="str">
            <v>Dorthea</v>
          </cell>
          <cell r="C1905">
            <v>4.1794529686454168E-2</v>
          </cell>
          <cell r="I1905" t="str">
            <v>Lassiter</v>
          </cell>
        </row>
        <row r="1906">
          <cell r="A1906" t="str">
            <v>Cami</v>
          </cell>
          <cell r="C1906">
            <v>4.1761174116073919E-2</v>
          </cell>
          <cell r="I1906" t="str">
            <v>Hawk</v>
          </cell>
        </row>
        <row r="1907">
          <cell r="A1907" t="str">
            <v>Amada</v>
          </cell>
          <cell r="C1907">
            <v>4.1727818545693671E-2</v>
          </cell>
          <cell r="I1907" t="str">
            <v>Esposito</v>
          </cell>
        </row>
        <row r="1908">
          <cell r="A1908" t="str">
            <v>Adelia</v>
          </cell>
          <cell r="C1908">
            <v>4.1694462975313422E-2</v>
          </cell>
          <cell r="I1908" t="str">
            <v>Cho</v>
          </cell>
        </row>
        <row r="1909">
          <cell r="A1909" t="str">
            <v>Vernita</v>
          </cell>
          <cell r="C1909">
            <v>4.1661107404933173E-2</v>
          </cell>
          <cell r="I1909" t="str">
            <v>Waldron</v>
          </cell>
        </row>
        <row r="1910">
          <cell r="A1910" t="str">
            <v>Tamar</v>
          </cell>
          <cell r="C1910">
            <v>4.1627751834552924E-2</v>
          </cell>
          <cell r="I1910" t="str">
            <v>Vernon</v>
          </cell>
        </row>
        <row r="1911">
          <cell r="A1911" t="str">
            <v>Siobhan</v>
          </cell>
          <cell r="C1911">
            <v>4.1594396264172676E-2</v>
          </cell>
          <cell r="I1911" t="str">
            <v>Ransom</v>
          </cell>
        </row>
        <row r="1912">
          <cell r="A1912" t="str">
            <v>Renea</v>
          </cell>
          <cell r="C1912">
            <v>4.1561040693792427E-2</v>
          </cell>
          <cell r="I1912" t="str">
            <v>Prather</v>
          </cell>
        </row>
        <row r="1913">
          <cell r="A1913" t="str">
            <v>Rashida</v>
          </cell>
          <cell r="C1913">
            <v>4.1527685123412178E-2</v>
          </cell>
          <cell r="I1913" t="str">
            <v>Keenan</v>
          </cell>
        </row>
        <row r="1914">
          <cell r="A1914" t="str">
            <v>Ouida</v>
          </cell>
          <cell r="C1914">
            <v>4.1494329553031929E-2</v>
          </cell>
          <cell r="I1914" t="str">
            <v>Jean</v>
          </cell>
        </row>
        <row r="1915">
          <cell r="A1915" t="str">
            <v>Odell</v>
          </cell>
          <cell r="C1915">
            <v>4.146097398265168E-2</v>
          </cell>
          <cell r="I1915" t="str">
            <v>Grover</v>
          </cell>
        </row>
        <row r="1916">
          <cell r="A1916" t="str">
            <v>Nilsa</v>
          </cell>
          <cell r="C1916">
            <v>4.1427618412271432E-2</v>
          </cell>
          <cell r="I1916" t="str">
            <v>Chacon</v>
          </cell>
        </row>
        <row r="1917">
          <cell r="A1917" t="str">
            <v>Meryl</v>
          </cell>
          <cell r="C1917">
            <v>4.1394262841891183E-2</v>
          </cell>
          <cell r="I1917" t="str">
            <v>Vick</v>
          </cell>
        </row>
        <row r="1918">
          <cell r="A1918" t="str">
            <v>Kristyn</v>
          </cell>
          <cell r="C1918">
            <v>4.1360907271510934E-2</v>
          </cell>
          <cell r="I1918" t="str">
            <v>Sands</v>
          </cell>
        </row>
        <row r="1919">
          <cell r="A1919" t="str">
            <v>Julieta</v>
          </cell>
          <cell r="C1919">
            <v>4.1327551701130685E-2</v>
          </cell>
          <cell r="I1919" t="str">
            <v>Roark</v>
          </cell>
        </row>
        <row r="1920">
          <cell r="A1920" t="str">
            <v>Danica</v>
          </cell>
          <cell r="C1920">
            <v>4.1294196130750437E-2</v>
          </cell>
          <cell r="I1920" t="str">
            <v>Parr</v>
          </cell>
        </row>
        <row r="1921">
          <cell r="A1921" t="str">
            <v>Breanne</v>
          </cell>
          <cell r="C1921">
            <v>4.1260840560370188E-2</v>
          </cell>
          <cell r="I1921" t="str">
            <v>Mayberry</v>
          </cell>
        </row>
        <row r="1922">
          <cell r="A1922" t="str">
            <v>Aurea</v>
          </cell>
          <cell r="C1922">
            <v>4.1227484989989939E-2</v>
          </cell>
          <cell r="I1922" t="str">
            <v>Greenberg</v>
          </cell>
        </row>
        <row r="1923">
          <cell r="A1923" t="str">
            <v>Anglea</v>
          </cell>
          <cell r="C1923">
            <v>4.119412941960969E-2</v>
          </cell>
          <cell r="I1923" t="str">
            <v>Coley</v>
          </cell>
        </row>
        <row r="1924">
          <cell r="A1924" t="str">
            <v>Sherron</v>
          </cell>
          <cell r="C1924">
            <v>4.1160773849229441E-2</v>
          </cell>
          <cell r="I1924" t="str">
            <v>Bruner</v>
          </cell>
        </row>
        <row r="1925">
          <cell r="A1925" t="str">
            <v>Odette</v>
          </cell>
          <cell r="C1925">
            <v>4.1127418278849193E-2</v>
          </cell>
          <cell r="I1925" t="str">
            <v>Whitman</v>
          </cell>
        </row>
        <row r="1926">
          <cell r="A1926" t="str">
            <v>Malia</v>
          </cell>
          <cell r="C1926">
            <v>4.1094062708468944E-2</v>
          </cell>
          <cell r="I1926" t="str">
            <v>Skaggs</v>
          </cell>
        </row>
        <row r="1927">
          <cell r="A1927" t="str">
            <v>Lorelei</v>
          </cell>
          <cell r="C1927">
            <v>4.1060707138088695E-2</v>
          </cell>
          <cell r="I1927" t="str">
            <v>Shipman</v>
          </cell>
        </row>
        <row r="1928">
          <cell r="A1928" t="str">
            <v>Lin</v>
          </cell>
          <cell r="C1928">
            <v>4.1027351567708446E-2</v>
          </cell>
          <cell r="I1928" t="str">
            <v>Means</v>
          </cell>
        </row>
        <row r="1929">
          <cell r="A1929" t="str">
            <v>Leesa</v>
          </cell>
          <cell r="C1929">
            <v>4.0993995997328198E-2</v>
          </cell>
          <cell r="I1929" t="str">
            <v>Leary</v>
          </cell>
        </row>
        <row r="1930">
          <cell r="A1930" t="str">
            <v>Kenna</v>
          </cell>
          <cell r="C1930">
            <v>4.0960640426947949E-2</v>
          </cell>
          <cell r="I1930" t="str">
            <v>Hutton</v>
          </cell>
        </row>
        <row r="1931">
          <cell r="A1931" t="str">
            <v>Kathlyn</v>
          </cell>
          <cell r="C1931">
            <v>4.09272848565677E-2</v>
          </cell>
          <cell r="I1931" t="str">
            <v>Romo</v>
          </cell>
        </row>
        <row r="1932">
          <cell r="A1932" t="str">
            <v>Fiona</v>
          </cell>
          <cell r="C1932">
            <v>4.0893929286187451E-2</v>
          </cell>
          <cell r="I1932" t="str">
            <v>Medrano</v>
          </cell>
        </row>
        <row r="1933">
          <cell r="A1933" t="str">
            <v>Charlette</v>
          </cell>
          <cell r="C1933">
            <v>4.0860573715807209E-2</v>
          </cell>
          <cell r="I1933" t="str">
            <v>Ladd</v>
          </cell>
        </row>
        <row r="1934">
          <cell r="A1934" t="str">
            <v>Suzie</v>
          </cell>
          <cell r="C1934">
            <v>4.0827218145426954E-2</v>
          </cell>
          <cell r="I1934" t="str">
            <v>Kruse</v>
          </cell>
        </row>
        <row r="1935">
          <cell r="A1935" t="str">
            <v>Shantell</v>
          </cell>
          <cell r="C1935">
            <v>4.0793862575046712E-2</v>
          </cell>
          <cell r="I1935" t="str">
            <v>Friend</v>
          </cell>
        </row>
        <row r="1936">
          <cell r="A1936" t="str">
            <v>Sabra</v>
          </cell>
          <cell r="C1936">
            <v>4.0760507004666456E-2</v>
          </cell>
          <cell r="I1936" t="str">
            <v>Darling</v>
          </cell>
        </row>
        <row r="1937">
          <cell r="A1937" t="str">
            <v>Racquel</v>
          </cell>
          <cell r="C1937">
            <v>4.0727151434286214E-2</v>
          </cell>
          <cell r="I1937" t="str">
            <v>Askew</v>
          </cell>
        </row>
        <row r="1938">
          <cell r="A1938" t="str">
            <v>Myong</v>
          </cell>
          <cell r="C1938">
            <v>4.0693795863905959E-2</v>
          </cell>
          <cell r="I1938" t="str">
            <v>Valentin</v>
          </cell>
        </row>
        <row r="1939">
          <cell r="A1939" t="str">
            <v>Mira</v>
          </cell>
          <cell r="C1939">
            <v>4.0660440293525717E-2</v>
          </cell>
          <cell r="I1939" t="str">
            <v>Schulz</v>
          </cell>
        </row>
        <row r="1940">
          <cell r="A1940" t="str">
            <v>Martine</v>
          </cell>
          <cell r="C1940">
            <v>4.0627084723145461E-2</v>
          </cell>
          <cell r="I1940" t="str">
            <v>Alfaro</v>
          </cell>
        </row>
        <row r="1941">
          <cell r="A1941" t="str">
            <v>Lucienne</v>
          </cell>
          <cell r="C1941">
            <v>4.0593729152765219E-2</v>
          </cell>
          <cell r="I1941" t="str">
            <v>Tabor</v>
          </cell>
        </row>
        <row r="1942">
          <cell r="A1942" t="str">
            <v>Lavada</v>
          </cell>
          <cell r="C1942">
            <v>4.0560373582384963E-2</v>
          </cell>
          <cell r="I1942" t="str">
            <v>Mohr</v>
          </cell>
        </row>
        <row r="1943">
          <cell r="A1943" t="str">
            <v>Juliann</v>
          </cell>
          <cell r="C1943">
            <v>4.0527018012004722E-2</v>
          </cell>
          <cell r="I1943" t="str">
            <v>Gallo</v>
          </cell>
        </row>
        <row r="1944">
          <cell r="A1944" t="str">
            <v>Johnie</v>
          </cell>
          <cell r="C1944">
            <v>4.0493662441624466E-2</v>
          </cell>
          <cell r="I1944" t="str">
            <v>Bermudez</v>
          </cell>
        </row>
        <row r="1945">
          <cell r="A1945" t="str">
            <v>Elvera</v>
          </cell>
          <cell r="C1945">
            <v>4.0460306871244224E-2</v>
          </cell>
          <cell r="I1945" t="str">
            <v>Pereira</v>
          </cell>
        </row>
        <row r="1946">
          <cell r="A1946" t="str">
            <v>Delphia</v>
          </cell>
          <cell r="C1946">
            <v>4.0426951300863968E-2</v>
          </cell>
          <cell r="I1946" t="str">
            <v>Isaac</v>
          </cell>
        </row>
        <row r="1947">
          <cell r="A1947" t="str">
            <v>Clair</v>
          </cell>
          <cell r="C1947">
            <v>4.0393595730483726E-2</v>
          </cell>
          <cell r="I1947" t="str">
            <v>Bliss</v>
          </cell>
        </row>
        <row r="1948">
          <cell r="A1948" t="str">
            <v>Christiane</v>
          </cell>
          <cell r="C1948">
            <v>4.0360240160103471E-2</v>
          </cell>
          <cell r="I1948" t="str">
            <v>Reaves</v>
          </cell>
        </row>
        <row r="1949">
          <cell r="A1949" t="str">
            <v>Charolette</v>
          </cell>
          <cell r="C1949">
            <v>4.0326884589723229E-2</v>
          </cell>
          <cell r="I1949" t="str">
            <v>Flint</v>
          </cell>
        </row>
        <row r="1950">
          <cell r="A1950" t="str">
            <v>Carri</v>
          </cell>
          <cell r="C1950">
            <v>4.0293529019342973E-2</v>
          </cell>
          <cell r="I1950" t="str">
            <v>Comer</v>
          </cell>
        </row>
        <row r="1951">
          <cell r="A1951" t="str">
            <v>Augustine</v>
          </cell>
          <cell r="C1951">
            <v>4.0260173448962731E-2</v>
          </cell>
          <cell r="I1951" t="str">
            <v>Boston</v>
          </cell>
        </row>
        <row r="1952">
          <cell r="A1952" t="str">
            <v>Asha</v>
          </cell>
          <cell r="C1952">
            <v>4.0226817878582476E-2</v>
          </cell>
          <cell r="I1952" t="str">
            <v>Woodall</v>
          </cell>
        </row>
        <row r="1953">
          <cell r="A1953" t="str">
            <v>Angella</v>
          </cell>
          <cell r="C1953">
            <v>4.0193462308202234E-2</v>
          </cell>
          <cell r="I1953" t="str">
            <v>Naquin</v>
          </cell>
        </row>
        <row r="1954">
          <cell r="A1954" t="str">
            <v>Paola</v>
          </cell>
          <cell r="C1954">
            <v>4.0160106737821978E-2</v>
          </cell>
          <cell r="I1954" t="str">
            <v>Guevara</v>
          </cell>
        </row>
        <row r="1955">
          <cell r="A1955" t="str">
            <v>Ninfa</v>
          </cell>
          <cell r="C1955">
            <v>4.0126751167441736E-2</v>
          </cell>
          <cell r="I1955" t="str">
            <v>Earl</v>
          </cell>
        </row>
        <row r="1956">
          <cell r="A1956" t="str">
            <v>Leda</v>
          </cell>
          <cell r="C1956">
            <v>4.0093395597061481E-2</v>
          </cell>
          <cell r="I1956" t="str">
            <v>Delong</v>
          </cell>
        </row>
        <row r="1957">
          <cell r="A1957" t="str">
            <v>Lai</v>
          </cell>
          <cell r="C1957">
            <v>4.0060040026681239E-2</v>
          </cell>
          <cell r="I1957" t="str">
            <v>Carrier</v>
          </cell>
        </row>
        <row r="1958">
          <cell r="A1958" t="str">
            <v>Eda</v>
          </cell>
          <cell r="C1958">
            <v>4.0026684456300983E-2</v>
          </cell>
          <cell r="I1958" t="str">
            <v>Pickens</v>
          </cell>
        </row>
        <row r="1959">
          <cell r="A1959" t="str">
            <v>Sunshine</v>
          </cell>
          <cell r="C1959">
            <v>3.9993328885920741E-2</v>
          </cell>
          <cell r="I1959" t="str">
            <v>Brand</v>
          </cell>
        </row>
        <row r="1960">
          <cell r="A1960" t="str">
            <v>Stefani</v>
          </cell>
          <cell r="C1960">
            <v>3.9959973315540485E-2</v>
          </cell>
          <cell r="I1960" t="str">
            <v>Tilley</v>
          </cell>
        </row>
        <row r="1961">
          <cell r="A1961" t="str">
            <v>Shanell</v>
          </cell>
          <cell r="C1961">
            <v>3.9926617745160244E-2</v>
          </cell>
          <cell r="I1961" t="str">
            <v>Schaffer</v>
          </cell>
        </row>
        <row r="1962">
          <cell r="A1962" t="str">
            <v>Palma</v>
          </cell>
          <cell r="C1962">
            <v>3.9893262174779988E-2</v>
          </cell>
          <cell r="I1962" t="str">
            <v>Read</v>
          </cell>
        </row>
        <row r="1963">
          <cell r="A1963" t="str">
            <v>Machelle</v>
          </cell>
          <cell r="C1963">
            <v>3.9859906604399746E-2</v>
          </cell>
          <cell r="I1963" t="str">
            <v>Lim</v>
          </cell>
        </row>
        <row r="1964">
          <cell r="A1964" t="str">
            <v>Lissa</v>
          </cell>
          <cell r="C1964">
            <v>3.982655103401949E-2</v>
          </cell>
          <cell r="I1964" t="str">
            <v>Knutson</v>
          </cell>
        </row>
        <row r="1965">
          <cell r="A1965" t="str">
            <v>Kecia</v>
          </cell>
          <cell r="C1965">
            <v>3.9793195463639248E-2</v>
          </cell>
          <cell r="I1965" t="str">
            <v>Fenton</v>
          </cell>
        </row>
        <row r="1966">
          <cell r="A1966" t="str">
            <v>Kathryne</v>
          </cell>
          <cell r="C1966">
            <v>3.9759839893258993E-2</v>
          </cell>
          <cell r="I1966" t="str">
            <v>Doran</v>
          </cell>
        </row>
        <row r="1967">
          <cell r="A1967" t="str">
            <v>Karlene</v>
          </cell>
          <cell r="C1967">
            <v>3.9726484322878751E-2</v>
          </cell>
          <cell r="I1967" t="str">
            <v>Chu</v>
          </cell>
        </row>
        <row r="1968">
          <cell r="A1968" t="str">
            <v>Julissa</v>
          </cell>
          <cell r="C1968">
            <v>3.9693128752498495E-2</v>
          </cell>
          <cell r="I1968" t="str">
            <v>Vogt</v>
          </cell>
        </row>
        <row r="1969">
          <cell r="A1969" t="str">
            <v>Jettie</v>
          </cell>
          <cell r="C1969">
            <v>3.9659773182118253E-2</v>
          </cell>
          <cell r="I1969" t="str">
            <v>Vann</v>
          </cell>
        </row>
        <row r="1970">
          <cell r="A1970" t="str">
            <v>Jenniffer</v>
          </cell>
          <cell r="C1970">
            <v>3.9626417611737998E-2</v>
          </cell>
          <cell r="I1970" t="str">
            <v>Prescott</v>
          </cell>
        </row>
        <row r="1971">
          <cell r="A1971" t="str">
            <v>Hui</v>
          </cell>
          <cell r="C1971">
            <v>3.9593062041357756E-2</v>
          </cell>
          <cell r="I1971" t="str">
            <v>Mclain</v>
          </cell>
        </row>
        <row r="1972">
          <cell r="A1972" t="str">
            <v>Corrina</v>
          </cell>
          <cell r="C1972">
            <v>3.95597064709775E-2</v>
          </cell>
          <cell r="I1972" t="str">
            <v>Landis</v>
          </cell>
        </row>
        <row r="1973">
          <cell r="A1973" t="str">
            <v>Christopher</v>
          </cell>
          <cell r="C1973">
            <v>3.9526350900597258E-2</v>
          </cell>
          <cell r="I1973" t="str">
            <v>Corcoran</v>
          </cell>
        </row>
        <row r="1974">
          <cell r="A1974" t="str">
            <v>Carolann</v>
          </cell>
          <cell r="C1974">
            <v>3.9492995330217003E-2</v>
          </cell>
          <cell r="I1974" t="str">
            <v>Ambrose</v>
          </cell>
        </row>
        <row r="1975">
          <cell r="A1975" t="str">
            <v>Alena</v>
          </cell>
          <cell r="C1975">
            <v>3.9459639759836761E-2</v>
          </cell>
          <cell r="I1975" t="str">
            <v>Zapata</v>
          </cell>
        </row>
        <row r="1976">
          <cell r="A1976" t="str">
            <v>Tess</v>
          </cell>
          <cell r="C1976">
            <v>3.9426284189456505E-2</v>
          </cell>
          <cell r="I1976" t="str">
            <v>Hyatt</v>
          </cell>
        </row>
        <row r="1977">
          <cell r="A1977" t="str">
            <v>Rosaria</v>
          </cell>
          <cell r="C1977">
            <v>3.9392928619076263E-2</v>
          </cell>
          <cell r="I1977" t="str">
            <v>Hemphill</v>
          </cell>
        </row>
        <row r="1978">
          <cell r="A1978" t="str">
            <v>Myrtice</v>
          </cell>
          <cell r="C1978">
            <v>3.9359573048696007E-2</v>
          </cell>
          <cell r="I1978" t="str">
            <v>Faulk</v>
          </cell>
        </row>
        <row r="1979">
          <cell r="A1979" t="str">
            <v>Marylee</v>
          </cell>
          <cell r="C1979">
            <v>3.9326217478315766E-2</v>
          </cell>
          <cell r="I1979" t="str">
            <v>Call</v>
          </cell>
        </row>
        <row r="1980">
          <cell r="A1980" t="str">
            <v>Liane</v>
          </cell>
          <cell r="C1980">
            <v>3.929286190793551E-2</v>
          </cell>
          <cell r="I1980" t="str">
            <v>Dove</v>
          </cell>
        </row>
        <row r="1981">
          <cell r="A1981" t="str">
            <v>Kenyatta</v>
          </cell>
          <cell r="C1981">
            <v>3.9259506337555268E-2</v>
          </cell>
          <cell r="I1981" t="str">
            <v>Boudreaux</v>
          </cell>
        </row>
        <row r="1982">
          <cell r="A1982" t="str">
            <v>Judie</v>
          </cell>
          <cell r="C1982">
            <v>3.9226150767175012E-2</v>
          </cell>
          <cell r="I1982" t="str">
            <v>Aragon</v>
          </cell>
        </row>
        <row r="1983">
          <cell r="A1983" t="str">
            <v>Janey</v>
          </cell>
          <cell r="C1983">
            <v>3.919279519679477E-2</v>
          </cell>
          <cell r="I1983" t="str">
            <v>Whitlock</v>
          </cell>
        </row>
        <row r="1984">
          <cell r="A1984" t="str">
            <v>In</v>
          </cell>
          <cell r="C1984">
            <v>3.9159439626414515E-2</v>
          </cell>
          <cell r="I1984" t="str">
            <v>Trejo</v>
          </cell>
        </row>
        <row r="1985">
          <cell r="A1985" t="str">
            <v>Elmira</v>
          </cell>
          <cell r="C1985">
            <v>3.9126084056034273E-2</v>
          </cell>
          <cell r="I1985" t="str">
            <v>Tackett</v>
          </cell>
        </row>
        <row r="1986">
          <cell r="A1986" t="str">
            <v>Eldora</v>
          </cell>
          <cell r="C1986">
            <v>3.9092728485654017E-2</v>
          </cell>
          <cell r="I1986" t="str">
            <v>Shearer</v>
          </cell>
        </row>
        <row r="1987">
          <cell r="A1987" t="str">
            <v>Denna</v>
          </cell>
          <cell r="C1987">
            <v>3.9059372915273775E-2</v>
          </cell>
          <cell r="I1987" t="str">
            <v>Saldana</v>
          </cell>
        </row>
        <row r="1988">
          <cell r="A1988" t="str">
            <v>Cristi</v>
          </cell>
          <cell r="C1988">
            <v>3.902601734489352E-2</v>
          </cell>
          <cell r="I1988" t="str">
            <v>Hanks</v>
          </cell>
        </row>
        <row r="1989">
          <cell r="A1989" t="str">
            <v>Cathi</v>
          </cell>
          <cell r="C1989">
            <v>3.8992661774513278E-2</v>
          </cell>
          <cell r="I1989" t="str">
            <v>Gold</v>
          </cell>
        </row>
        <row r="1990">
          <cell r="A1990" t="str">
            <v>Zaida</v>
          </cell>
          <cell r="C1990">
            <v>3.8959306204133022E-2</v>
          </cell>
          <cell r="I1990" t="str">
            <v>Driver</v>
          </cell>
        </row>
        <row r="1991">
          <cell r="A1991" t="str">
            <v>Vonnie</v>
          </cell>
          <cell r="C1991">
            <v>3.892595063375278E-2</v>
          </cell>
          <cell r="I1991" t="str">
            <v>Mckinnon</v>
          </cell>
        </row>
        <row r="1992">
          <cell r="A1992" t="str">
            <v>Viva</v>
          </cell>
          <cell r="C1992">
            <v>3.8892595063372525E-2</v>
          </cell>
          <cell r="I1992" t="str">
            <v>Koehler</v>
          </cell>
        </row>
        <row r="1993">
          <cell r="A1993" t="str">
            <v>Vernie</v>
          </cell>
          <cell r="C1993">
            <v>3.8859239492992283E-2</v>
          </cell>
          <cell r="I1993" t="str">
            <v>Champagne</v>
          </cell>
        </row>
        <row r="1994">
          <cell r="A1994" t="str">
            <v>Rosaline</v>
          </cell>
          <cell r="C1994">
            <v>3.8825883922612027E-2</v>
          </cell>
          <cell r="I1994" t="str">
            <v>Bourgeois</v>
          </cell>
        </row>
        <row r="1995">
          <cell r="A1995" t="str">
            <v>Mariela</v>
          </cell>
          <cell r="C1995">
            <v>3.8792528352231785E-2</v>
          </cell>
          <cell r="I1995" t="str">
            <v>Pool</v>
          </cell>
        </row>
        <row r="1996">
          <cell r="A1996" t="str">
            <v>Luciana</v>
          </cell>
          <cell r="C1996">
            <v>3.8759172781851529E-2</v>
          </cell>
          <cell r="I1996" t="str">
            <v>Keyes</v>
          </cell>
        </row>
        <row r="1997">
          <cell r="A1997" t="str">
            <v>Lesli</v>
          </cell>
          <cell r="C1997">
            <v>3.8725817211471288E-2</v>
          </cell>
          <cell r="I1997" t="str">
            <v>Goodson</v>
          </cell>
        </row>
        <row r="1998">
          <cell r="A1998" t="str">
            <v>Karan</v>
          </cell>
          <cell r="C1998">
            <v>3.8692461641091032E-2</v>
          </cell>
          <cell r="I1998" t="str">
            <v>Foote</v>
          </cell>
        </row>
        <row r="1999">
          <cell r="A1999" t="str">
            <v>Felice</v>
          </cell>
          <cell r="C1999">
            <v>3.865910607071079E-2</v>
          </cell>
          <cell r="I1999" t="str">
            <v>Early</v>
          </cell>
        </row>
        <row r="2000">
          <cell r="A2000" t="str">
            <v>Deneen</v>
          </cell>
          <cell r="C2000">
            <v>3.8625750500330534E-2</v>
          </cell>
          <cell r="I2000" t="str">
            <v>Lunsford</v>
          </cell>
        </row>
        <row r="2001">
          <cell r="A2001" t="str">
            <v>Adina</v>
          </cell>
          <cell r="C2001">
            <v>3.8592394929950292E-2</v>
          </cell>
          <cell r="I2001" t="str">
            <v>Goldsmith</v>
          </cell>
        </row>
        <row r="2002">
          <cell r="A2002" t="str">
            <v>Wynona</v>
          </cell>
          <cell r="C2002">
            <v>3.8559039359570037E-2</v>
          </cell>
          <cell r="I2002" t="str">
            <v>Flood</v>
          </cell>
        </row>
        <row r="2003">
          <cell r="A2003" t="str">
            <v>Tarsha</v>
          </cell>
          <cell r="C2003">
            <v>3.8525683789189795E-2</v>
          </cell>
          <cell r="I2003" t="str">
            <v>Winslow</v>
          </cell>
        </row>
        <row r="2004">
          <cell r="A2004" t="str">
            <v>Sheron</v>
          </cell>
          <cell r="C2004">
            <v>3.8492328218809539E-2</v>
          </cell>
          <cell r="I2004" t="str">
            <v>Sams</v>
          </cell>
        </row>
        <row r="2005">
          <cell r="A2005" t="str">
            <v>Shasta</v>
          </cell>
          <cell r="C2005">
            <v>3.8458972648429297E-2</v>
          </cell>
          <cell r="I2005" t="str">
            <v>Reagan</v>
          </cell>
        </row>
        <row r="2006">
          <cell r="A2006" t="str">
            <v>Shanita</v>
          </cell>
          <cell r="C2006">
            <v>3.8425617078049042E-2</v>
          </cell>
          <cell r="I2006" t="str">
            <v>Mccloud</v>
          </cell>
        </row>
        <row r="2007">
          <cell r="A2007" t="str">
            <v>Shani</v>
          </cell>
          <cell r="C2007">
            <v>3.83922615076688E-2</v>
          </cell>
          <cell r="I2007" t="str">
            <v>Hough</v>
          </cell>
        </row>
        <row r="2008">
          <cell r="A2008" t="str">
            <v>Shandra</v>
          </cell>
          <cell r="C2008">
            <v>3.8358905937288544E-2</v>
          </cell>
          <cell r="I2008" t="str">
            <v>Esquivel</v>
          </cell>
        </row>
        <row r="2009">
          <cell r="A2009" t="str">
            <v>Randa</v>
          </cell>
          <cell r="C2009">
            <v>3.8325550366908302E-2</v>
          </cell>
          <cell r="I2009" t="str">
            <v>Naylor</v>
          </cell>
        </row>
        <row r="2010">
          <cell r="A2010" t="str">
            <v>Pinkie</v>
          </cell>
          <cell r="C2010">
            <v>3.8292194796528047E-2</v>
          </cell>
          <cell r="I2010" t="str">
            <v>Loomis</v>
          </cell>
        </row>
        <row r="2011">
          <cell r="A2011" t="str">
            <v>Paris</v>
          </cell>
          <cell r="C2011">
            <v>3.8258839226147805E-2</v>
          </cell>
          <cell r="I2011" t="str">
            <v>Coronado</v>
          </cell>
        </row>
        <row r="2012">
          <cell r="A2012" t="str">
            <v>Nelida</v>
          </cell>
          <cell r="C2012">
            <v>3.8225483655767549E-2</v>
          </cell>
          <cell r="I2012" t="str">
            <v>Ludwig</v>
          </cell>
        </row>
        <row r="2013">
          <cell r="A2013" t="str">
            <v>Marilou</v>
          </cell>
          <cell r="C2013">
            <v>3.8192128085387307E-2</v>
          </cell>
          <cell r="I2013" t="str">
            <v>Braswell</v>
          </cell>
        </row>
        <row r="2014">
          <cell r="A2014" t="str">
            <v>Lyla</v>
          </cell>
          <cell r="C2014">
            <v>3.8158772515007051E-2</v>
          </cell>
          <cell r="I2014" t="str">
            <v>Bearden</v>
          </cell>
        </row>
        <row r="2015">
          <cell r="A2015" t="str">
            <v>Laurene</v>
          </cell>
          <cell r="C2015">
            <v>3.812541694462681E-2</v>
          </cell>
          <cell r="I2015" t="str">
            <v>Sherrill</v>
          </cell>
        </row>
        <row r="2016">
          <cell r="A2016" t="str">
            <v>Laci</v>
          </cell>
          <cell r="C2016">
            <v>3.8092061374246554E-2</v>
          </cell>
          <cell r="I2016" t="str">
            <v>Huang</v>
          </cell>
        </row>
        <row r="2017">
          <cell r="A2017" t="str">
            <v>Joi</v>
          </cell>
          <cell r="C2017">
            <v>3.8058705803866312E-2</v>
          </cell>
          <cell r="I2017" t="str">
            <v>Fagan</v>
          </cell>
        </row>
        <row r="2018">
          <cell r="A2018" t="str">
            <v>Janene</v>
          </cell>
          <cell r="C2018">
            <v>3.8025350233486056E-2</v>
          </cell>
          <cell r="I2018" t="str">
            <v>Ezell</v>
          </cell>
        </row>
        <row r="2019">
          <cell r="A2019" t="str">
            <v>Dorotha</v>
          </cell>
          <cell r="C2019">
            <v>3.7991994663105814E-2</v>
          </cell>
          <cell r="I2019" t="str">
            <v>Edmondson</v>
          </cell>
        </row>
        <row r="2020">
          <cell r="A2020" t="str">
            <v>Daniele</v>
          </cell>
          <cell r="C2020">
            <v>3.7958639092725559E-2</v>
          </cell>
          <cell r="I2020" t="str">
            <v>Cyr</v>
          </cell>
        </row>
        <row r="2021">
          <cell r="A2021" t="str">
            <v>Dani</v>
          </cell>
          <cell r="C2021">
            <v>3.7925283522345317E-2</v>
          </cell>
          <cell r="I2021" t="str">
            <v>Cronin</v>
          </cell>
        </row>
        <row r="2022">
          <cell r="A2022" t="str">
            <v>Carolynn</v>
          </cell>
          <cell r="C2022">
            <v>3.7891927951965061E-2</v>
          </cell>
          <cell r="I2022" t="str">
            <v>Nunn</v>
          </cell>
        </row>
        <row r="2023">
          <cell r="A2023" t="str">
            <v>Carlyn</v>
          </cell>
          <cell r="C2023">
            <v>3.7858572381584819E-2</v>
          </cell>
          <cell r="I2023" t="str">
            <v>Lemon</v>
          </cell>
        </row>
        <row r="2024">
          <cell r="A2024" t="str">
            <v>Berenice</v>
          </cell>
          <cell r="C2024">
            <v>3.7825216811204564E-2</v>
          </cell>
          <cell r="I2024" t="str">
            <v>Guillory</v>
          </cell>
        </row>
        <row r="2025">
          <cell r="A2025" t="str">
            <v>Ayesha</v>
          </cell>
          <cell r="C2025">
            <v>3.7791861240824322E-2</v>
          </cell>
          <cell r="I2025" t="str">
            <v>Grier</v>
          </cell>
        </row>
        <row r="2026">
          <cell r="A2026" t="str">
            <v>Anneliese</v>
          </cell>
          <cell r="C2026">
            <v>3.7758505670444066E-2</v>
          </cell>
          <cell r="I2026" t="str">
            <v>Dubose</v>
          </cell>
        </row>
        <row r="2027">
          <cell r="A2027" t="str">
            <v>Alethea</v>
          </cell>
          <cell r="C2027">
            <v>3.7725150100063824E-2</v>
          </cell>
          <cell r="I2027" t="str">
            <v>Traylor</v>
          </cell>
        </row>
        <row r="2028">
          <cell r="A2028" t="str">
            <v>Thersa</v>
          </cell>
          <cell r="C2028">
            <v>3.7691794529683569E-2</v>
          </cell>
          <cell r="I2028" t="str">
            <v>Ryder</v>
          </cell>
        </row>
        <row r="2029">
          <cell r="A2029" t="str">
            <v>Tamiko</v>
          </cell>
          <cell r="C2029">
            <v>3.7658438959303327E-2</v>
          </cell>
          <cell r="I2029" t="str">
            <v>Dobbins</v>
          </cell>
        </row>
        <row r="2030">
          <cell r="A2030" t="str">
            <v>Rufina</v>
          </cell>
          <cell r="C2030">
            <v>3.7625083388923071E-2</v>
          </cell>
          <cell r="I2030" t="str">
            <v>Coyle</v>
          </cell>
        </row>
        <row r="2031">
          <cell r="A2031" t="str">
            <v>Oliva</v>
          </cell>
          <cell r="C2031">
            <v>3.7591727818542829E-2</v>
          </cell>
          <cell r="I2031" t="str">
            <v>Aponte</v>
          </cell>
        </row>
        <row r="2032">
          <cell r="A2032" t="str">
            <v>Mozell</v>
          </cell>
          <cell r="C2032">
            <v>3.7558372248162573E-2</v>
          </cell>
          <cell r="I2032" t="str">
            <v>Whitmore</v>
          </cell>
        </row>
        <row r="2033">
          <cell r="A2033" t="str">
            <v>Marylyn</v>
          </cell>
          <cell r="C2033">
            <v>3.7525016677782332E-2</v>
          </cell>
          <cell r="I2033" t="str">
            <v>Smalls</v>
          </cell>
        </row>
        <row r="2034">
          <cell r="A2034" t="str">
            <v>Madison</v>
          </cell>
          <cell r="C2034">
            <v>3.7491661107402076E-2</v>
          </cell>
          <cell r="I2034" t="str">
            <v>Rowan</v>
          </cell>
        </row>
        <row r="2035">
          <cell r="A2035" t="str">
            <v>Kristian</v>
          </cell>
          <cell r="C2035">
            <v>3.7458305537021834E-2</v>
          </cell>
          <cell r="I2035" t="str">
            <v>Malloy</v>
          </cell>
        </row>
        <row r="2036">
          <cell r="A2036" t="str">
            <v>Kathyrn</v>
          </cell>
          <cell r="C2036">
            <v>3.7424949966641578E-2</v>
          </cell>
          <cell r="I2036" t="str">
            <v>Cardona</v>
          </cell>
        </row>
        <row r="2037">
          <cell r="A2037" t="str">
            <v>Kasandra</v>
          </cell>
          <cell r="C2037">
            <v>3.7391594396261336E-2</v>
          </cell>
          <cell r="I2037" t="str">
            <v>Braxton</v>
          </cell>
        </row>
        <row r="2038">
          <cell r="A2038" t="str">
            <v>Kandace</v>
          </cell>
          <cell r="C2038">
            <v>3.7358238825881081E-2</v>
          </cell>
          <cell r="I2038" t="str">
            <v>Borden</v>
          </cell>
        </row>
        <row r="2039">
          <cell r="A2039" t="str">
            <v>Janae</v>
          </cell>
          <cell r="C2039">
            <v>3.7324883255500839E-2</v>
          </cell>
          <cell r="I2039" t="str">
            <v>Humphries</v>
          </cell>
        </row>
        <row r="2040">
          <cell r="A2040" t="str">
            <v>Gabriel</v>
          </cell>
          <cell r="C2040">
            <v>3.7291527685120583E-2</v>
          </cell>
          <cell r="I2040" t="str">
            <v>Carrasco</v>
          </cell>
        </row>
        <row r="2041">
          <cell r="A2041" t="str">
            <v>Domenica</v>
          </cell>
          <cell r="C2041">
            <v>3.7258172114740341E-2</v>
          </cell>
          <cell r="I2041" t="str">
            <v>Ruff</v>
          </cell>
        </row>
        <row r="2042">
          <cell r="A2042" t="str">
            <v>Debbra</v>
          </cell>
          <cell r="C2042">
            <v>3.7224816544360086E-2</v>
          </cell>
          <cell r="I2042" t="str">
            <v>Metzger</v>
          </cell>
        </row>
        <row r="2043">
          <cell r="A2043" t="str">
            <v>Dannielle</v>
          </cell>
          <cell r="C2043">
            <v>3.7191460973979844E-2</v>
          </cell>
          <cell r="I2043" t="str">
            <v>Huntley</v>
          </cell>
        </row>
        <row r="2044">
          <cell r="A2044" t="str">
            <v>Chun</v>
          </cell>
          <cell r="C2044">
            <v>3.7158105403599588E-2</v>
          </cell>
          <cell r="I2044" t="str">
            <v>Hinojosa</v>
          </cell>
        </row>
        <row r="2045">
          <cell r="A2045" t="str">
            <v>Buffy</v>
          </cell>
          <cell r="C2045">
            <v>3.7124749833219346E-2</v>
          </cell>
          <cell r="I2045" t="str">
            <v>Finney</v>
          </cell>
        </row>
        <row r="2046">
          <cell r="A2046" t="str">
            <v>Barbie</v>
          </cell>
          <cell r="C2046">
            <v>3.7091394262839091E-2</v>
          </cell>
          <cell r="I2046" t="str">
            <v>Madsen</v>
          </cell>
        </row>
        <row r="2047">
          <cell r="A2047" t="str">
            <v>Arcelia</v>
          </cell>
          <cell r="C2047">
            <v>3.7058038692458849E-2</v>
          </cell>
          <cell r="I2047" t="str">
            <v>Hong</v>
          </cell>
        </row>
        <row r="2048">
          <cell r="A2048" t="str">
            <v>Aja</v>
          </cell>
          <cell r="C2048">
            <v>3.7024683122078593E-2</v>
          </cell>
          <cell r="I2048" t="str">
            <v>Hills</v>
          </cell>
        </row>
        <row r="2049">
          <cell r="A2049" t="str">
            <v>Zenobia</v>
          </cell>
          <cell r="C2049">
            <v>3.6991327551698351E-2</v>
          </cell>
          <cell r="I2049" t="str">
            <v>Ernst</v>
          </cell>
        </row>
        <row r="2050">
          <cell r="A2050" t="str">
            <v>Sharen</v>
          </cell>
          <cell r="C2050">
            <v>3.6957971981318095E-2</v>
          </cell>
          <cell r="I2050" t="str">
            <v>Dozier</v>
          </cell>
        </row>
        <row r="2051">
          <cell r="A2051" t="str">
            <v>Sharee</v>
          </cell>
          <cell r="C2051">
            <v>3.6924616410937854E-2</v>
          </cell>
          <cell r="I2051" t="str">
            <v>Burkhart</v>
          </cell>
        </row>
        <row r="2052">
          <cell r="A2052" t="str">
            <v>Patrick</v>
          </cell>
          <cell r="C2052">
            <v>3.6891260840557598E-2</v>
          </cell>
          <cell r="I2052" t="str">
            <v>Bowser</v>
          </cell>
        </row>
        <row r="2053">
          <cell r="A2053" t="str">
            <v>Page</v>
          </cell>
          <cell r="C2053">
            <v>3.6857905270177356E-2</v>
          </cell>
          <cell r="I2053" t="str">
            <v>Peralta</v>
          </cell>
        </row>
        <row r="2054">
          <cell r="A2054" t="str">
            <v>My</v>
          </cell>
          <cell r="C2054">
            <v>3.68245496997971E-2</v>
          </cell>
          <cell r="I2054" t="str">
            <v>Daigle</v>
          </cell>
        </row>
        <row r="2055">
          <cell r="A2055" t="str">
            <v>Lavinia</v>
          </cell>
          <cell r="C2055">
            <v>3.6791194129416858E-2</v>
          </cell>
          <cell r="I2055" t="str">
            <v>Whittington</v>
          </cell>
        </row>
        <row r="2056">
          <cell r="A2056" t="str">
            <v>Kum</v>
          </cell>
          <cell r="C2056">
            <v>3.6757838559036603E-2</v>
          </cell>
          <cell r="I2056" t="str">
            <v>Sorenson</v>
          </cell>
        </row>
        <row r="2057">
          <cell r="A2057" t="str">
            <v>Kacie</v>
          </cell>
          <cell r="C2057">
            <v>3.6724482988656361E-2</v>
          </cell>
          <cell r="I2057" t="str">
            <v>Saucedo</v>
          </cell>
        </row>
        <row r="2058">
          <cell r="A2058" t="str">
            <v>Jackeline</v>
          </cell>
          <cell r="C2058">
            <v>3.6691127418276105E-2</v>
          </cell>
          <cell r="I2058" t="str">
            <v>Roche</v>
          </cell>
        </row>
        <row r="2059">
          <cell r="A2059" t="str">
            <v>Huong</v>
          </cell>
          <cell r="C2059">
            <v>3.6657771847895863E-2</v>
          </cell>
          <cell r="I2059" t="str">
            <v>Redding</v>
          </cell>
        </row>
        <row r="2060">
          <cell r="A2060" t="str">
            <v>Felisa</v>
          </cell>
          <cell r="C2060">
            <v>3.6624416277515608E-2</v>
          </cell>
          <cell r="I2060" t="str">
            <v>Loyd</v>
          </cell>
        </row>
        <row r="2061">
          <cell r="A2061" t="str">
            <v>Emelia</v>
          </cell>
          <cell r="C2061">
            <v>3.6591060707135366E-2</v>
          </cell>
          <cell r="I2061" t="str">
            <v>Fugate</v>
          </cell>
        </row>
        <row r="2062">
          <cell r="A2062" t="str">
            <v>Eleanora</v>
          </cell>
          <cell r="C2062">
            <v>3.655770513675511E-2</v>
          </cell>
          <cell r="I2062" t="str">
            <v>Avalos</v>
          </cell>
        </row>
        <row r="2063">
          <cell r="A2063" t="str">
            <v>Cythia</v>
          </cell>
          <cell r="C2063">
            <v>3.6524349566374868E-2</v>
          </cell>
          <cell r="I2063" t="str">
            <v>Waite</v>
          </cell>
        </row>
        <row r="2064">
          <cell r="A2064" t="str">
            <v>Cristin</v>
          </cell>
          <cell r="C2064">
            <v>3.6490993995994613E-2</v>
          </cell>
          <cell r="I2064" t="str">
            <v>Lind</v>
          </cell>
        </row>
        <row r="2065">
          <cell r="A2065" t="str">
            <v>Clyde</v>
          </cell>
          <cell r="C2065">
            <v>3.6457638425614371E-2</v>
          </cell>
          <cell r="I2065" t="str">
            <v>Huston</v>
          </cell>
        </row>
        <row r="2066">
          <cell r="A2066" t="str">
            <v>Claribel</v>
          </cell>
          <cell r="C2066">
            <v>3.6424282855234115E-2</v>
          </cell>
          <cell r="I2066" t="str">
            <v>Hay</v>
          </cell>
        </row>
        <row r="2067">
          <cell r="A2067" t="str">
            <v>Caron</v>
          </cell>
          <cell r="C2067">
            <v>3.6390927284853873E-2</v>
          </cell>
          <cell r="I2067" t="str">
            <v>Benedict</v>
          </cell>
        </row>
        <row r="2068">
          <cell r="A2068" t="str">
            <v>Anastacia</v>
          </cell>
          <cell r="C2068">
            <v>3.6357571714473617E-2</v>
          </cell>
          <cell r="I2068" t="str">
            <v>Hawthorne</v>
          </cell>
        </row>
        <row r="2069">
          <cell r="A2069" t="str">
            <v>Zulma</v>
          </cell>
          <cell r="C2069">
            <v>3.6324216144093376E-2</v>
          </cell>
          <cell r="I2069" t="str">
            <v>Hamby</v>
          </cell>
        </row>
        <row r="2070">
          <cell r="A2070" t="str">
            <v>Zandra</v>
          </cell>
          <cell r="C2070">
            <v>3.629086057371312E-2</v>
          </cell>
          <cell r="I2070" t="str">
            <v>Boyles</v>
          </cell>
        </row>
        <row r="2071">
          <cell r="A2071" t="str">
            <v>Yoko</v>
          </cell>
          <cell r="C2071">
            <v>3.6257505003332878E-2</v>
          </cell>
          <cell r="I2071" t="str">
            <v>Boles</v>
          </cell>
        </row>
        <row r="2072">
          <cell r="A2072" t="str">
            <v>Tenisha</v>
          </cell>
          <cell r="C2072">
            <v>3.6224149432952622E-2</v>
          </cell>
          <cell r="I2072" t="str">
            <v>Regan</v>
          </cell>
        </row>
        <row r="2073">
          <cell r="A2073" t="str">
            <v>Susann</v>
          </cell>
          <cell r="C2073">
            <v>3.619079386257238E-2</v>
          </cell>
          <cell r="I2073" t="str">
            <v>Faust</v>
          </cell>
        </row>
        <row r="2074">
          <cell r="A2074" t="str">
            <v>Sherilyn</v>
          </cell>
          <cell r="C2074">
            <v>3.6157438292192125E-2</v>
          </cell>
          <cell r="I2074" t="str">
            <v>Crook</v>
          </cell>
        </row>
        <row r="2075">
          <cell r="A2075" t="str">
            <v>Shay</v>
          </cell>
          <cell r="C2075">
            <v>3.6124082721811883E-2</v>
          </cell>
          <cell r="I2075" t="str">
            <v>Beam</v>
          </cell>
        </row>
        <row r="2076">
          <cell r="A2076" t="str">
            <v>Shawanda</v>
          </cell>
          <cell r="C2076">
            <v>3.6090727151431627E-2</v>
          </cell>
          <cell r="I2076" t="str">
            <v>Barger</v>
          </cell>
        </row>
        <row r="2077">
          <cell r="A2077" t="str">
            <v>Sabine</v>
          </cell>
          <cell r="C2077">
            <v>3.6057371581051385E-2</v>
          </cell>
          <cell r="I2077" t="str">
            <v>Hinds</v>
          </cell>
        </row>
        <row r="2078">
          <cell r="A2078" t="str">
            <v>Romana</v>
          </cell>
          <cell r="C2078">
            <v>3.602401601067113E-2</v>
          </cell>
          <cell r="I2078" t="str">
            <v>Gallardo</v>
          </cell>
        </row>
        <row r="2079">
          <cell r="A2079" t="str">
            <v>Mathilda</v>
          </cell>
          <cell r="C2079">
            <v>3.5990660440290888E-2</v>
          </cell>
          <cell r="I2079" t="str">
            <v>Elias</v>
          </cell>
        </row>
        <row r="2080">
          <cell r="A2080" t="str">
            <v>Linsey</v>
          </cell>
          <cell r="C2080">
            <v>3.5957304869910632E-2</v>
          </cell>
          <cell r="I2080" t="str">
            <v>Willoughby</v>
          </cell>
        </row>
        <row r="2081">
          <cell r="A2081" t="str">
            <v>Keiko</v>
          </cell>
          <cell r="C2081">
            <v>3.592394929953039E-2</v>
          </cell>
          <cell r="I2081" t="str">
            <v>Willingham</v>
          </cell>
        </row>
        <row r="2082">
          <cell r="A2082" t="str">
            <v>Joana</v>
          </cell>
          <cell r="C2082">
            <v>3.5890593729150135E-2</v>
          </cell>
          <cell r="I2082" t="str">
            <v>Wilburn</v>
          </cell>
        </row>
        <row r="2083">
          <cell r="A2083" t="str">
            <v>Isela</v>
          </cell>
          <cell r="C2083">
            <v>3.5857238158769893E-2</v>
          </cell>
          <cell r="I2083" t="str">
            <v>Eckert</v>
          </cell>
        </row>
        <row r="2084">
          <cell r="A2084" t="str">
            <v>Gretta</v>
          </cell>
          <cell r="C2084">
            <v>3.5823882588389637E-2</v>
          </cell>
          <cell r="I2084" t="str">
            <v>Busch</v>
          </cell>
        </row>
        <row r="2085">
          <cell r="A2085" t="str">
            <v>Georgetta</v>
          </cell>
          <cell r="C2085">
            <v>3.5790527018009388E-2</v>
          </cell>
          <cell r="I2085" t="str">
            <v>Zepeda</v>
          </cell>
        </row>
        <row r="2086">
          <cell r="A2086" t="str">
            <v>Eugenie</v>
          </cell>
          <cell r="C2086">
            <v>3.5757171447629132E-2</v>
          </cell>
          <cell r="I2086" t="str">
            <v>Worthington</v>
          </cell>
        </row>
        <row r="2087">
          <cell r="A2087" t="str">
            <v>Dusty</v>
          </cell>
          <cell r="C2087">
            <v>3.5723815877248884E-2</v>
          </cell>
          <cell r="I2087" t="str">
            <v>Tinsley</v>
          </cell>
        </row>
        <row r="2088">
          <cell r="A2088" t="str">
            <v>Desirae</v>
          </cell>
          <cell r="C2088">
            <v>3.5690460306868628E-2</v>
          </cell>
          <cell r="I2088" t="str">
            <v>Russ</v>
          </cell>
        </row>
        <row r="2089">
          <cell r="A2089" t="str">
            <v>Delora</v>
          </cell>
          <cell r="C2089">
            <v>3.5657104736488379E-2</v>
          </cell>
          <cell r="I2089" t="str">
            <v>Li</v>
          </cell>
        </row>
        <row r="2090">
          <cell r="A2090" t="str">
            <v>Corazon</v>
          </cell>
          <cell r="C2090">
            <v>3.5623749166108123E-2</v>
          </cell>
          <cell r="I2090" t="str">
            <v>Hoff</v>
          </cell>
        </row>
        <row r="2091">
          <cell r="A2091" t="str">
            <v>Antonina</v>
          </cell>
          <cell r="C2091">
            <v>3.5590393595727875E-2</v>
          </cell>
          <cell r="I2091" t="str">
            <v>Hawley</v>
          </cell>
        </row>
        <row r="2092">
          <cell r="A2092" t="str">
            <v>Anika</v>
          </cell>
          <cell r="C2092">
            <v>3.5557038025347619E-2</v>
          </cell>
          <cell r="I2092" t="str">
            <v>Carmona</v>
          </cell>
        </row>
        <row r="2093">
          <cell r="A2093" t="str">
            <v>Willene</v>
          </cell>
          <cell r="C2093">
            <v>3.552368245496737E-2</v>
          </cell>
          <cell r="I2093" t="str">
            <v>Varela</v>
          </cell>
        </row>
        <row r="2094">
          <cell r="A2094" t="str">
            <v>Tracee</v>
          </cell>
          <cell r="C2094">
            <v>3.5490326884587114E-2</v>
          </cell>
          <cell r="I2094" t="str">
            <v>Rector</v>
          </cell>
        </row>
        <row r="2095">
          <cell r="A2095" t="str">
            <v>Tamatha</v>
          </cell>
          <cell r="C2095">
            <v>3.5456971314206859E-2</v>
          </cell>
          <cell r="I2095" t="str">
            <v>Newcomb</v>
          </cell>
        </row>
        <row r="2096">
          <cell r="A2096" t="str">
            <v>Regan</v>
          </cell>
          <cell r="C2096">
            <v>3.542361574382661E-2</v>
          </cell>
          <cell r="I2096" t="str">
            <v>Mallory</v>
          </cell>
        </row>
        <row r="2097">
          <cell r="A2097" t="str">
            <v>Nichelle</v>
          </cell>
          <cell r="C2097">
            <v>3.5390260173446361E-2</v>
          </cell>
          <cell r="I2097" t="str">
            <v>Kinsey</v>
          </cell>
        </row>
        <row r="2098">
          <cell r="A2098" t="str">
            <v>Mickie</v>
          </cell>
          <cell r="C2098">
            <v>3.5356904603066105E-2</v>
          </cell>
          <cell r="I2098" t="str">
            <v>Dube</v>
          </cell>
        </row>
        <row r="2099">
          <cell r="A2099" t="str">
            <v>Maegan</v>
          </cell>
          <cell r="C2099">
            <v>3.532354903268585E-2</v>
          </cell>
          <cell r="I2099" t="str">
            <v>Whatley</v>
          </cell>
        </row>
        <row r="2100">
          <cell r="A2100" t="str">
            <v>Luana</v>
          </cell>
          <cell r="C2100">
            <v>3.5290193462305601E-2</v>
          </cell>
          <cell r="I2100" t="str">
            <v>Strange</v>
          </cell>
        </row>
        <row r="2101">
          <cell r="A2101" t="str">
            <v>Lanita</v>
          </cell>
          <cell r="C2101">
            <v>3.5256837891925352E-2</v>
          </cell>
          <cell r="I2101" t="str">
            <v>Ragsdale</v>
          </cell>
        </row>
        <row r="2102">
          <cell r="A2102" t="str">
            <v>Kelsie</v>
          </cell>
          <cell r="C2102">
            <v>3.5223482321545097E-2</v>
          </cell>
          <cell r="I2102" t="str">
            <v>Ivy</v>
          </cell>
        </row>
        <row r="2103">
          <cell r="A2103" t="str">
            <v>Edelmira</v>
          </cell>
          <cell r="C2103">
            <v>3.5190126751164841E-2</v>
          </cell>
          <cell r="I2103" t="str">
            <v>Bernstein</v>
          </cell>
        </row>
        <row r="2104">
          <cell r="A2104" t="str">
            <v>Bree</v>
          </cell>
          <cell r="C2104">
            <v>3.5156771180784585E-2</v>
          </cell>
          <cell r="I2104" t="str">
            <v>Becerra</v>
          </cell>
        </row>
        <row r="2105">
          <cell r="A2105" t="str">
            <v>Afton</v>
          </cell>
          <cell r="C2105">
            <v>3.5123415610404336E-2</v>
          </cell>
          <cell r="I2105" t="str">
            <v>Yost</v>
          </cell>
        </row>
        <row r="2106">
          <cell r="A2106" t="str">
            <v>Teodora</v>
          </cell>
          <cell r="C2106">
            <v>3.5090060040024088E-2</v>
          </cell>
          <cell r="I2106" t="str">
            <v>Mattson</v>
          </cell>
        </row>
        <row r="2107">
          <cell r="A2107" t="str">
            <v>Tamie</v>
          </cell>
          <cell r="C2107">
            <v>3.5056704469643832E-2</v>
          </cell>
          <cell r="I2107" t="str">
            <v>Ly</v>
          </cell>
        </row>
        <row r="2108">
          <cell r="A2108" t="str">
            <v>Shena</v>
          </cell>
          <cell r="C2108">
            <v>3.5023348899263576E-2</v>
          </cell>
          <cell r="I2108" t="str">
            <v>Felder</v>
          </cell>
        </row>
        <row r="2109">
          <cell r="A2109" t="str">
            <v>Meg</v>
          </cell>
          <cell r="C2109">
            <v>3.4989993328883327E-2</v>
          </cell>
          <cell r="I2109" t="str">
            <v>Cheek</v>
          </cell>
        </row>
        <row r="2110">
          <cell r="A2110" t="str">
            <v>Linh</v>
          </cell>
          <cell r="C2110">
            <v>3.4956637758503079E-2</v>
          </cell>
          <cell r="I2110" t="str">
            <v>Luke</v>
          </cell>
        </row>
        <row r="2111">
          <cell r="A2111" t="str">
            <v>Keli</v>
          </cell>
          <cell r="C2111">
            <v>3.4923282188122823E-2</v>
          </cell>
          <cell r="I2111" t="str">
            <v>Handy</v>
          </cell>
        </row>
        <row r="2112">
          <cell r="A2112" t="str">
            <v>Kaci</v>
          </cell>
          <cell r="C2112">
            <v>3.4889926617742567E-2</v>
          </cell>
          <cell r="I2112" t="str">
            <v>Grossman</v>
          </cell>
        </row>
        <row r="2113">
          <cell r="A2113" t="str">
            <v>Danyelle</v>
          </cell>
          <cell r="C2113">
            <v>3.4856571047362318E-2</v>
          </cell>
          <cell r="I2113" t="str">
            <v>Gauthier</v>
          </cell>
        </row>
        <row r="2114">
          <cell r="A2114" t="str">
            <v>Britt</v>
          </cell>
          <cell r="C2114">
            <v>3.4823215476982063E-2</v>
          </cell>
          <cell r="I2114" t="str">
            <v>Escobedo</v>
          </cell>
        </row>
        <row r="2115">
          <cell r="A2115" t="str">
            <v>Arlette</v>
          </cell>
          <cell r="C2115">
            <v>3.4789859906601814E-2</v>
          </cell>
          <cell r="I2115" t="str">
            <v>Braden</v>
          </cell>
        </row>
        <row r="2116">
          <cell r="A2116" t="str">
            <v>Albertine</v>
          </cell>
          <cell r="C2116">
            <v>3.4756504336221558E-2</v>
          </cell>
          <cell r="I2116" t="str">
            <v>Beckman</v>
          </cell>
        </row>
        <row r="2117">
          <cell r="A2117" t="str">
            <v>Adelle</v>
          </cell>
          <cell r="C2117">
            <v>3.4723148765841309E-2</v>
          </cell>
          <cell r="I2117" t="str">
            <v>Mott</v>
          </cell>
        </row>
        <row r="2118">
          <cell r="A2118" t="str">
            <v>Tiffiny</v>
          </cell>
          <cell r="C2118">
            <v>3.4689793195461054E-2</v>
          </cell>
          <cell r="I2118" t="str">
            <v>Hillman</v>
          </cell>
        </row>
        <row r="2119">
          <cell r="A2119" t="str">
            <v>Stormy</v>
          </cell>
          <cell r="C2119">
            <v>3.4656437625080805E-2</v>
          </cell>
          <cell r="I2119" t="str">
            <v>Gil</v>
          </cell>
        </row>
        <row r="2120">
          <cell r="A2120" t="str">
            <v>Simona</v>
          </cell>
          <cell r="C2120">
            <v>3.4623082054700549E-2</v>
          </cell>
          <cell r="I2120" t="str">
            <v>Flaherty</v>
          </cell>
        </row>
        <row r="2121">
          <cell r="A2121" t="str">
            <v>Numbers</v>
          </cell>
          <cell r="C2121">
            <v>3.45897264843203E-2</v>
          </cell>
          <cell r="I2121" t="str">
            <v>Dykes</v>
          </cell>
        </row>
        <row r="2122">
          <cell r="A2122" t="str">
            <v>Nicolasa</v>
          </cell>
          <cell r="C2122">
            <v>3.4556370913940045E-2</v>
          </cell>
          <cell r="I2122" t="str">
            <v>Doe</v>
          </cell>
        </row>
        <row r="2123">
          <cell r="A2123" t="str">
            <v>Nichol</v>
          </cell>
          <cell r="C2123">
            <v>3.4523015343559796E-2</v>
          </cell>
          <cell r="I2123" t="str">
            <v>Stockton</v>
          </cell>
        </row>
        <row r="2124">
          <cell r="A2124" t="str">
            <v>Nia</v>
          </cell>
          <cell r="C2124">
            <v>3.448965977317954E-2</v>
          </cell>
          <cell r="I2124" t="str">
            <v>Stearns</v>
          </cell>
        </row>
        <row r="2125">
          <cell r="A2125" t="str">
            <v>Nakisha</v>
          </cell>
          <cell r="C2125">
            <v>3.4456304202799291E-2</v>
          </cell>
          <cell r="I2125" t="str">
            <v>Lofton</v>
          </cell>
        </row>
        <row r="2126">
          <cell r="A2126" t="str">
            <v>Mee</v>
          </cell>
          <cell r="C2126">
            <v>3.4422948632419036E-2</v>
          </cell>
          <cell r="I2126" t="str">
            <v>Kitchen</v>
          </cell>
        </row>
        <row r="2127">
          <cell r="A2127" t="str">
            <v>Maira</v>
          </cell>
          <cell r="C2127">
            <v>3.438959306203878E-2</v>
          </cell>
          <cell r="I2127" t="str">
            <v>Coats</v>
          </cell>
        </row>
        <row r="2128">
          <cell r="A2128" t="str">
            <v>Loreen</v>
          </cell>
          <cell r="C2128">
            <v>3.4356237491658531E-2</v>
          </cell>
          <cell r="I2128" t="str">
            <v>Cavazos</v>
          </cell>
        </row>
        <row r="2129">
          <cell r="A2129" t="str">
            <v>Kizzy</v>
          </cell>
          <cell r="C2129">
            <v>3.4322881921278282E-2</v>
          </cell>
          <cell r="I2129" t="str">
            <v>Beavers</v>
          </cell>
        </row>
        <row r="2130">
          <cell r="A2130" t="str">
            <v>Johnny</v>
          </cell>
          <cell r="C2130">
            <v>3.4289526350898027E-2</v>
          </cell>
          <cell r="I2130" t="str">
            <v>Barrios</v>
          </cell>
        </row>
        <row r="2131">
          <cell r="A2131" t="str">
            <v>Jay</v>
          </cell>
          <cell r="C2131">
            <v>3.4256170780517771E-2</v>
          </cell>
          <cell r="I2131" t="str">
            <v>Tang</v>
          </cell>
        </row>
        <row r="2132">
          <cell r="A2132" t="str">
            <v>Fallon</v>
          </cell>
          <cell r="C2132">
            <v>3.4222815210137522E-2</v>
          </cell>
          <cell r="I2132" t="str">
            <v>Parish</v>
          </cell>
        </row>
        <row r="2133">
          <cell r="A2133" t="str">
            <v>Christene</v>
          </cell>
          <cell r="C2133">
            <v>3.4189459639757273E-2</v>
          </cell>
          <cell r="I2133" t="str">
            <v>Mosher</v>
          </cell>
        </row>
        <row r="2134">
          <cell r="A2134" t="str">
            <v>Bobbye</v>
          </cell>
          <cell r="C2134">
            <v>3.4156104069377018E-2</v>
          </cell>
          <cell r="I2134" t="str">
            <v>Lincoln</v>
          </cell>
        </row>
        <row r="2135">
          <cell r="A2135" t="str">
            <v>Anthony</v>
          </cell>
          <cell r="C2135">
            <v>3.4122748498996762E-2</v>
          </cell>
          <cell r="I2135" t="str">
            <v>Cardwell</v>
          </cell>
        </row>
        <row r="2136">
          <cell r="A2136" t="str">
            <v>Ying</v>
          </cell>
          <cell r="C2136">
            <v>3.4089392928616506E-2</v>
          </cell>
          <cell r="I2136" t="str">
            <v>Coles</v>
          </cell>
        </row>
        <row r="2137">
          <cell r="A2137" t="str">
            <v>Vincenza</v>
          </cell>
          <cell r="C2137">
            <v>3.4067155881696343E-2</v>
          </cell>
          <cell r="I2137" t="str">
            <v>Burnham</v>
          </cell>
        </row>
        <row r="2138">
          <cell r="A2138" t="str">
            <v>Tanja</v>
          </cell>
          <cell r="C2138">
            <v>3.4044918834776172E-2</v>
          </cell>
          <cell r="I2138" t="str">
            <v>Weller</v>
          </cell>
        </row>
        <row r="2139">
          <cell r="A2139" t="str">
            <v>Rubie</v>
          </cell>
          <cell r="C2139">
            <v>3.4022681787856009E-2</v>
          </cell>
          <cell r="I2139" t="str">
            <v>Lemons</v>
          </cell>
        </row>
        <row r="2140">
          <cell r="A2140" t="str">
            <v>Roni</v>
          </cell>
          <cell r="C2140">
            <v>3.4000444740935838E-2</v>
          </cell>
          <cell r="I2140" t="str">
            <v>Beebe</v>
          </cell>
        </row>
        <row r="2141">
          <cell r="A2141" t="str">
            <v>Queenie</v>
          </cell>
          <cell r="C2141">
            <v>3.3978207694015668E-2</v>
          </cell>
          <cell r="I2141" t="str">
            <v>Aguilera</v>
          </cell>
        </row>
        <row r="2142">
          <cell r="A2142" t="str">
            <v>Margarett</v>
          </cell>
          <cell r="C2142">
            <v>3.3955970647095497E-2</v>
          </cell>
          <cell r="I2142" t="str">
            <v>Ring</v>
          </cell>
        </row>
        <row r="2143">
          <cell r="A2143" t="str">
            <v>Kimberli</v>
          </cell>
          <cell r="C2143">
            <v>3.3933733600175334E-2</v>
          </cell>
          <cell r="I2143" t="str">
            <v>Parnell</v>
          </cell>
        </row>
        <row r="2144">
          <cell r="A2144" t="str">
            <v>Irmgard</v>
          </cell>
          <cell r="C2144">
            <v>3.3911496553255163E-2</v>
          </cell>
          <cell r="I2144" t="str">
            <v>Harman</v>
          </cell>
        </row>
        <row r="2145">
          <cell r="A2145" t="str">
            <v>Idell</v>
          </cell>
          <cell r="C2145">
            <v>3.3889259506335E-2</v>
          </cell>
          <cell r="I2145" t="str">
            <v>Couture</v>
          </cell>
        </row>
        <row r="2146">
          <cell r="A2146" t="str">
            <v>Hilma</v>
          </cell>
          <cell r="C2146">
            <v>3.3867022459414829E-2</v>
          </cell>
          <cell r="I2146" t="str">
            <v>Alley</v>
          </cell>
        </row>
        <row r="2147">
          <cell r="A2147" t="str">
            <v>Evelina</v>
          </cell>
          <cell r="C2147">
            <v>3.3844785412494659E-2</v>
          </cell>
          <cell r="I2147" t="str">
            <v>Schumacher</v>
          </cell>
        </row>
        <row r="2148">
          <cell r="A2148" t="str">
            <v>Esta</v>
          </cell>
          <cell r="C2148">
            <v>3.3822548365574488E-2</v>
          </cell>
          <cell r="I2148" t="str">
            <v>Redd</v>
          </cell>
        </row>
        <row r="2149">
          <cell r="A2149" t="str">
            <v>Emilee</v>
          </cell>
          <cell r="C2149">
            <v>3.3800311318654325E-2</v>
          </cell>
          <cell r="I2149" t="str">
            <v>Dobbs</v>
          </cell>
        </row>
        <row r="2150">
          <cell r="A2150" t="str">
            <v>Dennise</v>
          </cell>
          <cell r="C2150">
            <v>3.3778074271734154E-2</v>
          </cell>
          <cell r="I2150" t="str">
            <v>Blum</v>
          </cell>
        </row>
        <row r="2151">
          <cell r="A2151" t="str">
            <v>Dania</v>
          </cell>
          <cell r="C2151">
            <v>3.3755837224813984E-2</v>
          </cell>
          <cell r="I2151" t="str">
            <v>Blalock</v>
          </cell>
        </row>
        <row r="2152">
          <cell r="A2152" t="str">
            <v>Carl</v>
          </cell>
          <cell r="C2152">
            <v>3.3733600177893813E-2</v>
          </cell>
          <cell r="I2152" t="str">
            <v>Merchant</v>
          </cell>
        </row>
        <row r="2153">
          <cell r="A2153" t="str">
            <v>Carie</v>
          </cell>
          <cell r="C2153">
            <v>3.371136313097365E-2</v>
          </cell>
          <cell r="I2153" t="str">
            <v>Ennis</v>
          </cell>
        </row>
        <row r="2154">
          <cell r="A2154" t="str">
            <v>Antonio</v>
          </cell>
          <cell r="C2154">
            <v>3.3689126084053479E-2</v>
          </cell>
          <cell r="I2154" t="str">
            <v>Denson</v>
          </cell>
        </row>
        <row r="2155">
          <cell r="A2155" t="str">
            <v>Wai</v>
          </cell>
          <cell r="C2155">
            <v>3.3666889037133316E-2</v>
          </cell>
          <cell r="I2155" t="str">
            <v>Cottrell</v>
          </cell>
        </row>
        <row r="2156">
          <cell r="A2156" t="str">
            <v>Sang</v>
          </cell>
          <cell r="C2156">
            <v>3.3644651990213145E-2</v>
          </cell>
          <cell r="I2156" t="str">
            <v>Chester</v>
          </cell>
        </row>
        <row r="2157">
          <cell r="A2157" t="str">
            <v>Risa</v>
          </cell>
          <cell r="C2157">
            <v>3.3622414943292975E-2</v>
          </cell>
          <cell r="I2157" t="str">
            <v>Brannon</v>
          </cell>
        </row>
        <row r="2158">
          <cell r="A2158" t="str">
            <v>Rikki</v>
          </cell>
          <cell r="C2158">
            <v>3.3600177896372804E-2</v>
          </cell>
          <cell r="I2158" t="str">
            <v>Bagley</v>
          </cell>
        </row>
        <row r="2159">
          <cell r="A2159" t="str">
            <v>Particia</v>
          </cell>
          <cell r="C2159">
            <v>3.3577940849452641E-2</v>
          </cell>
          <cell r="I2159" t="str">
            <v>Aviles</v>
          </cell>
        </row>
        <row r="2160">
          <cell r="A2160" t="str">
            <v>Mui</v>
          </cell>
          <cell r="C2160">
            <v>3.355570380253247E-2</v>
          </cell>
          <cell r="I2160" t="str">
            <v>Watt</v>
          </cell>
        </row>
        <row r="2161">
          <cell r="A2161" t="str">
            <v>Masako</v>
          </cell>
          <cell r="C2161">
            <v>3.3533466755612307E-2</v>
          </cell>
          <cell r="I2161" t="str">
            <v>Sousa</v>
          </cell>
        </row>
        <row r="2162">
          <cell r="A2162" t="str">
            <v>Mario</v>
          </cell>
          <cell r="C2162">
            <v>3.3511229708692136E-2</v>
          </cell>
          <cell r="I2162" t="str">
            <v>Rosenthal</v>
          </cell>
        </row>
        <row r="2163">
          <cell r="A2163" t="str">
            <v>Luvenia</v>
          </cell>
          <cell r="C2163">
            <v>3.3488992661771966E-2</v>
          </cell>
          <cell r="I2163" t="str">
            <v>Rooney</v>
          </cell>
        </row>
        <row r="2164">
          <cell r="A2164" t="str">
            <v>Loree</v>
          </cell>
          <cell r="C2164">
            <v>3.3466755614851795E-2</v>
          </cell>
          <cell r="I2164" t="str">
            <v>Dietz</v>
          </cell>
        </row>
        <row r="2165">
          <cell r="A2165" t="str">
            <v>Loni</v>
          </cell>
          <cell r="C2165">
            <v>3.3444518567931632E-2</v>
          </cell>
          <cell r="I2165" t="str">
            <v>Blank</v>
          </cell>
        </row>
        <row r="2166">
          <cell r="A2166" t="str">
            <v>Lien</v>
          </cell>
          <cell r="C2166">
            <v>3.3422281521011461E-2</v>
          </cell>
          <cell r="I2166" t="str">
            <v>Paquette</v>
          </cell>
        </row>
        <row r="2167">
          <cell r="A2167" t="str">
            <v>Kevin</v>
          </cell>
          <cell r="C2167">
            <v>3.3400044474091291E-2</v>
          </cell>
          <cell r="I2167" t="str">
            <v>Mcclelland</v>
          </cell>
        </row>
        <row r="2168">
          <cell r="A2168" t="str">
            <v>Gigi</v>
          </cell>
          <cell r="C2168">
            <v>3.337780742717112E-2</v>
          </cell>
          <cell r="I2168" t="str">
            <v>Duff</v>
          </cell>
        </row>
        <row r="2169">
          <cell r="A2169" t="str">
            <v>Florencia</v>
          </cell>
          <cell r="C2169">
            <v>3.3355570380250957E-2</v>
          </cell>
          <cell r="I2169" t="str">
            <v>Velasco</v>
          </cell>
        </row>
        <row r="2170">
          <cell r="A2170" t="str">
            <v>Dorian</v>
          </cell>
          <cell r="C2170">
            <v>3.3333333333330786E-2</v>
          </cell>
          <cell r="I2170" t="str">
            <v>Lentz</v>
          </cell>
        </row>
        <row r="2171">
          <cell r="A2171" t="str">
            <v>Denita</v>
          </cell>
          <cell r="C2171">
            <v>3.3311096286410623E-2</v>
          </cell>
          <cell r="I2171" t="str">
            <v>Grubb</v>
          </cell>
        </row>
        <row r="2172">
          <cell r="A2172" t="str">
            <v>Dallas</v>
          </cell>
          <cell r="C2172">
            <v>3.3288859239490452E-2</v>
          </cell>
          <cell r="I2172" t="str">
            <v>Burrows</v>
          </cell>
        </row>
        <row r="2173">
          <cell r="A2173" t="str">
            <v>Chi</v>
          </cell>
          <cell r="C2173">
            <v>3.3266622192570282E-2</v>
          </cell>
          <cell r="I2173" t="str">
            <v>Barbour</v>
          </cell>
        </row>
        <row r="2174">
          <cell r="A2174" t="str">
            <v>Billye</v>
          </cell>
          <cell r="C2174">
            <v>3.3244385145650111E-2</v>
          </cell>
          <cell r="I2174" t="str">
            <v>Ulrich</v>
          </cell>
        </row>
        <row r="2175">
          <cell r="A2175" t="str">
            <v>Alexander</v>
          </cell>
          <cell r="C2175">
            <v>3.3222148098729948E-2</v>
          </cell>
          <cell r="I2175" t="str">
            <v>Shockley</v>
          </cell>
        </row>
        <row r="2176">
          <cell r="A2176" t="str">
            <v>Tomika</v>
          </cell>
          <cell r="C2176">
            <v>3.3199911051809777E-2</v>
          </cell>
          <cell r="I2176" t="str">
            <v>Rader</v>
          </cell>
        </row>
        <row r="2177">
          <cell r="A2177" t="str">
            <v>Sharita</v>
          </cell>
          <cell r="C2177">
            <v>3.3177674004889614E-2</v>
          </cell>
          <cell r="I2177" t="str">
            <v>German</v>
          </cell>
        </row>
        <row r="2178">
          <cell r="A2178" t="str">
            <v>Rana</v>
          </cell>
          <cell r="C2178">
            <v>3.3155436957969443E-2</v>
          </cell>
          <cell r="I2178" t="str">
            <v>Beyer</v>
          </cell>
        </row>
        <row r="2179">
          <cell r="A2179" t="str">
            <v>Nikole</v>
          </cell>
          <cell r="C2179">
            <v>3.3133199911049273E-2</v>
          </cell>
          <cell r="I2179" t="str">
            <v>Mixon</v>
          </cell>
        </row>
        <row r="2180">
          <cell r="A2180" t="str">
            <v>Neoma</v>
          </cell>
          <cell r="C2180">
            <v>3.3110962864129102E-2</v>
          </cell>
          <cell r="I2180" t="str">
            <v>Layton</v>
          </cell>
        </row>
        <row r="2181">
          <cell r="A2181" t="str">
            <v>Margarite</v>
          </cell>
          <cell r="C2181">
            <v>3.3088725817208939E-2</v>
          </cell>
          <cell r="I2181" t="str">
            <v>Altman</v>
          </cell>
        </row>
        <row r="2182">
          <cell r="A2182" t="str">
            <v>Madalyn</v>
          </cell>
          <cell r="C2182">
            <v>3.3066488770288768E-2</v>
          </cell>
          <cell r="I2182" t="str">
            <v>Alonzo</v>
          </cell>
        </row>
        <row r="2183">
          <cell r="A2183" t="str">
            <v>Lucina</v>
          </cell>
          <cell r="C2183">
            <v>3.3044251723368598E-2</v>
          </cell>
          <cell r="I2183" t="str">
            <v>Weathers</v>
          </cell>
        </row>
        <row r="2184">
          <cell r="A2184" t="str">
            <v>Laila</v>
          </cell>
          <cell r="C2184">
            <v>3.3022014676448427E-2</v>
          </cell>
          <cell r="I2184" t="str">
            <v>Titus</v>
          </cell>
        </row>
        <row r="2185">
          <cell r="A2185" t="str">
            <v>Kali</v>
          </cell>
          <cell r="C2185">
            <v>3.2999777629528264E-2</v>
          </cell>
          <cell r="I2185" t="str">
            <v>Stoner</v>
          </cell>
        </row>
        <row r="2186">
          <cell r="A2186" t="str">
            <v>Jenette</v>
          </cell>
          <cell r="C2186">
            <v>3.2977540582608093E-2</v>
          </cell>
          <cell r="I2186" t="str">
            <v>Squires</v>
          </cell>
        </row>
        <row r="2187">
          <cell r="A2187" t="str">
            <v>Gabriele</v>
          </cell>
          <cell r="C2187">
            <v>3.295530353568793E-2</v>
          </cell>
          <cell r="I2187" t="str">
            <v>Shipp</v>
          </cell>
        </row>
        <row r="2188">
          <cell r="A2188" t="str">
            <v>Evelyne</v>
          </cell>
          <cell r="C2188">
            <v>3.2933066488767759E-2</v>
          </cell>
          <cell r="I2188" t="str">
            <v>Priest</v>
          </cell>
        </row>
        <row r="2189">
          <cell r="A2189" t="str">
            <v>Elenora</v>
          </cell>
          <cell r="C2189">
            <v>3.2910829441847589E-2</v>
          </cell>
          <cell r="I2189" t="str">
            <v>Lipscomb</v>
          </cell>
        </row>
        <row r="2190">
          <cell r="A2190" t="str">
            <v>Clementina</v>
          </cell>
          <cell r="C2190">
            <v>3.2888592394927418E-2</v>
          </cell>
          <cell r="I2190" t="str">
            <v>Cutler</v>
          </cell>
        </row>
        <row r="2191">
          <cell r="A2191" t="str">
            <v>Alejandrina</v>
          </cell>
          <cell r="C2191">
            <v>3.2866355348007255E-2</v>
          </cell>
          <cell r="I2191" t="str">
            <v>Caballero</v>
          </cell>
        </row>
        <row r="2192">
          <cell r="A2192" t="str">
            <v>Zulema</v>
          </cell>
          <cell r="C2192">
            <v>3.2844118301087084E-2</v>
          </cell>
          <cell r="I2192" t="str">
            <v>Zimmer</v>
          </cell>
        </row>
        <row r="2193">
          <cell r="A2193" t="str">
            <v>Violette</v>
          </cell>
          <cell r="C2193">
            <v>3.2821881254166921E-2</v>
          </cell>
          <cell r="I2193" t="str">
            <v>Willett</v>
          </cell>
        </row>
        <row r="2194">
          <cell r="A2194" t="str">
            <v>Vannessa</v>
          </cell>
          <cell r="C2194">
            <v>3.279964420724675E-2</v>
          </cell>
          <cell r="I2194" t="str">
            <v>Thurston</v>
          </cell>
        </row>
        <row r="2195">
          <cell r="A2195" t="str">
            <v>Thresa</v>
          </cell>
          <cell r="C2195">
            <v>3.277740716032658E-2</v>
          </cell>
          <cell r="I2195" t="str">
            <v>Storey</v>
          </cell>
        </row>
        <row r="2196">
          <cell r="A2196" t="str">
            <v>Retta</v>
          </cell>
          <cell r="C2196">
            <v>3.2755170113406409E-2</v>
          </cell>
          <cell r="I2196" t="str">
            <v>Medley</v>
          </cell>
        </row>
        <row r="2197">
          <cell r="A2197" t="str">
            <v>Pia</v>
          </cell>
          <cell r="C2197">
            <v>3.2732933066486246E-2</v>
          </cell>
          <cell r="I2197" t="str">
            <v>Lyle</v>
          </cell>
        </row>
        <row r="2198">
          <cell r="A2198" t="str">
            <v>Patience</v>
          </cell>
          <cell r="C2198">
            <v>3.2710696019566075E-2</v>
          </cell>
          <cell r="I2198" t="str">
            <v>Epperson</v>
          </cell>
        </row>
        <row r="2199">
          <cell r="A2199" t="str">
            <v>Noella</v>
          </cell>
          <cell r="C2199">
            <v>3.2688458972645905E-2</v>
          </cell>
          <cell r="I2199" t="str">
            <v>Shah</v>
          </cell>
        </row>
        <row r="2200">
          <cell r="A2200" t="str">
            <v>Nickie</v>
          </cell>
          <cell r="C2200">
            <v>3.2666221925725734E-2</v>
          </cell>
          <cell r="I2200" t="str">
            <v>Mcmillian</v>
          </cell>
        </row>
        <row r="2201">
          <cell r="A2201" t="str">
            <v>Jonell</v>
          </cell>
          <cell r="C2201">
            <v>3.2643984878805571E-2</v>
          </cell>
          <cell r="I2201" t="str">
            <v>Baggett</v>
          </cell>
        </row>
        <row r="2202">
          <cell r="A2202" t="str">
            <v>Delta</v>
          </cell>
          <cell r="C2202">
            <v>3.26217478318854E-2</v>
          </cell>
          <cell r="I2202" t="str">
            <v>Torrez</v>
          </cell>
        </row>
        <row r="2203">
          <cell r="A2203" t="str">
            <v>Chung</v>
          </cell>
          <cell r="C2203">
            <v>3.2599510784965237E-2</v>
          </cell>
          <cell r="I2203" t="str">
            <v>Laws</v>
          </cell>
        </row>
        <row r="2204">
          <cell r="A2204" t="str">
            <v>Chaya</v>
          </cell>
          <cell r="C2204">
            <v>3.2577273738045066E-2</v>
          </cell>
          <cell r="I2204" t="str">
            <v>Hirsch</v>
          </cell>
        </row>
        <row r="2205">
          <cell r="A2205" t="str">
            <v>Camelia</v>
          </cell>
          <cell r="C2205">
            <v>3.2555036691124896E-2</v>
          </cell>
          <cell r="I2205" t="str">
            <v>Dent</v>
          </cell>
        </row>
        <row r="2206">
          <cell r="A2206" t="str">
            <v>Bethel</v>
          </cell>
          <cell r="C2206">
            <v>3.2532799644204725E-2</v>
          </cell>
          <cell r="I2206" t="str">
            <v>Corey</v>
          </cell>
        </row>
        <row r="2207">
          <cell r="A2207" t="str">
            <v>Anya</v>
          </cell>
          <cell r="C2207">
            <v>3.2510562597284562E-2</v>
          </cell>
          <cell r="I2207" t="str">
            <v>Poirier</v>
          </cell>
        </row>
        <row r="2208">
          <cell r="A2208" t="str">
            <v>Andrew</v>
          </cell>
          <cell r="C2208">
            <v>3.2488325550364391E-2</v>
          </cell>
          <cell r="I2208" t="str">
            <v>Peachey</v>
          </cell>
        </row>
        <row r="2209">
          <cell r="A2209" t="str">
            <v>Thanh</v>
          </cell>
          <cell r="C2209">
            <v>3.2466088503444228E-2</v>
          </cell>
          <cell r="I2209" t="str">
            <v>Jacques</v>
          </cell>
        </row>
        <row r="2210">
          <cell r="A2210" t="str">
            <v>Suzann</v>
          </cell>
          <cell r="C2210">
            <v>3.2443851456524057E-2</v>
          </cell>
          <cell r="I2210" t="str">
            <v>Farrar</v>
          </cell>
        </row>
        <row r="2211">
          <cell r="A2211" t="str">
            <v>Spring</v>
          </cell>
          <cell r="C2211">
            <v>3.2421614409603887E-2</v>
          </cell>
          <cell r="I2211" t="str">
            <v>Creech</v>
          </cell>
        </row>
        <row r="2212">
          <cell r="A2212" t="str">
            <v>Shu</v>
          </cell>
          <cell r="C2212">
            <v>3.2399377362683716E-2</v>
          </cell>
          <cell r="I2212" t="str">
            <v>Barth</v>
          </cell>
        </row>
        <row r="2213">
          <cell r="A2213" t="str">
            <v>Mila</v>
          </cell>
          <cell r="C2213">
            <v>3.2377140315763553E-2</v>
          </cell>
          <cell r="I2213" t="str">
            <v>Trimble</v>
          </cell>
        </row>
        <row r="2214">
          <cell r="A2214" t="str">
            <v>Lilla</v>
          </cell>
          <cell r="C2214">
            <v>3.2354903268843382E-2</v>
          </cell>
          <cell r="I2214" t="str">
            <v>France</v>
          </cell>
        </row>
        <row r="2215">
          <cell r="A2215" t="str">
            <v>Laverna</v>
          </cell>
          <cell r="C2215">
            <v>3.2332666221923212E-2</v>
          </cell>
          <cell r="I2215" t="str">
            <v>Dupre</v>
          </cell>
        </row>
        <row r="2216">
          <cell r="A2216" t="str">
            <v>Keesha</v>
          </cell>
          <cell r="C2216">
            <v>3.2310429175003041E-2</v>
          </cell>
          <cell r="I2216" t="str">
            <v>Albrecht</v>
          </cell>
        </row>
        <row r="2217">
          <cell r="A2217" t="str">
            <v>Kattie</v>
          </cell>
          <cell r="C2217">
            <v>3.2288192128082878E-2</v>
          </cell>
          <cell r="I2217" t="str">
            <v>Sample</v>
          </cell>
        </row>
        <row r="2218">
          <cell r="A2218" t="str">
            <v>Gia</v>
          </cell>
          <cell r="C2218">
            <v>3.2265955081162707E-2</v>
          </cell>
          <cell r="I2218" t="str">
            <v>Lawler</v>
          </cell>
        </row>
        <row r="2219">
          <cell r="A2219" t="str">
            <v>Georgene</v>
          </cell>
          <cell r="C2219">
            <v>3.2243718034242544E-2</v>
          </cell>
          <cell r="I2219" t="str">
            <v>Crisp</v>
          </cell>
        </row>
        <row r="2220">
          <cell r="A2220" t="str">
            <v>Eveline</v>
          </cell>
          <cell r="C2220">
            <v>3.2221480987322373E-2</v>
          </cell>
          <cell r="I2220" t="str">
            <v>Conroy</v>
          </cell>
        </row>
        <row r="2221">
          <cell r="A2221" t="str">
            <v>Estell</v>
          </cell>
          <cell r="C2221">
            <v>3.2199243940402203E-2</v>
          </cell>
          <cell r="I2221" t="str">
            <v>Chadwick</v>
          </cell>
        </row>
        <row r="2222">
          <cell r="A2222" t="str">
            <v>Elizbeth</v>
          </cell>
          <cell r="C2222">
            <v>3.2177006893482032E-2</v>
          </cell>
          <cell r="I2222" t="str">
            <v>Wetzel</v>
          </cell>
        </row>
        <row r="2223">
          <cell r="A2223" t="str">
            <v>Vivienne</v>
          </cell>
          <cell r="C2223">
            <v>3.2154769846561869E-2</v>
          </cell>
          <cell r="I2223" t="str">
            <v>Nesbitt</v>
          </cell>
        </row>
        <row r="2224">
          <cell r="A2224" t="str">
            <v>Vallie</v>
          </cell>
          <cell r="C2224">
            <v>3.2132532799641698E-2</v>
          </cell>
          <cell r="I2224" t="str">
            <v>Murry</v>
          </cell>
        </row>
        <row r="2225">
          <cell r="A2225" t="str">
            <v>Trudie</v>
          </cell>
          <cell r="C2225">
            <v>3.2110295752721535E-2</v>
          </cell>
          <cell r="I2225" t="str">
            <v>Jameson</v>
          </cell>
        </row>
        <row r="2226">
          <cell r="A2226" t="str">
            <v>Stephane</v>
          </cell>
          <cell r="C2226">
            <v>3.2088058705801364E-2</v>
          </cell>
          <cell r="I2226" t="str">
            <v>Wilhelm</v>
          </cell>
        </row>
        <row r="2227">
          <cell r="A2227" t="str">
            <v>Michel</v>
          </cell>
          <cell r="C2227">
            <v>3.2065821658881194E-2</v>
          </cell>
          <cell r="I2227" t="str">
            <v>Patten</v>
          </cell>
        </row>
        <row r="2228">
          <cell r="A2228" t="str">
            <v>Magaly</v>
          </cell>
          <cell r="C2228">
            <v>3.2043584611961023E-2</v>
          </cell>
          <cell r="I2228" t="str">
            <v>Minton</v>
          </cell>
        </row>
        <row r="2229">
          <cell r="A2229" t="str">
            <v>Madie</v>
          </cell>
          <cell r="C2229">
            <v>3.202134756504086E-2</v>
          </cell>
          <cell r="I2229" t="str">
            <v>Matson</v>
          </cell>
        </row>
        <row r="2230">
          <cell r="A2230" t="str">
            <v>Kenyetta</v>
          </cell>
          <cell r="C2230">
            <v>3.1999110518120689E-2</v>
          </cell>
          <cell r="I2230" t="str">
            <v>Kimbrough</v>
          </cell>
        </row>
        <row r="2231">
          <cell r="A2231" t="str">
            <v>Karren</v>
          </cell>
          <cell r="C2231">
            <v>3.1976873471200519E-2</v>
          </cell>
          <cell r="I2231" t="str">
            <v>Iverson</v>
          </cell>
        </row>
        <row r="2232">
          <cell r="A2232" t="str">
            <v>Janetta</v>
          </cell>
          <cell r="C2232">
            <v>3.1954636424280349E-2</v>
          </cell>
          <cell r="I2232" t="str">
            <v>Guinn</v>
          </cell>
        </row>
        <row r="2233">
          <cell r="A2233" t="str">
            <v>Hermine</v>
          </cell>
          <cell r="C2233">
            <v>3.1932399377360185E-2</v>
          </cell>
          <cell r="I2233" t="str">
            <v>Gale</v>
          </cell>
        </row>
        <row r="2234">
          <cell r="A2234" t="str">
            <v>Harmony</v>
          </cell>
          <cell r="C2234">
            <v>3.1910162330440014E-2</v>
          </cell>
          <cell r="I2234" t="str">
            <v>Fortune</v>
          </cell>
        </row>
        <row r="2235">
          <cell r="A2235" t="str">
            <v>Drucilla</v>
          </cell>
          <cell r="C2235">
            <v>3.1887925283519851E-2</v>
          </cell>
          <cell r="I2235" t="str">
            <v>Croft</v>
          </cell>
        </row>
        <row r="2236">
          <cell r="A2236" t="str">
            <v>Debbi</v>
          </cell>
          <cell r="C2236">
            <v>3.186568823659968E-2</v>
          </cell>
          <cell r="I2236" t="str">
            <v>Toth</v>
          </cell>
        </row>
        <row r="2237">
          <cell r="A2237" t="str">
            <v>Celestina</v>
          </cell>
          <cell r="C2237">
            <v>3.184345118967951E-2</v>
          </cell>
          <cell r="I2237" t="str">
            <v>Pulliam</v>
          </cell>
        </row>
        <row r="2238">
          <cell r="A2238" t="str">
            <v>Candie</v>
          </cell>
          <cell r="C2238">
            <v>3.182121414275934E-2</v>
          </cell>
          <cell r="I2238" t="str">
            <v>Nugent</v>
          </cell>
        </row>
        <row r="2239">
          <cell r="A2239" t="str">
            <v>Britni</v>
          </cell>
          <cell r="C2239">
            <v>3.1798977095839176E-2</v>
          </cell>
          <cell r="I2239" t="str">
            <v>Newby</v>
          </cell>
        </row>
        <row r="2240">
          <cell r="A2240" t="str">
            <v>Beckie</v>
          </cell>
          <cell r="C2240">
            <v>3.1776740048919005E-2</v>
          </cell>
          <cell r="I2240" t="str">
            <v>Littlejohn</v>
          </cell>
        </row>
        <row r="2241">
          <cell r="A2241" t="str">
            <v>Amina</v>
          </cell>
          <cell r="C2241">
            <v>3.1754503001998842E-2</v>
          </cell>
          <cell r="I2241" t="str">
            <v>Dias</v>
          </cell>
        </row>
        <row r="2242">
          <cell r="A2242" t="str">
            <v>Zita</v>
          </cell>
          <cell r="C2242">
            <v>3.1732265955078671E-2</v>
          </cell>
          <cell r="I2242" t="str">
            <v>Canales</v>
          </cell>
        </row>
        <row r="2243">
          <cell r="A2243" t="str">
            <v>Yun</v>
          </cell>
          <cell r="C2243">
            <v>3.1710028908158501E-2</v>
          </cell>
          <cell r="I2243" t="str">
            <v>Bernier</v>
          </cell>
        </row>
        <row r="2244">
          <cell r="A2244" t="str">
            <v>Yolande</v>
          </cell>
          <cell r="C2244">
            <v>3.1687791861238331E-2</v>
          </cell>
          <cell r="I2244" t="str">
            <v>Baron</v>
          </cell>
        </row>
        <row r="2245">
          <cell r="A2245" t="str">
            <v>Vivien</v>
          </cell>
          <cell r="C2245">
            <v>3.1665554814318167E-2</v>
          </cell>
          <cell r="I2245" t="str">
            <v>Barney</v>
          </cell>
        </row>
        <row r="2246">
          <cell r="A2246" t="str">
            <v>Vernetta</v>
          </cell>
          <cell r="C2246">
            <v>3.1643317767397997E-2</v>
          </cell>
          <cell r="I2246" t="str">
            <v>Singletary</v>
          </cell>
        </row>
        <row r="2247">
          <cell r="A2247" t="str">
            <v>Trudi</v>
          </cell>
          <cell r="C2247">
            <v>3.1621080720477826E-2</v>
          </cell>
          <cell r="I2247" t="str">
            <v>Renteria</v>
          </cell>
        </row>
        <row r="2248">
          <cell r="A2248" t="str">
            <v>Sommer</v>
          </cell>
          <cell r="C2248">
            <v>3.1598843673557656E-2</v>
          </cell>
          <cell r="I2248" t="str">
            <v>Pruett</v>
          </cell>
        </row>
        <row r="2249">
          <cell r="A2249" t="str">
            <v>Pearle</v>
          </cell>
          <cell r="C2249">
            <v>3.1576606626637492E-2</v>
          </cell>
          <cell r="I2249" t="str">
            <v>Mchugh</v>
          </cell>
        </row>
        <row r="2250">
          <cell r="A2250" t="str">
            <v>Patrina</v>
          </cell>
          <cell r="C2250">
            <v>3.1554369579717322E-2</v>
          </cell>
          <cell r="I2250" t="str">
            <v>Mabry</v>
          </cell>
        </row>
        <row r="2251">
          <cell r="A2251" t="str">
            <v>Ossie</v>
          </cell>
          <cell r="C2251">
            <v>3.1532132532797158E-2</v>
          </cell>
          <cell r="I2251" t="str">
            <v>Landrum</v>
          </cell>
        </row>
        <row r="2252">
          <cell r="A2252" t="str">
            <v>Nicolle</v>
          </cell>
          <cell r="C2252">
            <v>3.1509895485876988E-2</v>
          </cell>
          <cell r="I2252" t="str">
            <v>Brower</v>
          </cell>
        </row>
        <row r="2253">
          <cell r="A2253" t="str">
            <v>Loyce</v>
          </cell>
          <cell r="C2253">
            <v>3.1487658438956817E-2</v>
          </cell>
          <cell r="I2253" t="str">
            <v>Weldon</v>
          </cell>
        </row>
        <row r="2254">
          <cell r="A2254" t="str">
            <v>Letty</v>
          </cell>
          <cell r="C2254">
            <v>3.1465421392036647E-2</v>
          </cell>
          <cell r="I2254" t="str">
            <v>Stoddard</v>
          </cell>
        </row>
        <row r="2255">
          <cell r="A2255" t="str">
            <v>Larisa</v>
          </cell>
          <cell r="C2255">
            <v>3.1443184345116483E-2</v>
          </cell>
          <cell r="I2255" t="str">
            <v>Ruth</v>
          </cell>
        </row>
        <row r="2256">
          <cell r="A2256" t="str">
            <v>Katharina</v>
          </cell>
          <cell r="C2256">
            <v>3.1420947298196313E-2</v>
          </cell>
          <cell r="I2256" t="str">
            <v>Cagle</v>
          </cell>
        </row>
        <row r="2257">
          <cell r="A2257" t="str">
            <v>Joselyn</v>
          </cell>
          <cell r="C2257">
            <v>3.1398710251276149E-2</v>
          </cell>
          <cell r="I2257" t="str">
            <v>Stjohn</v>
          </cell>
        </row>
        <row r="2258">
          <cell r="A2258" t="str">
            <v>Jonelle</v>
          </cell>
          <cell r="C2258">
            <v>3.1376473204355972E-2</v>
          </cell>
          <cell r="I2258" t="str">
            <v>Scales</v>
          </cell>
        </row>
        <row r="2259">
          <cell r="A2259" t="str">
            <v>Jenell</v>
          </cell>
          <cell r="C2259">
            <v>3.1354236157435808E-2</v>
          </cell>
          <cell r="I2259" t="str">
            <v>Kohler</v>
          </cell>
        </row>
        <row r="2260">
          <cell r="A2260" t="str">
            <v>Iesha</v>
          </cell>
          <cell r="C2260">
            <v>3.1331999110515638E-2</v>
          </cell>
          <cell r="I2260" t="str">
            <v>Kellogg</v>
          </cell>
        </row>
        <row r="2261">
          <cell r="A2261" t="str">
            <v>Heide</v>
          </cell>
          <cell r="C2261">
            <v>3.1309762063595474E-2</v>
          </cell>
          <cell r="I2261" t="str">
            <v>Hopson</v>
          </cell>
        </row>
        <row r="2262">
          <cell r="A2262" t="str">
            <v>Florinda</v>
          </cell>
          <cell r="C2262">
            <v>3.1287525016675304E-2</v>
          </cell>
          <cell r="I2262" t="str">
            <v>Gant</v>
          </cell>
        </row>
        <row r="2263">
          <cell r="A2263" t="str">
            <v>Florentina</v>
          </cell>
          <cell r="C2263">
            <v>3.1265287969755133E-2</v>
          </cell>
          <cell r="I2263" t="str">
            <v>Tharp</v>
          </cell>
        </row>
        <row r="2264">
          <cell r="A2264" t="str">
            <v>Flo</v>
          </cell>
          <cell r="C2264">
            <v>3.1243050922834966E-2</v>
          </cell>
          <cell r="I2264" t="str">
            <v>Gann</v>
          </cell>
        </row>
        <row r="2265">
          <cell r="A2265" t="str">
            <v>Elodia</v>
          </cell>
          <cell r="C2265">
            <v>3.1220813875914799E-2</v>
          </cell>
          <cell r="I2265" t="str">
            <v>Zeigler</v>
          </cell>
        </row>
        <row r="2266">
          <cell r="A2266" t="str">
            <v>Dorine</v>
          </cell>
          <cell r="C2266">
            <v>3.1198576828994629E-2</v>
          </cell>
          <cell r="I2266" t="str">
            <v>Pringle</v>
          </cell>
        </row>
        <row r="2267">
          <cell r="A2267" t="str">
            <v>Brunilda</v>
          </cell>
          <cell r="C2267">
            <v>3.1176339782074462E-2</v>
          </cell>
          <cell r="I2267" t="str">
            <v>Hammons</v>
          </cell>
        </row>
        <row r="2268">
          <cell r="A2268" t="str">
            <v>Brigid</v>
          </cell>
          <cell r="C2268">
            <v>3.1154102735154291E-2</v>
          </cell>
          <cell r="I2268" t="str">
            <v>Fairchild</v>
          </cell>
        </row>
        <row r="2269">
          <cell r="A2269" t="str">
            <v>Ashli</v>
          </cell>
          <cell r="C2269">
            <v>3.1131865688234128E-2</v>
          </cell>
          <cell r="I2269" t="str">
            <v>Deaton</v>
          </cell>
        </row>
        <row r="2270">
          <cell r="A2270" t="str">
            <v>Ardella</v>
          </cell>
          <cell r="C2270">
            <v>3.1109628641313954E-2</v>
          </cell>
          <cell r="I2270" t="str">
            <v>Chavis</v>
          </cell>
        </row>
        <row r="2271">
          <cell r="A2271" t="str">
            <v>Twana</v>
          </cell>
          <cell r="C2271">
            <v>3.108739159439379E-2</v>
          </cell>
          <cell r="I2271" t="str">
            <v>Carnes</v>
          </cell>
        </row>
        <row r="2272">
          <cell r="A2272" t="str">
            <v>Thu</v>
          </cell>
          <cell r="C2272">
            <v>3.106515454747362E-2</v>
          </cell>
          <cell r="I2272" t="str">
            <v>Rowley</v>
          </cell>
        </row>
        <row r="2273">
          <cell r="A2273" t="str">
            <v>Tarah</v>
          </cell>
          <cell r="C2273">
            <v>3.1042917500553453E-2</v>
          </cell>
          <cell r="I2273" t="str">
            <v>Matlock</v>
          </cell>
        </row>
        <row r="2274">
          <cell r="A2274" t="str">
            <v>Sung</v>
          </cell>
          <cell r="C2274">
            <v>3.1020680453633282E-2</v>
          </cell>
          <cell r="I2274" t="str">
            <v>Libby</v>
          </cell>
        </row>
        <row r="2275">
          <cell r="A2275" t="str">
            <v>Shea</v>
          </cell>
          <cell r="C2275">
            <v>3.0998443406713115E-2</v>
          </cell>
          <cell r="I2275" t="str">
            <v>Kearns</v>
          </cell>
        </row>
        <row r="2276">
          <cell r="A2276" t="str">
            <v>Shavon</v>
          </cell>
          <cell r="C2276">
            <v>3.0976206359792945E-2</v>
          </cell>
          <cell r="I2276" t="str">
            <v>Irizarry</v>
          </cell>
        </row>
        <row r="2277">
          <cell r="A2277" t="str">
            <v>Shane</v>
          </cell>
          <cell r="C2277">
            <v>3.0953969312872781E-2</v>
          </cell>
          <cell r="I2277" t="str">
            <v>Carrington</v>
          </cell>
        </row>
        <row r="2278">
          <cell r="A2278" t="str">
            <v>Serina</v>
          </cell>
          <cell r="C2278">
            <v>3.0931732265952607E-2</v>
          </cell>
          <cell r="I2278" t="str">
            <v>Starkey</v>
          </cell>
        </row>
        <row r="2279">
          <cell r="A2279" t="str">
            <v>Rayna</v>
          </cell>
          <cell r="C2279">
            <v>3.0909495219032444E-2</v>
          </cell>
          <cell r="I2279" t="str">
            <v>Pepper</v>
          </cell>
        </row>
        <row r="2280">
          <cell r="A2280" t="str">
            <v>Ramonita</v>
          </cell>
          <cell r="C2280">
            <v>3.0887258172112273E-2</v>
          </cell>
          <cell r="I2280" t="str">
            <v>Lopes</v>
          </cell>
        </row>
        <row r="2281">
          <cell r="A2281" t="str">
            <v>Nga</v>
          </cell>
          <cell r="C2281">
            <v>3.0865021125192106E-2</v>
          </cell>
          <cell r="I2281" t="str">
            <v>Jarrell</v>
          </cell>
        </row>
        <row r="2282">
          <cell r="A2282" t="str">
            <v>Margurite</v>
          </cell>
          <cell r="C2282">
            <v>3.0842784078271936E-2</v>
          </cell>
          <cell r="I2282" t="str">
            <v>Fay</v>
          </cell>
        </row>
        <row r="2283">
          <cell r="A2283" t="str">
            <v>Lucrecia</v>
          </cell>
          <cell r="C2283">
            <v>3.0820547031351769E-2</v>
          </cell>
          <cell r="I2283" t="str">
            <v>Craven</v>
          </cell>
        </row>
        <row r="2284">
          <cell r="A2284" t="str">
            <v>Kourtney</v>
          </cell>
          <cell r="C2284">
            <v>3.0798309984431598E-2</v>
          </cell>
          <cell r="I2284" t="str">
            <v>Beverly</v>
          </cell>
        </row>
        <row r="2285">
          <cell r="A2285" t="str">
            <v>Kati</v>
          </cell>
          <cell r="C2285">
            <v>3.0776072937511435E-2</v>
          </cell>
          <cell r="I2285" t="str">
            <v>Baum</v>
          </cell>
        </row>
        <row r="2286">
          <cell r="A2286" t="str">
            <v>Jesus</v>
          </cell>
          <cell r="C2286">
            <v>3.0753835890591261E-2</v>
          </cell>
          <cell r="I2286" t="str">
            <v>Spain</v>
          </cell>
        </row>
        <row r="2287">
          <cell r="A2287" t="str">
            <v>Jesenia</v>
          </cell>
          <cell r="C2287">
            <v>3.0731598843671097E-2</v>
          </cell>
          <cell r="I2287" t="str">
            <v>Littlefield</v>
          </cell>
        </row>
        <row r="2288">
          <cell r="A2288" t="str">
            <v>Diamond</v>
          </cell>
          <cell r="C2288">
            <v>3.0709361796750927E-2</v>
          </cell>
          <cell r="I2288" t="str">
            <v>Linn</v>
          </cell>
        </row>
        <row r="2289">
          <cell r="A2289" t="str">
            <v>Crista</v>
          </cell>
          <cell r="C2289">
            <v>3.068712474983076E-2</v>
          </cell>
          <cell r="I2289" t="str">
            <v>Humphreys</v>
          </cell>
        </row>
        <row r="2290">
          <cell r="A2290" t="str">
            <v>Ayana</v>
          </cell>
          <cell r="C2290">
            <v>3.0664887702910589E-2</v>
          </cell>
          <cell r="I2290" t="str">
            <v>Hook</v>
          </cell>
        </row>
        <row r="2291">
          <cell r="A2291" t="str">
            <v>Alica</v>
          </cell>
          <cell r="C2291">
            <v>3.0642650655990422E-2</v>
          </cell>
          <cell r="I2291" t="str">
            <v>High</v>
          </cell>
        </row>
        <row r="2292">
          <cell r="A2292" t="str">
            <v>Alia</v>
          </cell>
          <cell r="C2292">
            <v>3.0620413609070252E-2</v>
          </cell>
          <cell r="I2292" t="str">
            <v>Etheridge</v>
          </cell>
        </row>
        <row r="2293">
          <cell r="A2293" t="str">
            <v>Vinnie</v>
          </cell>
          <cell r="C2293">
            <v>3.0598176562150088E-2</v>
          </cell>
          <cell r="I2293" t="str">
            <v>Cuellar</v>
          </cell>
        </row>
        <row r="2294">
          <cell r="A2294" t="str">
            <v>Suellen</v>
          </cell>
          <cell r="C2294">
            <v>3.0575939515229914E-2</v>
          </cell>
          <cell r="I2294" t="str">
            <v>Chastain</v>
          </cell>
        </row>
        <row r="2295">
          <cell r="A2295" t="str">
            <v>Romelia</v>
          </cell>
          <cell r="C2295">
            <v>3.0553702468309751E-2</v>
          </cell>
          <cell r="I2295" t="str">
            <v>Chance</v>
          </cell>
        </row>
        <row r="2296">
          <cell r="A2296" t="str">
            <v>Rachell</v>
          </cell>
          <cell r="C2296">
            <v>3.053146542138958E-2</v>
          </cell>
          <cell r="I2296" t="str">
            <v>Bundy</v>
          </cell>
        </row>
        <row r="2297">
          <cell r="A2297" t="str">
            <v>Piper</v>
          </cell>
          <cell r="C2297">
            <v>3.0509228374469413E-2</v>
          </cell>
          <cell r="I2297" t="str">
            <v>Speer</v>
          </cell>
        </row>
        <row r="2298">
          <cell r="A2298" t="str">
            <v>Olympia</v>
          </cell>
          <cell r="C2298">
            <v>3.0486991327549243E-2</v>
          </cell>
          <cell r="I2298" t="str">
            <v>Skelton</v>
          </cell>
        </row>
        <row r="2299">
          <cell r="A2299" t="str">
            <v>Michiko</v>
          </cell>
          <cell r="C2299">
            <v>3.0464754280629076E-2</v>
          </cell>
          <cell r="I2299" t="str">
            <v>Quiroz</v>
          </cell>
        </row>
        <row r="2300">
          <cell r="A2300" t="str">
            <v>Kathaleen</v>
          </cell>
          <cell r="C2300">
            <v>3.0442517233708905E-2</v>
          </cell>
          <cell r="I2300" t="str">
            <v>Pyle</v>
          </cell>
        </row>
        <row r="2301">
          <cell r="A2301" t="str">
            <v>Jolie</v>
          </cell>
          <cell r="C2301">
            <v>3.0420280186788742E-2</v>
          </cell>
          <cell r="I2301" t="str">
            <v>Portillo</v>
          </cell>
        </row>
        <row r="2302">
          <cell r="A2302" t="str">
            <v>Jessi</v>
          </cell>
          <cell r="C2302">
            <v>3.0398043139868568E-2</v>
          </cell>
          <cell r="I2302" t="str">
            <v>Ponder</v>
          </cell>
        </row>
        <row r="2303">
          <cell r="A2303" t="str">
            <v>Janessa</v>
          </cell>
          <cell r="C2303">
            <v>3.0375806092948404E-2</v>
          </cell>
          <cell r="I2303" t="str">
            <v>Moulton</v>
          </cell>
        </row>
        <row r="2304">
          <cell r="A2304" t="str">
            <v>Hana</v>
          </cell>
          <cell r="C2304">
            <v>3.0353569046028234E-2</v>
          </cell>
          <cell r="I2304" t="str">
            <v>Machado</v>
          </cell>
        </row>
        <row r="2305">
          <cell r="A2305" t="str">
            <v>Ha</v>
          </cell>
          <cell r="C2305">
            <v>3.0331331999108067E-2</v>
          </cell>
          <cell r="I2305" t="str">
            <v>Liu</v>
          </cell>
        </row>
        <row r="2306">
          <cell r="A2306" t="str">
            <v>Elease</v>
          </cell>
          <cell r="C2306">
            <v>3.0309094952187896E-2</v>
          </cell>
          <cell r="I2306" t="str">
            <v>Killian</v>
          </cell>
        </row>
        <row r="2307">
          <cell r="A2307" t="str">
            <v>Carletta</v>
          </cell>
          <cell r="C2307">
            <v>3.0286857905267729E-2</v>
          </cell>
          <cell r="I2307" t="str">
            <v>Hutson</v>
          </cell>
        </row>
        <row r="2308">
          <cell r="A2308" t="str">
            <v>Britany</v>
          </cell>
          <cell r="C2308">
            <v>3.0264620858347559E-2</v>
          </cell>
          <cell r="I2308" t="str">
            <v>Hitchcock</v>
          </cell>
        </row>
        <row r="2309">
          <cell r="A2309" t="str">
            <v>Shona</v>
          </cell>
          <cell r="C2309">
            <v>3.0242383811427395E-2</v>
          </cell>
          <cell r="I2309" t="str">
            <v>Ellsworth</v>
          </cell>
        </row>
        <row r="2310">
          <cell r="A2310" t="str">
            <v>Salome</v>
          </cell>
          <cell r="C2310">
            <v>3.0220146764507221E-2</v>
          </cell>
          <cell r="I2310" t="str">
            <v>Dowling</v>
          </cell>
        </row>
        <row r="2311">
          <cell r="A2311" t="str">
            <v>Rosamond</v>
          </cell>
          <cell r="C2311">
            <v>3.0197909717587058E-2</v>
          </cell>
          <cell r="I2311" t="str">
            <v>Cloud</v>
          </cell>
        </row>
        <row r="2312">
          <cell r="A2312" t="str">
            <v>Regena</v>
          </cell>
          <cell r="C2312">
            <v>3.0175672670666887E-2</v>
          </cell>
          <cell r="I2312" t="str">
            <v>Burdick</v>
          </cell>
        </row>
        <row r="2313">
          <cell r="A2313" t="str">
            <v>Raina</v>
          </cell>
          <cell r="C2313">
            <v>3.015343562374672E-2</v>
          </cell>
          <cell r="I2313" t="str">
            <v>Spann</v>
          </cell>
        </row>
        <row r="2314">
          <cell r="A2314" t="str">
            <v>Ngoc</v>
          </cell>
          <cell r="C2314">
            <v>3.013119857682655E-2</v>
          </cell>
          <cell r="I2314" t="str">
            <v>Pedersen</v>
          </cell>
        </row>
        <row r="2315">
          <cell r="A2315" t="str">
            <v>Nelia</v>
          </cell>
          <cell r="C2315">
            <v>3.0108961529906383E-2</v>
          </cell>
          <cell r="I2315" t="str">
            <v>Levin</v>
          </cell>
        </row>
        <row r="2316">
          <cell r="A2316" t="str">
            <v>Louvenia</v>
          </cell>
          <cell r="C2316">
            <v>3.0086724482986212E-2</v>
          </cell>
          <cell r="I2316" t="str">
            <v>Leggett</v>
          </cell>
        </row>
        <row r="2317">
          <cell r="A2317" t="str">
            <v>Lesia</v>
          </cell>
          <cell r="C2317">
            <v>3.0064487436066049E-2</v>
          </cell>
          <cell r="I2317" t="str">
            <v>Hayward</v>
          </cell>
        </row>
        <row r="2318">
          <cell r="A2318" t="str">
            <v>Latrina</v>
          </cell>
          <cell r="C2318">
            <v>3.0042250389145875E-2</v>
          </cell>
          <cell r="I2318" t="str">
            <v>Hacker</v>
          </cell>
        </row>
        <row r="2319">
          <cell r="A2319" t="str">
            <v>Laticia</v>
          </cell>
          <cell r="C2319">
            <v>3.0020013342225711E-2</v>
          </cell>
          <cell r="I2319" t="str">
            <v>Dietrich</v>
          </cell>
        </row>
        <row r="2320">
          <cell r="A2320" t="str">
            <v>Larhonda</v>
          </cell>
          <cell r="C2320">
            <v>2.9997776295305541E-2</v>
          </cell>
          <cell r="I2320" t="str">
            <v>Beaulieu</v>
          </cell>
        </row>
        <row r="2321">
          <cell r="A2321" t="str">
            <v>Jina</v>
          </cell>
          <cell r="C2321">
            <v>2.9975539248385374E-2</v>
          </cell>
          <cell r="I2321" t="str">
            <v>Barksdale</v>
          </cell>
        </row>
        <row r="2322">
          <cell r="A2322" t="str">
            <v>Jacki</v>
          </cell>
          <cell r="C2322">
            <v>2.9953302201465203E-2</v>
          </cell>
          <cell r="I2322" t="str">
            <v>Wakefield</v>
          </cell>
        </row>
        <row r="2323">
          <cell r="A2323" t="str">
            <v>Hollis</v>
          </cell>
          <cell r="C2323">
            <v>2.9931065154545036E-2</v>
          </cell>
          <cell r="I2323" t="str">
            <v>Snowden</v>
          </cell>
        </row>
        <row r="2324">
          <cell r="A2324" t="str">
            <v>Holley</v>
          </cell>
          <cell r="C2324">
            <v>2.9908828107624866E-2</v>
          </cell>
          <cell r="I2324" t="str">
            <v>Paris</v>
          </cell>
        </row>
        <row r="2325">
          <cell r="A2325" t="str">
            <v>Emmy</v>
          </cell>
          <cell r="C2325">
            <v>2.9886591060704702E-2</v>
          </cell>
          <cell r="I2325" t="str">
            <v>Briscoe</v>
          </cell>
        </row>
        <row r="2326">
          <cell r="A2326" t="str">
            <v>Deeann</v>
          </cell>
          <cell r="C2326">
            <v>2.9864354013784528E-2</v>
          </cell>
          <cell r="I2326" t="str">
            <v>Bowie</v>
          </cell>
        </row>
        <row r="2327">
          <cell r="A2327" t="str">
            <v>Coretta</v>
          </cell>
          <cell r="C2327">
            <v>2.9842116966864365E-2</v>
          </cell>
          <cell r="I2327" t="str">
            <v>Berman</v>
          </cell>
        </row>
        <row r="2328">
          <cell r="A2328" t="str">
            <v>Arnetta</v>
          </cell>
          <cell r="C2328">
            <v>2.9819879919944194E-2</v>
          </cell>
          <cell r="I2328" t="str">
            <v>Ogle</v>
          </cell>
        </row>
        <row r="2329">
          <cell r="A2329" t="str">
            <v>Velvet</v>
          </cell>
          <cell r="C2329">
            <v>2.9797642873024027E-2</v>
          </cell>
          <cell r="I2329" t="str">
            <v>Mcgregor</v>
          </cell>
        </row>
        <row r="2330">
          <cell r="A2330" t="str">
            <v>Thalia</v>
          </cell>
          <cell r="C2330">
            <v>2.9775405826103857E-2</v>
          </cell>
          <cell r="I2330" t="str">
            <v>Laughlin</v>
          </cell>
        </row>
        <row r="2331">
          <cell r="A2331" t="str">
            <v>Shanice</v>
          </cell>
          <cell r="C2331">
            <v>2.975316877918369E-2</v>
          </cell>
          <cell r="I2331" t="str">
            <v>Helm</v>
          </cell>
        </row>
        <row r="2332">
          <cell r="A2332" t="str">
            <v>Neta</v>
          </cell>
          <cell r="C2332">
            <v>2.9730931732263519E-2</v>
          </cell>
          <cell r="I2332" t="str">
            <v>Burden</v>
          </cell>
        </row>
        <row r="2333">
          <cell r="A2333" t="str">
            <v>Mikki</v>
          </cell>
          <cell r="C2333">
            <v>2.9708694685343356E-2</v>
          </cell>
          <cell r="I2333" t="str">
            <v>Wheatley</v>
          </cell>
        </row>
        <row r="2334">
          <cell r="A2334" t="str">
            <v>Micki</v>
          </cell>
          <cell r="C2334">
            <v>2.9686457638423182E-2</v>
          </cell>
          <cell r="I2334" t="str">
            <v>Schreiber</v>
          </cell>
        </row>
        <row r="2335">
          <cell r="A2335" t="str">
            <v>Lonna</v>
          </cell>
          <cell r="C2335">
            <v>2.9664220591503018E-2</v>
          </cell>
          <cell r="I2335" t="str">
            <v>Pressley</v>
          </cell>
        </row>
        <row r="2336">
          <cell r="A2336" t="str">
            <v>Leana</v>
          </cell>
          <cell r="C2336">
            <v>2.9641983544582848E-2</v>
          </cell>
          <cell r="I2336" t="str">
            <v>Parris</v>
          </cell>
        </row>
        <row r="2337">
          <cell r="A2337" t="str">
            <v>Lashunda</v>
          </cell>
          <cell r="C2337">
            <v>2.9619746497662681E-2</v>
          </cell>
          <cell r="I2337" t="str">
            <v>Ng</v>
          </cell>
        </row>
        <row r="2338">
          <cell r="A2338" t="str">
            <v>Kiley</v>
          </cell>
          <cell r="C2338">
            <v>2.959750945074251E-2</v>
          </cell>
          <cell r="I2338" t="str">
            <v>Alaniz</v>
          </cell>
        </row>
        <row r="2339">
          <cell r="A2339" t="str">
            <v>Joye</v>
          </cell>
          <cell r="C2339">
            <v>2.9575272403822343E-2</v>
          </cell>
          <cell r="I2339" t="str">
            <v>Agee</v>
          </cell>
        </row>
        <row r="2340">
          <cell r="A2340" t="str">
            <v>Jacqulyn</v>
          </cell>
          <cell r="C2340">
            <v>2.9553035356902173E-2</v>
          </cell>
          <cell r="I2340" t="str">
            <v>Urban</v>
          </cell>
        </row>
        <row r="2341">
          <cell r="A2341" t="str">
            <v>Ignacia</v>
          </cell>
          <cell r="C2341">
            <v>2.9530798309982009E-2</v>
          </cell>
          <cell r="I2341" t="str">
            <v>Swann</v>
          </cell>
        </row>
        <row r="2342">
          <cell r="A2342" t="str">
            <v>Hyun</v>
          </cell>
          <cell r="C2342">
            <v>2.9508561263061835E-2</v>
          </cell>
          <cell r="I2342" t="str">
            <v>Snodgrass</v>
          </cell>
        </row>
        <row r="2343">
          <cell r="A2343" t="str">
            <v>Hiroko</v>
          </cell>
          <cell r="C2343">
            <v>2.9486324216141672E-2</v>
          </cell>
          <cell r="I2343" t="str">
            <v>Schuster</v>
          </cell>
        </row>
        <row r="2344">
          <cell r="A2344" t="str">
            <v>Henry</v>
          </cell>
          <cell r="C2344">
            <v>2.9464087169221501E-2</v>
          </cell>
          <cell r="I2344" t="str">
            <v>Radford</v>
          </cell>
        </row>
        <row r="2345">
          <cell r="A2345" t="str">
            <v>Henriette</v>
          </cell>
          <cell r="C2345">
            <v>2.9441850122301334E-2</v>
          </cell>
          <cell r="I2345" t="str">
            <v>Monk</v>
          </cell>
        </row>
        <row r="2346">
          <cell r="A2346" t="str">
            <v>Elayne</v>
          </cell>
          <cell r="C2346">
            <v>2.9419613075381164E-2</v>
          </cell>
          <cell r="I2346" t="str">
            <v>Mattingly</v>
          </cell>
        </row>
        <row r="2347">
          <cell r="A2347" t="str">
            <v>Delinda</v>
          </cell>
          <cell r="C2347">
            <v>2.9397376028460997E-2</v>
          </cell>
          <cell r="I2347" t="str">
            <v>Main</v>
          </cell>
        </row>
        <row r="2348">
          <cell r="A2348" t="str">
            <v>Darnell</v>
          </cell>
          <cell r="C2348">
            <v>2.9375138981540826E-2</v>
          </cell>
          <cell r="I2348" t="str">
            <v>Lamar</v>
          </cell>
        </row>
        <row r="2349">
          <cell r="A2349" t="str">
            <v>Dahlia</v>
          </cell>
          <cell r="C2349">
            <v>2.9352901934620663E-2</v>
          </cell>
          <cell r="I2349" t="str">
            <v>Harp</v>
          </cell>
        </row>
        <row r="2350">
          <cell r="A2350" t="str">
            <v>Coreen</v>
          </cell>
          <cell r="C2350">
            <v>2.9330664887700489E-2</v>
          </cell>
          <cell r="I2350" t="str">
            <v>Girard</v>
          </cell>
        </row>
        <row r="2351">
          <cell r="A2351" t="str">
            <v>Consuela</v>
          </cell>
          <cell r="C2351">
            <v>2.9308427840780325E-2</v>
          </cell>
          <cell r="I2351" t="str">
            <v>Cheney</v>
          </cell>
        </row>
        <row r="2352">
          <cell r="A2352" t="str">
            <v>Conchita</v>
          </cell>
          <cell r="C2352">
            <v>2.9286190793860155E-2</v>
          </cell>
          <cell r="I2352" t="str">
            <v>Yancey</v>
          </cell>
        </row>
        <row r="2353">
          <cell r="A2353" t="str">
            <v>Celine</v>
          </cell>
          <cell r="C2353">
            <v>2.9263953746939988E-2</v>
          </cell>
          <cell r="I2353" t="str">
            <v>Wagoner</v>
          </cell>
        </row>
        <row r="2354">
          <cell r="A2354" t="str">
            <v>Babette</v>
          </cell>
          <cell r="C2354">
            <v>2.9241716700019817E-2</v>
          </cell>
          <cell r="I2354" t="str">
            <v>Ridley</v>
          </cell>
        </row>
        <row r="2355">
          <cell r="A2355" t="str">
            <v>Ayanna</v>
          </cell>
          <cell r="C2355">
            <v>2.921947965309965E-2</v>
          </cell>
          <cell r="I2355" t="str">
            <v>Lombardo</v>
          </cell>
        </row>
        <row r="2356">
          <cell r="A2356" t="str">
            <v>Anette</v>
          </cell>
          <cell r="C2356">
            <v>2.919724260617948E-2</v>
          </cell>
          <cell r="I2356" t="str">
            <v>Lau</v>
          </cell>
        </row>
        <row r="2357">
          <cell r="A2357" t="str">
            <v>Albertina</v>
          </cell>
          <cell r="C2357">
            <v>2.9175005559259316E-2</v>
          </cell>
          <cell r="I2357" t="str">
            <v>Hudgins</v>
          </cell>
        </row>
        <row r="2358">
          <cell r="A2358" t="str">
            <v>Skye</v>
          </cell>
          <cell r="C2358">
            <v>2.9152768512339142E-2</v>
          </cell>
          <cell r="I2358" t="str">
            <v>Gaskins</v>
          </cell>
        </row>
        <row r="2359">
          <cell r="A2359" t="str">
            <v>Shawnee</v>
          </cell>
          <cell r="C2359">
            <v>2.9130531465418979E-2</v>
          </cell>
          <cell r="I2359" t="str">
            <v>Duckworth</v>
          </cell>
        </row>
        <row r="2360">
          <cell r="A2360" t="str">
            <v>Shaneka</v>
          </cell>
          <cell r="C2360">
            <v>2.9108294418498808E-2</v>
          </cell>
          <cell r="I2360" t="str">
            <v>Coe</v>
          </cell>
        </row>
        <row r="2361">
          <cell r="A2361" t="str">
            <v>Quiana</v>
          </cell>
          <cell r="C2361">
            <v>2.9086057371578641E-2</v>
          </cell>
          <cell r="I2361" t="str">
            <v>Coburn</v>
          </cell>
        </row>
        <row r="2362">
          <cell r="A2362" t="str">
            <v>Pamelia</v>
          </cell>
          <cell r="C2362">
            <v>2.9063820324658471E-2</v>
          </cell>
          <cell r="I2362" t="str">
            <v>Willey</v>
          </cell>
        </row>
        <row r="2363">
          <cell r="A2363" t="str">
            <v>Min</v>
          </cell>
          <cell r="C2363">
            <v>2.9041583277738304E-2</v>
          </cell>
          <cell r="I2363" t="str">
            <v>Prado</v>
          </cell>
        </row>
        <row r="2364">
          <cell r="A2364" t="str">
            <v>Merri</v>
          </cell>
          <cell r="C2364">
            <v>2.9019346230818133E-2</v>
          </cell>
          <cell r="I2364" t="str">
            <v>Newberry</v>
          </cell>
        </row>
        <row r="2365">
          <cell r="A2365" t="str">
            <v>Merlene</v>
          </cell>
          <cell r="C2365">
            <v>2.8997109183897966E-2</v>
          </cell>
          <cell r="I2365" t="str">
            <v>Magana</v>
          </cell>
        </row>
        <row r="2366">
          <cell r="A2366" t="str">
            <v>Margit</v>
          </cell>
          <cell r="C2366">
            <v>2.8974872136977796E-2</v>
          </cell>
          <cell r="I2366" t="str">
            <v>Hammonds</v>
          </cell>
        </row>
        <row r="2367">
          <cell r="A2367" t="str">
            <v>Kiesha</v>
          </cell>
          <cell r="C2367">
            <v>2.8952635090057632E-2</v>
          </cell>
          <cell r="I2367" t="str">
            <v>Elam</v>
          </cell>
        </row>
        <row r="2368">
          <cell r="A2368" t="str">
            <v>Kiera</v>
          </cell>
          <cell r="C2368">
            <v>2.8930398043137462E-2</v>
          </cell>
          <cell r="I2368" t="str">
            <v>Whipple</v>
          </cell>
        </row>
        <row r="2369">
          <cell r="A2369" t="str">
            <v>Kaylene</v>
          </cell>
          <cell r="C2369">
            <v>2.8908160996217295E-2</v>
          </cell>
          <cell r="I2369" t="str">
            <v>Slade</v>
          </cell>
        </row>
        <row r="2370">
          <cell r="A2370" t="str">
            <v>Jodee</v>
          </cell>
          <cell r="C2370">
            <v>2.8885923949297124E-2</v>
          </cell>
          <cell r="I2370" t="str">
            <v>Serna</v>
          </cell>
        </row>
        <row r="2371">
          <cell r="A2371" t="str">
            <v>Jenise</v>
          </cell>
          <cell r="C2371">
            <v>2.8863686902376957E-2</v>
          </cell>
          <cell r="I2371" t="str">
            <v>Ojeda</v>
          </cell>
        </row>
        <row r="2372">
          <cell r="A2372" t="str">
            <v>Erlene</v>
          </cell>
          <cell r="C2372">
            <v>2.8841449855456787E-2</v>
          </cell>
          <cell r="I2372" t="str">
            <v>Liles</v>
          </cell>
        </row>
        <row r="2373">
          <cell r="A2373" t="str">
            <v>Emmie</v>
          </cell>
          <cell r="C2373">
            <v>2.881921280853662E-2</v>
          </cell>
          <cell r="I2373" t="str">
            <v>Dorman</v>
          </cell>
        </row>
        <row r="2374">
          <cell r="A2374" t="str">
            <v>Else</v>
          </cell>
          <cell r="C2374">
            <v>2.8796975761616449E-2</v>
          </cell>
          <cell r="I2374" t="str">
            <v>Diehl</v>
          </cell>
        </row>
        <row r="2375">
          <cell r="A2375" t="str">
            <v>Daryl</v>
          </cell>
          <cell r="C2375">
            <v>2.8774738714696286E-2</v>
          </cell>
          <cell r="I2375" t="str">
            <v>Angel</v>
          </cell>
        </row>
        <row r="2376">
          <cell r="A2376" t="str">
            <v>Dalila</v>
          </cell>
          <cell r="C2376">
            <v>2.8752501667776115E-2</v>
          </cell>
          <cell r="I2376" t="str">
            <v>Upton</v>
          </cell>
        </row>
        <row r="2377">
          <cell r="A2377" t="str">
            <v>Daisey</v>
          </cell>
          <cell r="C2377">
            <v>2.8730264620855948E-2</v>
          </cell>
          <cell r="I2377" t="str">
            <v>Reardon</v>
          </cell>
        </row>
        <row r="2378">
          <cell r="A2378" t="str">
            <v>Cody</v>
          </cell>
          <cell r="C2378">
            <v>2.8708027573935778E-2</v>
          </cell>
          <cell r="I2378" t="str">
            <v>Michaels</v>
          </cell>
        </row>
        <row r="2379">
          <cell r="A2379" t="str">
            <v>Casie</v>
          </cell>
          <cell r="C2379">
            <v>2.8685790527015611E-2</v>
          </cell>
          <cell r="I2379" t="str">
            <v>Kelsey</v>
          </cell>
        </row>
        <row r="2380">
          <cell r="A2380" t="str">
            <v>Belia</v>
          </cell>
          <cell r="C2380">
            <v>2.866355348009544E-2</v>
          </cell>
          <cell r="I2380" t="str">
            <v>Goetz</v>
          </cell>
        </row>
        <row r="2381">
          <cell r="A2381" t="str">
            <v>Babara</v>
          </cell>
          <cell r="C2381">
            <v>2.8641316433175273E-2</v>
          </cell>
          <cell r="I2381" t="str">
            <v>Eller</v>
          </cell>
        </row>
        <row r="2382">
          <cell r="A2382" t="str">
            <v>Versie</v>
          </cell>
          <cell r="C2382">
            <v>2.8619079386255103E-2</v>
          </cell>
          <cell r="I2382" t="str">
            <v>Bauman</v>
          </cell>
        </row>
        <row r="2383">
          <cell r="A2383" t="str">
            <v>Vanesa</v>
          </cell>
          <cell r="C2383">
            <v>2.8596842339334939E-2</v>
          </cell>
          <cell r="I2383" t="str">
            <v>Baer</v>
          </cell>
        </row>
        <row r="2384">
          <cell r="A2384" t="str">
            <v>Shelba</v>
          </cell>
          <cell r="C2384">
            <v>2.8574605292414769E-2</v>
          </cell>
          <cell r="I2384" t="str">
            <v>Augustine</v>
          </cell>
        </row>
        <row r="2385">
          <cell r="A2385" t="str">
            <v>Shawnda</v>
          </cell>
          <cell r="C2385">
            <v>2.8552368245494602E-2</v>
          </cell>
          <cell r="I2385" t="str">
            <v>Layne</v>
          </cell>
        </row>
        <row r="2386">
          <cell r="A2386" t="str">
            <v>Sam</v>
          </cell>
          <cell r="C2386">
            <v>2.8530131198574431E-2</v>
          </cell>
          <cell r="I2386" t="str">
            <v>Hummel</v>
          </cell>
        </row>
        <row r="2387">
          <cell r="A2387" t="str">
            <v>Norman</v>
          </cell>
          <cell r="C2387">
            <v>2.8507894151654264E-2</v>
          </cell>
          <cell r="I2387" t="str">
            <v>Brenner</v>
          </cell>
        </row>
        <row r="2388">
          <cell r="A2388" t="str">
            <v>Nikia</v>
          </cell>
          <cell r="C2388">
            <v>2.8485657104734094E-2</v>
          </cell>
          <cell r="I2388" t="str">
            <v>Amaya</v>
          </cell>
        </row>
        <row r="2389">
          <cell r="A2389" t="str">
            <v>Naoma</v>
          </cell>
          <cell r="C2389">
            <v>2.8463420057813927E-2</v>
          </cell>
          <cell r="I2389" t="str">
            <v>Adamson</v>
          </cell>
        </row>
        <row r="2390">
          <cell r="A2390" t="str">
            <v>Marna</v>
          </cell>
          <cell r="C2390">
            <v>2.8441183010893756E-2</v>
          </cell>
          <cell r="I2390" t="str">
            <v>Ornelas</v>
          </cell>
        </row>
        <row r="2391">
          <cell r="A2391" t="str">
            <v>Margeret</v>
          </cell>
          <cell r="C2391">
            <v>2.8418945963973593E-2</v>
          </cell>
          <cell r="I2391" t="str">
            <v>Dowell</v>
          </cell>
        </row>
        <row r="2392">
          <cell r="A2392" t="str">
            <v>Madaline</v>
          </cell>
          <cell r="C2392">
            <v>2.8396708917053422E-2</v>
          </cell>
          <cell r="I2392" t="str">
            <v>Cloutier</v>
          </cell>
        </row>
        <row r="2393">
          <cell r="A2393" t="str">
            <v>Lawana</v>
          </cell>
          <cell r="C2393">
            <v>2.8374471870133255E-2</v>
          </cell>
          <cell r="I2393" t="str">
            <v>Christy</v>
          </cell>
        </row>
        <row r="2394">
          <cell r="A2394" t="str">
            <v>Kindra</v>
          </cell>
          <cell r="C2394">
            <v>2.8352234823213085E-2</v>
          </cell>
          <cell r="I2394" t="str">
            <v>Castellanos</v>
          </cell>
        </row>
        <row r="2395">
          <cell r="A2395" t="str">
            <v>Jutta</v>
          </cell>
          <cell r="C2395">
            <v>2.8329997776292918E-2</v>
          </cell>
          <cell r="I2395" t="str">
            <v>Wing</v>
          </cell>
        </row>
        <row r="2396">
          <cell r="A2396" t="str">
            <v>Jazmine</v>
          </cell>
          <cell r="C2396">
            <v>2.8307760729372747E-2</v>
          </cell>
          <cell r="I2396" t="str">
            <v>Wellman</v>
          </cell>
        </row>
        <row r="2397">
          <cell r="A2397" t="str">
            <v>Janett</v>
          </cell>
          <cell r="C2397">
            <v>2.828552368245258E-2</v>
          </cell>
          <cell r="I2397" t="str">
            <v>Saylor</v>
          </cell>
        </row>
        <row r="2398">
          <cell r="A2398" t="str">
            <v>Hannelore</v>
          </cell>
          <cell r="C2398">
            <v>2.826328663553241E-2</v>
          </cell>
          <cell r="I2398" t="str">
            <v>Orourke</v>
          </cell>
        </row>
        <row r="2399">
          <cell r="A2399" t="str">
            <v>Glendora</v>
          </cell>
          <cell r="C2399">
            <v>2.8241049588612246E-2</v>
          </cell>
          <cell r="I2399" t="str">
            <v>Moya</v>
          </cell>
        </row>
        <row r="2400">
          <cell r="A2400" t="str">
            <v>Gertrud</v>
          </cell>
          <cell r="C2400">
            <v>2.8218812541692076E-2</v>
          </cell>
          <cell r="I2400" t="str">
            <v>Montalvo</v>
          </cell>
        </row>
        <row r="2401">
          <cell r="A2401" t="str">
            <v>Garnett</v>
          </cell>
          <cell r="C2401">
            <v>2.8196575494771909E-2</v>
          </cell>
          <cell r="I2401" t="str">
            <v>Kilpatrick</v>
          </cell>
        </row>
        <row r="2402">
          <cell r="A2402" t="str">
            <v>Freeda</v>
          </cell>
          <cell r="C2402">
            <v>2.8174338447851738E-2</v>
          </cell>
          <cell r="I2402" t="str">
            <v>Harley</v>
          </cell>
        </row>
        <row r="2403">
          <cell r="A2403" t="str">
            <v>Frederica</v>
          </cell>
          <cell r="C2403">
            <v>2.8152101400931571E-2</v>
          </cell>
          <cell r="I2403" t="str">
            <v>Durbin</v>
          </cell>
        </row>
        <row r="2404">
          <cell r="A2404" t="str">
            <v>Florance</v>
          </cell>
          <cell r="C2404">
            <v>2.8129864354011401E-2</v>
          </cell>
          <cell r="I2404" t="str">
            <v>Shell</v>
          </cell>
        </row>
        <row r="2405">
          <cell r="A2405" t="str">
            <v>Flavia</v>
          </cell>
          <cell r="C2405">
            <v>2.8107627307091234E-2</v>
          </cell>
          <cell r="I2405" t="str">
            <v>Oldham</v>
          </cell>
        </row>
        <row r="2406">
          <cell r="A2406" t="str">
            <v>Dennis</v>
          </cell>
          <cell r="C2406">
            <v>2.8085390260171064E-2</v>
          </cell>
          <cell r="I2406" t="str">
            <v>Kang</v>
          </cell>
        </row>
        <row r="2407">
          <cell r="A2407" t="str">
            <v>Carline</v>
          </cell>
          <cell r="C2407">
            <v>2.80631532132509E-2</v>
          </cell>
          <cell r="I2407" t="str">
            <v>Garvin</v>
          </cell>
        </row>
        <row r="2408">
          <cell r="A2408" t="str">
            <v>Beverlee</v>
          </cell>
          <cell r="C2408">
            <v>2.804091616633073E-2</v>
          </cell>
          <cell r="I2408" t="str">
            <v>Foss</v>
          </cell>
        </row>
        <row r="2409">
          <cell r="A2409" t="str">
            <v>Anjanette</v>
          </cell>
          <cell r="C2409">
            <v>2.8018679119410562E-2</v>
          </cell>
          <cell r="I2409" t="str">
            <v>Branham</v>
          </cell>
        </row>
        <row r="2410">
          <cell r="A2410" t="str">
            <v>Valda</v>
          </cell>
          <cell r="C2410">
            <v>2.7996442072490392E-2</v>
          </cell>
          <cell r="I2410" t="str">
            <v>Bartholomew</v>
          </cell>
        </row>
        <row r="2411">
          <cell r="A2411" t="str">
            <v>Trinity</v>
          </cell>
          <cell r="C2411">
            <v>2.7974205025570225E-2</v>
          </cell>
          <cell r="I2411" t="str">
            <v>Templeton</v>
          </cell>
        </row>
        <row r="2412">
          <cell r="A2412" t="str">
            <v>Tamala</v>
          </cell>
          <cell r="C2412">
            <v>2.7951967978650055E-2</v>
          </cell>
          <cell r="I2412" t="str">
            <v>Maguire</v>
          </cell>
        </row>
        <row r="2413">
          <cell r="A2413" t="str">
            <v>Stevie</v>
          </cell>
          <cell r="C2413">
            <v>2.7929730931729888E-2</v>
          </cell>
          <cell r="I2413" t="str">
            <v>Holton</v>
          </cell>
        </row>
        <row r="2414">
          <cell r="A2414" t="str">
            <v>Shonna</v>
          </cell>
          <cell r="C2414">
            <v>2.7907493884809717E-2</v>
          </cell>
          <cell r="I2414" t="str">
            <v>Alonso</v>
          </cell>
        </row>
        <row r="2415">
          <cell r="A2415" t="str">
            <v>Sha</v>
          </cell>
          <cell r="C2415">
            <v>2.7885256837889554E-2</v>
          </cell>
          <cell r="I2415" t="str">
            <v>Rider</v>
          </cell>
        </row>
        <row r="2416">
          <cell r="A2416" t="str">
            <v>Sarina</v>
          </cell>
          <cell r="C2416">
            <v>2.7863019790969383E-2</v>
          </cell>
          <cell r="I2416" t="str">
            <v>Monahan</v>
          </cell>
        </row>
        <row r="2417">
          <cell r="A2417" t="str">
            <v>Oneida</v>
          </cell>
          <cell r="C2417">
            <v>2.7840782744049216E-2</v>
          </cell>
          <cell r="I2417" t="str">
            <v>Mccormack</v>
          </cell>
        </row>
        <row r="2418">
          <cell r="A2418" t="str">
            <v>Micah</v>
          </cell>
          <cell r="C2418">
            <v>2.7818545697129046E-2</v>
          </cell>
          <cell r="I2418" t="str">
            <v>Beaty</v>
          </cell>
        </row>
        <row r="2419">
          <cell r="A2419" t="str">
            <v>Merilyn</v>
          </cell>
          <cell r="C2419">
            <v>2.7796308650208879E-2</v>
          </cell>
          <cell r="I2419" t="str">
            <v>Anders</v>
          </cell>
        </row>
        <row r="2420">
          <cell r="A2420" t="str">
            <v>Marleen</v>
          </cell>
          <cell r="C2420">
            <v>2.7774071603288708E-2</v>
          </cell>
          <cell r="I2420" t="str">
            <v>Streeter</v>
          </cell>
        </row>
        <row r="2421">
          <cell r="A2421" t="str">
            <v>Lurline</v>
          </cell>
          <cell r="C2421">
            <v>2.7751834556368541E-2</v>
          </cell>
          <cell r="I2421" t="str">
            <v>Nieto</v>
          </cell>
        </row>
        <row r="2422">
          <cell r="A2422" t="str">
            <v>Lenna</v>
          </cell>
          <cell r="C2422">
            <v>2.7729597509448371E-2</v>
          </cell>
          <cell r="I2422" t="str">
            <v>Nielson</v>
          </cell>
        </row>
        <row r="2423">
          <cell r="A2423" t="str">
            <v>Katherin</v>
          </cell>
          <cell r="C2423">
            <v>2.7707360462528207E-2</v>
          </cell>
          <cell r="I2423" t="str">
            <v>Moffett</v>
          </cell>
        </row>
        <row r="2424">
          <cell r="A2424" t="str">
            <v>Jin</v>
          </cell>
          <cell r="C2424">
            <v>2.7685123415608037E-2</v>
          </cell>
          <cell r="I2424" t="str">
            <v>Lankford</v>
          </cell>
        </row>
        <row r="2425">
          <cell r="A2425" t="str">
            <v>Jeni</v>
          </cell>
          <cell r="C2425">
            <v>2.766288636868787E-2</v>
          </cell>
          <cell r="I2425" t="str">
            <v>Keating</v>
          </cell>
        </row>
        <row r="2426">
          <cell r="A2426" t="str">
            <v>Hae</v>
          </cell>
          <cell r="C2426">
            <v>2.7640649321767699E-2</v>
          </cell>
          <cell r="I2426" t="str">
            <v>Heck</v>
          </cell>
        </row>
        <row r="2427">
          <cell r="A2427" t="str">
            <v>Gracia</v>
          </cell>
          <cell r="C2427">
            <v>2.7618412274847532E-2</v>
          </cell>
          <cell r="I2427" t="str">
            <v>Gatlin</v>
          </cell>
        </row>
        <row r="2428">
          <cell r="A2428" t="str">
            <v>Glady</v>
          </cell>
          <cell r="C2428">
            <v>2.7596175227927362E-2</v>
          </cell>
          <cell r="I2428" t="str">
            <v>Delatorre</v>
          </cell>
        </row>
        <row r="2429">
          <cell r="A2429" t="str">
            <v>Farah</v>
          </cell>
          <cell r="C2429">
            <v>2.7573938181007195E-2</v>
          </cell>
          <cell r="I2429" t="str">
            <v>Callaway</v>
          </cell>
        </row>
        <row r="2430">
          <cell r="A2430" t="str">
            <v>Eric</v>
          </cell>
          <cell r="C2430">
            <v>2.7551701134087024E-2</v>
          </cell>
          <cell r="I2430" t="str">
            <v>Adcock</v>
          </cell>
        </row>
        <row r="2431">
          <cell r="A2431" t="str">
            <v>Enola</v>
          </cell>
          <cell r="C2431">
            <v>2.7529464087166861E-2</v>
          </cell>
          <cell r="I2431" t="str">
            <v>Worrell</v>
          </cell>
        </row>
        <row r="2432">
          <cell r="A2432" t="str">
            <v>Ema</v>
          </cell>
          <cell r="C2432">
            <v>2.750722704024669E-2</v>
          </cell>
          <cell r="I2432" t="str">
            <v>Unger</v>
          </cell>
        </row>
        <row r="2433">
          <cell r="A2433" t="str">
            <v>Dominque</v>
          </cell>
          <cell r="C2433">
            <v>2.7484989993326523E-2</v>
          </cell>
          <cell r="I2433" t="str">
            <v>Robinette</v>
          </cell>
        </row>
        <row r="2434">
          <cell r="A2434" t="str">
            <v>Devona</v>
          </cell>
          <cell r="C2434">
            <v>2.7462752946406353E-2</v>
          </cell>
          <cell r="I2434" t="str">
            <v>Nowak</v>
          </cell>
        </row>
        <row r="2435">
          <cell r="A2435" t="str">
            <v>Delana</v>
          </cell>
          <cell r="C2435">
            <v>2.7440515899486186E-2</v>
          </cell>
          <cell r="I2435" t="str">
            <v>Jeter</v>
          </cell>
        </row>
        <row r="2436">
          <cell r="A2436" t="str">
            <v>Cecila</v>
          </cell>
          <cell r="C2436">
            <v>2.7418278852566015E-2</v>
          </cell>
          <cell r="I2436" t="str">
            <v>Brunner</v>
          </cell>
        </row>
        <row r="2437">
          <cell r="A2437" t="str">
            <v>Caprice</v>
          </cell>
          <cell r="C2437">
            <v>2.7396041805645848E-2</v>
          </cell>
          <cell r="I2437" t="str">
            <v>Ashton</v>
          </cell>
        </row>
        <row r="2438">
          <cell r="A2438" t="str">
            <v>Alysha</v>
          </cell>
          <cell r="C2438">
            <v>2.7373804758725678E-2</v>
          </cell>
          <cell r="I2438" t="str">
            <v>Steen</v>
          </cell>
        </row>
        <row r="2439">
          <cell r="A2439" t="str">
            <v>Ali</v>
          </cell>
          <cell r="C2439">
            <v>2.7351567711805514E-2</v>
          </cell>
          <cell r="I2439" t="str">
            <v>Parrott</v>
          </cell>
        </row>
        <row r="2440">
          <cell r="A2440" t="str">
            <v>Alethia</v>
          </cell>
          <cell r="C2440">
            <v>2.7329330664885344E-2</v>
          </cell>
          <cell r="I2440" t="str">
            <v>Overstreet</v>
          </cell>
        </row>
        <row r="2441">
          <cell r="A2441" t="str">
            <v>Vena</v>
          </cell>
          <cell r="C2441">
            <v>2.7307093617965177E-2</v>
          </cell>
          <cell r="I2441" t="str">
            <v>Nobles</v>
          </cell>
        </row>
        <row r="2442">
          <cell r="A2442" t="str">
            <v>Theresia</v>
          </cell>
          <cell r="C2442">
            <v>2.7284856571045006E-2</v>
          </cell>
          <cell r="I2442" t="str">
            <v>Montanez</v>
          </cell>
        </row>
        <row r="2443">
          <cell r="A2443" t="str">
            <v>Tawny</v>
          </cell>
          <cell r="C2443">
            <v>2.7262619524124839E-2</v>
          </cell>
          <cell r="I2443" t="str">
            <v>Luther</v>
          </cell>
        </row>
        <row r="2444">
          <cell r="A2444" t="str">
            <v>Song</v>
          </cell>
          <cell r="C2444">
            <v>2.7240382477204669E-2</v>
          </cell>
          <cell r="I2444" t="str">
            <v>Clevenger</v>
          </cell>
        </row>
        <row r="2445">
          <cell r="A2445" t="str">
            <v>Shakira</v>
          </cell>
          <cell r="C2445">
            <v>2.7218145430284502E-2</v>
          </cell>
          <cell r="I2445" t="str">
            <v>Brinkley</v>
          </cell>
        </row>
        <row r="2446">
          <cell r="A2446" t="str">
            <v>Samara</v>
          </cell>
          <cell r="C2446">
            <v>2.7195908383364331E-2</v>
          </cell>
          <cell r="I2446" t="str">
            <v>Trahan</v>
          </cell>
        </row>
        <row r="2447">
          <cell r="A2447" t="str">
            <v>Sachiko</v>
          </cell>
          <cell r="C2447">
            <v>2.7173671336444168E-2</v>
          </cell>
          <cell r="I2447" t="str">
            <v>Quarles</v>
          </cell>
        </row>
        <row r="2448">
          <cell r="A2448" t="str">
            <v>Rachele</v>
          </cell>
          <cell r="C2448">
            <v>2.7151434289523997E-2</v>
          </cell>
          <cell r="I2448" t="str">
            <v>Pickering</v>
          </cell>
        </row>
        <row r="2449">
          <cell r="A2449" t="str">
            <v>Pamella</v>
          </cell>
          <cell r="C2449">
            <v>2.712919724260383E-2</v>
          </cell>
          <cell r="I2449" t="str">
            <v>Pederson</v>
          </cell>
        </row>
        <row r="2450">
          <cell r="A2450" t="str">
            <v>Nicky</v>
          </cell>
          <cell r="C2450">
            <v>2.710696019568366E-2</v>
          </cell>
          <cell r="I2450" t="str">
            <v>Jansen</v>
          </cell>
        </row>
        <row r="2451">
          <cell r="A2451" t="str">
            <v>Marni</v>
          </cell>
          <cell r="C2451">
            <v>2.7084723148763493E-2</v>
          </cell>
          <cell r="I2451" t="str">
            <v>Grantham</v>
          </cell>
        </row>
        <row r="2452">
          <cell r="A2452" t="str">
            <v>Mariel</v>
          </cell>
          <cell r="C2452">
            <v>2.7062486101843322E-2</v>
          </cell>
          <cell r="I2452" t="str">
            <v>Gilchrist</v>
          </cell>
        </row>
        <row r="2453">
          <cell r="A2453" t="str">
            <v>Maren</v>
          </cell>
          <cell r="C2453">
            <v>2.7040249054923155E-2</v>
          </cell>
          <cell r="I2453" t="str">
            <v>Crespo</v>
          </cell>
        </row>
        <row r="2454">
          <cell r="A2454" t="str">
            <v>Malisa</v>
          </cell>
          <cell r="C2454">
            <v>2.7018012008002985E-2</v>
          </cell>
          <cell r="I2454" t="str">
            <v>Aiken</v>
          </cell>
        </row>
        <row r="2455">
          <cell r="A2455" t="str">
            <v>Ligia</v>
          </cell>
          <cell r="C2455">
            <v>2.6995774961082821E-2</v>
          </cell>
          <cell r="I2455" t="str">
            <v>Schell</v>
          </cell>
        </row>
        <row r="2456">
          <cell r="A2456" t="str">
            <v>Lera</v>
          </cell>
          <cell r="C2456">
            <v>2.6973537914162651E-2</v>
          </cell>
          <cell r="I2456" t="str">
            <v>Schaeffer</v>
          </cell>
        </row>
        <row r="2457">
          <cell r="A2457" t="str">
            <v>Latoria</v>
          </cell>
          <cell r="C2457">
            <v>2.6951300867242484E-2</v>
          </cell>
          <cell r="I2457" t="str">
            <v>Lorenz</v>
          </cell>
        </row>
        <row r="2458">
          <cell r="A2458" t="str">
            <v>Larae</v>
          </cell>
          <cell r="C2458">
            <v>2.6929063820322313E-2</v>
          </cell>
          <cell r="I2458" t="str">
            <v>Leyva</v>
          </cell>
        </row>
        <row r="2459">
          <cell r="A2459" t="str">
            <v>Kimber</v>
          </cell>
          <cell r="C2459">
            <v>2.6906826773402146E-2</v>
          </cell>
          <cell r="I2459" t="str">
            <v>Harms</v>
          </cell>
        </row>
        <row r="2460">
          <cell r="A2460" t="str">
            <v>Kathern</v>
          </cell>
          <cell r="C2460">
            <v>2.6884589726481976E-2</v>
          </cell>
          <cell r="I2460" t="str">
            <v>Dyson</v>
          </cell>
        </row>
        <row r="2461">
          <cell r="A2461" t="str">
            <v>Karey</v>
          </cell>
          <cell r="C2461">
            <v>2.6862352679561809E-2</v>
          </cell>
          <cell r="I2461" t="str">
            <v>Wallis</v>
          </cell>
        </row>
        <row r="2462">
          <cell r="A2462" t="str">
            <v>Jennefer</v>
          </cell>
          <cell r="C2462">
            <v>2.6840115632641638E-2</v>
          </cell>
          <cell r="I2462" t="str">
            <v>Pease</v>
          </cell>
        </row>
        <row r="2463">
          <cell r="A2463" t="str">
            <v>Janeth</v>
          </cell>
          <cell r="C2463">
            <v>2.6817878585721475E-2</v>
          </cell>
          <cell r="I2463" t="str">
            <v>Leavitt</v>
          </cell>
        </row>
        <row r="2464">
          <cell r="A2464" t="str">
            <v>Halina</v>
          </cell>
          <cell r="C2464">
            <v>2.6795641538801304E-2</v>
          </cell>
          <cell r="I2464" t="str">
            <v>Hyman</v>
          </cell>
        </row>
        <row r="2465">
          <cell r="A2465" t="str">
            <v>Fredia</v>
          </cell>
          <cell r="C2465">
            <v>2.6773404491881137E-2</v>
          </cell>
          <cell r="I2465" t="str">
            <v>Cheng</v>
          </cell>
        </row>
        <row r="2466">
          <cell r="A2466" t="str">
            <v>Delisa</v>
          </cell>
          <cell r="C2466">
            <v>2.6751167444960967E-2</v>
          </cell>
          <cell r="I2466" t="str">
            <v>Cavanaugh</v>
          </cell>
        </row>
        <row r="2467">
          <cell r="A2467" t="str">
            <v>Debroah</v>
          </cell>
          <cell r="C2467">
            <v>2.67289303980408E-2</v>
          </cell>
          <cell r="I2467" t="str">
            <v>Batts</v>
          </cell>
        </row>
        <row r="2468">
          <cell r="A2468" t="str">
            <v>Ciera</v>
          </cell>
          <cell r="C2468">
            <v>2.6706693351120629E-2</v>
          </cell>
          <cell r="I2468" t="str">
            <v>Warden</v>
          </cell>
        </row>
        <row r="2469">
          <cell r="A2469" t="str">
            <v>Chin</v>
          </cell>
          <cell r="C2469">
            <v>2.6684456304200462E-2</v>
          </cell>
          <cell r="I2469" t="str">
            <v>Seaman</v>
          </cell>
        </row>
        <row r="2470">
          <cell r="A2470" t="str">
            <v>Angelika</v>
          </cell>
          <cell r="C2470">
            <v>2.6662219257280292E-2</v>
          </cell>
          <cell r="I2470" t="str">
            <v>Rockwell</v>
          </cell>
        </row>
        <row r="2471">
          <cell r="A2471" t="str">
            <v>Andree</v>
          </cell>
          <cell r="C2471">
            <v>2.6639982210360128E-2</v>
          </cell>
          <cell r="I2471" t="str">
            <v>Quezada</v>
          </cell>
        </row>
        <row r="2472">
          <cell r="A2472" t="str">
            <v>Altha</v>
          </cell>
          <cell r="C2472">
            <v>2.6617745163439958E-2</v>
          </cell>
          <cell r="I2472" t="str">
            <v>Paxton</v>
          </cell>
        </row>
        <row r="2473">
          <cell r="A2473" t="str">
            <v>Yen</v>
          </cell>
          <cell r="C2473">
            <v>2.6595508116519791E-2</v>
          </cell>
          <cell r="I2473" t="str">
            <v>Linder</v>
          </cell>
        </row>
        <row r="2474">
          <cell r="A2474" t="str">
            <v>Vivan</v>
          </cell>
          <cell r="C2474">
            <v>2.657327106959962E-2</v>
          </cell>
          <cell r="I2474" t="str">
            <v>Houck</v>
          </cell>
        </row>
        <row r="2475">
          <cell r="A2475" t="str">
            <v>Terresa</v>
          </cell>
          <cell r="C2475">
            <v>2.6551034022679453E-2</v>
          </cell>
          <cell r="I2475" t="str">
            <v>Fontaine</v>
          </cell>
        </row>
        <row r="2476">
          <cell r="A2476" t="str">
            <v>Tanna</v>
          </cell>
          <cell r="C2476">
            <v>2.6528796975759283E-2</v>
          </cell>
          <cell r="I2476" t="str">
            <v>Durant</v>
          </cell>
        </row>
        <row r="2477">
          <cell r="A2477" t="str">
            <v>Suk</v>
          </cell>
          <cell r="C2477">
            <v>2.6506559928839116E-2</v>
          </cell>
          <cell r="I2477" t="str">
            <v>Caruso</v>
          </cell>
        </row>
        <row r="2478">
          <cell r="A2478" t="str">
            <v>Sudie</v>
          </cell>
          <cell r="C2478">
            <v>2.6484322881918945E-2</v>
          </cell>
          <cell r="I2478" t="str">
            <v>Adler</v>
          </cell>
        </row>
        <row r="2479">
          <cell r="A2479" t="str">
            <v>Soo</v>
          </cell>
          <cell r="C2479">
            <v>2.6462085834998782E-2</v>
          </cell>
          <cell r="I2479" t="str">
            <v>Pimentel</v>
          </cell>
        </row>
        <row r="2480">
          <cell r="A2480" t="str">
            <v>Signe</v>
          </cell>
          <cell r="C2480">
            <v>2.6439848788078611E-2</v>
          </cell>
          <cell r="I2480" t="str">
            <v>Mize</v>
          </cell>
        </row>
        <row r="2481">
          <cell r="A2481" t="str">
            <v>Salena</v>
          </cell>
          <cell r="C2481">
            <v>2.6417611741158444E-2</v>
          </cell>
          <cell r="I2481" t="str">
            <v>Lytle</v>
          </cell>
        </row>
        <row r="2482">
          <cell r="A2482" t="str">
            <v>Ronni</v>
          </cell>
          <cell r="C2482">
            <v>2.6395374694238274E-2</v>
          </cell>
          <cell r="I2482" t="str">
            <v>Donald</v>
          </cell>
        </row>
        <row r="2483">
          <cell r="A2483" t="str">
            <v>Rebbecca</v>
          </cell>
          <cell r="C2483">
            <v>2.6373137647318107E-2</v>
          </cell>
          <cell r="I2483" t="str">
            <v>Cleary</v>
          </cell>
        </row>
        <row r="2484">
          <cell r="A2484" t="str">
            <v>Myrtie</v>
          </cell>
          <cell r="C2484">
            <v>2.6350900600397936E-2</v>
          </cell>
          <cell r="I2484" t="str">
            <v>Cason</v>
          </cell>
        </row>
        <row r="2485">
          <cell r="A2485" t="str">
            <v>Mckenzie</v>
          </cell>
          <cell r="C2485">
            <v>2.6328663553477769E-2</v>
          </cell>
          <cell r="I2485" t="str">
            <v>Acker</v>
          </cell>
        </row>
        <row r="2486">
          <cell r="A2486" t="str">
            <v>Malika</v>
          </cell>
          <cell r="C2486">
            <v>2.6306426506557599E-2</v>
          </cell>
          <cell r="I2486" t="str">
            <v>Switzer</v>
          </cell>
        </row>
        <row r="2487">
          <cell r="A2487" t="str">
            <v>Maida</v>
          </cell>
          <cell r="C2487">
            <v>2.6284189459637435E-2</v>
          </cell>
          <cell r="I2487" t="str">
            <v>Salmon</v>
          </cell>
        </row>
        <row r="2488">
          <cell r="A2488" t="str">
            <v>Loan</v>
          </cell>
          <cell r="C2488">
            <v>2.6261952412717265E-2</v>
          </cell>
          <cell r="I2488" t="str">
            <v>Isaacs</v>
          </cell>
        </row>
        <row r="2489">
          <cell r="A2489" t="str">
            <v>Leonarda</v>
          </cell>
          <cell r="C2489">
            <v>2.6239715365797098E-2</v>
          </cell>
          <cell r="I2489" t="str">
            <v>Higginbotham</v>
          </cell>
        </row>
        <row r="2490">
          <cell r="A2490" t="str">
            <v>Kayleigh</v>
          </cell>
          <cell r="C2490">
            <v>2.6217478318876927E-2</v>
          </cell>
          <cell r="I2490" t="str">
            <v>Han</v>
          </cell>
        </row>
        <row r="2491">
          <cell r="A2491" t="str">
            <v>France</v>
          </cell>
          <cell r="C2491">
            <v>2.619524127195676E-2</v>
          </cell>
          <cell r="I2491" t="str">
            <v>Waterman</v>
          </cell>
        </row>
        <row r="2492">
          <cell r="A2492" t="str">
            <v>Ethyl</v>
          </cell>
          <cell r="C2492">
            <v>2.617300422503659E-2</v>
          </cell>
          <cell r="I2492" t="str">
            <v>Vandyke</v>
          </cell>
        </row>
        <row r="2493">
          <cell r="A2493" t="str">
            <v>Ellyn</v>
          </cell>
          <cell r="C2493">
            <v>2.6150767178116423E-2</v>
          </cell>
          <cell r="I2493" t="str">
            <v>Stamper</v>
          </cell>
        </row>
        <row r="2494">
          <cell r="A2494" t="str">
            <v>Dayle</v>
          </cell>
          <cell r="C2494">
            <v>2.6128530131196252E-2</v>
          </cell>
          <cell r="I2494" t="str">
            <v>Sisk</v>
          </cell>
        </row>
        <row r="2495">
          <cell r="A2495" t="str">
            <v>Cammie</v>
          </cell>
          <cell r="C2495">
            <v>2.6106293084276089E-2</v>
          </cell>
          <cell r="I2495" t="str">
            <v>Shuler</v>
          </cell>
        </row>
        <row r="2496">
          <cell r="A2496" t="str">
            <v>Brittni</v>
          </cell>
          <cell r="C2496">
            <v>2.6084056037355918E-2</v>
          </cell>
          <cell r="I2496" t="str">
            <v>Riddick</v>
          </cell>
        </row>
        <row r="2497">
          <cell r="A2497" t="str">
            <v>Birgit</v>
          </cell>
          <cell r="C2497">
            <v>2.6061818990435751E-2</v>
          </cell>
          <cell r="I2497" t="str">
            <v>Redman</v>
          </cell>
        </row>
        <row r="2498">
          <cell r="A2498" t="str">
            <v>Avelina</v>
          </cell>
          <cell r="C2498">
            <v>2.6039581943515581E-2</v>
          </cell>
          <cell r="I2498" t="str">
            <v>Mcmahan</v>
          </cell>
        </row>
        <row r="2499">
          <cell r="A2499" t="str">
            <v>Asuncion</v>
          </cell>
          <cell r="C2499">
            <v>2.6017344896595414E-2</v>
          </cell>
          <cell r="I2499" t="str">
            <v>Levesque</v>
          </cell>
        </row>
        <row r="2500">
          <cell r="A2500" t="str">
            <v>Arianna</v>
          </cell>
          <cell r="C2500">
            <v>2.5995107849675243E-2</v>
          </cell>
          <cell r="I2500" t="str">
            <v>Hatton</v>
          </cell>
        </row>
        <row r="2501">
          <cell r="A2501" t="str">
            <v>Akiko</v>
          </cell>
          <cell r="C2501">
            <v>2.5972870802755076E-2</v>
          </cell>
          <cell r="I2501" t="str">
            <v>Bronson</v>
          </cell>
        </row>
        <row r="2502">
          <cell r="A2502" t="str">
            <v>Venice</v>
          </cell>
          <cell r="C2502">
            <v>2.5950633755834906E-2</v>
          </cell>
          <cell r="I2502" t="str">
            <v>Bollinger</v>
          </cell>
        </row>
        <row r="2503">
          <cell r="A2503" t="str">
            <v>Tyesha</v>
          </cell>
          <cell r="C2503">
            <v>2.5928396708914742E-2</v>
          </cell>
          <cell r="I2503" t="str">
            <v>Arnett</v>
          </cell>
        </row>
        <row r="2504">
          <cell r="A2504" t="str">
            <v>Tonie</v>
          </cell>
          <cell r="C2504">
            <v>2.5906159661994572E-2</v>
          </cell>
          <cell r="I2504" t="str">
            <v>Okeefe</v>
          </cell>
        </row>
        <row r="2505">
          <cell r="A2505" t="str">
            <v>Tiesha</v>
          </cell>
          <cell r="C2505">
            <v>2.5883922615074405E-2</v>
          </cell>
          <cell r="I2505" t="str">
            <v>Gerber</v>
          </cell>
        </row>
        <row r="2506">
          <cell r="A2506" t="str">
            <v>Takisha</v>
          </cell>
          <cell r="C2506">
            <v>2.5861685568154234E-2</v>
          </cell>
          <cell r="I2506" t="str">
            <v>Gannon</v>
          </cell>
        </row>
        <row r="2507">
          <cell r="A2507" t="str">
            <v>Steffanie</v>
          </cell>
          <cell r="C2507">
            <v>2.5839448521234067E-2</v>
          </cell>
          <cell r="I2507" t="str">
            <v>Farnsworth</v>
          </cell>
        </row>
        <row r="2508">
          <cell r="A2508" t="str">
            <v>Sindy</v>
          </cell>
          <cell r="C2508">
            <v>2.5817211474313897E-2</v>
          </cell>
          <cell r="I2508" t="str">
            <v>Baughman</v>
          </cell>
        </row>
        <row r="2509">
          <cell r="A2509" t="str">
            <v>Santana</v>
          </cell>
          <cell r="C2509">
            <v>2.579497442739373E-2</v>
          </cell>
          <cell r="I2509" t="str">
            <v>Silverman</v>
          </cell>
        </row>
        <row r="2510">
          <cell r="A2510" t="str">
            <v>Meghann</v>
          </cell>
          <cell r="C2510">
            <v>2.5772737380473559E-2</v>
          </cell>
          <cell r="I2510" t="str">
            <v>Satterfield</v>
          </cell>
        </row>
        <row r="2511">
          <cell r="A2511" t="str">
            <v>Manda</v>
          </cell>
          <cell r="C2511">
            <v>2.5750500333553396E-2</v>
          </cell>
          <cell r="I2511" t="str">
            <v>Royal</v>
          </cell>
        </row>
        <row r="2512">
          <cell r="A2512" t="str">
            <v>Macie</v>
          </cell>
          <cell r="C2512">
            <v>2.5728263286633225E-2</v>
          </cell>
          <cell r="I2512" t="str">
            <v>Mccrary</v>
          </cell>
        </row>
        <row r="2513">
          <cell r="A2513" t="str">
            <v>Lady</v>
          </cell>
          <cell r="C2513">
            <v>2.5706026239713058E-2</v>
          </cell>
          <cell r="I2513" t="str">
            <v>Kowalski</v>
          </cell>
        </row>
        <row r="2514">
          <cell r="A2514" t="str">
            <v>Kellye</v>
          </cell>
          <cell r="C2514">
            <v>2.5683789192792888E-2</v>
          </cell>
          <cell r="I2514" t="str">
            <v>Joy</v>
          </cell>
        </row>
        <row r="2515">
          <cell r="A2515" t="str">
            <v>Kellee</v>
          </cell>
          <cell r="C2515">
            <v>2.5661552145872721E-2</v>
          </cell>
          <cell r="I2515" t="str">
            <v>Grigsby</v>
          </cell>
        </row>
        <row r="2516">
          <cell r="A2516" t="str">
            <v>Joslyn</v>
          </cell>
          <cell r="C2516">
            <v>2.563931509895255E-2</v>
          </cell>
          <cell r="I2516" t="str">
            <v>Greco</v>
          </cell>
        </row>
        <row r="2517">
          <cell r="A2517" t="str">
            <v>Jason</v>
          </cell>
          <cell r="C2517">
            <v>2.5617078052032383E-2</v>
          </cell>
          <cell r="I2517" t="str">
            <v>Cabral</v>
          </cell>
        </row>
        <row r="2518">
          <cell r="A2518" t="str">
            <v>Inger</v>
          </cell>
          <cell r="C2518">
            <v>2.5594841005112213E-2</v>
          </cell>
          <cell r="I2518" t="str">
            <v>Trout</v>
          </cell>
        </row>
        <row r="2519">
          <cell r="A2519" t="str">
            <v>Indira</v>
          </cell>
          <cell r="C2519">
            <v>2.5572603958192049E-2</v>
          </cell>
          <cell r="I2519" t="str">
            <v>Rinehart</v>
          </cell>
        </row>
        <row r="2520">
          <cell r="A2520" t="str">
            <v>Glinda</v>
          </cell>
          <cell r="C2520">
            <v>2.5550366911271879E-2</v>
          </cell>
          <cell r="I2520" t="str">
            <v>Mahon</v>
          </cell>
        </row>
        <row r="2521">
          <cell r="A2521" t="str">
            <v>Glennis</v>
          </cell>
          <cell r="C2521">
            <v>2.5528129864351712E-2</v>
          </cell>
          <cell r="I2521" t="str">
            <v>Linton</v>
          </cell>
        </row>
        <row r="2522">
          <cell r="A2522" t="str">
            <v>Fernanda</v>
          </cell>
          <cell r="C2522">
            <v>2.5505892817431541E-2</v>
          </cell>
          <cell r="I2522" t="str">
            <v>Gooden</v>
          </cell>
        </row>
        <row r="2523">
          <cell r="A2523" t="str">
            <v>Faustina</v>
          </cell>
          <cell r="C2523">
            <v>2.5483655770511374E-2</v>
          </cell>
          <cell r="I2523" t="str">
            <v>Curley</v>
          </cell>
        </row>
        <row r="2524">
          <cell r="A2524" t="str">
            <v>Eneida</v>
          </cell>
          <cell r="C2524">
            <v>2.5461418723591204E-2</v>
          </cell>
          <cell r="I2524" t="str">
            <v>Baugh</v>
          </cell>
        </row>
        <row r="2525">
          <cell r="A2525" t="str">
            <v>Elicia</v>
          </cell>
          <cell r="C2525">
            <v>2.5439181676671037E-2</v>
          </cell>
          <cell r="I2525" t="str">
            <v>Wyman</v>
          </cell>
        </row>
        <row r="2526">
          <cell r="A2526" t="str">
            <v>Dot</v>
          </cell>
          <cell r="C2526">
            <v>2.5416944629750866E-2</v>
          </cell>
          <cell r="I2526" t="str">
            <v>Weiner</v>
          </cell>
        </row>
        <row r="2527">
          <cell r="A2527" t="str">
            <v>Digna</v>
          </cell>
          <cell r="C2527">
            <v>2.5394707582830703E-2</v>
          </cell>
          <cell r="I2527" t="str">
            <v>Schwab</v>
          </cell>
        </row>
        <row r="2528">
          <cell r="A2528" t="str">
            <v>Dell</v>
          </cell>
          <cell r="C2528">
            <v>2.5372470535910532E-2</v>
          </cell>
          <cell r="I2528" t="str">
            <v>Schuler</v>
          </cell>
        </row>
        <row r="2529">
          <cell r="A2529" t="str">
            <v>Arletta</v>
          </cell>
          <cell r="C2529">
            <v>2.5350233488990365E-2</v>
          </cell>
          <cell r="I2529" t="str">
            <v>Morrissey</v>
          </cell>
        </row>
        <row r="2530">
          <cell r="A2530" t="str">
            <v>Andre</v>
          </cell>
          <cell r="C2530">
            <v>2.5327996442070195E-2</v>
          </cell>
          <cell r="I2530" t="str">
            <v>Mahan</v>
          </cell>
        </row>
        <row r="2531">
          <cell r="A2531" t="str">
            <v>Willia</v>
          </cell>
          <cell r="C2531">
            <v>2.5305759395150028E-2</v>
          </cell>
          <cell r="I2531" t="str">
            <v>Coy</v>
          </cell>
        </row>
        <row r="2532">
          <cell r="A2532" t="str">
            <v>Tammara</v>
          </cell>
          <cell r="C2532">
            <v>2.5283522348229857E-2</v>
          </cell>
          <cell r="I2532" t="str">
            <v>Bunn</v>
          </cell>
        </row>
        <row r="2533">
          <cell r="A2533" t="str">
            <v>Tabetha</v>
          </cell>
          <cell r="C2533">
            <v>2.526128530130969E-2</v>
          </cell>
          <cell r="I2533" t="str">
            <v>Andrew</v>
          </cell>
        </row>
        <row r="2534">
          <cell r="A2534" t="str">
            <v>Sherrell</v>
          </cell>
          <cell r="C2534">
            <v>2.523904825438952E-2</v>
          </cell>
          <cell r="I2534" t="str">
            <v>Thrasher</v>
          </cell>
        </row>
        <row r="2535">
          <cell r="A2535" t="str">
            <v>Sari</v>
          </cell>
          <cell r="C2535">
            <v>2.5216811207469356E-2</v>
          </cell>
          <cell r="I2535" t="str">
            <v>Spear</v>
          </cell>
        </row>
        <row r="2536">
          <cell r="A2536" t="str">
            <v>Refugio</v>
          </cell>
          <cell r="C2536">
            <v>2.5194574160549186E-2</v>
          </cell>
          <cell r="I2536" t="str">
            <v>Waggoner</v>
          </cell>
        </row>
        <row r="2537">
          <cell r="A2537" t="str">
            <v>Rebbeca</v>
          </cell>
          <cell r="C2537">
            <v>2.5172337113629019E-2</v>
          </cell>
          <cell r="I2537" t="str">
            <v>Shelley</v>
          </cell>
        </row>
        <row r="2538">
          <cell r="A2538" t="str">
            <v>Pauletta</v>
          </cell>
          <cell r="C2538">
            <v>2.5150100066708848E-2</v>
          </cell>
          <cell r="I2538" t="str">
            <v>Robert</v>
          </cell>
        </row>
        <row r="2539">
          <cell r="A2539" t="str">
            <v>Nieves</v>
          </cell>
          <cell r="C2539">
            <v>2.5127863019788681E-2</v>
          </cell>
          <cell r="I2539" t="str">
            <v>Qualls</v>
          </cell>
        </row>
        <row r="2540">
          <cell r="A2540" t="str">
            <v>Natosha</v>
          </cell>
          <cell r="C2540">
            <v>2.5105625972868511E-2</v>
          </cell>
          <cell r="I2540" t="str">
            <v>Purdy</v>
          </cell>
        </row>
        <row r="2541">
          <cell r="A2541" t="str">
            <v>Nakita</v>
          </cell>
          <cell r="C2541">
            <v>2.5083388925948344E-2</v>
          </cell>
          <cell r="I2541" t="str">
            <v>Mcwhorter</v>
          </cell>
        </row>
        <row r="2542">
          <cell r="A2542" t="str">
            <v>Mammie</v>
          </cell>
          <cell r="C2542">
            <v>2.5061151879028173E-2</v>
          </cell>
          <cell r="I2542" t="str">
            <v>Mauldin</v>
          </cell>
        </row>
        <row r="2543">
          <cell r="A2543" t="str">
            <v>Kenisha</v>
          </cell>
          <cell r="C2543">
            <v>2.503891483210801E-2</v>
          </cell>
          <cell r="I2543" t="str">
            <v>Mark</v>
          </cell>
        </row>
        <row r="2544">
          <cell r="A2544" t="str">
            <v>Kazuko</v>
          </cell>
          <cell r="C2544">
            <v>2.5016677785187839E-2</v>
          </cell>
          <cell r="I2544" t="str">
            <v>Jordon</v>
          </cell>
        </row>
        <row r="2545">
          <cell r="A2545" t="str">
            <v>Kassie</v>
          </cell>
          <cell r="C2545">
            <v>2.4994440738267672E-2</v>
          </cell>
          <cell r="I2545" t="str">
            <v>Gilman</v>
          </cell>
        </row>
        <row r="2546">
          <cell r="A2546" t="str">
            <v>Gary</v>
          </cell>
          <cell r="C2546">
            <v>2.4972203691347502E-2</v>
          </cell>
          <cell r="I2546" t="str">
            <v>Perryman</v>
          </cell>
        </row>
        <row r="2547">
          <cell r="A2547" t="str">
            <v>Earlean</v>
          </cell>
          <cell r="C2547">
            <v>2.4949966644427335E-2</v>
          </cell>
          <cell r="I2547" t="str">
            <v>Newsom</v>
          </cell>
        </row>
        <row r="2548">
          <cell r="A2548" t="str">
            <v>Daphine</v>
          </cell>
          <cell r="C2548">
            <v>2.4927729597507164E-2</v>
          </cell>
          <cell r="I2548" t="str">
            <v>Menard</v>
          </cell>
        </row>
        <row r="2549">
          <cell r="A2549" t="str">
            <v>Corliss</v>
          </cell>
          <cell r="C2549">
            <v>2.4905492550586997E-2</v>
          </cell>
          <cell r="I2549" t="str">
            <v>Martino</v>
          </cell>
        </row>
        <row r="2550">
          <cell r="A2550" t="str">
            <v>Clotilde</v>
          </cell>
          <cell r="C2550">
            <v>2.4883255503666827E-2</v>
          </cell>
          <cell r="I2550" t="str">
            <v>Graf</v>
          </cell>
        </row>
        <row r="2551">
          <cell r="A2551" t="str">
            <v>Carolyne</v>
          </cell>
          <cell r="C2551">
            <v>2.4861018456746663E-2</v>
          </cell>
          <cell r="I2551" t="str">
            <v>Billingsley</v>
          </cell>
        </row>
        <row r="2552">
          <cell r="A2552" t="str">
            <v>Bernetta</v>
          </cell>
          <cell r="C2552">
            <v>2.4838781409826493E-2</v>
          </cell>
          <cell r="I2552" t="str">
            <v>Artis</v>
          </cell>
        </row>
        <row r="2553">
          <cell r="A2553" t="str">
            <v>Augustina</v>
          </cell>
          <cell r="C2553">
            <v>2.4816544362906326E-2</v>
          </cell>
          <cell r="I2553" t="str">
            <v>Simpkins</v>
          </cell>
        </row>
        <row r="2554">
          <cell r="A2554" t="str">
            <v>Audrea</v>
          </cell>
          <cell r="C2554">
            <v>2.4794307315986155E-2</v>
          </cell>
          <cell r="I2554" t="str">
            <v>Salisbury</v>
          </cell>
        </row>
        <row r="2555">
          <cell r="A2555" t="str">
            <v>Annis</v>
          </cell>
          <cell r="C2555">
            <v>2.4772070269065988E-2</v>
          </cell>
          <cell r="I2555" t="str">
            <v>Quintanilla</v>
          </cell>
        </row>
        <row r="2556">
          <cell r="A2556" t="str">
            <v>Annabell</v>
          </cell>
          <cell r="C2556">
            <v>2.4749833222145818E-2</v>
          </cell>
          <cell r="I2556" t="str">
            <v>Gilliland</v>
          </cell>
        </row>
        <row r="2557">
          <cell r="A2557" t="str">
            <v>Yan</v>
          </cell>
          <cell r="C2557">
            <v>2.4727596175225651E-2</v>
          </cell>
          <cell r="I2557" t="str">
            <v>Fraley</v>
          </cell>
        </row>
        <row r="2558">
          <cell r="A2558" t="str">
            <v>Tennille</v>
          </cell>
          <cell r="C2558">
            <v>2.4705359128305487E-2</v>
          </cell>
          <cell r="I2558" t="str">
            <v>Foust</v>
          </cell>
        </row>
        <row r="2559">
          <cell r="A2559" t="str">
            <v>Tamica</v>
          </cell>
          <cell r="C2559">
            <v>2.468312208138532E-2</v>
          </cell>
          <cell r="I2559" t="str">
            <v>Crouse</v>
          </cell>
        </row>
        <row r="2560">
          <cell r="A2560" t="str">
            <v>Selene</v>
          </cell>
          <cell r="C2560">
            <v>2.4660885034465153E-2</v>
          </cell>
          <cell r="I2560" t="str">
            <v>Scarborough</v>
          </cell>
        </row>
        <row r="2561">
          <cell r="A2561" t="str">
            <v>Sean</v>
          </cell>
          <cell r="C2561">
            <v>2.463864798754499E-2</v>
          </cell>
          <cell r="I2561" t="str">
            <v>Ngo</v>
          </cell>
        </row>
        <row r="2562">
          <cell r="A2562" t="str">
            <v>Rosana</v>
          </cell>
          <cell r="C2562">
            <v>2.4616410940624823E-2</v>
          </cell>
          <cell r="I2562" t="str">
            <v>Grissom</v>
          </cell>
        </row>
        <row r="2563">
          <cell r="A2563" t="str">
            <v>Regenia</v>
          </cell>
          <cell r="C2563">
            <v>2.4594173893704656E-2</v>
          </cell>
          <cell r="I2563" t="str">
            <v>Fultz</v>
          </cell>
        </row>
        <row r="2564">
          <cell r="A2564" t="str">
            <v>Qiana</v>
          </cell>
          <cell r="C2564">
            <v>2.4571936846784492E-2</v>
          </cell>
          <cell r="I2564" t="str">
            <v>Rico</v>
          </cell>
        </row>
        <row r="2565">
          <cell r="A2565" t="str">
            <v>Markita</v>
          </cell>
          <cell r="C2565">
            <v>2.4549699799864325E-2</v>
          </cell>
          <cell r="I2565" t="str">
            <v>Marlow</v>
          </cell>
        </row>
        <row r="2566">
          <cell r="A2566" t="str">
            <v>Macy</v>
          </cell>
          <cell r="C2566">
            <v>2.4527462752944158E-2</v>
          </cell>
          <cell r="I2566" t="str">
            <v>Markham</v>
          </cell>
        </row>
        <row r="2567">
          <cell r="A2567" t="str">
            <v>Leeanne</v>
          </cell>
          <cell r="C2567">
            <v>2.4505225706023995E-2</v>
          </cell>
          <cell r="I2567" t="str">
            <v>Madrigal</v>
          </cell>
        </row>
        <row r="2568">
          <cell r="A2568" t="str">
            <v>Laurine</v>
          </cell>
          <cell r="C2568">
            <v>2.4482988659103828E-2</v>
          </cell>
          <cell r="I2568" t="str">
            <v>Lawton</v>
          </cell>
        </row>
        <row r="2569">
          <cell r="A2569" t="str">
            <v>Kym</v>
          </cell>
          <cell r="C2569">
            <v>2.4460751612183661E-2</v>
          </cell>
          <cell r="I2569" t="str">
            <v>Barfield</v>
          </cell>
        </row>
        <row r="2570">
          <cell r="A2570" t="str">
            <v>Jessenia</v>
          </cell>
          <cell r="C2570">
            <v>2.4438514565263497E-2</v>
          </cell>
          <cell r="I2570" t="str">
            <v>Whiting</v>
          </cell>
        </row>
        <row r="2571">
          <cell r="A2571" t="str">
            <v>Janita</v>
          </cell>
          <cell r="C2571">
            <v>2.441627751834333E-2</v>
          </cell>
          <cell r="I2571" t="str">
            <v>Varney</v>
          </cell>
        </row>
        <row r="2572">
          <cell r="A2572" t="str">
            <v>Georgine</v>
          </cell>
          <cell r="C2572">
            <v>2.4394040471423163E-2</v>
          </cell>
          <cell r="I2572" t="str">
            <v>Schwarz</v>
          </cell>
        </row>
        <row r="2573">
          <cell r="A2573" t="str">
            <v>Genie</v>
          </cell>
          <cell r="C2573">
            <v>2.4371803424503E-2</v>
          </cell>
          <cell r="I2573" t="str">
            <v>Huey</v>
          </cell>
        </row>
        <row r="2574">
          <cell r="A2574" t="str">
            <v>Emiko</v>
          </cell>
          <cell r="C2574">
            <v>2.4349566377582833E-2</v>
          </cell>
          <cell r="I2574" t="str">
            <v>Gooch</v>
          </cell>
        </row>
        <row r="2575">
          <cell r="A2575" t="str">
            <v>Elvie</v>
          </cell>
          <cell r="C2575">
            <v>2.4327329330662666E-2</v>
          </cell>
          <cell r="I2575" t="str">
            <v>Arce</v>
          </cell>
        </row>
        <row r="2576">
          <cell r="A2576" t="str">
            <v>Deandra</v>
          </cell>
          <cell r="C2576">
            <v>2.4305092283742502E-2</v>
          </cell>
          <cell r="I2576" t="str">
            <v>Wheat</v>
          </cell>
        </row>
        <row r="2577">
          <cell r="A2577" t="str">
            <v>Dagmar</v>
          </cell>
          <cell r="C2577">
            <v>2.4282855236822335E-2</v>
          </cell>
          <cell r="I2577" t="str">
            <v>Truong</v>
          </cell>
        </row>
        <row r="2578">
          <cell r="A2578" t="str">
            <v>Corie</v>
          </cell>
          <cell r="C2578">
            <v>2.4260618189902168E-2</v>
          </cell>
          <cell r="I2578" t="str">
            <v>Poulin</v>
          </cell>
        </row>
        <row r="2579">
          <cell r="A2579" t="str">
            <v>Collen</v>
          </cell>
          <cell r="C2579">
            <v>2.4238381142982005E-2</v>
          </cell>
          <cell r="I2579" t="str">
            <v>Mackenzie</v>
          </cell>
        </row>
        <row r="2580">
          <cell r="A2580" t="str">
            <v>Cherish</v>
          </cell>
          <cell r="C2580">
            <v>2.4216144096061838E-2</v>
          </cell>
          <cell r="I2580" t="str">
            <v>Leone</v>
          </cell>
        </row>
        <row r="2581">
          <cell r="A2581" t="str">
            <v>Romaine</v>
          </cell>
          <cell r="C2581">
            <v>2.4193907049141671E-2</v>
          </cell>
          <cell r="I2581" t="str">
            <v>Hurtado</v>
          </cell>
        </row>
        <row r="2582">
          <cell r="A2582" t="str">
            <v>Porsha</v>
          </cell>
          <cell r="C2582">
            <v>2.4171670002221507E-2</v>
          </cell>
          <cell r="I2582" t="str">
            <v>Selby</v>
          </cell>
        </row>
        <row r="2583">
          <cell r="A2583" t="str">
            <v>Pearlene</v>
          </cell>
          <cell r="C2583">
            <v>2.414943295530134E-2</v>
          </cell>
          <cell r="I2583" t="str">
            <v>Gaither</v>
          </cell>
        </row>
        <row r="2584">
          <cell r="A2584" t="str">
            <v>Micheline</v>
          </cell>
          <cell r="C2584">
            <v>2.4127195908381173E-2</v>
          </cell>
          <cell r="I2584" t="str">
            <v>Fortner</v>
          </cell>
        </row>
        <row r="2585">
          <cell r="A2585" t="str">
            <v>Merna</v>
          </cell>
          <cell r="C2585">
            <v>2.4104958861461009E-2</v>
          </cell>
          <cell r="I2585" t="str">
            <v>Culpepper</v>
          </cell>
        </row>
        <row r="2586">
          <cell r="A2586" t="str">
            <v>Margorie</v>
          </cell>
          <cell r="C2586">
            <v>2.4082721814540842E-2</v>
          </cell>
          <cell r="I2586" t="str">
            <v>Coughlin</v>
          </cell>
        </row>
        <row r="2587">
          <cell r="A2587" t="str">
            <v>Margaretta</v>
          </cell>
          <cell r="C2587">
            <v>2.4060484767620675E-2</v>
          </cell>
          <cell r="I2587" t="str">
            <v>Brinson</v>
          </cell>
        </row>
        <row r="2588">
          <cell r="A2588" t="str">
            <v>Lore</v>
          </cell>
          <cell r="C2588">
            <v>2.4038247720700512E-2</v>
          </cell>
          <cell r="I2588" t="str">
            <v>Boudreau</v>
          </cell>
        </row>
        <row r="2589">
          <cell r="A2589" t="str">
            <v>Kenneth</v>
          </cell>
          <cell r="C2589">
            <v>2.4016010673780345E-2</v>
          </cell>
          <cell r="I2589" t="str">
            <v>Barkley</v>
          </cell>
        </row>
        <row r="2590">
          <cell r="A2590" t="str">
            <v>Jenine</v>
          </cell>
          <cell r="C2590">
            <v>2.3993773626860178E-2</v>
          </cell>
          <cell r="I2590" t="str">
            <v>Bales</v>
          </cell>
        </row>
        <row r="2591">
          <cell r="A2591" t="str">
            <v>Hermina</v>
          </cell>
          <cell r="C2591">
            <v>2.3971536579940014E-2</v>
          </cell>
          <cell r="I2591" t="str">
            <v>Stepp</v>
          </cell>
        </row>
        <row r="2592">
          <cell r="A2592" t="str">
            <v>Fredericka</v>
          </cell>
          <cell r="C2592">
            <v>2.3949299533019847E-2</v>
          </cell>
          <cell r="I2592" t="str">
            <v>Holm</v>
          </cell>
        </row>
        <row r="2593">
          <cell r="A2593" t="str">
            <v>Elke</v>
          </cell>
          <cell r="C2593">
            <v>2.392706248609968E-2</v>
          </cell>
          <cell r="I2593" t="str">
            <v>Tan</v>
          </cell>
        </row>
        <row r="2594">
          <cell r="A2594" t="str">
            <v>Drusilla</v>
          </cell>
          <cell r="C2594">
            <v>2.3904825439179517E-2</v>
          </cell>
          <cell r="I2594" t="str">
            <v>Schilling</v>
          </cell>
        </row>
        <row r="2595">
          <cell r="A2595" t="str">
            <v>Dorathy</v>
          </cell>
          <cell r="C2595">
            <v>2.388258839225935E-2</v>
          </cell>
          <cell r="I2595" t="str">
            <v>Morrell</v>
          </cell>
        </row>
        <row r="2596">
          <cell r="A2596" t="str">
            <v>Dione</v>
          </cell>
          <cell r="C2596">
            <v>2.3860351345339183E-2</v>
          </cell>
          <cell r="I2596" t="str">
            <v>Kahn</v>
          </cell>
        </row>
        <row r="2597">
          <cell r="A2597" t="str">
            <v>Desire</v>
          </cell>
          <cell r="C2597">
            <v>2.3838114298419019E-2</v>
          </cell>
          <cell r="I2597" t="str">
            <v>Heaton</v>
          </cell>
        </row>
        <row r="2598">
          <cell r="A2598" t="str">
            <v>Celena</v>
          </cell>
          <cell r="C2598">
            <v>2.3815877251498852E-2</v>
          </cell>
          <cell r="I2598" t="str">
            <v>Gamez</v>
          </cell>
        </row>
        <row r="2599">
          <cell r="A2599" t="str">
            <v>Brigida</v>
          </cell>
          <cell r="C2599">
            <v>2.3793640204578685E-2</v>
          </cell>
          <cell r="I2599" t="str">
            <v>Douglass</v>
          </cell>
        </row>
        <row r="2600">
          <cell r="A2600" t="str">
            <v>Angeles</v>
          </cell>
          <cell r="C2600">
            <v>2.3771403157658522E-2</v>
          </cell>
          <cell r="I2600" t="str">
            <v>Causey</v>
          </cell>
        </row>
        <row r="2601">
          <cell r="A2601" t="str">
            <v>Allegra</v>
          </cell>
          <cell r="C2601">
            <v>2.3749166110738355E-2</v>
          </cell>
          <cell r="I2601" t="str">
            <v>Brothers</v>
          </cell>
        </row>
        <row r="2602">
          <cell r="A2602" t="str">
            <v>Theo</v>
          </cell>
          <cell r="C2602">
            <v>2.3726929063818188E-2</v>
          </cell>
          <cell r="I2602" t="str">
            <v>Turpin</v>
          </cell>
        </row>
        <row r="2603">
          <cell r="A2603" t="str">
            <v>Tamekia</v>
          </cell>
          <cell r="C2603">
            <v>2.3704692016898024E-2</v>
          </cell>
          <cell r="I2603" t="str">
            <v>Shanks</v>
          </cell>
        </row>
        <row r="2604">
          <cell r="A2604" t="str">
            <v>Synthia</v>
          </cell>
          <cell r="C2604">
            <v>2.3682454969977857E-2</v>
          </cell>
          <cell r="I2604" t="str">
            <v>Schrader</v>
          </cell>
        </row>
        <row r="2605">
          <cell r="A2605" t="str">
            <v>Stephen</v>
          </cell>
          <cell r="C2605">
            <v>2.366021792305769E-2</v>
          </cell>
          <cell r="I2605" t="str">
            <v>Meek</v>
          </cell>
        </row>
        <row r="2606">
          <cell r="A2606" t="str">
            <v>Sook</v>
          </cell>
          <cell r="C2606">
            <v>2.3637980876137527E-2</v>
          </cell>
          <cell r="I2606" t="str">
            <v>Isom</v>
          </cell>
        </row>
        <row r="2607">
          <cell r="A2607" t="str">
            <v>Slyvia</v>
          </cell>
          <cell r="C2607">
            <v>2.361574382921736E-2</v>
          </cell>
          <cell r="I2607" t="str">
            <v>Hardison</v>
          </cell>
        </row>
        <row r="2608">
          <cell r="A2608" t="str">
            <v>Rosann</v>
          </cell>
          <cell r="C2608">
            <v>2.3593506782297193E-2</v>
          </cell>
          <cell r="I2608" t="str">
            <v>Carranza</v>
          </cell>
        </row>
        <row r="2609">
          <cell r="A2609" t="str">
            <v>Reatha</v>
          </cell>
          <cell r="C2609">
            <v>2.3571269735377029E-2</v>
          </cell>
          <cell r="I2609" t="str">
            <v>Yanez</v>
          </cell>
        </row>
        <row r="2610">
          <cell r="A2610" t="str">
            <v>Raye</v>
          </cell>
          <cell r="C2610">
            <v>2.3549032688456862E-2</v>
          </cell>
          <cell r="I2610" t="str">
            <v>Way</v>
          </cell>
        </row>
        <row r="2611">
          <cell r="A2611" t="str">
            <v>Marquetta</v>
          </cell>
          <cell r="C2611">
            <v>2.3526795641536695E-2</v>
          </cell>
          <cell r="I2611" t="str">
            <v>Scroggins</v>
          </cell>
        </row>
        <row r="2612">
          <cell r="A2612" t="str">
            <v>Margart</v>
          </cell>
          <cell r="C2612">
            <v>2.3504558594616531E-2</v>
          </cell>
          <cell r="I2612" t="str">
            <v>Schofield</v>
          </cell>
        </row>
        <row r="2613">
          <cell r="A2613" t="str">
            <v>Ling</v>
          </cell>
          <cell r="C2613">
            <v>2.3482321547696364E-2</v>
          </cell>
          <cell r="I2613" t="str">
            <v>Runyon</v>
          </cell>
        </row>
        <row r="2614">
          <cell r="A2614" t="str">
            <v>Layla</v>
          </cell>
          <cell r="C2614">
            <v>2.3460084500776197E-2</v>
          </cell>
          <cell r="I2614" t="str">
            <v>Ratcliff</v>
          </cell>
        </row>
        <row r="2615">
          <cell r="A2615" t="str">
            <v>Kymberly</v>
          </cell>
          <cell r="C2615">
            <v>2.3437847453856034E-2</v>
          </cell>
          <cell r="I2615" t="str">
            <v>Murrell</v>
          </cell>
        </row>
        <row r="2616">
          <cell r="A2616" t="str">
            <v>Kiana</v>
          </cell>
          <cell r="C2616">
            <v>2.3415610406935867E-2</v>
          </cell>
          <cell r="I2616" t="str">
            <v>Moeller</v>
          </cell>
        </row>
        <row r="2617">
          <cell r="A2617" t="str">
            <v>Kayleen</v>
          </cell>
          <cell r="C2617">
            <v>2.3393373360015703E-2</v>
          </cell>
          <cell r="I2617" t="str">
            <v>Irby</v>
          </cell>
        </row>
        <row r="2618">
          <cell r="A2618" t="str">
            <v>Katlyn</v>
          </cell>
          <cell r="C2618">
            <v>2.3371136313095536E-2</v>
          </cell>
          <cell r="I2618" t="str">
            <v>Currier</v>
          </cell>
        </row>
        <row r="2619">
          <cell r="A2619" t="str">
            <v>Karmen</v>
          </cell>
          <cell r="C2619">
            <v>2.3348899266175369E-2</v>
          </cell>
          <cell r="I2619" t="str">
            <v>Butterfield</v>
          </cell>
        </row>
        <row r="2620">
          <cell r="A2620" t="str">
            <v>Joella</v>
          </cell>
          <cell r="C2620">
            <v>2.3326662219255206E-2</v>
          </cell>
          <cell r="I2620" t="str">
            <v>Yee</v>
          </cell>
        </row>
        <row r="2621">
          <cell r="A2621" t="str">
            <v>Irina</v>
          </cell>
          <cell r="C2621">
            <v>2.3304425172335039E-2</v>
          </cell>
          <cell r="I2621" t="str">
            <v>Ralston</v>
          </cell>
        </row>
        <row r="2622">
          <cell r="A2622" t="str">
            <v>Emelda</v>
          </cell>
          <cell r="C2622">
            <v>2.3282188125414872E-2</v>
          </cell>
          <cell r="I2622" t="str">
            <v>Pullen</v>
          </cell>
        </row>
        <row r="2623">
          <cell r="A2623" t="str">
            <v>Eleni</v>
          </cell>
          <cell r="C2623">
            <v>2.3259951078494708E-2</v>
          </cell>
          <cell r="I2623" t="str">
            <v>Pinson</v>
          </cell>
        </row>
        <row r="2624">
          <cell r="A2624" t="str">
            <v>Detra</v>
          </cell>
          <cell r="C2624">
            <v>2.3237714031574541E-2</v>
          </cell>
          <cell r="I2624" t="str">
            <v>Estep</v>
          </cell>
        </row>
        <row r="2625">
          <cell r="A2625" t="str">
            <v>Clemmie</v>
          </cell>
          <cell r="C2625">
            <v>2.3215476984654374E-2</v>
          </cell>
          <cell r="I2625" t="str">
            <v>East</v>
          </cell>
        </row>
        <row r="2626">
          <cell r="A2626" t="str">
            <v>Cheryll</v>
          </cell>
          <cell r="C2626">
            <v>2.3193239937734211E-2</v>
          </cell>
          <cell r="I2626" t="str">
            <v>Carbone</v>
          </cell>
        </row>
        <row r="2627">
          <cell r="A2627" t="str">
            <v>Chantell</v>
          </cell>
          <cell r="C2627">
            <v>2.3171002890814044E-2</v>
          </cell>
          <cell r="I2627" t="str">
            <v>Lance</v>
          </cell>
        </row>
        <row r="2628">
          <cell r="A2628" t="str">
            <v>Cathey</v>
          </cell>
          <cell r="C2628">
            <v>2.3148765843893877E-2</v>
          </cell>
          <cell r="I2628" t="str">
            <v>Hawks</v>
          </cell>
        </row>
        <row r="2629">
          <cell r="A2629" t="str">
            <v>Arnita</v>
          </cell>
          <cell r="C2629">
            <v>2.3126528796973713E-2</v>
          </cell>
          <cell r="I2629" t="str">
            <v>Ellington</v>
          </cell>
        </row>
        <row r="2630">
          <cell r="A2630" t="str">
            <v>Arla</v>
          </cell>
          <cell r="C2630">
            <v>2.3104291750053546E-2</v>
          </cell>
          <cell r="I2630" t="str">
            <v>Casillas</v>
          </cell>
        </row>
        <row r="2631">
          <cell r="A2631" t="str">
            <v>Angle</v>
          </cell>
          <cell r="C2631">
            <v>2.3082054703133379E-2</v>
          </cell>
          <cell r="I2631" t="str">
            <v>Spurlock</v>
          </cell>
        </row>
        <row r="2632">
          <cell r="A2632" t="str">
            <v>Angelic</v>
          </cell>
          <cell r="C2632">
            <v>2.3059817656213216E-2</v>
          </cell>
          <cell r="I2632" t="str">
            <v>Sikes</v>
          </cell>
        </row>
        <row r="2633">
          <cell r="A2633" t="str">
            <v>Alyse</v>
          </cell>
          <cell r="C2633">
            <v>2.3037580609293049E-2</v>
          </cell>
          <cell r="I2633" t="str">
            <v>Motley</v>
          </cell>
        </row>
        <row r="2634">
          <cell r="A2634" t="str">
            <v>Zofia</v>
          </cell>
          <cell r="C2634">
            <v>2.3015343562372882E-2</v>
          </cell>
          <cell r="I2634" t="str">
            <v>Mccartney</v>
          </cell>
        </row>
        <row r="2635">
          <cell r="A2635" t="str">
            <v>Thomasine</v>
          </cell>
          <cell r="C2635">
            <v>2.2993106515452718E-2</v>
          </cell>
          <cell r="I2635" t="str">
            <v>Kruger</v>
          </cell>
        </row>
        <row r="2636">
          <cell r="A2636" t="str">
            <v>Tennie</v>
          </cell>
          <cell r="C2636">
            <v>2.2970869468532551E-2</v>
          </cell>
          <cell r="I2636" t="str">
            <v>Isbell</v>
          </cell>
        </row>
        <row r="2637">
          <cell r="A2637" t="str">
            <v>Son</v>
          </cell>
          <cell r="C2637">
            <v>2.2948632421612384E-2</v>
          </cell>
          <cell r="I2637" t="str">
            <v>Houle</v>
          </cell>
        </row>
        <row r="2638">
          <cell r="A2638" t="str">
            <v>Sherly</v>
          </cell>
          <cell r="C2638">
            <v>2.292639537469222E-2</v>
          </cell>
          <cell r="I2638" t="str">
            <v>Francisco</v>
          </cell>
        </row>
        <row r="2639">
          <cell r="A2639" t="str">
            <v>Sherley</v>
          </cell>
          <cell r="C2639">
            <v>2.2904158327772053E-2</v>
          </cell>
          <cell r="I2639" t="str">
            <v>Burk</v>
          </cell>
        </row>
        <row r="2640">
          <cell r="A2640" t="str">
            <v>Sharyl</v>
          </cell>
          <cell r="C2640">
            <v>2.2881921280851886E-2</v>
          </cell>
          <cell r="I2640" t="str">
            <v>Bone</v>
          </cell>
        </row>
        <row r="2641">
          <cell r="A2641" t="str">
            <v>Remedios</v>
          </cell>
          <cell r="C2641">
            <v>2.2859684233931723E-2</v>
          </cell>
          <cell r="I2641" t="str">
            <v>Tomlin</v>
          </cell>
        </row>
        <row r="2642">
          <cell r="A2642" t="str">
            <v>Petrina</v>
          </cell>
          <cell r="C2642">
            <v>2.2837447187011556E-2</v>
          </cell>
          <cell r="I2642" t="str">
            <v>Shelby</v>
          </cell>
        </row>
        <row r="2643">
          <cell r="A2643" t="str">
            <v>Nickole</v>
          </cell>
          <cell r="C2643">
            <v>2.2815210140091389E-2</v>
          </cell>
          <cell r="I2643" t="str">
            <v>Quigley</v>
          </cell>
        </row>
        <row r="2644">
          <cell r="A2644" t="str">
            <v>Myung</v>
          </cell>
          <cell r="C2644">
            <v>2.2792973093171225E-2</v>
          </cell>
          <cell r="I2644" t="str">
            <v>Neumann</v>
          </cell>
        </row>
        <row r="2645">
          <cell r="A2645" t="str">
            <v>Myrle</v>
          </cell>
          <cell r="C2645">
            <v>2.2770736046251058E-2</v>
          </cell>
          <cell r="I2645" t="str">
            <v>Lovelace</v>
          </cell>
        </row>
        <row r="2646">
          <cell r="A2646" t="str">
            <v>Mozella</v>
          </cell>
          <cell r="C2646">
            <v>2.2748498999330891E-2</v>
          </cell>
          <cell r="I2646" t="str">
            <v>Fennell</v>
          </cell>
        </row>
        <row r="2647">
          <cell r="A2647" t="str">
            <v>Louanne</v>
          </cell>
          <cell r="C2647">
            <v>2.2726261952410728E-2</v>
          </cell>
          <cell r="I2647" t="str">
            <v>Colby</v>
          </cell>
        </row>
        <row r="2648">
          <cell r="A2648" t="str">
            <v>Lisha</v>
          </cell>
          <cell r="C2648">
            <v>2.2704024905490561E-2</v>
          </cell>
          <cell r="I2648" t="str">
            <v>Cheatham</v>
          </cell>
        </row>
        <row r="2649">
          <cell r="A2649" t="str">
            <v>Latia</v>
          </cell>
          <cell r="C2649">
            <v>2.2681787858570394E-2</v>
          </cell>
          <cell r="I2649" t="str">
            <v>Bustamante</v>
          </cell>
        </row>
        <row r="2650">
          <cell r="A2650" t="str">
            <v>Lane</v>
          </cell>
          <cell r="C2650">
            <v>2.265955081165023E-2</v>
          </cell>
          <cell r="I2650" t="str">
            <v>Skidmore</v>
          </cell>
        </row>
        <row r="2651">
          <cell r="A2651" t="str">
            <v>Krysta</v>
          </cell>
          <cell r="C2651">
            <v>2.2637313764730063E-2</v>
          </cell>
          <cell r="I2651" t="str">
            <v>Hidalgo</v>
          </cell>
        </row>
        <row r="2652">
          <cell r="A2652" t="str">
            <v>Julienne</v>
          </cell>
          <cell r="C2652">
            <v>2.2615076717809896E-2</v>
          </cell>
          <cell r="I2652" t="str">
            <v>Forman</v>
          </cell>
        </row>
        <row r="2653">
          <cell r="A2653" t="str">
            <v>Joel</v>
          </cell>
          <cell r="C2653">
            <v>2.2592839670889733E-2</v>
          </cell>
          <cell r="I2653" t="str">
            <v>Culp</v>
          </cell>
        </row>
        <row r="2654">
          <cell r="A2654" t="str">
            <v>Jeanene</v>
          </cell>
          <cell r="C2654">
            <v>2.2570602623969566E-2</v>
          </cell>
          <cell r="I2654" t="str">
            <v>Bowens</v>
          </cell>
        </row>
        <row r="2655">
          <cell r="A2655" t="str">
            <v>Jacqualine</v>
          </cell>
          <cell r="C2655">
            <v>2.2548365577049399E-2</v>
          </cell>
          <cell r="I2655" t="str">
            <v>Betancourt</v>
          </cell>
        </row>
        <row r="2656">
          <cell r="A2656" t="str">
            <v>Isaura</v>
          </cell>
          <cell r="C2656">
            <v>2.2526128530129235E-2</v>
          </cell>
          <cell r="I2656" t="str">
            <v>Aquino</v>
          </cell>
        </row>
        <row r="2657">
          <cell r="A2657" t="str">
            <v>Gwenda</v>
          </cell>
          <cell r="C2657">
            <v>2.2503891483209068E-2</v>
          </cell>
          <cell r="I2657" t="str">
            <v>Robb</v>
          </cell>
        </row>
        <row r="2658">
          <cell r="A2658" t="str">
            <v>Earleen</v>
          </cell>
          <cell r="C2658">
            <v>2.2481654436288901E-2</v>
          </cell>
          <cell r="I2658" t="str">
            <v>Rea</v>
          </cell>
        </row>
        <row r="2659">
          <cell r="A2659" t="str">
            <v>Donald</v>
          </cell>
          <cell r="C2659">
            <v>2.2459417389368738E-2</v>
          </cell>
          <cell r="I2659" t="str">
            <v>Milner</v>
          </cell>
        </row>
        <row r="2660">
          <cell r="A2660" t="str">
            <v>Cleopatra</v>
          </cell>
          <cell r="C2660">
            <v>2.2437180342448571E-2</v>
          </cell>
          <cell r="I2660" t="str">
            <v>Martel</v>
          </cell>
        </row>
        <row r="2661">
          <cell r="A2661" t="str">
            <v>Carlie</v>
          </cell>
          <cell r="C2661">
            <v>2.2414943295528404E-2</v>
          </cell>
          <cell r="I2661" t="str">
            <v>Gresham</v>
          </cell>
        </row>
        <row r="2662">
          <cell r="A2662" t="str">
            <v>Audie</v>
          </cell>
          <cell r="C2662">
            <v>2.239270624860824E-2</v>
          </cell>
          <cell r="I2662" t="str">
            <v>Wiles</v>
          </cell>
        </row>
        <row r="2663">
          <cell r="A2663" t="str">
            <v>Antonietta</v>
          </cell>
          <cell r="C2663">
            <v>2.2370469201688073E-2</v>
          </cell>
          <cell r="I2663" t="str">
            <v>Ricketts</v>
          </cell>
        </row>
        <row r="2664">
          <cell r="A2664" t="str">
            <v>Alise</v>
          </cell>
          <cell r="C2664">
            <v>2.2348232154767906E-2</v>
          </cell>
          <cell r="I2664" t="str">
            <v>Gavin</v>
          </cell>
        </row>
        <row r="2665">
          <cell r="A2665" t="str">
            <v>Alex</v>
          </cell>
          <cell r="C2665">
            <v>2.2325995107847742E-2</v>
          </cell>
          <cell r="I2665" t="str">
            <v>Dowd</v>
          </cell>
        </row>
        <row r="2666">
          <cell r="A2666" t="str">
            <v>Verdell</v>
          </cell>
          <cell r="C2666">
            <v>2.2303758060927575E-2</v>
          </cell>
          <cell r="I2666" t="str">
            <v>Collazo</v>
          </cell>
        </row>
        <row r="2667">
          <cell r="A2667" t="str">
            <v>Val</v>
          </cell>
          <cell r="C2667">
            <v>2.2281521014007408E-2</v>
          </cell>
          <cell r="I2667" t="str">
            <v>Bostic</v>
          </cell>
        </row>
        <row r="2668">
          <cell r="A2668" t="str">
            <v>Tyler</v>
          </cell>
          <cell r="C2668">
            <v>2.2259283967087245E-2</v>
          </cell>
          <cell r="I2668" t="str">
            <v>Blakely</v>
          </cell>
        </row>
        <row r="2669">
          <cell r="A2669" t="str">
            <v>Tomoko</v>
          </cell>
          <cell r="C2669">
            <v>2.2237046920167074E-2</v>
          </cell>
          <cell r="I2669" t="str">
            <v>Sherrod</v>
          </cell>
        </row>
        <row r="2670">
          <cell r="A2670" t="str">
            <v>Thao</v>
          </cell>
          <cell r="C2670">
            <v>2.2214809873246911E-2</v>
          </cell>
          <cell r="I2670" t="str">
            <v>Power</v>
          </cell>
        </row>
        <row r="2671">
          <cell r="A2671" t="str">
            <v>Talisha</v>
          </cell>
          <cell r="C2671">
            <v>2.2192572826326744E-2</v>
          </cell>
          <cell r="I2671" t="str">
            <v>Kenyon</v>
          </cell>
        </row>
        <row r="2672">
          <cell r="A2672" t="str">
            <v>Steven</v>
          </cell>
          <cell r="C2672">
            <v>2.2170335779406577E-2</v>
          </cell>
          <cell r="I2672" t="str">
            <v>Gandy</v>
          </cell>
        </row>
        <row r="2673">
          <cell r="A2673" t="str">
            <v>So</v>
          </cell>
          <cell r="C2673">
            <v>2.2148098732486413E-2</v>
          </cell>
          <cell r="I2673" t="str">
            <v>Ebert</v>
          </cell>
        </row>
        <row r="2674">
          <cell r="A2674" t="str">
            <v>Shemika</v>
          </cell>
          <cell r="C2674">
            <v>2.2125861685566246E-2</v>
          </cell>
          <cell r="I2674" t="str">
            <v>Deloach</v>
          </cell>
        </row>
        <row r="2675">
          <cell r="A2675" t="str">
            <v>Shaun</v>
          </cell>
          <cell r="C2675">
            <v>2.2103624638646079E-2</v>
          </cell>
          <cell r="I2675" t="str">
            <v>Cary</v>
          </cell>
        </row>
        <row r="2676">
          <cell r="A2676" t="str">
            <v>Scarlet</v>
          </cell>
          <cell r="C2676">
            <v>2.2081387591725916E-2</v>
          </cell>
          <cell r="I2676" t="str">
            <v>Bull</v>
          </cell>
        </row>
        <row r="2677">
          <cell r="A2677" t="str">
            <v>Savanna</v>
          </cell>
          <cell r="C2677">
            <v>2.2059150544805749E-2</v>
          </cell>
          <cell r="I2677" t="str">
            <v>Allard</v>
          </cell>
        </row>
        <row r="2678">
          <cell r="A2678" t="str">
            <v>Santina</v>
          </cell>
          <cell r="C2678">
            <v>2.2036913497885582E-2</v>
          </cell>
          <cell r="I2678" t="str">
            <v>Sauer</v>
          </cell>
        </row>
        <row r="2679">
          <cell r="A2679" t="str">
            <v>Rosia</v>
          </cell>
          <cell r="C2679">
            <v>2.2014676450965418E-2</v>
          </cell>
          <cell r="I2679" t="str">
            <v>Robins</v>
          </cell>
        </row>
        <row r="2680">
          <cell r="A2680" t="str">
            <v>Raeann</v>
          </cell>
          <cell r="C2680">
            <v>2.1992439404045251E-2</v>
          </cell>
          <cell r="I2680" t="str">
            <v>Olivares</v>
          </cell>
        </row>
        <row r="2681">
          <cell r="A2681" t="str">
            <v>Odilia</v>
          </cell>
          <cell r="C2681">
            <v>2.1970202357125084E-2</v>
          </cell>
          <cell r="I2681" t="str">
            <v>Gillette</v>
          </cell>
        </row>
        <row r="2682">
          <cell r="A2682" t="str">
            <v>Nana</v>
          </cell>
          <cell r="C2682">
            <v>2.1947965310204921E-2</v>
          </cell>
          <cell r="I2682" t="str">
            <v>Chestnut</v>
          </cell>
        </row>
        <row r="2683">
          <cell r="A2683" t="str">
            <v>Minna</v>
          </cell>
          <cell r="C2683">
            <v>2.1925728263284754E-2</v>
          </cell>
          <cell r="I2683" t="str">
            <v>Bourque</v>
          </cell>
        </row>
        <row r="2684">
          <cell r="A2684" t="str">
            <v>Magan</v>
          </cell>
          <cell r="C2684">
            <v>2.1903491216364587E-2</v>
          </cell>
          <cell r="I2684" t="str">
            <v>Paine</v>
          </cell>
        </row>
        <row r="2685">
          <cell r="A2685" t="str">
            <v>Lynelle</v>
          </cell>
          <cell r="C2685">
            <v>2.1881254169444423E-2</v>
          </cell>
          <cell r="I2685" t="str">
            <v>Lyman</v>
          </cell>
        </row>
        <row r="2686">
          <cell r="A2686" t="str">
            <v>Le</v>
          </cell>
          <cell r="C2686">
            <v>2.1859017122524256E-2</v>
          </cell>
          <cell r="I2686" t="str">
            <v>Hite</v>
          </cell>
        </row>
        <row r="2687">
          <cell r="A2687" t="str">
            <v>Karma</v>
          </cell>
          <cell r="C2687">
            <v>2.1836780075604089E-2</v>
          </cell>
          <cell r="I2687" t="str">
            <v>Hauser</v>
          </cell>
        </row>
        <row r="2688">
          <cell r="A2688" t="str">
            <v>Joeann</v>
          </cell>
          <cell r="C2688">
            <v>2.1814543028683926E-2</v>
          </cell>
          <cell r="I2688" t="str">
            <v>Devore</v>
          </cell>
        </row>
        <row r="2689">
          <cell r="A2689" t="str">
            <v>Ivana</v>
          </cell>
          <cell r="C2689">
            <v>2.1792305981763758E-2</v>
          </cell>
          <cell r="I2689" t="str">
            <v>Crawley</v>
          </cell>
        </row>
        <row r="2690">
          <cell r="A2690" t="str">
            <v>Inell</v>
          </cell>
          <cell r="C2690">
            <v>2.1770068934843591E-2</v>
          </cell>
          <cell r="I2690" t="str">
            <v>Chapa</v>
          </cell>
        </row>
        <row r="2691">
          <cell r="A2691" t="str">
            <v>Ilana</v>
          </cell>
          <cell r="C2691">
            <v>2.1747831887923428E-2</v>
          </cell>
          <cell r="I2691" t="str">
            <v>Vu</v>
          </cell>
        </row>
        <row r="2692">
          <cell r="A2692" t="str">
            <v>Hye</v>
          </cell>
          <cell r="C2692">
            <v>2.1725594841003261E-2</v>
          </cell>
          <cell r="I2692" t="str">
            <v>Tobias</v>
          </cell>
        </row>
        <row r="2693">
          <cell r="A2693" t="str">
            <v>Honey</v>
          </cell>
          <cell r="C2693">
            <v>2.1703357794083094E-2</v>
          </cell>
          <cell r="I2693" t="str">
            <v>Talbert</v>
          </cell>
        </row>
        <row r="2694">
          <cell r="A2694" t="str">
            <v>Hee</v>
          </cell>
          <cell r="C2694">
            <v>2.168112074716293E-2</v>
          </cell>
          <cell r="I2694" t="str">
            <v>Poindexter</v>
          </cell>
        </row>
        <row r="2695">
          <cell r="A2695" t="str">
            <v>Gudrun</v>
          </cell>
          <cell r="C2695">
            <v>2.1658883700242763E-2</v>
          </cell>
          <cell r="I2695" t="str">
            <v>Millard</v>
          </cell>
        </row>
        <row r="2696">
          <cell r="A2696" t="str">
            <v>Frank</v>
          </cell>
          <cell r="C2696">
            <v>2.1636646653322596E-2</v>
          </cell>
          <cell r="I2696" t="str">
            <v>Meador</v>
          </cell>
        </row>
        <row r="2697">
          <cell r="A2697" t="str">
            <v>Dreama</v>
          </cell>
          <cell r="C2697">
            <v>2.1614409606402433E-2</v>
          </cell>
          <cell r="I2697" t="str">
            <v>Mcduffie</v>
          </cell>
        </row>
        <row r="2698">
          <cell r="A2698" t="str">
            <v>Crissy</v>
          </cell>
          <cell r="C2698">
            <v>2.1592172559482266E-2</v>
          </cell>
          <cell r="I2698" t="str">
            <v>Mattox</v>
          </cell>
        </row>
        <row r="2699">
          <cell r="A2699" t="str">
            <v>Chante</v>
          </cell>
          <cell r="C2699">
            <v>2.1569935512562099E-2</v>
          </cell>
          <cell r="I2699" t="str">
            <v>Kraus</v>
          </cell>
        </row>
        <row r="2700">
          <cell r="A2700" t="str">
            <v>Carmelina</v>
          </cell>
          <cell r="C2700">
            <v>2.1547698465641935E-2</v>
          </cell>
          <cell r="I2700" t="str">
            <v>Harkins</v>
          </cell>
        </row>
        <row r="2701">
          <cell r="A2701" t="str">
            <v>Arvilla</v>
          </cell>
          <cell r="C2701">
            <v>2.1525461418721768E-2</v>
          </cell>
          <cell r="I2701" t="str">
            <v>Choate</v>
          </cell>
        </row>
        <row r="2702">
          <cell r="A2702" t="str">
            <v>Arthur</v>
          </cell>
          <cell r="C2702">
            <v>2.1503224371801601E-2</v>
          </cell>
          <cell r="I2702" t="str">
            <v>Bess</v>
          </cell>
        </row>
        <row r="2703">
          <cell r="A2703" t="str">
            <v>Annamae</v>
          </cell>
          <cell r="C2703">
            <v>2.1480987324881438E-2</v>
          </cell>
          <cell r="I2703" t="str">
            <v>Wren</v>
          </cell>
        </row>
        <row r="2704">
          <cell r="A2704" t="str">
            <v>Alvera</v>
          </cell>
          <cell r="C2704">
            <v>2.1458750277961271E-2</v>
          </cell>
          <cell r="I2704" t="str">
            <v>Sledge</v>
          </cell>
        </row>
        <row r="2705">
          <cell r="A2705" t="str">
            <v>Aleida</v>
          </cell>
          <cell r="C2705">
            <v>2.1436513231041104E-2</v>
          </cell>
          <cell r="I2705" t="str">
            <v>Sanborn</v>
          </cell>
        </row>
        <row r="2706">
          <cell r="A2706" t="str">
            <v>Aaron</v>
          </cell>
          <cell r="C2706">
            <v>2.141427618412094E-2</v>
          </cell>
          <cell r="I2706" t="str">
            <v>Outlaw</v>
          </cell>
        </row>
        <row r="2707">
          <cell r="A2707" t="str">
            <v>Yee</v>
          </cell>
          <cell r="C2707">
            <v>2.1392039137200773E-2</v>
          </cell>
          <cell r="I2707" t="str">
            <v>Kinder</v>
          </cell>
        </row>
        <row r="2708">
          <cell r="A2708" t="str">
            <v>Yanira</v>
          </cell>
          <cell r="C2708">
            <v>2.1369802090280606E-2</v>
          </cell>
          <cell r="I2708" t="str">
            <v>Geary</v>
          </cell>
        </row>
        <row r="2709">
          <cell r="A2709" t="str">
            <v>Vanda</v>
          </cell>
          <cell r="C2709">
            <v>2.1347565043360443E-2</v>
          </cell>
          <cell r="I2709" t="str">
            <v>Cornwell</v>
          </cell>
        </row>
        <row r="2710">
          <cell r="A2710" t="str">
            <v>Tianna</v>
          </cell>
          <cell r="C2710">
            <v>2.1325327996440276E-2</v>
          </cell>
          <cell r="I2710" t="str">
            <v>Barclay</v>
          </cell>
        </row>
        <row r="2711">
          <cell r="A2711" t="str">
            <v>Tam</v>
          </cell>
          <cell r="C2711">
            <v>2.1303090949520109E-2</v>
          </cell>
          <cell r="I2711" t="str">
            <v>Adam</v>
          </cell>
        </row>
        <row r="2712">
          <cell r="A2712" t="str">
            <v>Stefania</v>
          </cell>
          <cell r="C2712">
            <v>2.1280853902599945E-2</v>
          </cell>
          <cell r="I2712" t="str">
            <v>Abney</v>
          </cell>
        </row>
        <row r="2713">
          <cell r="A2713" t="str">
            <v>Shira</v>
          </cell>
          <cell r="C2713">
            <v>2.1258616855679778E-2</v>
          </cell>
          <cell r="I2713" t="str">
            <v>Seward</v>
          </cell>
        </row>
        <row r="2714">
          <cell r="A2714" t="str">
            <v>Perry</v>
          </cell>
          <cell r="C2714">
            <v>2.1236379808759611E-2</v>
          </cell>
          <cell r="I2714" t="str">
            <v>Rhoads</v>
          </cell>
        </row>
        <row r="2715">
          <cell r="A2715" t="str">
            <v>Nicol</v>
          </cell>
          <cell r="C2715">
            <v>2.1214142761839447E-2</v>
          </cell>
          <cell r="I2715" t="str">
            <v>Howland</v>
          </cell>
        </row>
        <row r="2716">
          <cell r="A2716" t="str">
            <v>Nancie</v>
          </cell>
          <cell r="C2716">
            <v>2.119190571491928E-2</v>
          </cell>
          <cell r="I2716" t="str">
            <v>Fortier</v>
          </cell>
        </row>
        <row r="2717">
          <cell r="A2717" t="str">
            <v>Monserrate</v>
          </cell>
          <cell r="C2717">
            <v>2.1169668667999113E-2</v>
          </cell>
          <cell r="I2717" t="str">
            <v>Easter</v>
          </cell>
        </row>
        <row r="2718">
          <cell r="A2718" t="str">
            <v>Minh</v>
          </cell>
          <cell r="C2718">
            <v>2.114743162107895E-2</v>
          </cell>
          <cell r="I2718" t="str">
            <v>Benner</v>
          </cell>
        </row>
        <row r="2719">
          <cell r="A2719" t="str">
            <v>Melynda</v>
          </cell>
          <cell r="C2719">
            <v>2.1125194574158783E-2</v>
          </cell>
          <cell r="I2719" t="str">
            <v>Vines</v>
          </cell>
        </row>
        <row r="2720">
          <cell r="A2720" t="str">
            <v>Melany</v>
          </cell>
          <cell r="C2720">
            <v>2.1102957527238616E-2</v>
          </cell>
          <cell r="I2720" t="str">
            <v>Tubbs</v>
          </cell>
        </row>
        <row r="2721">
          <cell r="A2721" t="str">
            <v>Matthew</v>
          </cell>
          <cell r="C2721">
            <v>2.1080720480318452E-2</v>
          </cell>
          <cell r="I2721" t="str">
            <v>Troutman</v>
          </cell>
        </row>
        <row r="2722">
          <cell r="A2722" t="str">
            <v>Lovella</v>
          </cell>
          <cell r="C2722">
            <v>2.1058483433398285E-2</v>
          </cell>
          <cell r="I2722" t="str">
            <v>Rapp</v>
          </cell>
        </row>
        <row r="2723">
          <cell r="A2723" t="str">
            <v>Laure</v>
          </cell>
          <cell r="C2723">
            <v>2.1036246386478118E-2</v>
          </cell>
          <cell r="I2723" t="str">
            <v>Noe</v>
          </cell>
        </row>
        <row r="2724">
          <cell r="A2724" t="str">
            <v>Kirby</v>
          </cell>
          <cell r="C2724">
            <v>2.1014009339557955E-2</v>
          </cell>
          <cell r="I2724" t="str">
            <v>Mccurdy</v>
          </cell>
        </row>
        <row r="2725">
          <cell r="A2725" t="str">
            <v>Kacy</v>
          </cell>
          <cell r="C2725">
            <v>2.0991772292637788E-2</v>
          </cell>
          <cell r="I2725" t="str">
            <v>Harder</v>
          </cell>
        </row>
        <row r="2726">
          <cell r="A2726" t="str">
            <v>Jacquelynn</v>
          </cell>
          <cell r="C2726">
            <v>2.0969535245717621E-2</v>
          </cell>
          <cell r="I2726" t="str">
            <v>Deluca</v>
          </cell>
        </row>
        <row r="2727">
          <cell r="A2727" t="str">
            <v>Hyon</v>
          </cell>
          <cell r="C2727">
            <v>2.0947298198797457E-2</v>
          </cell>
          <cell r="I2727" t="str">
            <v>Westmoreland</v>
          </cell>
        </row>
        <row r="2728">
          <cell r="A2728" t="str">
            <v>Gertha</v>
          </cell>
          <cell r="C2728">
            <v>2.092506115187729E-2</v>
          </cell>
          <cell r="I2728" t="str">
            <v>South</v>
          </cell>
        </row>
        <row r="2729">
          <cell r="A2729" t="str">
            <v>Francisco</v>
          </cell>
          <cell r="C2729">
            <v>2.0902824104957123E-2</v>
          </cell>
          <cell r="I2729" t="str">
            <v>Havens</v>
          </cell>
        </row>
        <row r="2730">
          <cell r="A2730" t="str">
            <v>Eliana</v>
          </cell>
          <cell r="C2730">
            <v>2.088058705803696E-2</v>
          </cell>
          <cell r="I2730" t="str">
            <v>Guajardo</v>
          </cell>
        </row>
        <row r="2731">
          <cell r="A2731" t="str">
            <v>Christena</v>
          </cell>
          <cell r="C2731">
            <v>2.0858350011116793E-2</v>
          </cell>
          <cell r="I2731" t="str">
            <v>Ely</v>
          </cell>
        </row>
        <row r="2732">
          <cell r="A2732" t="str">
            <v>Christeen</v>
          </cell>
          <cell r="C2732">
            <v>2.0836112964196626E-2</v>
          </cell>
          <cell r="I2732" t="str">
            <v>Clary</v>
          </cell>
        </row>
        <row r="2733">
          <cell r="A2733" t="str">
            <v>Charise</v>
          </cell>
          <cell r="C2733">
            <v>2.0813875917276462E-2</v>
          </cell>
          <cell r="I2733" t="str">
            <v>Seal</v>
          </cell>
        </row>
        <row r="2734">
          <cell r="A2734" t="str">
            <v>Caterina</v>
          </cell>
          <cell r="C2734">
            <v>2.0791638870356295E-2</v>
          </cell>
          <cell r="I2734" t="str">
            <v>Meehan</v>
          </cell>
        </row>
        <row r="2735">
          <cell r="A2735" t="str">
            <v>Carley</v>
          </cell>
          <cell r="C2735">
            <v>2.0769401823436128E-2</v>
          </cell>
          <cell r="I2735" t="str">
            <v>Herzog</v>
          </cell>
        </row>
        <row r="2736">
          <cell r="A2736" t="str">
            <v>Candyce</v>
          </cell>
          <cell r="C2736">
            <v>2.0747164776515965E-2</v>
          </cell>
          <cell r="I2736" t="str">
            <v>Guillen</v>
          </cell>
        </row>
        <row r="2737">
          <cell r="A2737" t="str">
            <v>Arlena</v>
          </cell>
          <cell r="C2737">
            <v>2.0724927729595798E-2</v>
          </cell>
          <cell r="I2737" t="str">
            <v>Ashcraft</v>
          </cell>
        </row>
        <row r="2738">
          <cell r="A2738" t="str">
            <v>Ammie</v>
          </cell>
          <cell r="C2738">
            <v>2.0702690682675631E-2</v>
          </cell>
          <cell r="I2738" t="str">
            <v>Waugh</v>
          </cell>
        </row>
        <row r="2739">
          <cell r="A2739" t="str">
            <v>Yang</v>
          </cell>
          <cell r="C2739">
            <v>2.0680453635755467E-2</v>
          </cell>
          <cell r="I2739" t="str">
            <v>Renner</v>
          </cell>
        </row>
        <row r="2740">
          <cell r="A2740" t="str">
            <v>Willette</v>
          </cell>
          <cell r="C2740">
            <v>2.06582165888353E-2</v>
          </cell>
          <cell r="I2740" t="str">
            <v>Milam</v>
          </cell>
        </row>
        <row r="2741">
          <cell r="A2741" t="str">
            <v>Vanita</v>
          </cell>
          <cell r="C2741">
            <v>2.0635979541915133E-2</v>
          </cell>
          <cell r="I2741" t="str">
            <v>Jung</v>
          </cell>
        </row>
        <row r="2742">
          <cell r="A2742" t="str">
            <v>Tuyet</v>
          </cell>
          <cell r="C2742">
            <v>2.0613742494994969E-2</v>
          </cell>
          <cell r="I2742" t="str">
            <v>Elrod</v>
          </cell>
        </row>
        <row r="2743">
          <cell r="A2743" t="str">
            <v>Tiny</v>
          </cell>
          <cell r="C2743">
            <v>2.0591505448074802E-2</v>
          </cell>
          <cell r="I2743" t="str">
            <v>Churchill</v>
          </cell>
        </row>
        <row r="2744">
          <cell r="A2744" t="str">
            <v>Syreeta</v>
          </cell>
          <cell r="C2744">
            <v>2.0569268401154635E-2</v>
          </cell>
          <cell r="I2744" t="str">
            <v>Buford</v>
          </cell>
        </row>
        <row r="2745">
          <cell r="A2745" t="str">
            <v>Silva</v>
          </cell>
          <cell r="C2745">
            <v>2.0547031354234472E-2</v>
          </cell>
          <cell r="I2745" t="str">
            <v>Breaux</v>
          </cell>
        </row>
        <row r="2746">
          <cell r="A2746" t="str">
            <v>Scott</v>
          </cell>
          <cell r="C2746">
            <v>2.0524794307314305E-2</v>
          </cell>
          <cell r="I2746" t="str">
            <v>Bolin</v>
          </cell>
        </row>
        <row r="2747">
          <cell r="A2747" t="str">
            <v>Ronald</v>
          </cell>
          <cell r="C2747">
            <v>2.0502557260394138E-2</v>
          </cell>
          <cell r="I2747" t="str">
            <v>Asher</v>
          </cell>
        </row>
        <row r="2748">
          <cell r="A2748" t="str">
            <v>Penney</v>
          </cell>
          <cell r="C2748">
            <v>2.0480320213473974E-2</v>
          </cell>
          <cell r="I2748" t="str">
            <v>Windham</v>
          </cell>
        </row>
        <row r="2749">
          <cell r="A2749" t="str">
            <v>Nyla</v>
          </cell>
          <cell r="C2749">
            <v>2.0458083166553807E-2</v>
          </cell>
          <cell r="I2749" t="str">
            <v>Tirado</v>
          </cell>
        </row>
        <row r="2750">
          <cell r="A2750" t="str">
            <v>Michal</v>
          </cell>
          <cell r="C2750">
            <v>2.043584611963364E-2</v>
          </cell>
          <cell r="I2750" t="str">
            <v>Pemberton</v>
          </cell>
        </row>
        <row r="2751">
          <cell r="A2751" t="str">
            <v>Maurice</v>
          </cell>
          <cell r="C2751">
            <v>2.0413609072713477E-2</v>
          </cell>
          <cell r="I2751" t="str">
            <v>Nolen</v>
          </cell>
        </row>
        <row r="2752">
          <cell r="A2752" t="str">
            <v>Maryam</v>
          </cell>
          <cell r="C2752">
            <v>2.039137202579331E-2</v>
          </cell>
          <cell r="I2752" t="str">
            <v>Noland</v>
          </cell>
        </row>
        <row r="2753">
          <cell r="A2753" t="str">
            <v>Marya</v>
          </cell>
          <cell r="C2753">
            <v>2.0369134978873143E-2</v>
          </cell>
          <cell r="I2753" t="str">
            <v>Knott</v>
          </cell>
        </row>
        <row r="2754">
          <cell r="A2754" t="str">
            <v>Magen</v>
          </cell>
          <cell r="C2754">
            <v>2.0346897931952979E-2</v>
          </cell>
          <cell r="I2754" t="str">
            <v>Emmons</v>
          </cell>
        </row>
        <row r="2755">
          <cell r="A2755" t="str">
            <v>Ludie</v>
          </cell>
          <cell r="C2755">
            <v>2.0324660885032812E-2</v>
          </cell>
          <cell r="I2755" t="str">
            <v>Cornish</v>
          </cell>
        </row>
        <row r="2756">
          <cell r="A2756" t="str">
            <v>Loma</v>
          </cell>
          <cell r="C2756">
            <v>2.0302423838112645E-2</v>
          </cell>
          <cell r="I2756" t="str">
            <v>Christenson</v>
          </cell>
        </row>
        <row r="2757">
          <cell r="A2757" t="str">
            <v>Livia</v>
          </cell>
          <cell r="C2757">
            <v>2.0280186791192482E-2</v>
          </cell>
          <cell r="I2757" t="str">
            <v>Brownlee</v>
          </cell>
        </row>
        <row r="2758">
          <cell r="A2758" t="str">
            <v>Lanell</v>
          </cell>
          <cell r="C2758">
            <v>2.0257949744272315E-2</v>
          </cell>
          <cell r="I2758" t="str">
            <v>Barbee</v>
          </cell>
        </row>
        <row r="2759">
          <cell r="A2759" t="str">
            <v>Kimberlie</v>
          </cell>
          <cell r="C2759">
            <v>2.0235712697352148E-2</v>
          </cell>
          <cell r="I2759" t="str">
            <v>Waldrop</v>
          </cell>
        </row>
        <row r="2760">
          <cell r="A2760" t="str">
            <v>Julee</v>
          </cell>
          <cell r="C2760">
            <v>2.0213475650431984E-2</v>
          </cell>
          <cell r="I2760" t="str">
            <v>Pitt</v>
          </cell>
        </row>
        <row r="2761">
          <cell r="A2761" t="str">
            <v>Donetta</v>
          </cell>
          <cell r="C2761">
            <v>2.0191238603511817E-2</v>
          </cell>
          <cell r="I2761" t="str">
            <v>Olvera</v>
          </cell>
        </row>
        <row r="2762">
          <cell r="A2762" t="str">
            <v>Diedra</v>
          </cell>
          <cell r="C2762">
            <v>2.016900155659165E-2</v>
          </cell>
          <cell r="I2762" t="str">
            <v>Lombardi</v>
          </cell>
        </row>
        <row r="2763">
          <cell r="A2763" t="str">
            <v>Denisha</v>
          </cell>
          <cell r="C2763">
            <v>2.0146764509671487E-2</v>
          </cell>
          <cell r="I2763" t="str">
            <v>Gruber</v>
          </cell>
        </row>
        <row r="2764">
          <cell r="A2764" t="str">
            <v>Deane</v>
          </cell>
          <cell r="C2764">
            <v>2.012452746275132E-2</v>
          </cell>
          <cell r="I2764" t="str">
            <v>Gaffney</v>
          </cell>
        </row>
        <row r="2765">
          <cell r="A2765" t="str">
            <v>Dawne</v>
          </cell>
          <cell r="C2765">
            <v>2.0102290415831153E-2</v>
          </cell>
          <cell r="I2765" t="str">
            <v>Eggleston</v>
          </cell>
        </row>
        <row r="2766">
          <cell r="A2766" t="str">
            <v>Clarine</v>
          </cell>
          <cell r="C2766">
            <v>2.0080053368910989E-2</v>
          </cell>
          <cell r="I2766" t="str">
            <v>Banda</v>
          </cell>
        </row>
        <row r="2767">
          <cell r="A2767" t="str">
            <v>Cherryl</v>
          </cell>
          <cell r="C2767">
            <v>2.0057816321990822E-2</v>
          </cell>
          <cell r="I2767" t="str">
            <v>Archuleta</v>
          </cell>
        </row>
        <row r="2768">
          <cell r="A2768" t="str">
            <v>Bronwyn</v>
          </cell>
          <cell r="C2768">
            <v>2.0035579275070659E-2</v>
          </cell>
          <cell r="I2768" t="str">
            <v>Still</v>
          </cell>
        </row>
        <row r="2769">
          <cell r="A2769" t="str">
            <v>Brandon</v>
          </cell>
          <cell r="C2769">
            <v>2.0013342228150491E-2</v>
          </cell>
          <cell r="I2769" t="str">
            <v>Slone</v>
          </cell>
        </row>
        <row r="2770">
          <cell r="A2770" t="str">
            <v>Alla</v>
          </cell>
          <cell r="C2770">
            <v>1.9991105181230324E-2</v>
          </cell>
          <cell r="I2770" t="str">
            <v>Prewitt</v>
          </cell>
        </row>
        <row r="2771">
          <cell r="A2771" t="str">
            <v>Valery</v>
          </cell>
          <cell r="C2771">
            <v>1.9968868134310161E-2</v>
          </cell>
          <cell r="I2771" t="str">
            <v>Pfeiffer</v>
          </cell>
        </row>
        <row r="2772">
          <cell r="A2772" t="str">
            <v>Tonda</v>
          </cell>
          <cell r="C2772">
            <v>1.9946631087389994E-2</v>
          </cell>
          <cell r="I2772" t="str">
            <v>Nettles</v>
          </cell>
        </row>
        <row r="2773">
          <cell r="A2773" t="str">
            <v>Sueann</v>
          </cell>
          <cell r="C2773">
            <v>1.9924394040469827E-2</v>
          </cell>
          <cell r="I2773" t="str">
            <v>Mena</v>
          </cell>
        </row>
        <row r="2774">
          <cell r="A2774" t="str">
            <v>Soraya</v>
          </cell>
          <cell r="C2774">
            <v>1.9902156993549663E-2</v>
          </cell>
          <cell r="I2774" t="str">
            <v>Mcadams</v>
          </cell>
        </row>
        <row r="2775">
          <cell r="A2775" t="str">
            <v>Shoshana</v>
          </cell>
          <cell r="C2775">
            <v>1.9879919946629496E-2</v>
          </cell>
          <cell r="I2775" t="str">
            <v>Henning</v>
          </cell>
        </row>
        <row r="2776">
          <cell r="A2776" t="str">
            <v>Shela</v>
          </cell>
          <cell r="C2776">
            <v>1.9857682899709329E-2</v>
          </cell>
          <cell r="I2776" t="str">
            <v>Gardiner</v>
          </cell>
        </row>
        <row r="2777">
          <cell r="A2777" t="str">
            <v>Sharleen</v>
          </cell>
          <cell r="C2777">
            <v>1.9835445852789166E-2</v>
          </cell>
          <cell r="I2777" t="str">
            <v>Cromwell</v>
          </cell>
        </row>
        <row r="2778">
          <cell r="A2778" t="str">
            <v>Shanelle</v>
          </cell>
          <cell r="C2778">
            <v>1.9813208805868999E-2</v>
          </cell>
          <cell r="I2778" t="str">
            <v>Chisholm</v>
          </cell>
        </row>
        <row r="2779">
          <cell r="A2779" t="str">
            <v>Nerissa</v>
          </cell>
          <cell r="C2779">
            <v>1.9790971758948832E-2</v>
          </cell>
          <cell r="I2779" t="str">
            <v>Burleson</v>
          </cell>
        </row>
        <row r="2780">
          <cell r="A2780" t="str">
            <v>Micheal</v>
          </cell>
          <cell r="C2780">
            <v>1.9768734712028668E-2</v>
          </cell>
          <cell r="I2780" t="str">
            <v>Box</v>
          </cell>
        </row>
        <row r="2781">
          <cell r="A2781" t="str">
            <v>Meridith</v>
          </cell>
          <cell r="C2781">
            <v>1.9746497665108501E-2</v>
          </cell>
          <cell r="I2781" t="str">
            <v>Vest</v>
          </cell>
        </row>
        <row r="2782">
          <cell r="A2782" t="str">
            <v>Mellie</v>
          </cell>
          <cell r="C2782">
            <v>1.9724260618188334E-2</v>
          </cell>
          <cell r="I2782" t="str">
            <v>Oglesby</v>
          </cell>
        </row>
        <row r="2783">
          <cell r="A2783" t="str">
            <v>Maye</v>
          </cell>
          <cell r="C2783">
            <v>1.9702023571268171E-2</v>
          </cell>
          <cell r="I2783" t="str">
            <v>Mccarter</v>
          </cell>
        </row>
        <row r="2784">
          <cell r="A2784" t="str">
            <v>Maple</v>
          </cell>
          <cell r="C2784">
            <v>1.9679786524348004E-2</v>
          </cell>
          <cell r="I2784" t="str">
            <v>Malcolm</v>
          </cell>
        </row>
        <row r="2785">
          <cell r="A2785" t="str">
            <v>Magaret</v>
          </cell>
          <cell r="C2785">
            <v>1.9657549477427837E-2</v>
          </cell>
          <cell r="I2785" t="str">
            <v>Lumpkin</v>
          </cell>
        </row>
        <row r="2786">
          <cell r="A2786" t="str">
            <v>Luis</v>
          </cell>
          <cell r="C2786">
            <v>1.9635312430507673E-2</v>
          </cell>
          <cell r="I2786" t="str">
            <v>Larue</v>
          </cell>
        </row>
        <row r="2787">
          <cell r="A2787" t="str">
            <v>Lili</v>
          </cell>
          <cell r="C2787">
            <v>1.9613075383587506E-2</v>
          </cell>
          <cell r="I2787" t="str">
            <v>Grey</v>
          </cell>
        </row>
        <row r="2788">
          <cell r="A2788" t="str">
            <v>Leonila</v>
          </cell>
          <cell r="C2788">
            <v>1.9590838336667339E-2</v>
          </cell>
          <cell r="I2788" t="str">
            <v>Wofford</v>
          </cell>
        </row>
        <row r="2789">
          <cell r="A2789" t="str">
            <v>Leonie</v>
          </cell>
          <cell r="C2789">
            <v>1.9568601289747176E-2</v>
          </cell>
          <cell r="I2789" t="str">
            <v>Vanhorn</v>
          </cell>
        </row>
        <row r="2790">
          <cell r="A2790" t="str">
            <v>Leeanna</v>
          </cell>
          <cell r="C2790">
            <v>1.9546364242827009E-2</v>
          </cell>
          <cell r="I2790" t="str">
            <v>Thorn</v>
          </cell>
        </row>
        <row r="2791">
          <cell r="A2791" t="str">
            <v>Lavonia</v>
          </cell>
          <cell r="C2791">
            <v>1.9524127195906842E-2</v>
          </cell>
          <cell r="I2791" t="str">
            <v>Teel</v>
          </cell>
        </row>
        <row r="2792">
          <cell r="A2792" t="str">
            <v>Lavera</v>
          </cell>
          <cell r="C2792">
            <v>1.9501890148986678E-2</v>
          </cell>
          <cell r="I2792" t="str">
            <v>Swafford</v>
          </cell>
        </row>
        <row r="2793">
          <cell r="A2793" t="str">
            <v>Kristel</v>
          </cell>
          <cell r="C2793">
            <v>1.9479653102066511E-2</v>
          </cell>
          <cell r="I2793" t="str">
            <v>Stclair</v>
          </cell>
        </row>
        <row r="2794">
          <cell r="A2794" t="str">
            <v>Kathey</v>
          </cell>
          <cell r="C2794">
            <v>1.9457416055146344E-2</v>
          </cell>
          <cell r="I2794" t="str">
            <v>Stanfield</v>
          </cell>
        </row>
        <row r="2795">
          <cell r="A2795" t="str">
            <v>Kathe</v>
          </cell>
          <cell r="C2795">
            <v>1.943517900822618E-2</v>
          </cell>
          <cell r="I2795" t="str">
            <v>Ocampo</v>
          </cell>
        </row>
        <row r="2796">
          <cell r="A2796" t="str">
            <v>Justin</v>
          </cell>
          <cell r="C2796">
            <v>1.9412941961306013E-2</v>
          </cell>
          <cell r="I2796" t="str">
            <v>Herrmann</v>
          </cell>
        </row>
        <row r="2797">
          <cell r="A2797" t="str">
            <v>Julian</v>
          </cell>
          <cell r="C2797">
            <v>1.9390704914385846E-2</v>
          </cell>
          <cell r="I2797" t="str">
            <v>Hannon</v>
          </cell>
        </row>
        <row r="2798">
          <cell r="A2798" t="str">
            <v>Jimmy</v>
          </cell>
          <cell r="C2798">
            <v>1.9368467867465683E-2</v>
          </cell>
          <cell r="I2798" t="str">
            <v>Arsenault</v>
          </cell>
        </row>
        <row r="2799">
          <cell r="A2799" t="str">
            <v>Jann</v>
          </cell>
          <cell r="C2799">
            <v>1.9346230820545516E-2</v>
          </cell>
          <cell r="I2799" t="str">
            <v>Roush</v>
          </cell>
        </row>
        <row r="2800">
          <cell r="A2800" t="str">
            <v>Ilda</v>
          </cell>
          <cell r="C2800">
            <v>1.9323993773625349E-2</v>
          </cell>
          <cell r="I2800" t="str">
            <v>Mcalister</v>
          </cell>
        </row>
        <row r="2801">
          <cell r="A2801" t="str">
            <v>Hildred</v>
          </cell>
          <cell r="C2801">
            <v>1.9301756726705185E-2</v>
          </cell>
          <cell r="I2801" t="str">
            <v>Hiatt</v>
          </cell>
        </row>
        <row r="2802">
          <cell r="A2802" t="str">
            <v>Hildegarde</v>
          </cell>
          <cell r="C2802">
            <v>1.9279519679785018E-2</v>
          </cell>
          <cell r="I2802" t="str">
            <v>Gunderson</v>
          </cell>
        </row>
        <row r="2803">
          <cell r="A2803" t="str">
            <v>Genia</v>
          </cell>
          <cell r="C2803">
            <v>1.9257282632864851E-2</v>
          </cell>
          <cell r="I2803" t="str">
            <v>Forsythe</v>
          </cell>
        </row>
        <row r="2804">
          <cell r="A2804" t="str">
            <v>Fumiko</v>
          </cell>
          <cell r="C2804">
            <v>1.9235045585944688E-2</v>
          </cell>
          <cell r="I2804" t="str">
            <v>Duggan</v>
          </cell>
        </row>
        <row r="2805">
          <cell r="A2805" t="str">
            <v>Evelin</v>
          </cell>
          <cell r="C2805">
            <v>1.9212808539024521E-2</v>
          </cell>
          <cell r="I2805" t="str">
            <v>Delvalle</v>
          </cell>
        </row>
        <row r="2806">
          <cell r="A2806" t="str">
            <v>Ermelinda</v>
          </cell>
          <cell r="C2806">
            <v>1.9190571492104354E-2</v>
          </cell>
          <cell r="I2806" t="str">
            <v>Cintron</v>
          </cell>
        </row>
        <row r="2807">
          <cell r="A2807" t="str">
            <v>Elly</v>
          </cell>
          <cell r="C2807">
            <v>1.916833444518419E-2</v>
          </cell>
          <cell r="I2807" t="str">
            <v>Wilks</v>
          </cell>
        </row>
        <row r="2808">
          <cell r="A2808" t="str">
            <v>Dung</v>
          </cell>
          <cell r="C2808">
            <v>1.9146097398264023E-2</v>
          </cell>
          <cell r="I2808" t="str">
            <v>Weinstein</v>
          </cell>
        </row>
        <row r="2809">
          <cell r="A2809" t="str">
            <v>Doloris</v>
          </cell>
          <cell r="C2809">
            <v>1.9123860351343856E-2</v>
          </cell>
          <cell r="I2809" t="str">
            <v>Uribe</v>
          </cell>
        </row>
        <row r="2810">
          <cell r="A2810" t="str">
            <v>Dionna</v>
          </cell>
          <cell r="C2810">
            <v>1.9101623304423693E-2</v>
          </cell>
          <cell r="I2810" t="str">
            <v>Rizzo</v>
          </cell>
        </row>
        <row r="2811">
          <cell r="A2811" t="str">
            <v>Danae</v>
          </cell>
          <cell r="C2811">
            <v>1.9079386257503526E-2</v>
          </cell>
          <cell r="I2811" t="str">
            <v>Noyes</v>
          </cell>
        </row>
        <row r="2812">
          <cell r="A2812" t="str">
            <v>Berneice</v>
          </cell>
          <cell r="C2812">
            <v>1.9057149210583359E-2</v>
          </cell>
          <cell r="I2812" t="str">
            <v>Mclendon</v>
          </cell>
        </row>
        <row r="2813">
          <cell r="A2813" t="str">
            <v>Annice</v>
          </cell>
          <cell r="C2813">
            <v>1.9034912163663195E-2</v>
          </cell>
          <cell r="I2813" t="str">
            <v>Gurley</v>
          </cell>
        </row>
        <row r="2814">
          <cell r="A2814" t="str">
            <v>Alix</v>
          </cell>
          <cell r="C2814">
            <v>1.9012675116743028E-2</v>
          </cell>
          <cell r="I2814" t="str">
            <v>Bethea</v>
          </cell>
        </row>
        <row r="2815">
          <cell r="A2815" t="str">
            <v>Verena</v>
          </cell>
          <cell r="C2815">
            <v>1.8990438069822861E-2</v>
          </cell>
          <cell r="I2815" t="str">
            <v>Winstead</v>
          </cell>
        </row>
        <row r="2816">
          <cell r="A2816" t="str">
            <v>Verdie</v>
          </cell>
          <cell r="C2816">
            <v>1.8968201022902698E-2</v>
          </cell>
          <cell r="I2816" t="str">
            <v>Maples</v>
          </cell>
        </row>
        <row r="2817">
          <cell r="A2817" t="str">
            <v>Tristan</v>
          </cell>
          <cell r="C2817">
            <v>1.8945963975982531E-2</v>
          </cell>
          <cell r="I2817" t="str">
            <v>Harry</v>
          </cell>
        </row>
        <row r="2818">
          <cell r="A2818" t="str">
            <v>Shawnna</v>
          </cell>
          <cell r="C2818">
            <v>1.8923726929062364E-2</v>
          </cell>
          <cell r="I2818" t="str">
            <v>Guyton</v>
          </cell>
        </row>
        <row r="2819">
          <cell r="A2819" t="str">
            <v>Shawana</v>
          </cell>
          <cell r="C2819">
            <v>1.89014898821422E-2</v>
          </cell>
          <cell r="I2819" t="str">
            <v>Giordano</v>
          </cell>
        </row>
        <row r="2820">
          <cell r="A2820" t="str">
            <v>Shaunna</v>
          </cell>
          <cell r="C2820">
            <v>1.8879252835222033E-2</v>
          </cell>
          <cell r="I2820" t="str">
            <v>Alderman</v>
          </cell>
        </row>
        <row r="2821">
          <cell r="A2821" t="str">
            <v>Rozella</v>
          </cell>
          <cell r="C2821">
            <v>1.8857015788301866E-2</v>
          </cell>
          <cell r="I2821" t="str">
            <v>Valdes</v>
          </cell>
        </row>
        <row r="2822">
          <cell r="A2822" t="str">
            <v>Randee</v>
          </cell>
          <cell r="C2822">
            <v>1.8834778741381702E-2</v>
          </cell>
          <cell r="I2822" t="str">
            <v>Polanco</v>
          </cell>
        </row>
        <row r="2823">
          <cell r="A2823" t="str">
            <v>Ranae</v>
          </cell>
          <cell r="C2823">
            <v>1.8812541694461535E-2</v>
          </cell>
          <cell r="I2823" t="str">
            <v>Pappas</v>
          </cell>
        </row>
        <row r="2824">
          <cell r="A2824" t="str">
            <v>Milagro</v>
          </cell>
          <cell r="C2824">
            <v>1.8790304647541368E-2</v>
          </cell>
          <cell r="I2824" t="str">
            <v>Lively</v>
          </cell>
        </row>
        <row r="2825">
          <cell r="A2825" t="str">
            <v>Lynell</v>
          </cell>
          <cell r="C2825">
            <v>1.8768067600621205E-2</v>
          </cell>
          <cell r="I2825" t="str">
            <v>Grogan</v>
          </cell>
        </row>
        <row r="2826">
          <cell r="A2826" t="str">
            <v>Luise</v>
          </cell>
          <cell r="C2826">
            <v>1.8745830553701038E-2</v>
          </cell>
          <cell r="I2826" t="str">
            <v>Griffiths</v>
          </cell>
        </row>
        <row r="2827">
          <cell r="A2827" t="str">
            <v>Louie</v>
          </cell>
          <cell r="C2827">
            <v>1.8723593506780871E-2</v>
          </cell>
          <cell r="I2827" t="str">
            <v>Bobo</v>
          </cell>
        </row>
        <row r="2828">
          <cell r="A2828" t="str">
            <v>Loida</v>
          </cell>
          <cell r="C2828">
            <v>1.8701356459860707E-2</v>
          </cell>
          <cell r="I2828" t="str">
            <v>Arevalo</v>
          </cell>
        </row>
        <row r="2829">
          <cell r="A2829" t="str">
            <v>Lisbeth</v>
          </cell>
          <cell r="C2829">
            <v>1.867911941294054E-2</v>
          </cell>
          <cell r="I2829" t="str">
            <v>Whitson</v>
          </cell>
        </row>
        <row r="2830">
          <cell r="A2830" t="str">
            <v>Karleen</v>
          </cell>
          <cell r="C2830">
            <v>1.8656882366020373E-2</v>
          </cell>
          <cell r="I2830" t="str">
            <v>Sowell</v>
          </cell>
        </row>
        <row r="2831">
          <cell r="A2831" t="str">
            <v>Junita</v>
          </cell>
          <cell r="C2831">
            <v>1.863464531910021E-2</v>
          </cell>
          <cell r="I2831" t="str">
            <v>Rendon</v>
          </cell>
        </row>
        <row r="2832">
          <cell r="A2832" t="str">
            <v>Jona</v>
          </cell>
          <cell r="C2832">
            <v>1.8612408272180043E-2</v>
          </cell>
          <cell r="I2832" t="str">
            <v>Matthew</v>
          </cell>
        </row>
        <row r="2833">
          <cell r="A2833" t="str">
            <v>Isis</v>
          </cell>
          <cell r="C2833">
            <v>1.8590171225259876E-2</v>
          </cell>
          <cell r="I2833" t="str">
            <v>Julian</v>
          </cell>
        </row>
        <row r="2834">
          <cell r="A2834" t="str">
            <v>Hyacinth</v>
          </cell>
          <cell r="C2834">
            <v>1.8567934178339712E-2</v>
          </cell>
          <cell r="I2834" t="str">
            <v>Fernandes</v>
          </cell>
        </row>
        <row r="2835">
          <cell r="A2835" t="str">
            <v>Hedy</v>
          </cell>
          <cell r="C2835">
            <v>1.8545697131419545E-2</v>
          </cell>
          <cell r="I2835" t="str">
            <v>Farrow</v>
          </cell>
        </row>
        <row r="2836">
          <cell r="A2836" t="str">
            <v>Gwenn</v>
          </cell>
          <cell r="C2836">
            <v>1.8523460084499378E-2</v>
          </cell>
          <cell r="I2836" t="str">
            <v>Edmond</v>
          </cell>
        </row>
        <row r="2837">
          <cell r="A2837" t="str">
            <v>Ethelene</v>
          </cell>
          <cell r="C2837">
            <v>1.8501223037579215E-2</v>
          </cell>
          <cell r="I2837" t="str">
            <v>Benavidez</v>
          </cell>
        </row>
        <row r="2838">
          <cell r="A2838" t="str">
            <v>Erline</v>
          </cell>
          <cell r="C2838">
            <v>1.8478985990659048E-2</v>
          </cell>
          <cell r="I2838" t="str">
            <v>Ayres</v>
          </cell>
        </row>
        <row r="2839">
          <cell r="A2839" t="str">
            <v>Edward</v>
          </cell>
          <cell r="C2839">
            <v>1.8456748943738881E-2</v>
          </cell>
          <cell r="I2839" t="str">
            <v>Alicea</v>
          </cell>
        </row>
        <row r="2840">
          <cell r="A2840" t="str">
            <v>Donya</v>
          </cell>
          <cell r="C2840">
            <v>1.8434511896818717E-2</v>
          </cell>
          <cell r="I2840" t="str">
            <v>Stump</v>
          </cell>
        </row>
        <row r="2841">
          <cell r="A2841" t="str">
            <v>Domonique</v>
          </cell>
          <cell r="C2841">
            <v>1.841227484989855E-2</v>
          </cell>
          <cell r="I2841" t="str">
            <v>Smalley</v>
          </cell>
        </row>
        <row r="2842">
          <cell r="A2842" t="str">
            <v>Delicia</v>
          </cell>
          <cell r="C2842">
            <v>1.8390037802978383E-2</v>
          </cell>
          <cell r="I2842" t="str">
            <v>Seitz</v>
          </cell>
        </row>
        <row r="2843">
          <cell r="A2843" t="str">
            <v>Dannette</v>
          </cell>
          <cell r="C2843">
            <v>1.836780075605822E-2</v>
          </cell>
          <cell r="I2843" t="str">
            <v>Schulte</v>
          </cell>
        </row>
        <row r="2844">
          <cell r="A2844" t="str">
            <v>Cicely</v>
          </cell>
          <cell r="C2844">
            <v>1.8345563709138053E-2</v>
          </cell>
          <cell r="I2844" t="str">
            <v>Gilley</v>
          </cell>
        </row>
        <row r="2845">
          <cell r="A2845" t="str">
            <v>Branda</v>
          </cell>
          <cell r="C2845">
            <v>1.8323326662217886E-2</v>
          </cell>
          <cell r="I2845" t="str">
            <v>Gallant</v>
          </cell>
        </row>
        <row r="2846">
          <cell r="A2846" t="str">
            <v>Blythe</v>
          </cell>
          <cell r="C2846">
            <v>1.8301089615297722E-2</v>
          </cell>
          <cell r="I2846" t="str">
            <v>Dewey</v>
          </cell>
        </row>
        <row r="2847">
          <cell r="A2847" t="str">
            <v>Bethann</v>
          </cell>
          <cell r="C2847">
            <v>1.8278852568377555E-2</v>
          </cell>
          <cell r="I2847" t="str">
            <v>Casper</v>
          </cell>
        </row>
        <row r="2848">
          <cell r="A2848" t="str">
            <v>Ashlyn</v>
          </cell>
          <cell r="C2848">
            <v>1.8256615521457388E-2</v>
          </cell>
          <cell r="I2848" t="str">
            <v>Canfield</v>
          </cell>
        </row>
        <row r="2849">
          <cell r="A2849" t="str">
            <v>Annalee</v>
          </cell>
          <cell r="C2849">
            <v>1.8234378474537224E-2</v>
          </cell>
          <cell r="I2849" t="str">
            <v>Wolford</v>
          </cell>
        </row>
        <row r="2850">
          <cell r="A2850" t="str">
            <v>Alline</v>
          </cell>
          <cell r="C2850">
            <v>1.8212141427617057E-2</v>
          </cell>
          <cell r="I2850" t="str">
            <v>Omalley</v>
          </cell>
        </row>
        <row r="2851">
          <cell r="A2851" t="str">
            <v>Yuko</v>
          </cell>
          <cell r="C2851">
            <v>1.818990438069689E-2</v>
          </cell>
          <cell r="I2851" t="str">
            <v>Mcnutt</v>
          </cell>
        </row>
        <row r="2852">
          <cell r="A2852" t="str">
            <v>Vella</v>
          </cell>
          <cell r="C2852">
            <v>1.8167667333776727E-2</v>
          </cell>
          <cell r="I2852" t="str">
            <v>Mcnulty</v>
          </cell>
        </row>
        <row r="2853">
          <cell r="A2853" t="str">
            <v>Trang</v>
          </cell>
          <cell r="C2853">
            <v>1.814543028685656E-2</v>
          </cell>
          <cell r="I2853" t="str">
            <v>Mcgovern</v>
          </cell>
        </row>
        <row r="2854">
          <cell r="A2854" t="str">
            <v>Towanda</v>
          </cell>
          <cell r="C2854">
            <v>1.8123193239936393E-2</v>
          </cell>
          <cell r="I2854" t="str">
            <v>Hardman</v>
          </cell>
        </row>
        <row r="2855">
          <cell r="A2855" t="str">
            <v>Tesha</v>
          </cell>
          <cell r="C2855">
            <v>1.8100956193016229E-2</v>
          </cell>
          <cell r="I2855" t="str">
            <v>Harbin</v>
          </cell>
        </row>
        <row r="2856">
          <cell r="A2856" t="str">
            <v>Sherlyn</v>
          </cell>
          <cell r="C2856">
            <v>1.8078719146096062E-2</v>
          </cell>
          <cell r="I2856" t="str">
            <v>Cowart</v>
          </cell>
        </row>
        <row r="2857">
          <cell r="A2857" t="str">
            <v>Narcisa</v>
          </cell>
          <cell r="C2857">
            <v>1.8056482099175895E-2</v>
          </cell>
          <cell r="I2857" t="str">
            <v>Chavarria</v>
          </cell>
        </row>
        <row r="2858">
          <cell r="A2858" t="str">
            <v>Miguelina</v>
          </cell>
          <cell r="C2858">
            <v>1.8034245052255732E-2</v>
          </cell>
          <cell r="I2858" t="str">
            <v>Brink</v>
          </cell>
        </row>
        <row r="2859">
          <cell r="A2859" t="str">
            <v>Meri</v>
          </cell>
          <cell r="C2859">
            <v>1.8012008005335565E-2</v>
          </cell>
          <cell r="I2859" t="str">
            <v>Beckett</v>
          </cell>
        </row>
        <row r="2860">
          <cell r="A2860" t="str">
            <v>Maybell</v>
          </cell>
          <cell r="C2860">
            <v>1.7989770958415398E-2</v>
          </cell>
          <cell r="I2860" t="str">
            <v>Bagwell</v>
          </cell>
        </row>
        <row r="2861">
          <cell r="A2861" t="str">
            <v>Marlana</v>
          </cell>
          <cell r="C2861">
            <v>1.7967533911495234E-2</v>
          </cell>
          <cell r="I2861" t="str">
            <v>Armstead</v>
          </cell>
        </row>
        <row r="2862">
          <cell r="A2862" t="str">
            <v>Marguerita</v>
          </cell>
          <cell r="C2862">
            <v>1.7945296864575067E-2</v>
          </cell>
          <cell r="I2862" t="str">
            <v>Anglin</v>
          </cell>
        </row>
        <row r="2863">
          <cell r="A2863" t="str">
            <v>Madlyn</v>
          </cell>
          <cell r="C2863">
            <v>1.79230598176549E-2</v>
          </cell>
          <cell r="I2863" t="str">
            <v>Abreu</v>
          </cell>
        </row>
        <row r="2864">
          <cell r="A2864" t="str">
            <v>Luna</v>
          </cell>
          <cell r="C2864">
            <v>1.7900822770734737E-2</v>
          </cell>
          <cell r="I2864" t="str">
            <v>Reynoso</v>
          </cell>
        </row>
        <row r="2865">
          <cell r="A2865" t="str">
            <v>Lory</v>
          </cell>
          <cell r="C2865">
            <v>1.787858572381457E-2</v>
          </cell>
          <cell r="I2865" t="str">
            <v>Krebs</v>
          </cell>
        </row>
        <row r="2866">
          <cell r="A2866" t="str">
            <v>Loriann</v>
          </cell>
          <cell r="C2866">
            <v>1.7856348676894403E-2</v>
          </cell>
          <cell r="I2866" t="str">
            <v>Jett</v>
          </cell>
        </row>
        <row r="2867">
          <cell r="A2867" t="str">
            <v>Liberty</v>
          </cell>
          <cell r="C2867">
            <v>1.7834111629974239E-2</v>
          </cell>
          <cell r="I2867" t="str">
            <v>Hoffmann</v>
          </cell>
        </row>
        <row r="2868">
          <cell r="A2868" t="str">
            <v>Leonore</v>
          </cell>
          <cell r="C2868">
            <v>1.7811874583054072E-2</v>
          </cell>
          <cell r="I2868" t="str">
            <v>Greenfield</v>
          </cell>
        </row>
        <row r="2869">
          <cell r="A2869" t="str">
            <v>Leighann</v>
          </cell>
          <cell r="C2869">
            <v>1.7789637536133905E-2</v>
          </cell>
          <cell r="I2869" t="str">
            <v>Forte</v>
          </cell>
        </row>
        <row r="2870">
          <cell r="A2870" t="str">
            <v>Laurice</v>
          </cell>
          <cell r="C2870">
            <v>1.7767400489213742E-2</v>
          </cell>
          <cell r="I2870" t="str">
            <v>Burney</v>
          </cell>
        </row>
        <row r="2871">
          <cell r="A2871" t="str">
            <v>Latesha</v>
          </cell>
          <cell r="C2871">
            <v>1.7745163442293575E-2</v>
          </cell>
          <cell r="I2871" t="str">
            <v>Broome</v>
          </cell>
        </row>
        <row r="2872">
          <cell r="A2872" t="str">
            <v>Laronda</v>
          </cell>
          <cell r="C2872">
            <v>1.7722926395373408E-2</v>
          </cell>
          <cell r="I2872" t="str">
            <v>Sisson</v>
          </cell>
        </row>
        <row r="2873">
          <cell r="A2873" t="str">
            <v>Katrice</v>
          </cell>
          <cell r="C2873">
            <v>1.7700689348453244E-2</v>
          </cell>
          <cell r="I2873" t="str">
            <v>Parent</v>
          </cell>
        </row>
        <row r="2874">
          <cell r="A2874" t="str">
            <v>Kasie</v>
          </cell>
          <cell r="C2874">
            <v>1.7678452301533077E-2</v>
          </cell>
          <cell r="I2874" t="str">
            <v>Jude</v>
          </cell>
        </row>
        <row r="2875">
          <cell r="A2875" t="str">
            <v>Karl</v>
          </cell>
          <cell r="C2875">
            <v>1.765621525461291E-2</v>
          </cell>
          <cell r="I2875" t="str">
            <v>Younger</v>
          </cell>
        </row>
        <row r="2876">
          <cell r="A2876" t="str">
            <v>Kaley</v>
          </cell>
          <cell r="C2876">
            <v>1.7633978207692746E-2</v>
          </cell>
          <cell r="I2876" t="str">
            <v>Trammell</v>
          </cell>
        </row>
        <row r="2877">
          <cell r="A2877" t="str">
            <v>Jadwiga</v>
          </cell>
          <cell r="C2877">
            <v>1.7611741160772579E-2</v>
          </cell>
          <cell r="I2877" t="str">
            <v>Partridge</v>
          </cell>
        </row>
        <row r="2878">
          <cell r="A2878" t="str">
            <v>Glennie</v>
          </cell>
          <cell r="C2878">
            <v>1.7589504113852412E-2</v>
          </cell>
          <cell r="I2878" t="str">
            <v>Marvin</v>
          </cell>
        </row>
        <row r="2879">
          <cell r="A2879" t="str">
            <v>Gearldine</v>
          </cell>
          <cell r="C2879">
            <v>1.7567267066932249E-2</v>
          </cell>
          <cell r="I2879" t="str">
            <v>Mace</v>
          </cell>
        </row>
        <row r="2880">
          <cell r="A2880" t="str">
            <v>Francina</v>
          </cell>
          <cell r="C2880">
            <v>1.7545030020012082E-2</v>
          </cell>
          <cell r="I2880" t="str">
            <v>Lomax</v>
          </cell>
        </row>
        <row r="2881">
          <cell r="A2881" t="str">
            <v>Epifania</v>
          </cell>
          <cell r="C2881">
            <v>1.7522792973091915E-2</v>
          </cell>
          <cell r="I2881" t="str">
            <v>Lemieux</v>
          </cell>
        </row>
        <row r="2882">
          <cell r="A2882" t="str">
            <v>Dyan</v>
          </cell>
          <cell r="C2882">
            <v>1.7500555926171751E-2</v>
          </cell>
          <cell r="I2882" t="str">
            <v>Gossett</v>
          </cell>
        </row>
        <row r="2883">
          <cell r="A2883" t="str">
            <v>Dorie</v>
          </cell>
          <cell r="C2883">
            <v>1.7478318879251584E-2</v>
          </cell>
          <cell r="I2883" t="str">
            <v>Frantz</v>
          </cell>
        </row>
        <row r="2884">
          <cell r="A2884" t="str">
            <v>Diedre</v>
          </cell>
          <cell r="C2884">
            <v>1.7456081832331417E-2</v>
          </cell>
          <cell r="I2884" t="str">
            <v>Fogle</v>
          </cell>
        </row>
        <row r="2885">
          <cell r="A2885" t="str">
            <v>Denese</v>
          </cell>
          <cell r="C2885">
            <v>1.7433844785411254E-2</v>
          </cell>
          <cell r="I2885" t="str">
            <v>Cooney</v>
          </cell>
        </row>
        <row r="2886">
          <cell r="A2886" t="str">
            <v>Demetrice</v>
          </cell>
          <cell r="C2886">
            <v>1.7411607738491087E-2</v>
          </cell>
          <cell r="I2886" t="str">
            <v>Broughton</v>
          </cell>
        </row>
        <row r="2887">
          <cell r="A2887" t="str">
            <v>Delena</v>
          </cell>
          <cell r="C2887">
            <v>1.738937069157092E-2</v>
          </cell>
          <cell r="I2887" t="str">
            <v>Pence</v>
          </cell>
        </row>
        <row r="2888">
          <cell r="A2888" t="str">
            <v>Darby</v>
          </cell>
          <cell r="C2888">
            <v>1.7367133644650756E-2</v>
          </cell>
          <cell r="I2888" t="str">
            <v>Paulsen</v>
          </cell>
        </row>
        <row r="2889">
          <cell r="A2889" t="str">
            <v>Cristie</v>
          </cell>
          <cell r="C2889">
            <v>1.7344896597730589E-2</v>
          </cell>
          <cell r="I2889" t="str">
            <v>Neil</v>
          </cell>
        </row>
        <row r="2890">
          <cell r="A2890" t="str">
            <v>Cleora</v>
          </cell>
          <cell r="C2890">
            <v>1.7322659550810422E-2</v>
          </cell>
          <cell r="I2890" t="str">
            <v>Muncy</v>
          </cell>
        </row>
        <row r="2891">
          <cell r="A2891" t="str">
            <v>Catarina</v>
          </cell>
          <cell r="C2891">
            <v>1.7300422503890259E-2</v>
          </cell>
          <cell r="I2891" t="str">
            <v>Mcarthur</v>
          </cell>
        </row>
        <row r="2892">
          <cell r="A2892" t="str">
            <v>Carisa</v>
          </cell>
          <cell r="C2892">
            <v>1.7278185456970092E-2</v>
          </cell>
          <cell r="I2892" t="str">
            <v>Hollins</v>
          </cell>
        </row>
        <row r="2893">
          <cell r="A2893" t="str">
            <v>Bernie</v>
          </cell>
          <cell r="C2893">
            <v>1.7255948410049925E-2</v>
          </cell>
          <cell r="I2893" t="str">
            <v>Edward</v>
          </cell>
        </row>
        <row r="2894">
          <cell r="A2894" t="str">
            <v>Barbera</v>
          </cell>
          <cell r="C2894">
            <v>1.7233711363129761E-2</v>
          </cell>
          <cell r="I2894" t="str">
            <v>Beauchamp</v>
          </cell>
        </row>
        <row r="2895">
          <cell r="A2895" t="str">
            <v>Almeta</v>
          </cell>
          <cell r="C2895">
            <v>1.7211474316209594E-2</v>
          </cell>
          <cell r="I2895" t="str">
            <v>Withers</v>
          </cell>
        </row>
        <row r="2896">
          <cell r="A2896" t="str">
            <v>Trula</v>
          </cell>
          <cell r="C2896">
            <v>1.7189237269289427E-2</v>
          </cell>
          <cell r="I2896" t="str">
            <v>Osorio</v>
          </cell>
        </row>
        <row r="2897">
          <cell r="A2897" t="str">
            <v>Tereasa</v>
          </cell>
          <cell r="C2897">
            <v>1.7167000222369264E-2</v>
          </cell>
          <cell r="I2897" t="str">
            <v>Mulligan</v>
          </cell>
        </row>
        <row r="2898">
          <cell r="A2898" t="str">
            <v>Solange</v>
          </cell>
          <cell r="C2898">
            <v>1.7144763175449097E-2</v>
          </cell>
          <cell r="I2898" t="str">
            <v>Hoyle</v>
          </cell>
        </row>
        <row r="2899">
          <cell r="A2899" t="str">
            <v>Sheilah</v>
          </cell>
          <cell r="C2899">
            <v>1.712252612852893E-2</v>
          </cell>
          <cell r="I2899" t="str">
            <v>Foy</v>
          </cell>
        </row>
        <row r="2900">
          <cell r="A2900" t="str">
            <v>Shavonne</v>
          </cell>
          <cell r="C2900">
            <v>1.7100289081608766E-2</v>
          </cell>
          <cell r="I2900" t="str">
            <v>Dockery</v>
          </cell>
        </row>
        <row r="2901">
          <cell r="A2901" t="str">
            <v>Sanora</v>
          </cell>
          <cell r="C2901">
            <v>1.7078052034688599E-2</v>
          </cell>
          <cell r="I2901" t="str">
            <v>Cockrell</v>
          </cell>
        </row>
        <row r="2902">
          <cell r="A2902" t="str">
            <v>Rochell</v>
          </cell>
          <cell r="C2902">
            <v>1.7055814987768435E-2</v>
          </cell>
          <cell r="I2902" t="str">
            <v>Begley</v>
          </cell>
        </row>
        <row r="2903">
          <cell r="A2903" t="str">
            <v>Mathilde</v>
          </cell>
          <cell r="C2903">
            <v>1.7033577940848268E-2</v>
          </cell>
          <cell r="I2903" t="str">
            <v>Amador</v>
          </cell>
        </row>
        <row r="2904">
          <cell r="A2904" t="str">
            <v>Margareta</v>
          </cell>
          <cell r="C2904">
            <v>1.7011340893928101E-2</v>
          </cell>
          <cell r="I2904" t="str">
            <v>Roby</v>
          </cell>
        </row>
        <row r="2905">
          <cell r="A2905" t="str">
            <v>Maia</v>
          </cell>
          <cell r="C2905">
            <v>1.6989103847007938E-2</v>
          </cell>
          <cell r="I2905" t="str">
            <v>Rains</v>
          </cell>
        </row>
        <row r="2906">
          <cell r="A2906" t="str">
            <v>Lynsey</v>
          </cell>
          <cell r="C2906">
            <v>1.6966866800087771E-2</v>
          </cell>
          <cell r="I2906" t="str">
            <v>Lindquist</v>
          </cell>
        </row>
        <row r="2907">
          <cell r="A2907" t="str">
            <v>Lawanna</v>
          </cell>
          <cell r="C2907">
            <v>1.6944629753167604E-2</v>
          </cell>
          <cell r="I2907" t="str">
            <v>Gentile</v>
          </cell>
        </row>
        <row r="2908">
          <cell r="A2908" t="str">
            <v>Launa</v>
          </cell>
          <cell r="C2908">
            <v>1.692239270624744E-2</v>
          </cell>
          <cell r="I2908" t="str">
            <v>Everhart</v>
          </cell>
        </row>
        <row r="2909">
          <cell r="A2909" t="str">
            <v>Kena</v>
          </cell>
          <cell r="C2909">
            <v>1.6900155659327273E-2</v>
          </cell>
          <cell r="I2909" t="str">
            <v>Bohannon</v>
          </cell>
        </row>
        <row r="2910">
          <cell r="A2910" t="str">
            <v>Keena</v>
          </cell>
          <cell r="C2910">
            <v>1.6877918612407106E-2</v>
          </cell>
          <cell r="I2910" t="str">
            <v>Wylie</v>
          </cell>
        </row>
        <row r="2911">
          <cell r="A2911" t="str">
            <v>Katia</v>
          </cell>
          <cell r="C2911">
            <v>1.6855681565486943E-2</v>
          </cell>
          <cell r="I2911" t="str">
            <v>Thao</v>
          </cell>
        </row>
        <row r="2912">
          <cell r="A2912" t="str">
            <v>Jamey</v>
          </cell>
          <cell r="C2912">
            <v>1.6833444518566776E-2</v>
          </cell>
          <cell r="I2912" t="str">
            <v>Sommers</v>
          </cell>
        </row>
        <row r="2913">
          <cell r="A2913" t="str">
            <v>Glynda</v>
          </cell>
          <cell r="C2913">
            <v>1.6811207471646609E-2</v>
          </cell>
          <cell r="I2913" t="str">
            <v>Purnell</v>
          </cell>
        </row>
        <row r="2914">
          <cell r="A2914" t="str">
            <v>Gaylene</v>
          </cell>
          <cell r="C2914">
            <v>1.6788970424726445E-2</v>
          </cell>
          <cell r="I2914" t="str">
            <v>Palma</v>
          </cell>
        </row>
        <row r="2915">
          <cell r="A2915" t="str">
            <v>Elvina</v>
          </cell>
          <cell r="C2915">
            <v>1.6766733377806278E-2</v>
          </cell>
          <cell r="I2915" t="str">
            <v>Fortin</v>
          </cell>
        </row>
        <row r="2916">
          <cell r="A2916" t="str">
            <v>Elanor</v>
          </cell>
          <cell r="C2916">
            <v>1.6744496330886111E-2</v>
          </cell>
          <cell r="I2916" t="str">
            <v>Dunning</v>
          </cell>
        </row>
        <row r="2917">
          <cell r="A2917" t="str">
            <v>Danuta</v>
          </cell>
          <cell r="C2917">
            <v>1.6722259283965948E-2</v>
          </cell>
          <cell r="I2917" t="str">
            <v>Breeden</v>
          </cell>
        </row>
        <row r="2918">
          <cell r="A2918" t="str">
            <v>Danika</v>
          </cell>
          <cell r="C2918">
            <v>1.6700022237045781E-2</v>
          </cell>
          <cell r="I2918" t="str">
            <v>Vail</v>
          </cell>
        </row>
        <row r="2919">
          <cell r="A2919" t="str">
            <v>Cristen</v>
          </cell>
          <cell r="C2919">
            <v>1.6677785190125614E-2</v>
          </cell>
          <cell r="I2919" t="str">
            <v>Phelan</v>
          </cell>
        </row>
        <row r="2920">
          <cell r="A2920" t="str">
            <v>Cordie</v>
          </cell>
          <cell r="C2920">
            <v>1.665554814320545E-2</v>
          </cell>
          <cell r="I2920" t="str">
            <v>Phan</v>
          </cell>
        </row>
        <row r="2921">
          <cell r="A2921" t="str">
            <v>Coletta</v>
          </cell>
          <cell r="C2921">
            <v>1.6633311096285283E-2</v>
          </cell>
          <cell r="I2921" t="str">
            <v>Marx</v>
          </cell>
        </row>
        <row r="2922">
          <cell r="A2922" t="str">
            <v>Clarita</v>
          </cell>
          <cell r="C2922">
            <v>1.6611074049365116E-2</v>
          </cell>
          <cell r="I2922" t="str">
            <v>Cosby</v>
          </cell>
        </row>
        <row r="2923">
          <cell r="A2923" t="str">
            <v>Carmon</v>
          </cell>
          <cell r="C2923">
            <v>1.6588837002444953E-2</v>
          </cell>
          <cell r="I2923" t="str">
            <v>Colburn</v>
          </cell>
        </row>
        <row r="2924">
          <cell r="A2924" t="str">
            <v>Brynn</v>
          </cell>
          <cell r="C2924">
            <v>1.6566599955524786E-2</v>
          </cell>
          <cell r="I2924" t="str">
            <v>Chong</v>
          </cell>
        </row>
        <row r="2925">
          <cell r="A2925" t="str">
            <v>Azucena</v>
          </cell>
          <cell r="C2925">
            <v>1.6544362908604619E-2</v>
          </cell>
          <cell r="I2925" t="str">
            <v>Boling</v>
          </cell>
        </row>
        <row r="2926">
          <cell r="A2926" t="str">
            <v>Aundrea</v>
          </cell>
          <cell r="C2926">
            <v>1.6522125861684455E-2</v>
          </cell>
          <cell r="I2926" t="str">
            <v>Biddle</v>
          </cell>
        </row>
        <row r="2927">
          <cell r="A2927" t="str">
            <v>Angele</v>
          </cell>
          <cell r="C2927">
            <v>1.6499888814764288E-2</v>
          </cell>
          <cell r="I2927" t="str">
            <v>Ledesma</v>
          </cell>
        </row>
        <row r="2928">
          <cell r="A2928" t="str">
            <v>Yi</v>
          </cell>
          <cell r="C2928">
            <v>1.6477651767844121E-2</v>
          </cell>
          <cell r="I2928" t="str">
            <v>Gaddis</v>
          </cell>
        </row>
        <row r="2929">
          <cell r="A2929" t="str">
            <v>Walter</v>
          </cell>
          <cell r="C2929">
            <v>1.6455414720923957E-2</v>
          </cell>
          <cell r="I2929" t="str">
            <v>Denney</v>
          </cell>
        </row>
        <row r="2930">
          <cell r="A2930" t="str">
            <v>Verlie</v>
          </cell>
          <cell r="C2930">
            <v>1.643317767400379E-2</v>
          </cell>
          <cell r="I2930" t="str">
            <v>Chow</v>
          </cell>
        </row>
        <row r="2931">
          <cell r="A2931" t="str">
            <v>Verlene</v>
          </cell>
          <cell r="C2931">
            <v>1.6410940627083623E-2</v>
          </cell>
          <cell r="I2931" t="str">
            <v>Bueno</v>
          </cell>
        </row>
        <row r="2932">
          <cell r="A2932" t="str">
            <v>Tamesha</v>
          </cell>
          <cell r="C2932">
            <v>1.638870358016346E-2</v>
          </cell>
          <cell r="I2932" t="str">
            <v>Berrios</v>
          </cell>
        </row>
        <row r="2933">
          <cell r="A2933" t="str">
            <v>Silvana</v>
          </cell>
          <cell r="C2933">
            <v>1.6366466533243293E-2</v>
          </cell>
          <cell r="I2933" t="str">
            <v>Wicker</v>
          </cell>
        </row>
        <row r="2934">
          <cell r="A2934" t="str">
            <v>Sebrina</v>
          </cell>
          <cell r="C2934">
            <v>1.6344229486323126E-2</v>
          </cell>
          <cell r="I2934" t="str">
            <v>Tolliver</v>
          </cell>
        </row>
        <row r="2935">
          <cell r="A2935" t="str">
            <v>Samira</v>
          </cell>
          <cell r="C2935">
            <v>1.6321992439402962E-2</v>
          </cell>
          <cell r="I2935" t="str">
            <v>Thibodeaux</v>
          </cell>
        </row>
        <row r="2936">
          <cell r="A2936" t="str">
            <v>Reda</v>
          </cell>
          <cell r="C2936">
            <v>1.6299755392482795E-2</v>
          </cell>
          <cell r="I2936" t="str">
            <v>Nagle</v>
          </cell>
        </row>
        <row r="2937">
          <cell r="A2937" t="str">
            <v>Raylene</v>
          </cell>
          <cell r="C2937">
            <v>1.6277518345562628E-2</v>
          </cell>
          <cell r="I2937" t="str">
            <v>Lavoie</v>
          </cell>
        </row>
        <row r="2938">
          <cell r="A2938" t="str">
            <v>Penni</v>
          </cell>
          <cell r="C2938">
            <v>1.6255281298642465E-2</v>
          </cell>
          <cell r="I2938" t="str">
            <v>Fisk</v>
          </cell>
        </row>
        <row r="2939">
          <cell r="A2939" t="str">
            <v>Pandora</v>
          </cell>
          <cell r="C2939">
            <v>1.6233044251722298E-2</v>
          </cell>
          <cell r="I2939" t="str">
            <v>Do</v>
          </cell>
        </row>
        <row r="2940">
          <cell r="A2940" t="str">
            <v>Norah</v>
          </cell>
          <cell r="C2940">
            <v>1.6210807204802131E-2</v>
          </cell>
          <cell r="I2940" t="str">
            <v>Crist</v>
          </cell>
        </row>
        <row r="2941">
          <cell r="A2941" t="str">
            <v>Noma</v>
          </cell>
          <cell r="C2941">
            <v>1.6188570157881967E-2</v>
          </cell>
          <cell r="I2941" t="str">
            <v>Barbosa</v>
          </cell>
        </row>
        <row r="2942">
          <cell r="A2942" t="str">
            <v>Mireille</v>
          </cell>
          <cell r="C2942">
            <v>1.61663331109618E-2</v>
          </cell>
          <cell r="I2942" t="str">
            <v>Reedy</v>
          </cell>
        </row>
        <row r="2943">
          <cell r="A2943" t="str">
            <v>Melissia</v>
          </cell>
          <cell r="C2943">
            <v>1.6144096064041633E-2</v>
          </cell>
          <cell r="I2943" t="str">
            <v>March</v>
          </cell>
        </row>
        <row r="2944">
          <cell r="A2944" t="str">
            <v>Maryalice</v>
          </cell>
          <cell r="C2944">
            <v>1.612185901712147E-2</v>
          </cell>
          <cell r="I2944" t="str">
            <v>Locklear</v>
          </cell>
        </row>
        <row r="2945">
          <cell r="A2945" t="str">
            <v>Laraine</v>
          </cell>
          <cell r="C2945">
            <v>1.6099621970201303E-2</v>
          </cell>
          <cell r="I2945" t="str">
            <v>Kolb</v>
          </cell>
        </row>
        <row r="2946">
          <cell r="A2946" t="str">
            <v>Kimbery</v>
          </cell>
          <cell r="C2946">
            <v>1.6077384923281136E-2</v>
          </cell>
          <cell r="I2946" t="str">
            <v>Himes</v>
          </cell>
        </row>
        <row r="2947">
          <cell r="A2947" t="str">
            <v>Karyl</v>
          </cell>
          <cell r="C2947">
            <v>1.6055147876360972E-2</v>
          </cell>
          <cell r="I2947" t="str">
            <v>Behrens</v>
          </cell>
        </row>
        <row r="2948">
          <cell r="A2948" t="str">
            <v>Karine</v>
          </cell>
          <cell r="C2948">
            <v>1.6032910829440805E-2</v>
          </cell>
          <cell r="I2948" t="str">
            <v>Beckwith</v>
          </cell>
        </row>
        <row r="2949">
          <cell r="A2949" t="str">
            <v>Kam</v>
          </cell>
          <cell r="C2949">
            <v>1.6010673782520638E-2</v>
          </cell>
          <cell r="I2949" t="str">
            <v>Beckham</v>
          </cell>
        </row>
        <row r="2950">
          <cell r="A2950" t="str">
            <v>Jolanda</v>
          </cell>
          <cell r="C2950">
            <v>1.5988436735600475E-2</v>
          </cell>
          <cell r="I2950" t="str">
            <v>Weems</v>
          </cell>
        </row>
        <row r="2951">
          <cell r="A2951" t="str">
            <v>Johana</v>
          </cell>
          <cell r="C2951">
            <v>1.5966199688680308E-2</v>
          </cell>
          <cell r="I2951" t="str">
            <v>Wahl</v>
          </cell>
        </row>
        <row r="2952">
          <cell r="A2952" t="str">
            <v>Jesusa</v>
          </cell>
          <cell r="C2952">
            <v>1.5943962641760141E-2</v>
          </cell>
          <cell r="I2952" t="str">
            <v>Shorter</v>
          </cell>
        </row>
        <row r="2953">
          <cell r="A2953" t="str">
            <v>Jaleesa</v>
          </cell>
          <cell r="C2953">
            <v>1.5921725594839977E-2</v>
          </cell>
          <cell r="I2953" t="str">
            <v>Shackelford</v>
          </cell>
        </row>
        <row r="2954">
          <cell r="A2954" t="str">
            <v>Jae</v>
          </cell>
          <cell r="C2954">
            <v>1.589948854791981E-2</v>
          </cell>
          <cell r="I2954" t="str">
            <v>Rees</v>
          </cell>
        </row>
        <row r="2955">
          <cell r="A2955" t="str">
            <v>Jacquelyne</v>
          </cell>
          <cell r="C2955">
            <v>1.5877251500999643E-2</v>
          </cell>
          <cell r="I2955" t="str">
            <v>Muse</v>
          </cell>
        </row>
        <row r="2956">
          <cell r="A2956" t="str">
            <v>Irish</v>
          </cell>
          <cell r="C2956">
            <v>1.5855014454079479E-2</v>
          </cell>
          <cell r="I2956" t="str">
            <v>Free</v>
          </cell>
        </row>
        <row r="2957">
          <cell r="A2957" t="str">
            <v>Iluminada</v>
          </cell>
          <cell r="C2957">
            <v>1.5832777407159312E-2</v>
          </cell>
          <cell r="I2957" t="str">
            <v>Cerda</v>
          </cell>
        </row>
        <row r="2958">
          <cell r="A2958" t="str">
            <v>Hilaria</v>
          </cell>
          <cell r="C2958">
            <v>1.5810540360239145E-2</v>
          </cell>
          <cell r="I2958" t="str">
            <v>Valadez</v>
          </cell>
        </row>
        <row r="2959">
          <cell r="A2959" t="str">
            <v>Hanh</v>
          </cell>
          <cell r="C2959">
            <v>1.5788303313318982E-2</v>
          </cell>
          <cell r="I2959" t="str">
            <v>Thibodeau</v>
          </cell>
        </row>
        <row r="2960">
          <cell r="A2960" t="str">
            <v>Gennie</v>
          </cell>
          <cell r="C2960">
            <v>1.5766066266398815E-2</v>
          </cell>
          <cell r="I2960" t="str">
            <v>Saavedra</v>
          </cell>
        </row>
        <row r="2961">
          <cell r="A2961" t="str">
            <v>Francie</v>
          </cell>
          <cell r="C2961">
            <v>1.5743829219478648E-2</v>
          </cell>
          <cell r="I2961" t="str">
            <v>Ridgeway</v>
          </cell>
        </row>
        <row r="2962">
          <cell r="A2962" t="str">
            <v>Floretta</v>
          </cell>
          <cell r="C2962">
            <v>1.5721592172558484E-2</v>
          </cell>
          <cell r="I2962" t="str">
            <v>Reiter</v>
          </cell>
        </row>
        <row r="2963">
          <cell r="A2963" t="str">
            <v>Exie</v>
          </cell>
          <cell r="C2963">
            <v>1.5699355125638317E-2</v>
          </cell>
          <cell r="I2963" t="str">
            <v>Mchenry</v>
          </cell>
        </row>
        <row r="2964">
          <cell r="A2964" t="str">
            <v>Edda</v>
          </cell>
          <cell r="C2964">
            <v>1.567711807871815E-2</v>
          </cell>
          <cell r="I2964" t="str">
            <v>Majors</v>
          </cell>
        </row>
        <row r="2965">
          <cell r="A2965" t="str">
            <v>Drema</v>
          </cell>
          <cell r="C2965">
            <v>1.5654881031797987E-2</v>
          </cell>
          <cell r="I2965" t="str">
            <v>Lachance</v>
          </cell>
        </row>
        <row r="2966">
          <cell r="A2966" t="str">
            <v>Delpha</v>
          </cell>
          <cell r="C2966">
            <v>1.563264398487782E-2</v>
          </cell>
          <cell r="I2966" t="str">
            <v>Keaton</v>
          </cell>
        </row>
        <row r="2967">
          <cell r="A2967" t="str">
            <v>Bev</v>
          </cell>
          <cell r="C2967">
            <v>1.5610406937957655E-2</v>
          </cell>
          <cell r="I2967" t="str">
            <v>Israel</v>
          </cell>
        </row>
        <row r="2968">
          <cell r="A2968" t="str">
            <v>Barbar</v>
          </cell>
          <cell r="C2968">
            <v>1.5588169891037488E-2</v>
          </cell>
          <cell r="I2968" t="str">
            <v>Ferrara</v>
          </cell>
        </row>
        <row r="2969">
          <cell r="A2969" t="str">
            <v>Assunta</v>
          </cell>
          <cell r="C2969">
            <v>1.5565932844117322E-2</v>
          </cell>
          <cell r="I2969" t="str">
            <v>Falcon</v>
          </cell>
        </row>
        <row r="2970">
          <cell r="A2970" t="str">
            <v>Ardell</v>
          </cell>
          <cell r="C2970">
            <v>1.5543695797197157E-2</v>
          </cell>
          <cell r="I2970" t="str">
            <v>Clemens</v>
          </cell>
        </row>
        <row r="2971">
          <cell r="A2971" t="str">
            <v>Annalisa</v>
          </cell>
          <cell r="C2971">
            <v>1.552145875027699E-2</v>
          </cell>
          <cell r="I2971" t="str">
            <v>Blocker</v>
          </cell>
        </row>
        <row r="2972">
          <cell r="A2972" t="str">
            <v>Alisia</v>
          </cell>
          <cell r="C2972">
            <v>1.5499221703356825E-2</v>
          </cell>
          <cell r="I2972" t="str">
            <v>Applegate</v>
          </cell>
        </row>
        <row r="2973">
          <cell r="A2973" t="str">
            <v>Yukiko</v>
          </cell>
          <cell r="C2973">
            <v>1.5476984656436659E-2</v>
          </cell>
          <cell r="I2973" t="str">
            <v>Paz</v>
          </cell>
        </row>
        <row r="2974">
          <cell r="A2974" t="str">
            <v>Yolando</v>
          </cell>
          <cell r="C2974">
            <v>1.5454747609516492E-2</v>
          </cell>
          <cell r="I2974" t="str">
            <v>Needham</v>
          </cell>
        </row>
        <row r="2975">
          <cell r="A2975" t="str">
            <v>Wonda</v>
          </cell>
          <cell r="C2975">
            <v>1.5432510562596327E-2</v>
          </cell>
          <cell r="I2975" t="str">
            <v>Mojica</v>
          </cell>
        </row>
        <row r="2976">
          <cell r="A2976" t="str">
            <v>Wei</v>
          </cell>
          <cell r="C2976">
            <v>1.5410273515676162E-2</v>
          </cell>
          <cell r="I2976" t="str">
            <v>Kuykendall</v>
          </cell>
        </row>
        <row r="2977">
          <cell r="A2977" t="str">
            <v>Waltraud</v>
          </cell>
          <cell r="C2977">
            <v>1.5388036468755995E-2</v>
          </cell>
          <cell r="I2977" t="str">
            <v>Hamel</v>
          </cell>
        </row>
        <row r="2978">
          <cell r="A2978" t="str">
            <v>Veta</v>
          </cell>
          <cell r="C2978">
            <v>1.536579942183583E-2</v>
          </cell>
          <cell r="I2978" t="str">
            <v>Escamilla</v>
          </cell>
        </row>
        <row r="2979">
          <cell r="A2979" t="str">
            <v>Tequila</v>
          </cell>
          <cell r="C2979">
            <v>1.5343562374915664E-2</v>
          </cell>
          <cell r="I2979" t="str">
            <v>Doughty</v>
          </cell>
        </row>
        <row r="2980">
          <cell r="A2980" t="str">
            <v>Temeka</v>
          </cell>
          <cell r="C2980">
            <v>1.5321325327995497E-2</v>
          </cell>
          <cell r="I2980" t="str">
            <v>Burchett</v>
          </cell>
        </row>
        <row r="2981">
          <cell r="A2981" t="str">
            <v>Tameika</v>
          </cell>
          <cell r="C2981">
            <v>1.5299088281075332E-2</v>
          </cell>
          <cell r="I2981" t="str">
            <v>Ainsworth</v>
          </cell>
        </row>
        <row r="2982">
          <cell r="A2982" t="str">
            <v>Shirleen</v>
          </cell>
          <cell r="C2982">
            <v>1.5276851234155167E-2</v>
          </cell>
          <cell r="I2982" t="str">
            <v>Wilbur</v>
          </cell>
        </row>
        <row r="2983">
          <cell r="A2983" t="str">
            <v>Shenita</v>
          </cell>
          <cell r="C2983">
            <v>1.5254614187235E-2</v>
          </cell>
          <cell r="I2983" t="str">
            <v>Vidal</v>
          </cell>
        </row>
        <row r="2984">
          <cell r="A2984" t="str">
            <v>Piedad</v>
          </cell>
          <cell r="C2984">
            <v>1.5232377140314834E-2</v>
          </cell>
          <cell r="I2984" t="str">
            <v>Upchurch</v>
          </cell>
        </row>
        <row r="2985">
          <cell r="A2985" t="str">
            <v>Ozella</v>
          </cell>
          <cell r="C2985">
            <v>1.5210140093394669E-2</v>
          </cell>
          <cell r="I2985" t="str">
            <v>Thigpen</v>
          </cell>
        </row>
        <row r="2986">
          <cell r="A2986" t="str">
            <v>Mirtha</v>
          </cell>
          <cell r="C2986">
            <v>1.5187903046474502E-2</v>
          </cell>
          <cell r="I2986" t="str">
            <v>Strauss</v>
          </cell>
        </row>
        <row r="2987">
          <cell r="A2987" t="str">
            <v>Marilu</v>
          </cell>
          <cell r="C2987">
            <v>1.5165665999554337E-2</v>
          </cell>
          <cell r="I2987" t="str">
            <v>Spruill</v>
          </cell>
        </row>
        <row r="2988">
          <cell r="A2988" t="str">
            <v>Kimiko</v>
          </cell>
          <cell r="C2988">
            <v>1.5143428952634172E-2</v>
          </cell>
          <cell r="I2988" t="str">
            <v>Sowers</v>
          </cell>
        </row>
        <row r="2989">
          <cell r="A2989" t="str">
            <v>Juliane</v>
          </cell>
          <cell r="C2989">
            <v>1.5121191905714005E-2</v>
          </cell>
          <cell r="I2989" t="str">
            <v>Riggins</v>
          </cell>
        </row>
        <row r="2990">
          <cell r="A2990" t="str">
            <v>Jenice</v>
          </cell>
          <cell r="C2990">
            <v>1.5098954858793839E-2</v>
          </cell>
          <cell r="I2990" t="str">
            <v>Ricker</v>
          </cell>
        </row>
        <row r="2991">
          <cell r="A2991" t="str">
            <v>Jen</v>
          </cell>
          <cell r="C2991">
            <v>1.5076717811873674E-2</v>
          </cell>
          <cell r="I2991" t="str">
            <v>Mccombs</v>
          </cell>
        </row>
        <row r="2992">
          <cell r="A2992" t="str">
            <v>Janay</v>
          </cell>
          <cell r="C2992">
            <v>1.5054480764953507E-2</v>
          </cell>
          <cell r="I2992" t="str">
            <v>Harlow</v>
          </cell>
        </row>
        <row r="2993">
          <cell r="A2993" t="str">
            <v>Jacquiline</v>
          </cell>
          <cell r="C2993">
            <v>1.5032243718033342E-2</v>
          </cell>
          <cell r="I2993" t="str">
            <v>Garnett</v>
          </cell>
        </row>
        <row r="2994">
          <cell r="A2994" t="str">
            <v>Hilde</v>
          </cell>
          <cell r="C2994">
            <v>1.5010006671113177E-2</v>
          </cell>
          <cell r="I2994" t="str">
            <v>Buffington</v>
          </cell>
        </row>
        <row r="2995">
          <cell r="A2995" t="str">
            <v>Fe</v>
          </cell>
          <cell r="C2995">
            <v>1.498776962419301E-2</v>
          </cell>
          <cell r="I2995" t="str">
            <v>Yi</v>
          </cell>
        </row>
        <row r="2996">
          <cell r="A2996" t="str">
            <v>Fae</v>
          </cell>
          <cell r="C2996">
            <v>1.4965532577272844E-2</v>
          </cell>
          <cell r="I2996" t="str">
            <v>Sotelo</v>
          </cell>
        </row>
        <row r="2997">
          <cell r="A2997" t="str">
            <v>Evan</v>
          </cell>
          <cell r="C2997">
            <v>1.4943295530352679E-2</v>
          </cell>
          <cell r="I2997" t="str">
            <v>Olivas</v>
          </cell>
        </row>
        <row r="2998">
          <cell r="A2998" t="str">
            <v>Eugene</v>
          </cell>
          <cell r="C2998">
            <v>1.4921058483432512E-2</v>
          </cell>
          <cell r="I2998" t="str">
            <v>Negrete</v>
          </cell>
        </row>
        <row r="2999">
          <cell r="A2999" t="str">
            <v>Elois</v>
          </cell>
          <cell r="C2999">
            <v>1.4898821436512347E-2</v>
          </cell>
          <cell r="I2999" t="str">
            <v>Morey</v>
          </cell>
        </row>
        <row r="3000">
          <cell r="A3000" t="str">
            <v>Echo</v>
          </cell>
          <cell r="C3000">
            <v>1.4876584389592181E-2</v>
          </cell>
          <cell r="I3000" t="str">
            <v>Macon</v>
          </cell>
        </row>
        <row r="3001">
          <cell r="A3001" t="str">
            <v>Devorah</v>
          </cell>
          <cell r="C3001">
            <v>1.4854347342672014E-2</v>
          </cell>
          <cell r="I3001" t="str">
            <v>Logsdon</v>
          </cell>
        </row>
        <row r="3002">
          <cell r="A3002" t="str">
            <v>Chau</v>
          </cell>
          <cell r="C3002">
            <v>1.4832110295751849E-2</v>
          </cell>
          <cell r="I3002" t="str">
            <v>Lapointe</v>
          </cell>
        </row>
        <row r="3003">
          <cell r="A3003" t="str">
            <v>Brinda</v>
          </cell>
          <cell r="C3003">
            <v>1.4809873248831684E-2</v>
          </cell>
          <cell r="I3003" t="str">
            <v>Florence</v>
          </cell>
        </row>
        <row r="3004">
          <cell r="A3004" t="str">
            <v>Betsey</v>
          </cell>
          <cell r="C3004">
            <v>1.4787636201911519E-2</v>
          </cell>
          <cell r="I3004" t="str">
            <v>Cathey</v>
          </cell>
        </row>
        <row r="3005">
          <cell r="A3005" t="str">
            <v>Arminda</v>
          </cell>
          <cell r="C3005">
            <v>1.4765399154991352E-2</v>
          </cell>
          <cell r="I3005" t="str">
            <v>Bigelow</v>
          </cell>
        </row>
        <row r="3006">
          <cell r="A3006" t="str">
            <v>Aracelis</v>
          </cell>
          <cell r="C3006">
            <v>1.4743162108071186E-2</v>
          </cell>
          <cell r="I3006" t="str">
            <v>Bello</v>
          </cell>
        </row>
        <row r="3007">
          <cell r="A3007" t="str">
            <v>Apryl</v>
          </cell>
          <cell r="C3007">
            <v>1.4720925061151021E-2</v>
          </cell>
          <cell r="I3007" t="str">
            <v>Westfall</v>
          </cell>
        </row>
        <row r="3008">
          <cell r="A3008" t="str">
            <v>Annett</v>
          </cell>
          <cell r="C3008">
            <v>1.4698688014230854E-2</v>
          </cell>
          <cell r="I3008" t="str">
            <v>Stubblefield</v>
          </cell>
        </row>
        <row r="3009">
          <cell r="A3009" t="str">
            <v>Alishia</v>
          </cell>
          <cell r="C3009">
            <v>1.4676450967310689E-2</v>
          </cell>
          <cell r="I3009" t="str">
            <v>Peak</v>
          </cell>
        </row>
        <row r="3010">
          <cell r="A3010" t="str">
            <v>Veola</v>
          </cell>
          <cell r="C3010">
            <v>1.4654213920390523E-2</v>
          </cell>
          <cell r="I3010" t="str">
            <v>Lindley</v>
          </cell>
        </row>
        <row r="3011">
          <cell r="A3011" t="str">
            <v>Usha</v>
          </cell>
          <cell r="C3011">
            <v>1.4631976873470356E-2</v>
          </cell>
          <cell r="I3011" t="str">
            <v>Jeffrey</v>
          </cell>
        </row>
        <row r="3012">
          <cell r="A3012" t="str">
            <v>Toshiko</v>
          </cell>
          <cell r="C3012">
            <v>1.4609739826550191E-2</v>
          </cell>
          <cell r="I3012" t="str">
            <v>Hein</v>
          </cell>
        </row>
        <row r="3013">
          <cell r="A3013" t="str">
            <v>Theola</v>
          </cell>
          <cell r="C3013">
            <v>1.4587502779630026E-2</v>
          </cell>
          <cell r="I3013" t="str">
            <v>Hawes</v>
          </cell>
        </row>
        <row r="3014">
          <cell r="A3014" t="str">
            <v>Tashia</v>
          </cell>
          <cell r="C3014">
            <v>1.4565265732709859E-2</v>
          </cell>
          <cell r="I3014" t="str">
            <v>Farrington</v>
          </cell>
        </row>
        <row r="3015">
          <cell r="A3015" t="str">
            <v>Talitha</v>
          </cell>
          <cell r="C3015">
            <v>1.4543028685789694E-2</v>
          </cell>
          <cell r="I3015" t="str">
            <v>Edge</v>
          </cell>
        </row>
        <row r="3016">
          <cell r="A3016" t="str">
            <v>Shery</v>
          </cell>
          <cell r="C3016">
            <v>1.4520791638869528E-2</v>
          </cell>
          <cell r="I3016" t="str">
            <v>Breen</v>
          </cell>
        </row>
        <row r="3017">
          <cell r="A3017" t="str">
            <v>Rudy</v>
          </cell>
          <cell r="C3017">
            <v>1.4498554591949361E-2</v>
          </cell>
          <cell r="I3017" t="str">
            <v>Birch</v>
          </cell>
        </row>
        <row r="3018">
          <cell r="A3018" t="str">
            <v>Renetta</v>
          </cell>
          <cell r="C3018">
            <v>1.4476317545029196E-2</v>
          </cell>
          <cell r="I3018" t="str">
            <v>Wilde</v>
          </cell>
        </row>
        <row r="3019">
          <cell r="A3019" t="str">
            <v>Reiko</v>
          </cell>
          <cell r="C3019">
            <v>1.4454080498109031E-2</v>
          </cell>
          <cell r="I3019" t="str">
            <v>Steed</v>
          </cell>
        </row>
        <row r="3020">
          <cell r="A3020" t="str">
            <v>Rasheeda</v>
          </cell>
          <cell r="C3020">
            <v>1.4431843451188864E-2</v>
          </cell>
          <cell r="I3020" t="str">
            <v>Sepulveda</v>
          </cell>
        </row>
        <row r="3021">
          <cell r="A3021" t="str">
            <v>Omega</v>
          </cell>
          <cell r="C3021">
            <v>1.4409606404268699E-2</v>
          </cell>
          <cell r="I3021" t="str">
            <v>Reinhardt</v>
          </cell>
        </row>
        <row r="3022">
          <cell r="A3022" t="str">
            <v>Obdulia</v>
          </cell>
          <cell r="C3022">
            <v>1.4387369357348533E-2</v>
          </cell>
          <cell r="I3022" t="str">
            <v>Proffitt</v>
          </cell>
        </row>
        <row r="3023">
          <cell r="A3023" t="str">
            <v>Mika</v>
          </cell>
          <cell r="C3023">
            <v>1.4365132310428366E-2</v>
          </cell>
          <cell r="I3023" t="str">
            <v>Minter</v>
          </cell>
        </row>
        <row r="3024">
          <cell r="A3024" t="str">
            <v>Melaine</v>
          </cell>
          <cell r="C3024">
            <v>1.4342895263508201E-2</v>
          </cell>
          <cell r="I3024" t="str">
            <v>Messina</v>
          </cell>
        </row>
        <row r="3025">
          <cell r="A3025" t="str">
            <v>Meggan</v>
          </cell>
          <cell r="C3025">
            <v>1.4320658216588036E-2</v>
          </cell>
          <cell r="I3025" t="str">
            <v>Mcnabb</v>
          </cell>
        </row>
        <row r="3026">
          <cell r="A3026" t="str">
            <v>Martin</v>
          </cell>
          <cell r="C3026">
            <v>1.4298421169667869E-2</v>
          </cell>
          <cell r="I3026" t="str">
            <v>Maier</v>
          </cell>
        </row>
        <row r="3027">
          <cell r="A3027" t="str">
            <v>Marlen</v>
          </cell>
          <cell r="C3027">
            <v>1.4276184122747703E-2</v>
          </cell>
          <cell r="I3027" t="str">
            <v>Keeler</v>
          </cell>
        </row>
        <row r="3028">
          <cell r="A3028" t="str">
            <v>Marget</v>
          </cell>
          <cell r="C3028">
            <v>1.4253947075827538E-2</v>
          </cell>
          <cell r="I3028" t="str">
            <v>Gamboa</v>
          </cell>
        </row>
        <row r="3029">
          <cell r="A3029" t="str">
            <v>Marceline</v>
          </cell>
          <cell r="C3029">
            <v>1.4231710028907371E-2</v>
          </cell>
          <cell r="I3029" t="str">
            <v>Donohue</v>
          </cell>
        </row>
        <row r="3030">
          <cell r="A3030" t="str">
            <v>Mana</v>
          </cell>
          <cell r="C3030">
            <v>1.4209472981987206E-2</v>
          </cell>
          <cell r="I3030" t="str">
            <v>Dexter</v>
          </cell>
        </row>
        <row r="3031">
          <cell r="A3031" t="str">
            <v>Magdalen</v>
          </cell>
          <cell r="C3031">
            <v>1.4187235935067041E-2</v>
          </cell>
          <cell r="I3031" t="str">
            <v>Basham</v>
          </cell>
        </row>
        <row r="3032">
          <cell r="A3032" t="str">
            <v>Librada</v>
          </cell>
          <cell r="C3032">
            <v>1.4164998888146874E-2</v>
          </cell>
          <cell r="I3032" t="str">
            <v>Shinn</v>
          </cell>
        </row>
        <row r="3033">
          <cell r="A3033" t="str">
            <v>Lezlie</v>
          </cell>
          <cell r="C3033">
            <v>1.4142761841226708E-2</v>
          </cell>
          <cell r="I3033" t="str">
            <v>Orlando</v>
          </cell>
        </row>
        <row r="3034">
          <cell r="A3034" t="str">
            <v>Lexie</v>
          </cell>
          <cell r="C3034">
            <v>1.4120524794306543E-2</v>
          </cell>
          <cell r="I3034" t="str">
            <v>Crooks</v>
          </cell>
        </row>
        <row r="3035">
          <cell r="A3035" t="str">
            <v>Latashia</v>
          </cell>
          <cell r="C3035">
            <v>1.4098287747386376E-2</v>
          </cell>
          <cell r="I3035" t="str">
            <v>Cota</v>
          </cell>
        </row>
        <row r="3036">
          <cell r="A3036" t="str">
            <v>Lasandra</v>
          </cell>
          <cell r="C3036">
            <v>1.4076050700466211E-2</v>
          </cell>
          <cell r="I3036" t="str">
            <v>Borders</v>
          </cell>
        </row>
        <row r="3037">
          <cell r="A3037" t="str">
            <v>Kelle</v>
          </cell>
          <cell r="C3037">
            <v>1.4053813653546045E-2</v>
          </cell>
          <cell r="I3037" t="str">
            <v>Bills</v>
          </cell>
        </row>
        <row r="3038">
          <cell r="A3038" t="str">
            <v>Isidra</v>
          </cell>
          <cell r="C3038">
            <v>1.4031576606625878E-2</v>
          </cell>
          <cell r="I3038" t="str">
            <v>Bachman</v>
          </cell>
        </row>
        <row r="3039">
          <cell r="A3039" t="str">
            <v>Isa</v>
          </cell>
          <cell r="C3039">
            <v>1.4009339559705713E-2</v>
          </cell>
          <cell r="I3039" t="str">
            <v>Tisdale</v>
          </cell>
        </row>
        <row r="3040">
          <cell r="A3040" t="str">
            <v>Inocencia</v>
          </cell>
          <cell r="C3040">
            <v>1.3987102512785548E-2</v>
          </cell>
          <cell r="I3040" t="str">
            <v>Tavares</v>
          </cell>
        </row>
        <row r="3041">
          <cell r="A3041" t="str">
            <v>Gwyn</v>
          </cell>
          <cell r="C3041">
            <v>1.3964865465865381E-2</v>
          </cell>
          <cell r="I3041" t="str">
            <v>Schmid</v>
          </cell>
        </row>
        <row r="3042">
          <cell r="A3042" t="str">
            <v>Francoise</v>
          </cell>
          <cell r="C3042">
            <v>1.3942628418945216E-2</v>
          </cell>
          <cell r="I3042" t="str">
            <v>Pickard</v>
          </cell>
        </row>
        <row r="3043">
          <cell r="A3043" t="str">
            <v>Erminia</v>
          </cell>
          <cell r="C3043">
            <v>1.392039137202505E-2</v>
          </cell>
          <cell r="I3043" t="str">
            <v>Jasper</v>
          </cell>
        </row>
        <row r="3044">
          <cell r="A3044" t="str">
            <v>Erinn</v>
          </cell>
          <cell r="C3044">
            <v>1.3898154325104883E-2</v>
          </cell>
          <cell r="I3044" t="str">
            <v>Gulley</v>
          </cell>
        </row>
        <row r="3045">
          <cell r="A3045" t="str">
            <v>Dimple</v>
          </cell>
          <cell r="C3045">
            <v>1.3875917278184718E-2</v>
          </cell>
          <cell r="I3045" t="str">
            <v>Fonseca</v>
          </cell>
        </row>
        <row r="3046">
          <cell r="A3046" t="str">
            <v>Devora</v>
          </cell>
          <cell r="C3046">
            <v>1.3853680231264553E-2</v>
          </cell>
          <cell r="I3046" t="str">
            <v>Delossantos</v>
          </cell>
        </row>
        <row r="3047">
          <cell r="A3047" t="str">
            <v>Criselda</v>
          </cell>
          <cell r="C3047">
            <v>1.3831443184344386E-2</v>
          </cell>
          <cell r="I3047" t="str">
            <v>Condon</v>
          </cell>
        </row>
        <row r="3048">
          <cell r="A3048" t="str">
            <v>Armanda</v>
          </cell>
          <cell r="C3048">
            <v>1.3809206137424221E-2</v>
          </cell>
          <cell r="I3048" t="str">
            <v>Clancy</v>
          </cell>
        </row>
        <row r="3049">
          <cell r="A3049" t="str">
            <v>Arie</v>
          </cell>
          <cell r="C3049">
            <v>1.3786969090504055E-2</v>
          </cell>
          <cell r="I3049" t="str">
            <v>Batista</v>
          </cell>
        </row>
        <row r="3050">
          <cell r="A3050" t="str">
            <v>Ariane</v>
          </cell>
          <cell r="C3050">
            <v>1.3764732043583888E-2</v>
          </cell>
          <cell r="I3050" t="str">
            <v>Wicks</v>
          </cell>
        </row>
        <row r="3051">
          <cell r="A3051" t="str">
            <v>Angelo</v>
          </cell>
          <cell r="C3051">
            <v>1.3742494996663723E-2</v>
          </cell>
          <cell r="I3051" t="str">
            <v>Wadsworth</v>
          </cell>
        </row>
        <row r="3052">
          <cell r="A3052" t="str">
            <v>Angelena</v>
          </cell>
          <cell r="C3052">
            <v>1.3720257949743558E-2</v>
          </cell>
          <cell r="I3052" t="str">
            <v>New</v>
          </cell>
        </row>
        <row r="3053">
          <cell r="A3053" t="str">
            <v>Allen</v>
          </cell>
          <cell r="C3053">
            <v>1.3698020902823391E-2</v>
          </cell>
          <cell r="I3053" t="str">
            <v>Martell</v>
          </cell>
        </row>
        <row r="3054">
          <cell r="A3054" t="str">
            <v>Aliza</v>
          </cell>
          <cell r="C3054">
            <v>1.3675783855903225E-2</v>
          </cell>
          <cell r="I3054" t="str">
            <v>Lo</v>
          </cell>
        </row>
        <row r="3055">
          <cell r="A3055" t="str">
            <v>Adriene</v>
          </cell>
          <cell r="C3055">
            <v>1.365354680898306E-2</v>
          </cell>
          <cell r="I3055" t="str">
            <v>Littleton</v>
          </cell>
        </row>
        <row r="3056">
          <cell r="A3056" t="str">
            <v>Adaline</v>
          </cell>
          <cell r="C3056">
            <v>1.3631309762062893E-2</v>
          </cell>
          <cell r="I3056" t="str">
            <v>Ison</v>
          </cell>
        </row>
        <row r="3057">
          <cell r="A3057" t="str">
            <v>Xochitl</v>
          </cell>
          <cell r="C3057">
            <v>1.3609072715142728E-2</v>
          </cell>
          <cell r="I3057" t="str">
            <v>Haag</v>
          </cell>
        </row>
        <row r="3058">
          <cell r="A3058" t="str">
            <v>Twanna</v>
          </cell>
          <cell r="C3058">
            <v>1.3597954191682644E-2</v>
          </cell>
          <cell r="I3058" t="str">
            <v>Folsom</v>
          </cell>
        </row>
        <row r="3059">
          <cell r="A3059" t="str">
            <v>Tran</v>
          </cell>
          <cell r="C3059">
            <v>1.3586835668222563E-2</v>
          </cell>
          <cell r="I3059" t="str">
            <v>Brumfield</v>
          </cell>
        </row>
        <row r="3060">
          <cell r="A3060" t="str">
            <v>Tomiko</v>
          </cell>
          <cell r="C3060">
            <v>1.3575717144762479E-2</v>
          </cell>
          <cell r="I3060" t="str">
            <v>Broyles</v>
          </cell>
        </row>
        <row r="3061">
          <cell r="A3061" t="str">
            <v>Tamisha</v>
          </cell>
          <cell r="C3061">
            <v>1.3564598621302396E-2</v>
          </cell>
          <cell r="I3061" t="str">
            <v>Brito</v>
          </cell>
        </row>
        <row r="3062">
          <cell r="A3062" t="str">
            <v>Taisha</v>
          </cell>
          <cell r="C3062">
            <v>1.3553480097842314E-2</v>
          </cell>
          <cell r="I3062" t="str">
            <v>Mireles</v>
          </cell>
        </row>
        <row r="3063">
          <cell r="A3063" t="str">
            <v>Susy</v>
          </cell>
          <cell r="C3063">
            <v>1.354236157438223E-2</v>
          </cell>
          <cell r="I3063" t="str">
            <v>Mcdonnell</v>
          </cell>
        </row>
        <row r="3064">
          <cell r="A3064" t="str">
            <v>Siu</v>
          </cell>
          <cell r="C3064">
            <v>1.3531243050922147E-2</v>
          </cell>
          <cell r="I3064" t="str">
            <v>Leclair</v>
          </cell>
        </row>
        <row r="3065">
          <cell r="A3065" t="str">
            <v>Rutha</v>
          </cell>
          <cell r="C3065">
            <v>1.3520124527462065E-2</v>
          </cell>
          <cell r="I3065" t="str">
            <v>Hamblin</v>
          </cell>
        </row>
        <row r="3066">
          <cell r="A3066" t="str">
            <v>Roxy</v>
          </cell>
          <cell r="C3066">
            <v>1.3509006004001982E-2</v>
          </cell>
          <cell r="I3066" t="str">
            <v>Gough</v>
          </cell>
        </row>
        <row r="3067">
          <cell r="A3067" t="str">
            <v>Rhona</v>
          </cell>
          <cell r="C3067">
            <v>1.3497887480541898E-2</v>
          </cell>
          <cell r="I3067" t="str">
            <v>Fanning</v>
          </cell>
        </row>
        <row r="3068">
          <cell r="A3068" t="str">
            <v>Raymond</v>
          </cell>
          <cell r="C3068">
            <v>1.3486768957081816E-2</v>
          </cell>
          <cell r="I3068" t="str">
            <v>Binder</v>
          </cell>
        </row>
        <row r="3069">
          <cell r="A3069" t="str">
            <v>Otha</v>
          </cell>
          <cell r="C3069">
            <v>1.3475650433621733E-2</v>
          </cell>
          <cell r="I3069" t="str">
            <v>Winfield</v>
          </cell>
        </row>
        <row r="3070">
          <cell r="A3070" t="str">
            <v>Noriko</v>
          </cell>
          <cell r="C3070">
            <v>1.3464531910161649E-2</v>
          </cell>
          <cell r="I3070" t="str">
            <v>Whitworth</v>
          </cell>
        </row>
        <row r="3071">
          <cell r="A3071" t="str">
            <v>Natashia</v>
          </cell>
          <cell r="C3071">
            <v>1.3453413386701567E-2</v>
          </cell>
          <cell r="I3071" t="str">
            <v>Soriano</v>
          </cell>
        </row>
        <row r="3072">
          <cell r="A3072" t="str">
            <v>Merrie</v>
          </cell>
          <cell r="C3072">
            <v>1.3442294863241484E-2</v>
          </cell>
          <cell r="I3072" t="str">
            <v>Palumbo</v>
          </cell>
        </row>
        <row r="3073">
          <cell r="A3073" t="str">
            <v>Melvin</v>
          </cell>
          <cell r="C3073">
            <v>1.34311763397814E-2</v>
          </cell>
          <cell r="I3073" t="str">
            <v>Newkirk</v>
          </cell>
        </row>
        <row r="3074">
          <cell r="A3074" t="str">
            <v>Marinda</v>
          </cell>
          <cell r="C3074">
            <v>1.3420057816321319E-2</v>
          </cell>
          <cell r="I3074" t="str">
            <v>Mangum</v>
          </cell>
        </row>
        <row r="3075">
          <cell r="A3075" t="str">
            <v>Mariko</v>
          </cell>
          <cell r="C3075">
            <v>1.3408939292861235E-2</v>
          </cell>
          <cell r="I3075" t="str">
            <v>Hutcherson</v>
          </cell>
        </row>
        <row r="3076">
          <cell r="A3076" t="str">
            <v>Margert</v>
          </cell>
          <cell r="C3076">
            <v>1.3397820769401152E-2</v>
          </cell>
          <cell r="I3076" t="str">
            <v>Comstock</v>
          </cell>
        </row>
        <row r="3077">
          <cell r="A3077" t="str">
            <v>Loris</v>
          </cell>
          <cell r="C3077">
            <v>1.338670224594107E-2</v>
          </cell>
          <cell r="I3077" t="str">
            <v>Cecil</v>
          </cell>
        </row>
        <row r="3078">
          <cell r="A3078" t="str">
            <v>Lizzette</v>
          </cell>
          <cell r="C3078">
            <v>1.3375583722480986E-2</v>
          </cell>
          <cell r="I3078" t="str">
            <v>Carlin</v>
          </cell>
        </row>
        <row r="3079">
          <cell r="A3079" t="str">
            <v>Leisha</v>
          </cell>
          <cell r="C3079">
            <v>1.3364465199020903E-2</v>
          </cell>
          <cell r="I3079" t="str">
            <v>Beall</v>
          </cell>
        </row>
        <row r="3080">
          <cell r="A3080" t="str">
            <v>Kaila</v>
          </cell>
          <cell r="C3080">
            <v>1.3353346675560821E-2</v>
          </cell>
          <cell r="I3080" t="str">
            <v>Bair</v>
          </cell>
        </row>
        <row r="3081">
          <cell r="A3081" t="str">
            <v>Ka</v>
          </cell>
          <cell r="C3081">
            <v>1.3342228152100738E-2</v>
          </cell>
          <cell r="I3081" t="str">
            <v>Wendt</v>
          </cell>
        </row>
        <row r="3082">
          <cell r="A3082" t="str">
            <v>Joannie</v>
          </cell>
          <cell r="C3082">
            <v>1.3331109628640656E-2</v>
          </cell>
          <cell r="I3082" t="str">
            <v>Watters</v>
          </cell>
        </row>
        <row r="3083">
          <cell r="A3083" t="str">
            <v>Jerrica</v>
          </cell>
          <cell r="C3083">
            <v>1.3319991105180572E-2</v>
          </cell>
          <cell r="I3083" t="str">
            <v>Walling</v>
          </cell>
        </row>
        <row r="3084">
          <cell r="A3084" t="str">
            <v>Jene</v>
          </cell>
          <cell r="C3084">
            <v>1.3308872581720489E-2</v>
          </cell>
          <cell r="I3084" t="str">
            <v>Putman</v>
          </cell>
        </row>
        <row r="3085">
          <cell r="A3085" t="str">
            <v>Jannet</v>
          </cell>
          <cell r="C3085">
            <v>1.3297754058260407E-2</v>
          </cell>
          <cell r="I3085" t="str">
            <v>Otoole</v>
          </cell>
        </row>
        <row r="3086">
          <cell r="A3086" t="str">
            <v>Janee</v>
          </cell>
          <cell r="C3086">
            <v>1.3286635534800324E-2</v>
          </cell>
          <cell r="I3086" t="str">
            <v>Oliva</v>
          </cell>
        </row>
        <row r="3087">
          <cell r="A3087" t="str">
            <v>Jacinda</v>
          </cell>
          <cell r="C3087">
            <v>1.327551701134024E-2</v>
          </cell>
          <cell r="I3087" t="str">
            <v>Morley</v>
          </cell>
        </row>
        <row r="3088">
          <cell r="A3088" t="str">
            <v>Herta</v>
          </cell>
          <cell r="C3088">
            <v>1.3264398487880158E-2</v>
          </cell>
          <cell r="I3088" t="str">
            <v>Mares</v>
          </cell>
        </row>
        <row r="3089">
          <cell r="A3089" t="str">
            <v>Elenore</v>
          </cell>
          <cell r="C3089">
            <v>1.3253279964420075E-2</v>
          </cell>
          <cell r="I3089" t="str">
            <v>Lemus</v>
          </cell>
        </row>
        <row r="3090">
          <cell r="A3090" t="str">
            <v>Doretta</v>
          </cell>
          <cell r="C3090">
            <v>1.3242161440959991E-2</v>
          </cell>
          <cell r="I3090" t="str">
            <v>Keener</v>
          </cell>
        </row>
        <row r="3091">
          <cell r="A3091" t="str">
            <v>Delaine</v>
          </cell>
          <cell r="C3091">
            <v>1.323104291749991E-2</v>
          </cell>
          <cell r="I3091" t="str">
            <v>Jeffery</v>
          </cell>
        </row>
        <row r="3092">
          <cell r="A3092" t="str">
            <v>Daniell</v>
          </cell>
          <cell r="C3092">
            <v>1.3219924394039826E-2</v>
          </cell>
          <cell r="I3092" t="str">
            <v>Hundley</v>
          </cell>
        </row>
        <row r="3093">
          <cell r="A3093" t="str">
            <v>Claudie</v>
          </cell>
          <cell r="C3093">
            <v>1.3208805870579743E-2</v>
          </cell>
          <cell r="I3093" t="str">
            <v>Dial</v>
          </cell>
        </row>
        <row r="3094">
          <cell r="A3094" t="str">
            <v>China</v>
          </cell>
          <cell r="C3094">
            <v>1.3197687347119661E-2</v>
          </cell>
          <cell r="I3094" t="str">
            <v>Damico</v>
          </cell>
        </row>
        <row r="3095">
          <cell r="A3095" t="str">
            <v>Britta</v>
          </cell>
          <cell r="C3095">
            <v>1.3186568823659577E-2</v>
          </cell>
          <cell r="I3095" t="str">
            <v>Billups</v>
          </cell>
        </row>
        <row r="3096">
          <cell r="A3096" t="str">
            <v>Apolonia</v>
          </cell>
          <cell r="C3096">
            <v>1.3175450300199494E-2</v>
          </cell>
          <cell r="I3096" t="str">
            <v>Strother</v>
          </cell>
        </row>
        <row r="3097">
          <cell r="A3097" t="str">
            <v>Amberly</v>
          </cell>
          <cell r="C3097">
            <v>1.3164331776739412E-2</v>
          </cell>
          <cell r="I3097" t="str">
            <v>Mcfarlane</v>
          </cell>
        </row>
        <row r="3098">
          <cell r="A3098" t="str">
            <v>Alease</v>
          </cell>
          <cell r="C3098">
            <v>1.3153213253279328E-2</v>
          </cell>
          <cell r="I3098" t="str">
            <v>Lamm</v>
          </cell>
        </row>
        <row r="3099">
          <cell r="A3099" t="str">
            <v>Yuri</v>
          </cell>
          <cell r="C3099">
            <v>1.3142094729819245E-2</v>
          </cell>
          <cell r="I3099" t="str">
            <v>Eaves</v>
          </cell>
        </row>
        <row r="3100">
          <cell r="A3100" t="str">
            <v>Yuk</v>
          </cell>
          <cell r="C3100">
            <v>1.3130976206359163E-2</v>
          </cell>
          <cell r="I3100" t="str">
            <v>Crutcher</v>
          </cell>
        </row>
        <row r="3101">
          <cell r="A3101" t="str">
            <v>Wen</v>
          </cell>
          <cell r="C3101">
            <v>1.311985768289908E-2</v>
          </cell>
          <cell r="I3101" t="str">
            <v>Caraballo</v>
          </cell>
        </row>
        <row r="3102">
          <cell r="A3102" t="str">
            <v>Waneta</v>
          </cell>
          <cell r="C3102">
            <v>1.3108739159438996E-2</v>
          </cell>
          <cell r="I3102" t="str">
            <v>Canty</v>
          </cell>
        </row>
        <row r="3103">
          <cell r="A3103" t="str">
            <v>Ute</v>
          </cell>
          <cell r="C3103">
            <v>1.3097620635978914E-2</v>
          </cell>
          <cell r="I3103" t="str">
            <v>Atwell</v>
          </cell>
        </row>
        <row r="3104">
          <cell r="A3104" t="str">
            <v>Tomi</v>
          </cell>
          <cell r="C3104">
            <v>1.3086502112518831E-2</v>
          </cell>
          <cell r="I3104" t="str">
            <v>Taft</v>
          </cell>
        </row>
        <row r="3105">
          <cell r="A3105" t="str">
            <v>Sharri</v>
          </cell>
          <cell r="C3105">
            <v>1.3075383589058747E-2</v>
          </cell>
          <cell r="I3105" t="str">
            <v>Siler</v>
          </cell>
        </row>
        <row r="3106">
          <cell r="A3106" t="str">
            <v>Sandie</v>
          </cell>
          <cell r="C3106">
            <v>1.3064265065598666E-2</v>
          </cell>
          <cell r="I3106" t="str">
            <v>Rust</v>
          </cell>
        </row>
        <row r="3107">
          <cell r="A3107" t="str">
            <v>Roselle</v>
          </cell>
          <cell r="C3107">
            <v>1.3053146542138582E-2</v>
          </cell>
          <cell r="I3107" t="str">
            <v>Rawls</v>
          </cell>
        </row>
        <row r="3108">
          <cell r="A3108" t="str">
            <v>Reynalda</v>
          </cell>
          <cell r="C3108">
            <v>1.3042028018678499E-2</v>
          </cell>
          <cell r="I3108" t="str">
            <v>Rawlings</v>
          </cell>
        </row>
        <row r="3109">
          <cell r="A3109" t="str">
            <v>Raguel</v>
          </cell>
          <cell r="C3109">
            <v>1.3030909495218417E-2</v>
          </cell>
          <cell r="I3109" t="str">
            <v>Prieto</v>
          </cell>
        </row>
        <row r="3110">
          <cell r="A3110" t="str">
            <v>Phylicia</v>
          </cell>
          <cell r="C3110">
            <v>1.3019790971758333E-2</v>
          </cell>
          <cell r="I3110" t="str">
            <v>Niles</v>
          </cell>
        </row>
        <row r="3111">
          <cell r="A3111" t="str">
            <v>Patria</v>
          </cell>
          <cell r="C3111">
            <v>1.300867244829825E-2</v>
          </cell>
          <cell r="I3111" t="str">
            <v>Mcneely</v>
          </cell>
        </row>
        <row r="3112">
          <cell r="A3112" t="str">
            <v>Olimpia</v>
          </cell>
          <cell r="C3112">
            <v>1.2997553924838168E-2</v>
          </cell>
          <cell r="I3112" t="str">
            <v>Mcafee</v>
          </cell>
        </row>
        <row r="3113">
          <cell r="A3113" t="str">
            <v>Odelia</v>
          </cell>
          <cell r="C3113">
            <v>1.2986435401378085E-2</v>
          </cell>
          <cell r="I3113" t="str">
            <v>Hulsey</v>
          </cell>
        </row>
        <row r="3114">
          <cell r="A3114" t="str">
            <v>Mitzie</v>
          </cell>
          <cell r="C3114">
            <v>1.2975316877918001E-2</v>
          </cell>
          <cell r="I3114" t="str">
            <v>Harlan</v>
          </cell>
        </row>
        <row r="3115">
          <cell r="A3115" t="str">
            <v>Mitchell</v>
          </cell>
          <cell r="C3115">
            <v>1.2964198354457919E-2</v>
          </cell>
          <cell r="I3115" t="str">
            <v>Hackney</v>
          </cell>
        </row>
        <row r="3116">
          <cell r="A3116" t="str">
            <v>Miss</v>
          </cell>
          <cell r="C3116">
            <v>1.2953079830997836E-2</v>
          </cell>
          <cell r="I3116" t="str">
            <v>Galvez</v>
          </cell>
        </row>
        <row r="3117">
          <cell r="A3117" t="str">
            <v>Minda</v>
          </cell>
          <cell r="C3117">
            <v>1.2941961307537752E-2</v>
          </cell>
          <cell r="I3117" t="str">
            <v>Escalante</v>
          </cell>
        </row>
        <row r="3118">
          <cell r="A3118" t="str">
            <v>Mignon</v>
          </cell>
          <cell r="C3118">
            <v>1.2930842784077671E-2</v>
          </cell>
          <cell r="I3118" t="str">
            <v>Delagarza</v>
          </cell>
        </row>
        <row r="3119">
          <cell r="A3119" t="str">
            <v>Mica</v>
          </cell>
          <cell r="C3119">
            <v>1.2919724260617587E-2</v>
          </cell>
          <cell r="I3119" t="str">
            <v>Crider</v>
          </cell>
        </row>
        <row r="3120">
          <cell r="A3120" t="str">
            <v>Mendy</v>
          </cell>
          <cell r="C3120">
            <v>1.2908605737157504E-2</v>
          </cell>
          <cell r="I3120" t="str">
            <v>Charlton</v>
          </cell>
        </row>
        <row r="3121">
          <cell r="A3121" t="str">
            <v>Marivel</v>
          </cell>
          <cell r="C3121">
            <v>1.2897487213697422E-2</v>
          </cell>
          <cell r="I3121" t="str">
            <v>Bandy</v>
          </cell>
        </row>
        <row r="3122">
          <cell r="A3122" t="str">
            <v>Maile</v>
          </cell>
          <cell r="C3122">
            <v>1.2886368690237338E-2</v>
          </cell>
          <cell r="I3122" t="str">
            <v>Wilbanks</v>
          </cell>
        </row>
        <row r="3123">
          <cell r="A3123" t="str">
            <v>Lynetta</v>
          </cell>
          <cell r="C3123">
            <v>1.2875250166777255E-2</v>
          </cell>
          <cell r="I3123" t="str">
            <v>Stowe</v>
          </cell>
        </row>
        <row r="3124">
          <cell r="A3124" t="str">
            <v>Lavette</v>
          </cell>
          <cell r="C3124">
            <v>1.2864131643317173E-2</v>
          </cell>
          <cell r="I3124" t="str">
            <v>Steinberg</v>
          </cell>
        </row>
        <row r="3125">
          <cell r="A3125" t="str">
            <v>Lauryn</v>
          </cell>
          <cell r="C3125">
            <v>1.2853013119857089E-2</v>
          </cell>
          <cell r="I3125" t="str">
            <v>Samson</v>
          </cell>
        </row>
        <row r="3126">
          <cell r="A3126" t="str">
            <v>Latrisha</v>
          </cell>
          <cell r="C3126">
            <v>1.2841894596397006E-2</v>
          </cell>
          <cell r="I3126" t="str">
            <v>Renfro</v>
          </cell>
        </row>
        <row r="3127">
          <cell r="A3127" t="str">
            <v>Lakiesha</v>
          </cell>
          <cell r="C3127">
            <v>1.2830776072936924E-2</v>
          </cell>
          <cell r="I3127" t="str">
            <v>Masterson</v>
          </cell>
        </row>
        <row r="3128">
          <cell r="A3128" t="str">
            <v>Kiersten</v>
          </cell>
          <cell r="C3128">
            <v>1.2819657549476841E-2</v>
          </cell>
          <cell r="I3128" t="str">
            <v>Massie</v>
          </cell>
        </row>
        <row r="3129">
          <cell r="A3129" t="str">
            <v>Kary</v>
          </cell>
          <cell r="C3129">
            <v>1.2808539026016757E-2</v>
          </cell>
          <cell r="I3129" t="str">
            <v>Lanham</v>
          </cell>
        </row>
        <row r="3130">
          <cell r="A3130" t="str">
            <v>Josphine</v>
          </cell>
          <cell r="C3130">
            <v>1.2797420502556675E-2</v>
          </cell>
          <cell r="I3130" t="str">
            <v>Haskell</v>
          </cell>
        </row>
        <row r="3131">
          <cell r="A3131" t="str">
            <v>Jolyn</v>
          </cell>
          <cell r="C3131">
            <v>1.2786301979096592E-2</v>
          </cell>
          <cell r="I3131" t="str">
            <v>Hamrick</v>
          </cell>
        </row>
        <row r="3132">
          <cell r="A3132" t="str">
            <v>Jetta</v>
          </cell>
          <cell r="C3132">
            <v>1.2775183455636508E-2</v>
          </cell>
          <cell r="I3132" t="str">
            <v>Fort</v>
          </cell>
        </row>
        <row r="3133">
          <cell r="A3133" t="str">
            <v>Janise</v>
          </cell>
          <cell r="C3133">
            <v>1.2764064932176427E-2</v>
          </cell>
          <cell r="I3133" t="str">
            <v>Dehart</v>
          </cell>
        </row>
        <row r="3134">
          <cell r="A3134" t="str">
            <v>Jacquie</v>
          </cell>
          <cell r="C3134">
            <v>1.2752946408716343E-2</v>
          </cell>
          <cell r="I3134" t="str">
            <v>Card</v>
          </cell>
        </row>
        <row r="3135">
          <cell r="A3135" t="str">
            <v>Ivelisse</v>
          </cell>
          <cell r="C3135">
            <v>1.274182788525626E-2</v>
          </cell>
          <cell r="I3135" t="str">
            <v>Burdette</v>
          </cell>
        </row>
        <row r="3136">
          <cell r="A3136" t="str">
            <v>Glynis</v>
          </cell>
          <cell r="C3136">
            <v>1.2730709361796178E-2</v>
          </cell>
          <cell r="I3136" t="str">
            <v>Branson</v>
          </cell>
        </row>
        <row r="3137">
          <cell r="A3137" t="str">
            <v>Gianna</v>
          </cell>
          <cell r="C3137">
            <v>1.2719590838336094E-2</v>
          </cell>
          <cell r="I3137" t="str">
            <v>Bourne</v>
          </cell>
        </row>
        <row r="3138">
          <cell r="A3138" t="str">
            <v>Gaynelle</v>
          </cell>
          <cell r="C3138">
            <v>1.2708472314876011E-2</v>
          </cell>
          <cell r="I3138" t="str">
            <v>Babin</v>
          </cell>
        </row>
        <row r="3139">
          <cell r="A3139" t="str">
            <v>Emerald</v>
          </cell>
          <cell r="C3139">
            <v>1.2697353791415929E-2</v>
          </cell>
          <cell r="I3139" t="str">
            <v>Aleman</v>
          </cell>
        </row>
        <row r="3140">
          <cell r="A3140" t="str">
            <v>Demetrius</v>
          </cell>
          <cell r="C3140">
            <v>1.2686235267955846E-2</v>
          </cell>
          <cell r="I3140" t="str">
            <v>Worthy</v>
          </cell>
        </row>
        <row r="3141">
          <cell r="A3141" t="str">
            <v>Danyell</v>
          </cell>
          <cell r="C3141">
            <v>1.2675116744495762E-2</v>
          </cell>
          <cell r="I3141" t="str">
            <v>Tibbs</v>
          </cell>
        </row>
        <row r="3142">
          <cell r="A3142" t="str">
            <v>Danille</v>
          </cell>
          <cell r="C3142">
            <v>1.266399822103568E-2</v>
          </cell>
          <cell r="I3142" t="str">
            <v>Sweat</v>
          </cell>
        </row>
        <row r="3143">
          <cell r="A3143" t="str">
            <v>Dacia</v>
          </cell>
          <cell r="C3143">
            <v>1.2652879697575597E-2</v>
          </cell>
          <cell r="I3143" t="str">
            <v>Smoot</v>
          </cell>
        </row>
        <row r="3144">
          <cell r="A3144" t="str">
            <v>Coralee</v>
          </cell>
          <cell r="C3144">
            <v>1.2641761174115513E-2</v>
          </cell>
          <cell r="I3144" t="str">
            <v>Slack</v>
          </cell>
        </row>
        <row r="3145">
          <cell r="A3145" t="str">
            <v>Cher</v>
          </cell>
          <cell r="C3145">
            <v>1.2630642650655432E-2</v>
          </cell>
          <cell r="I3145" t="str">
            <v>Paradis</v>
          </cell>
        </row>
        <row r="3146">
          <cell r="A3146" t="str">
            <v>Ceola</v>
          </cell>
          <cell r="C3146">
            <v>1.2619524127195348E-2</v>
          </cell>
          <cell r="I3146" t="str">
            <v>Packard</v>
          </cell>
        </row>
        <row r="3147">
          <cell r="A3147" t="str">
            <v>Brett</v>
          </cell>
          <cell r="C3147">
            <v>1.2608405603735265E-2</v>
          </cell>
          <cell r="I3147" t="str">
            <v>Mull</v>
          </cell>
        </row>
        <row r="3148">
          <cell r="A3148" t="str">
            <v>Bell</v>
          </cell>
          <cell r="C3148">
            <v>1.2597287080275183E-2</v>
          </cell>
          <cell r="I3148" t="str">
            <v>Luce</v>
          </cell>
        </row>
        <row r="3149">
          <cell r="A3149" t="str">
            <v>Arianne</v>
          </cell>
          <cell r="C3149">
            <v>1.2586168556815099E-2</v>
          </cell>
          <cell r="I3149" t="str">
            <v>Houghton</v>
          </cell>
        </row>
        <row r="3150">
          <cell r="A3150" t="str">
            <v>Aleshia</v>
          </cell>
          <cell r="C3150">
            <v>1.2575050033355016E-2</v>
          </cell>
          <cell r="I3150" t="str">
            <v>Gantt</v>
          </cell>
        </row>
        <row r="3151">
          <cell r="A3151" t="str">
            <v>Yung</v>
          </cell>
          <cell r="C3151">
            <v>1.2563931509894934E-2</v>
          </cell>
          <cell r="I3151" t="str">
            <v>Furman</v>
          </cell>
        </row>
        <row r="3152">
          <cell r="A3152" t="str">
            <v>Williemae</v>
          </cell>
          <cell r="C3152">
            <v>1.255281298643485E-2</v>
          </cell>
          <cell r="I3152" t="str">
            <v>Danner</v>
          </cell>
        </row>
        <row r="3153">
          <cell r="A3153" t="str">
            <v>Troy</v>
          </cell>
          <cell r="C3153">
            <v>1.2541694462974767E-2</v>
          </cell>
          <cell r="I3153" t="str">
            <v>Christianson</v>
          </cell>
        </row>
        <row r="3154">
          <cell r="A3154" t="str">
            <v>Trinh</v>
          </cell>
          <cell r="C3154">
            <v>1.2530575939514685E-2</v>
          </cell>
          <cell r="I3154" t="str">
            <v>Burge</v>
          </cell>
        </row>
        <row r="3155">
          <cell r="A3155" t="str">
            <v>Thora</v>
          </cell>
          <cell r="C3155">
            <v>1.2519457416054602E-2</v>
          </cell>
          <cell r="I3155" t="str">
            <v>Broderick</v>
          </cell>
        </row>
        <row r="3156">
          <cell r="A3156" t="str">
            <v>Tai</v>
          </cell>
          <cell r="C3156">
            <v>1.2508338892594518E-2</v>
          </cell>
          <cell r="I3156" t="str">
            <v>Ashford</v>
          </cell>
        </row>
        <row r="3157">
          <cell r="A3157" t="str">
            <v>Svetlana</v>
          </cell>
          <cell r="C3157">
            <v>1.2497220369134436E-2</v>
          </cell>
          <cell r="I3157" t="str">
            <v>Arndt</v>
          </cell>
        </row>
        <row r="3158">
          <cell r="A3158" t="str">
            <v>Sherika</v>
          </cell>
          <cell r="C3158">
            <v>1.2486101845674353E-2</v>
          </cell>
          <cell r="I3158" t="str">
            <v>Almeida</v>
          </cell>
        </row>
        <row r="3159">
          <cell r="A3159" t="str">
            <v>Shemeka</v>
          </cell>
          <cell r="C3159">
            <v>1.2474983322214269E-2</v>
          </cell>
          <cell r="I3159" t="str">
            <v>Stallworth</v>
          </cell>
        </row>
        <row r="3160">
          <cell r="A3160" t="str">
            <v>Shaunda</v>
          </cell>
          <cell r="C3160">
            <v>1.2463864798754188E-2</v>
          </cell>
          <cell r="I3160" t="str">
            <v>Shade</v>
          </cell>
        </row>
        <row r="3161">
          <cell r="A3161" t="str">
            <v>Roseline</v>
          </cell>
          <cell r="C3161">
            <v>1.2452746275294104E-2</v>
          </cell>
          <cell r="I3161" t="str">
            <v>Searcy</v>
          </cell>
        </row>
        <row r="3162">
          <cell r="A3162" t="str">
            <v>Ricki</v>
          </cell>
          <cell r="C3162">
            <v>1.2441627751834021E-2</v>
          </cell>
          <cell r="I3162" t="str">
            <v>Sager</v>
          </cell>
        </row>
        <row r="3163">
          <cell r="A3163" t="str">
            <v>Melda</v>
          </cell>
          <cell r="C3163">
            <v>1.2430509228373939E-2</v>
          </cell>
          <cell r="I3163" t="str">
            <v>Noonan</v>
          </cell>
        </row>
        <row r="3164">
          <cell r="A3164" t="str">
            <v>Mallie</v>
          </cell>
          <cell r="C3164">
            <v>1.2419390704913855E-2</v>
          </cell>
          <cell r="I3164" t="str">
            <v>Mclemore</v>
          </cell>
        </row>
        <row r="3165">
          <cell r="A3165" t="str">
            <v>Lavonna</v>
          </cell>
          <cell r="C3165">
            <v>1.2408272181453772E-2</v>
          </cell>
          <cell r="I3165" t="str">
            <v>Mcintire</v>
          </cell>
        </row>
        <row r="3166">
          <cell r="A3166" t="str">
            <v>Latina</v>
          </cell>
          <cell r="C3166">
            <v>1.239715365799369E-2</v>
          </cell>
          <cell r="I3166" t="str">
            <v>Maxey</v>
          </cell>
        </row>
        <row r="3167">
          <cell r="A3167" t="str">
            <v>Larry</v>
          </cell>
          <cell r="C3167">
            <v>1.2386035134533607E-2</v>
          </cell>
          <cell r="I3167" t="str">
            <v>Lavigne</v>
          </cell>
        </row>
        <row r="3168">
          <cell r="A3168" t="str">
            <v>Laquanda</v>
          </cell>
          <cell r="C3168">
            <v>1.2374916611073523E-2</v>
          </cell>
          <cell r="I3168" t="str">
            <v>Jobe</v>
          </cell>
        </row>
        <row r="3169">
          <cell r="A3169" t="str">
            <v>Lala</v>
          </cell>
          <cell r="C3169">
            <v>1.2363798087613441E-2</v>
          </cell>
          <cell r="I3169" t="str">
            <v>Ireland</v>
          </cell>
        </row>
        <row r="3170">
          <cell r="A3170" t="str">
            <v>Lachelle</v>
          </cell>
          <cell r="C3170">
            <v>1.2352679564153358E-2</v>
          </cell>
          <cell r="I3170" t="str">
            <v>Ferrer</v>
          </cell>
        </row>
        <row r="3171">
          <cell r="A3171" t="str">
            <v>Klara</v>
          </cell>
          <cell r="C3171">
            <v>1.2341561040693274E-2</v>
          </cell>
          <cell r="I3171" t="str">
            <v>Falk</v>
          </cell>
        </row>
        <row r="3172">
          <cell r="A3172" t="str">
            <v>Kandis</v>
          </cell>
          <cell r="C3172">
            <v>1.2330442517233193E-2</v>
          </cell>
          <cell r="I3172" t="str">
            <v>Edgar</v>
          </cell>
        </row>
        <row r="3173">
          <cell r="A3173" t="str">
            <v>Johna</v>
          </cell>
          <cell r="C3173">
            <v>1.2319323993773109E-2</v>
          </cell>
          <cell r="I3173" t="str">
            <v>Coffin</v>
          </cell>
        </row>
        <row r="3174">
          <cell r="A3174" t="str">
            <v>Jeanmarie</v>
          </cell>
          <cell r="C3174">
            <v>1.2308205470313026E-2</v>
          </cell>
          <cell r="I3174" t="str">
            <v>Byrnes</v>
          </cell>
        </row>
        <row r="3175">
          <cell r="A3175" t="str">
            <v>Jaye</v>
          </cell>
          <cell r="C3175">
            <v>1.2297086946852944E-2</v>
          </cell>
          <cell r="I3175" t="str">
            <v>Aranda</v>
          </cell>
        </row>
        <row r="3176">
          <cell r="A3176" t="str">
            <v>Hang</v>
          </cell>
          <cell r="C3176">
            <v>1.228596842339286E-2</v>
          </cell>
          <cell r="I3176" t="str">
            <v>Apodaca</v>
          </cell>
        </row>
        <row r="3177">
          <cell r="A3177" t="str">
            <v>Grayce</v>
          </cell>
          <cell r="C3177">
            <v>1.2274849899932777E-2</v>
          </cell>
          <cell r="I3177" t="str">
            <v>Stamps</v>
          </cell>
        </row>
        <row r="3178">
          <cell r="A3178" t="str">
            <v>Gertude</v>
          </cell>
          <cell r="C3178">
            <v>1.2263731376472695E-2</v>
          </cell>
          <cell r="I3178" t="str">
            <v>Rounds</v>
          </cell>
        </row>
        <row r="3179">
          <cell r="A3179" t="str">
            <v>Emerita</v>
          </cell>
          <cell r="C3179">
            <v>1.2252612853012611E-2</v>
          </cell>
          <cell r="I3179" t="str">
            <v>Peek</v>
          </cell>
        </row>
        <row r="3180">
          <cell r="A3180" t="str">
            <v>Ebonie</v>
          </cell>
          <cell r="C3180">
            <v>1.2241494329552528E-2</v>
          </cell>
          <cell r="I3180" t="str">
            <v>Olmstead</v>
          </cell>
        </row>
        <row r="3181">
          <cell r="A3181" t="str">
            <v>Clorinda</v>
          </cell>
          <cell r="C3181">
            <v>1.2230375806092446E-2</v>
          </cell>
          <cell r="I3181" t="str">
            <v>Lewandowski</v>
          </cell>
        </row>
        <row r="3182">
          <cell r="A3182" t="str">
            <v>Ching</v>
          </cell>
          <cell r="C3182">
            <v>1.2219257282632363E-2</v>
          </cell>
          <cell r="I3182" t="str">
            <v>Kaminski</v>
          </cell>
        </row>
        <row r="3183">
          <cell r="A3183" t="str">
            <v>Chery</v>
          </cell>
          <cell r="C3183">
            <v>1.2208138759172279E-2</v>
          </cell>
          <cell r="I3183" t="str">
            <v>Her</v>
          </cell>
        </row>
        <row r="3184">
          <cell r="A3184" t="str">
            <v>Carola</v>
          </cell>
          <cell r="C3184">
            <v>1.2197020235712197E-2</v>
          </cell>
          <cell r="I3184" t="str">
            <v>Dunaway</v>
          </cell>
        </row>
        <row r="3185">
          <cell r="A3185" t="str">
            <v>Breann</v>
          </cell>
          <cell r="C3185">
            <v>1.2185901712252114E-2</v>
          </cell>
          <cell r="I3185" t="str">
            <v>Bruns</v>
          </cell>
        </row>
        <row r="3186">
          <cell r="A3186" t="str">
            <v>Blossom</v>
          </cell>
          <cell r="C3186">
            <v>1.217478318879203E-2</v>
          </cell>
          <cell r="I3186" t="str">
            <v>Brackett</v>
          </cell>
        </row>
        <row r="3187">
          <cell r="A3187" t="str">
            <v>Bernardine</v>
          </cell>
          <cell r="C3187">
            <v>1.2163664665331949E-2</v>
          </cell>
          <cell r="I3187" t="str">
            <v>Amato</v>
          </cell>
        </row>
        <row r="3188">
          <cell r="A3188" t="str">
            <v>Becki</v>
          </cell>
          <cell r="C3188">
            <v>1.2152546141871865E-2</v>
          </cell>
          <cell r="I3188" t="str">
            <v>Reich</v>
          </cell>
        </row>
        <row r="3189">
          <cell r="A3189" t="str">
            <v>Arletha</v>
          </cell>
          <cell r="C3189">
            <v>1.2141427618411782E-2</v>
          </cell>
          <cell r="I3189" t="str">
            <v>Mcclung</v>
          </cell>
        </row>
        <row r="3190">
          <cell r="A3190" t="str">
            <v>Argelia</v>
          </cell>
          <cell r="C3190">
            <v>1.21303090949517E-2</v>
          </cell>
          <cell r="I3190" t="str">
            <v>Lacroix</v>
          </cell>
        </row>
        <row r="3191">
          <cell r="A3191" t="str">
            <v>Ara</v>
          </cell>
          <cell r="C3191">
            <v>1.2119190571491616E-2</v>
          </cell>
          <cell r="I3191" t="str">
            <v>Koontz</v>
          </cell>
        </row>
        <row r="3192">
          <cell r="A3192" t="str">
            <v>Alita</v>
          </cell>
          <cell r="C3192">
            <v>1.2108072048031533E-2</v>
          </cell>
          <cell r="I3192" t="str">
            <v>Herrick</v>
          </cell>
        </row>
        <row r="3193">
          <cell r="A3193" t="str">
            <v>Yulanda</v>
          </cell>
          <cell r="C3193">
            <v>1.2096953524571451E-2</v>
          </cell>
          <cell r="I3193" t="str">
            <v>Hardesty</v>
          </cell>
        </row>
        <row r="3194">
          <cell r="A3194" t="str">
            <v>Yon</v>
          </cell>
          <cell r="C3194">
            <v>1.2085835001111368E-2</v>
          </cell>
          <cell r="I3194" t="str">
            <v>Flanders</v>
          </cell>
        </row>
        <row r="3195">
          <cell r="A3195" t="str">
            <v>Yessenia</v>
          </cell>
          <cell r="C3195">
            <v>1.2074716477651284E-2</v>
          </cell>
          <cell r="I3195" t="str">
            <v>Cousins</v>
          </cell>
        </row>
        <row r="3196">
          <cell r="A3196" t="str">
            <v>Tobi</v>
          </cell>
          <cell r="C3196">
            <v>1.2063597954191202E-2</v>
          </cell>
          <cell r="I3196" t="str">
            <v>Close</v>
          </cell>
        </row>
        <row r="3197">
          <cell r="A3197" t="str">
            <v>Tasia</v>
          </cell>
          <cell r="C3197">
            <v>1.2052479430731119E-2</v>
          </cell>
          <cell r="I3197" t="str">
            <v>Cato</v>
          </cell>
        </row>
        <row r="3198">
          <cell r="A3198" t="str">
            <v>Sylvie</v>
          </cell>
          <cell r="C3198">
            <v>1.2041360907271035E-2</v>
          </cell>
          <cell r="I3198" t="str">
            <v>Cade</v>
          </cell>
        </row>
        <row r="3199">
          <cell r="A3199" t="str">
            <v>Shirl</v>
          </cell>
          <cell r="C3199">
            <v>1.2030242383810954E-2</v>
          </cell>
          <cell r="I3199" t="str">
            <v>Vickery</v>
          </cell>
        </row>
        <row r="3200">
          <cell r="A3200" t="str">
            <v>Shirely</v>
          </cell>
          <cell r="C3200">
            <v>1.201912386035087E-2</v>
          </cell>
          <cell r="I3200" t="str">
            <v>Shank</v>
          </cell>
        </row>
        <row r="3201">
          <cell r="A3201" t="str">
            <v>Sheridan</v>
          </cell>
          <cell r="C3201">
            <v>1.2008005336890787E-2</v>
          </cell>
          <cell r="I3201" t="str">
            <v>Nagel</v>
          </cell>
        </row>
        <row r="3202">
          <cell r="A3202" t="str">
            <v>Shella</v>
          </cell>
          <cell r="C3202">
            <v>1.1996886813430705E-2</v>
          </cell>
          <cell r="I3202" t="str">
            <v>Dupuis</v>
          </cell>
        </row>
        <row r="3203">
          <cell r="A3203" t="str">
            <v>Shantelle</v>
          </cell>
          <cell r="C3203">
            <v>1.1985768289970621E-2</v>
          </cell>
          <cell r="I3203" t="str">
            <v>Croteau</v>
          </cell>
        </row>
        <row r="3204">
          <cell r="A3204" t="str">
            <v>Sacha</v>
          </cell>
          <cell r="C3204">
            <v>1.1974649766510538E-2</v>
          </cell>
          <cell r="I3204" t="str">
            <v>Cotter</v>
          </cell>
        </row>
        <row r="3205">
          <cell r="A3205" t="str">
            <v>Royce</v>
          </cell>
          <cell r="C3205">
            <v>1.1963531243050456E-2</v>
          </cell>
          <cell r="I3205" t="str">
            <v>Cable</v>
          </cell>
        </row>
        <row r="3206">
          <cell r="A3206" t="str">
            <v>Rebecka</v>
          </cell>
          <cell r="C3206">
            <v>1.1952412719590372E-2</v>
          </cell>
          <cell r="I3206" t="str">
            <v>Stuckey</v>
          </cell>
        </row>
        <row r="3207">
          <cell r="A3207" t="str">
            <v>Reagan</v>
          </cell>
          <cell r="C3207">
            <v>1.1941294196130289E-2</v>
          </cell>
          <cell r="I3207" t="str">
            <v>Stine</v>
          </cell>
        </row>
        <row r="3208">
          <cell r="A3208" t="str">
            <v>Providencia</v>
          </cell>
          <cell r="C3208">
            <v>1.1930175672670207E-2</v>
          </cell>
          <cell r="I3208" t="str">
            <v>Porterfield</v>
          </cell>
        </row>
        <row r="3209">
          <cell r="A3209" t="str">
            <v>Paulene</v>
          </cell>
          <cell r="C3209">
            <v>1.1919057149210124E-2</v>
          </cell>
          <cell r="I3209" t="str">
            <v>Pauley</v>
          </cell>
        </row>
        <row r="3210">
          <cell r="A3210" t="str">
            <v>Misha</v>
          </cell>
          <cell r="C3210">
            <v>1.190793862575004E-2</v>
          </cell>
          <cell r="I3210" t="str">
            <v>Nye</v>
          </cell>
        </row>
        <row r="3211">
          <cell r="A3211" t="str">
            <v>Miki</v>
          </cell>
          <cell r="C3211">
            <v>1.1896820102289958E-2</v>
          </cell>
          <cell r="I3211" t="str">
            <v>Moffitt</v>
          </cell>
        </row>
        <row r="3212">
          <cell r="A3212" t="str">
            <v>Marline</v>
          </cell>
          <cell r="C3212">
            <v>1.1885701578829875E-2</v>
          </cell>
          <cell r="I3212" t="str">
            <v>Lu</v>
          </cell>
        </row>
        <row r="3213">
          <cell r="A3213" t="str">
            <v>Marica</v>
          </cell>
          <cell r="C3213">
            <v>1.1874583055369793E-2</v>
          </cell>
          <cell r="I3213" t="str">
            <v>Knudsen</v>
          </cell>
        </row>
        <row r="3214">
          <cell r="A3214" t="str">
            <v>Lorita</v>
          </cell>
          <cell r="C3214">
            <v>1.186346453190971E-2</v>
          </cell>
          <cell r="I3214" t="str">
            <v>Hardwick</v>
          </cell>
        </row>
        <row r="3215">
          <cell r="A3215" t="str">
            <v>Latoyia</v>
          </cell>
          <cell r="C3215">
            <v>1.1852346008449626E-2</v>
          </cell>
          <cell r="I3215" t="str">
            <v>Goforth</v>
          </cell>
        </row>
        <row r="3216">
          <cell r="A3216" t="str">
            <v>Lasonya</v>
          </cell>
          <cell r="C3216">
            <v>1.1841227484989544E-2</v>
          </cell>
          <cell r="I3216" t="str">
            <v>Dupont</v>
          </cell>
        </row>
        <row r="3217">
          <cell r="A3217" t="str">
            <v>Kerstin</v>
          </cell>
          <cell r="C3217">
            <v>1.1830108961529461E-2</v>
          </cell>
          <cell r="I3217" t="str">
            <v>Blunt</v>
          </cell>
        </row>
        <row r="3218">
          <cell r="A3218" t="str">
            <v>Kenda</v>
          </cell>
          <cell r="C3218">
            <v>1.1818990438069377E-2</v>
          </cell>
          <cell r="I3218" t="str">
            <v>Barrows</v>
          </cell>
        </row>
        <row r="3219">
          <cell r="A3219" t="str">
            <v>Keitha</v>
          </cell>
          <cell r="C3219">
            <v>1.1807871914609296E-2</v>
          </cell>
          <cell r="I3219" t="str">
            <v>Barnhill</v>
          </cell>
        </row>
        <row r="3220">
          <cell r="A3220" t="str">
            <v>Kathrin</v>
          </cell>
          <cell r="C3220">
            <v>1.1796753391149212E-2</v>
          </cell>
          <cell r="I3220" t="str">
            <v>Shull</v>
          </cell>
        </row>
        <row r="3221">
          <cell r="A3221" t="str">
            <v>Jaymie</v>
          </cell>
          <cell r="C3221">
            <v>1.1785634867689129E-2</v>
          </cell>
          <cell r="I3221" t="str">
            <v>Rash</v>
          </cell>
        </row>
        <row r="3222">
          <cell r="A3222" t="str">
            <v>Jack</v>
          </cell>
          <cell r="C3222">
            <v>1.1774516344229047E-2</v>
          </cell>
          <cell r="I3222" t="str">
            <v>Ralph</v>
          </cell>
        </row>
        <row r="3223">
          <cell r="A3223" t="str">
            <v>Gricelda</v>
          </cell>
          <cell r="C3223">
            <v>1.1763397820768963E-2</v>
          </cell>
          <cell r="I3223" t="str">
            <v>Penny</v>
          </cell>
        </row>
        <row r="3224">
          <cell r="A3224" t="str">
            <v>Ginette</v>
          </cell>
          <cell r="C3224">
            <v>1.175227929730888E-2</v>
          </cell>
          <cell r="I3224" t="str">
            <v>Lorenzo</v>
          </cell>
        </row>
        <row r="3225">
          <cell r="A3225" t="str">
            <v>Eryn</v>
          </cell>
          <cell r="C3225">
            <v>1.1741160773848798E-2</v>
          </cell>
          <cell r="I3225" t="str">
            <v>Loftis</v>
          </cell>
        </row>
        <row r="3226">
          <cell r="A3226" t="str">
            <v>Elina</v>
          </cell>
          <cell r="C3226">
            <v>1.1730042250388715E-2</v>
          </cell>
          <cell r="I3226" t="str">
            <v>Lemay</v>
          </cell>
        </row>
        <row r="3227">
          <cell r="A3227" t="str">
            <v>Elfrieda</v>
          </cell>
          <cell r="C3227">
            <v>1.1718923726928631E-2</v>
          </cell>
          <cell r="I3227" t="str">
            <v>Kitchens</v>
          </cell>
        </row>
        <row r="3228">
          <cell r="A3228" t="str">
            <v>Danyel</v>
          </cell>
          <cell r="C3228">
            <v>1.1707805203468549E-2</v>
          </cell>
          <cell r="I3228" t="str">
            <v>Horvath</v>
          </cell>
        </row>
        <row r="3229">
          <cell r="A3229" t="str">
            <v>Cheree</v>
          </cell>
          <cell r="C3229">
            <v>1.1696686680008466E-2</v>
          </cell>
          <cell r="I3229" t="str">
            <v>Grenier</v>
          </cell>
        </row>
        <row r="3230">
          <cell r="A3230" t="str">
            <v>Chanelle</v>
          </cell>
          <cell r="C3230">
            <v>1.1685568156548382E-2</v>
          </cell>
          <cell r="I3230" t="str">
            <v>Fuchs</v>
          </cell>
        </row>
        <row r="3231">
          <cell r="A3231" t="str">
            <v>Barrie</v>
          </cell>
          <cell r="C3231">
            <v>1.16744496330883E-2</v>
          </cell>
          <cell r="I3231" t="str">
            <v>Fairbanks</v>
          </cell>
        </row>
        <row r="3232">
          <cell r="A3232" t="str">
            <v>Avery</v>
          </cell>
          <cell r="C3232">
            <v>1.1663331109628217E-2</v>
          </cell>
          <cell r="I3232" t="str">
            <v>Culbertson</v>
          </cell>
        </row>
        <row r="3233">
          <cell r="A3233" t="str">
            <v>Aurore</v>
          </cell>
          <cell r="C3233">
            <v>1.1652212586168133E-2</v>
          </cell>
          <cell r="I3233" t="str">
            <v>Calkins</v>
          </cell>
        </row>
        <row r="3234">
          <cell r="A3234" t="str">
            <v>Annamaria</v>
          </cell>
          <cell r="C3234">
            <v>1.1641094062708052E-2</v>
          </cell>
          <cell r="I3234" t="str">
            <v>Burnside</v>
          </cell>
        </row>
        <row r="3235">
          <cell r="A3235" t="str">
            <v>Alleen</v>
          </cell>
          <cell r="C3235">
            <v>1.1629975539247968E-2</v>
          </cell>
          <cell r="I3235" t="str">
            <v>Beattie</v>
          </cell>
        </row>
        <row r="3236">
          <cell r="A3236" t="str">
            <v>Ailene</v>
          </cell>
          <cell r="C3236">
            <v>1.1618857015787885E-2</v>
          </cell>
          <cell r="I3236" t="str">
            <v>Ashworth</v>
          </cell>
        </row>
        <row r="3237">
          <cell r="A3237" t="str">
            <v>Aide</v>
          </cell>
          <cell r="C3237">
            <v>1.1607738492327803E-2</v>
          </cell>
          <cell r="I3237" t="str">
            <v>Albertson</v>
          </cell>
        </row>
        <row r="3238">
          <cell r="A3238" t="str">
            <v>Yasmine</v>
          </cell>
          <cell r="C3238">
            <v>1.1596619968867719E-2</v>
          </cell>
          <cell r="I3238" t="str">
            <v>Wertz</v>
          </cell>
        </row>
        <row r="3239">
          <cell r="A3239" t="str">
            <v>Vashti</v>
          </cell>
          <cell r="C3239">
            <v>1.1585501445407636E-2</v>
          </cell>
          <cell r="I3239" t="str">
            <v>Vo</v>
          </cell>
        </row>
        <row r="3240">
          <cell r="A3240" t="str">
            <v>Valentine</v>
          </cell>
          <cell r="C3240">
            <v>1.1574382921947554E-2</v>
          </cell>
          <cell r="I3240" t="str">
            <v>Vaught</v>
          </cell>
        </row>
        <row r="3241">
          <cell r="A3241" t="str">
            <v>Treasa</v>
          </cell>
          <cell r="C3241">
            <v>1.1563264398487471E-2</v>
          </cell>
          <cell r="I3241" t="str">
            <v>Vallejo</v>
          </cell>
        </row>
        <row r="3242">
          <cell r="A3242" t="str">
            <v>Tory</v>
          </cell>
          <cell r="C3242">
            <v>1.1552145875027387E-2</v>
          </cell>
          <cell r="I3242" t="str">
            <v>Tyree</v>
          </cell>
        </row>
        <row r="3243">
          <cell r="A3243" t="str">
            <v>Tiffaney</v>
          </cell>
          <cell r="C3243">
            <v>1.1541027351567305E-2</v>
          </cell>
          <cell r="I3243" t="str">
            <v>Turk</v>
          </cell>
        </row>
        <row r="3244">
          <cell r="A3244" t="str">
            <v>Sheryll</v>
          </cell>
          <cell r="C3244">
            <v>1.1529908828107222E-2</v>
          </cell>
          <cell r="I3244" t="str">
            <v>Tuck</v>
          </cell>
        </row>
        <row r="3245">
          <cell r="A3245" t="str">
            <v>Sharie</v>
          </cell>
          <cell r="C3245">
            <v>1.1518790304647138E-2</v>
          </cell>
          <cell r="I3245" t="str">
            <v>Tijerina</v>
          </cell>
        </row>
        <row r="3246">
          <cell r="A3246" t="str">
            <v>Shanae</v>
          </cell>
          <cell r="C3246">
            <v>1.1507671781187057E-2</v>
          </cell>
          <cell r="I3246" t="str">
            <v>Sage</v>
          </cell>
        </row>
        <row r="3247">
          <cell r="A3247" t="str">
            <v>Sau</v>
          </cell>
          <cell r="C3247">
            <v>1.1496553257726973E-2</v>
          </cell>
          <cell r="I3247" t="str">
            <v>Picard</v>
          </cell>
        </row>
        <row r="3248">
          <cell r="A3248" t="str">
            <v>Raisa</v>
          </cell>
          <cell r="C3248">
            <v>1.148543473426689E-2</v>
          </cell>
          <cell r="I3248" t="str">
            <v>Peterman</v>
          </cell>
        </row>
        <row r="3249">
          <cell r="A3249" t="str">
            <v>Pa</v>
          </cell>
          <cell r="C3249">
            <v>1.1474316210806808E-2</v>
          </cell>
          <cell r="I3249" t="str">
            <v>Otis</v>
          </cell>
        </row>
        <row r="3250">
          <cell r="A3250" t="str">
            <v>Neda</v>
          </cell>
          <cell r="C3250">
            <v>1.1463197687346724E-2</v>
          </cell>
          <cell r="I3250" t="str">
            <v>Marroquin</v>
          </cell>
        </row>
        <row r="3251">
          <cell r="A3251" t="str">
            <v>Mitsuko</v>
          </cell>
          <cell r="C3251">
            <v>1.1452079163886641E-2</v>
          </cell>
          <cell r="I3251" t="str">
            <v>Marr</v>
          </cell>
        </row>
        <row r="3252">
          <cell r="A3252" t="str">
            <v>Mirella</v>
          </cell>
          <cell r="C3252">
            <v>1.1440960640426559E-2</v>
          </cell>
          <cell r="I3252" t="str">
            <v>Lantz</v>
          </cell>
        </row>
        <row r="3253">
          <cell r="A3253" t="str">
            <v>Milda</v>
          </cell>
          <cell r="C3253">
            <v>1.1429842116966476E-2</v>
          </cell>
          <cell r="I3253" t="str">
            <v>Hoang</v>
          </cell>
        </row>
        <row r="3254">
          <cell r="A3254" t="str">
            <v>Maryanna</v>
          </cell>
          <cell r="C3254">
            <v>1.1418723593506392E-2</v>
          </cell>
          <cell r="I3254" t="str">
            <v>Demarco</v>
          </cell>
        </row>
        <row r="3255">
          <cell r="A3255" t="str">
            <v>Maragret</v>
          </cell>
          <cell r="C3255">
            <v>1.140760507004631E-2</v>
          </cell>
          <cell r="I3255" t="str">
            <v>Daily</v>
          </cell>
        </row>
        <row r="3256">
          <cell r="A3256" t="str">
            <v>Mabelle</v>
          </cell>
          <cell r="C3256">
            <v>1.1396486546586227E-2</v>
          </cell>
          <cell r="I3256" t="str">
            <v>Cone</v>
          </cell>
        </row>
        <row r="3257">
          <cell r="A3257" t="str">
            <v>Luetta</v>
          </cell>
          <cell r="C3257">
            <v>1.1385368023126143E-2</v>
          </cell>
          <cell r="I3257" t="str">
            <v>Berube</v>
          </cell>
        </row>
        <row r="3258">
          <cell r="A3258" t="str">
            <v>Lorina</v>
          </cell>
          <cell r="C3258">
            <v>1.1374249499666061E-2</v>
          </cell>
          <cell r="I3258" t="str">
            <v>Barnette</v>
          </cell>
        </row>
        <row r="3259">
          <cell r="A3259" t="str">
            <v>Letisha</v>
          </cell>
          <cell r="C3259">
            <v>1.1363130976205978E-2</v>
          </cell>
          <cell r="I3259" t="str">
            <v>Wharton</v>
          </cell>
        </row>
        <row r="3260">
          <cell r="A3260" t="str">
            <v>Latarsha</v>
          </cell>
          <cell r="C3260">
            <v>1.1352012452745894E-2</v>
          </cell>
          <cell r="I3260" t="str">
            <v>Stinnett</v>
          </cell>
        </row>
        <row r="3261">
          <cell r="A3261" t="str">
            <v>Lanelle</v>
          </cell>
          <cell r="C3261">
            <v>1.1340893929285813E-2</v>
          </cell>
          <cell r="I3261" t="str">
            <v>Slocum</v>
          </cell>
        </row>
        <row r="3262">
          <cell r="A3262" t="str">
            <v>Lajuana</v>
          </cell>
          <cell r="C3262">
            <v>1.1329775405825729E-2</v>
          </cell>
          <cell r="I3262" t="str">
            <v>Scanlon</v>
          </cell>
        </row>
        <row r="3263">
          <cell r="A3263" t="str">
            <v>Krissy</v>
          </cell>
          <cell r="C3263">
            <v>1.1318656882365646E-2</v>
          </cell>
          <cell r="I3263" t="str">
            <v>Sander</v>
          </cell>
        </row>
        <row r="3264">
          <cell r="A3264" t="str">
            <v>Karly</v>
          </cell>
          <cell r="C3264">
            <v>1.1307538358905564E-2</v>
          </cell>
          <cell r="I3264" t="str">
            <v>Pinto</v>
          </cell>
        </row>
        <row r="3265">
          <cell r="A3265" t="str">
            <v>Karena</v>
          </cell>
          <cell r="C3265">
            <v>1.129641983544548E-2</v>
          </cell>
          <cell r="I3265" t="str">
            <v>Mancuso</v>
          </cell>
        </row>
        <row r="3266">
          <cell r="A3266" t="str">
            <v>Jon</v>
          </cell>
          <cell r="C3266">
            <v>1.1285301311985397E-2</v>
          </cell>
          <cell r="I3266" t="str">
            <v>Lima</v>
          </cell>
        </row>
        <row r="3267">
          <cell r="A3267" t="str">
            <v>Jessika</v>
          </cell>
          <cell r="C3267">
            <v>1.1274182788525315E-2</v>
          </cell>
          <cell r="I3267" t="str">
            <v>Judge</v>
          </cell>
        </row>
        <row r="3268">
          <cell r="A3268" t="str">
            <v>Jerica</v>
          </cell>
          <cell r="C3268">
            <v>1.1263064265065232E-2</v>
          </cell>
          <cell r="I3268" t="str">
            <v>Headley</v>
          </cell>
        </row>
        <row r="3269">
          <cell r="A3269" t="str">
            <v>Jeanelle</v>
          </cell>
          <cell r="C3269">
            <v>1.1251945741605148E-2</v>
          </cell>
          <cell r="I3269" t="str">
            <v>Epstein</v>
          </cell>
        </row>
        <row r="3270">
          <cell r="A3270" t="str">
            <v>January</v>
          </cell>
          <cell r="C3270">
            <v>1.1240827218145066E-2</v>
          </cell>
          <cell r="I3270" t="str">
            <v>Counts</v>
          </cell>
        </row>
        <row r="3271">
          <cell r="A3271" t="str">
            <v>Jalisa</v>
          </cell>
          <cell r="C3271">
            <v>1.1229708694684983E-2</v>
          </cell>
          <cell r="I3271" t="str">
            <v>Clarkson</v>
          </cell>
        </row>
        <row r="3272">
          <cell r="A3272" t="str">
            <v>Jacelyn</v>
          </cell>
          <cell r="C3272">
            <v>1.1218590171224899E-2</v>
          </cell>
          <cell r="I3272" t="str">
            <v>Carnahan</v>
          </cell>
        </row>
        <row r="3273">
          <cell r="A3273" t="str">
            <v>Izola</v>
          </cell>
          <cell r="C3273">
            <v>1.1207471647764818E-2</v>
          </cell>
          <cell r="I3273" t="str">
            <v>Brice</v>
          </cell>
        </row>
        <row r="3274">
          <cell r="A3274" t="str">
            <v>Ivey</v>
          </cell>
          <cell r="C3274">
            <v>1.1196353124304734E-2</v>
          </cell>
          <cell r="I3274" t="str">
            <v>Boren</v>
          </cell>
        </row>
        <row r="3275">
          <cell r="A3275" t="str">
            <v>Gregory</v>
          </cell>
          <cell r="C3275">
            <v>1.1185234600844651E-2</v>
          </cell>
          <cell r="I3275" t="str">
            <v>Arteaga</v>
          </cell>
        </row>
        <row r="3276">
          <cell r="A3276" t="str">
            <v>Euna</v>
          </cell>
          <cell r="C3276">
            <v>1.1174116077384569E-2</v>
          </cell>
          <cell r="I3276" t="str">
            <v>Adame</v>
          </cell>
        </row>
        <row r="3277">
          <cell r="A3277" t="str">
            <v>Etha</v>
          </cell>
          <cell r="C3277">
            <v>1.1162997553924485E-2</v>
          </cell>
          <cell r="I3277" t="str">
            <v>Zook</v>
          </cell>
        </row>
        <row r="3278">
          <cell r="A3278" t="str">
            <v>Drew</v>
          </cell>
          <cell r="C3278">
            <v>1.1151879030464402E-2</v>
          </cell>
          <cell r="I3278" t="str">
            <v>Whittle</v>
          </cell>
        </row>
        <row r="3279">
          <cell r="A3279" t="str">
            <v>Domitila</v>
          </cell>
          <cell r="C3279">
            <v>1.114076050700432E-2</v>
          </cell>
          <cell r="I3279" t="str">
            <v>Whitehurst</v>
          </cell>
        </row>
        <row r="3280">
          <cell r="A3280" t="str">
            <v>Dominica</v>
          </cell>
          <cell r="C3280">
            <v>1.1129641983544237E-2</v>
          </cell>
          <cell r="I3280" t="str">
            <v>Wenzel</v>
          </cell>
        </row>
        <row r="3281">
          <cell r="A3281" t="str">
            <v>Daina</v>
          </cell>
          <cell r="C3281">
            <v>1.1118523460084153E-2</v>
          </cell>
          <cell r="I3281" t="str">
            <v>Saxton</v>
          </cell>
        </row>
        <row r="3282">
          <cell r="A3282" t="str">
            <v>Creola</v>
          </cell>
          <cell r="C3282">
            <v>1.1107404936624071E-2</v>
          </cell>
          <cell r="I3282" t="str">
            <v>Rhea</v>
          </cell>
        </row>
        <row r="3283">
          <cell r="A3283" t="str">
            <v>Carli</v>
          </cell>
          <cell r="C3283">
            <v>1.1096286413163986E-2</v>
          </cell>
          <cell r="I3283" t="str">
            <v>Reddick</v>
          </cell>
        </row>
        <row r="3284">
          <cell r="A3284" t="str">
            <v>Camie</v>
          </cell>
          <cell r="C3284">
            <v>1.1085167889703903E-2</v>
          </cell>
          <cell r="I3284" t="str">
            <v>Puente</v>
          </cell>
        </row>
        <row r="3285">
          <cell r="A3285" t="str">
            <v>Bunny</v>
          </cell>
          <cell r="C3285">
            <v>1.1074049366243819E-2</v>
          </cell>
          <cell r="I3285" t="str">
            <v>Hazel</v>
          </cell>
        </row>
        <row r="3286">
          <cell r="A3286" t="str">
            <v>Brittny</v>
          </cell>
          <cell r="C3286">
            <v>1.1062930842783734E-2</v>
          </cell>
          <cell r="I3286" t="str">
            <v>Handley</v>
          </cell>
        </row>
        <row r="3287">
          <cell r="A3287" t="str">
            <v>Ashanti</v>
          </cell>
          <cell r="C3287">
            <v>1.105181231932365E-2</v>
          </cell>
          <cell r="I3287" t="str">
            <v>Haggerty</v>
          </cell>
        </row>
        <row r="3288">
          <cell r="A3288" t="str">
            <v>Anisha</v>
          </cell>
          <cell r="C3288">
            <v>1.1040693795863565E-2</v>
          </cell>
          <cell r="I3288" t="str">
            <v>Earley</v>
          </cell>
        </row>
        <row r="3289">
          <cell r="A3289" t="str">
            <v>Aleen</v>
          </cell>
          <cell r="C3289">
            <v>1.1029575272403482E-2</v>
          </cell>
          <cell r="I3289" t="str">
            <v>Devlin</v>
          </cell>
        </row>
        <row r="3290">
          <cell r="A3290" t="str">
            <v>Adah</v>
          </cell>
          <cell r="C3290">
            <v>1.1018456748943398E-2</v>
          </cell>
          <cell r="I3290" t="str">
            <v>Dallas</v>
          </cell>
        </row>
        <row r="3291">
          <cell r="A3291" t="str">
            <v>Yasuko</v>
          </cell>
          <cell r="C3291">
            <v>1.1007338225483313E-2</v>
          </cell>
          <cell r="I3291" t="str">
            <v>Chaffin</v>
          </cell>
        </row>
        <row r="3292">
          <cell r="A3292" t="str">
            <v>Winter</v>
          </cell>
          <cell r="C3292">
            <v>1.0996219702023229E-2</v>
          </cell>
          <cell r="I3292" t="str">
            <v>Cady</v>
          </cell>
        </row>
        <row r="3293">
          <cell r="A3293" t="str">
            <v>Viki</v>
          </cell>
          <cell r="C3293">
            <v>1.0985101178563146E-2</v>
          </cell>
          <cell r="I3293" t="str">
            <v>Ahmed</v>
          </cell>
        </row>
        <row r="3294">
          <cell r="A3294" t="str">
            <v>Valrie</v>
          </cell>
          <cell r="C3294">
            <v>1.0973982655103061E-2</v>
          </cell>
          <cell r="I3294" t="str">
            <v>Acuna</v>
          </cell>
        </row>
        <row r="3295">
          <cell r="A3295" t="str">
            <v>Tona</v>
          </cell>
          <cell r="C3295">
            <v>1.0962864131642977E-2</v>
          </cell>
          <cell r="I3295" t="str">
            <v>Solano</v>
          </cell>
        </row>
        <row r="3296">
          <cell r="A3296" t="str">
            <v>Tinisha</v>
          </cell>
          <cell r="C3296">
            <v>1.0951745608182892E-2</v>
          </cell>
          <cell r="I3296" t="str">
            <v>Sigler</v>
          </cell>
        </row>
        <row r="3297">
          <cell r="A3297" t="str">
            <v>Thi</v>
          </cell>
          <cell r="C3297">
            <v>1.0940627084722808E-2</v>
          </cell>
          <cell r="I3297" t="str">
            <v>Pollack</v>
          </cell>
        </row>
        <row r="3298">
          <cell r="A3298" t="str">
            <v>Terisa</v>
          </cell>
          <cell r="C3298">
            <v>1.0929508561262725E-2</v>
          </cell>
          <cell r="I3298" t="str">
            <v>Pendergrass</v>
          </cell>
        </row>
        <row r="3299">
          <cell r="A3299" t="str">
            <v>Tatum</v>
          </cell>
          <cell r="C3299">
            <v>1.091839003780264E-2</v>
          </cell>
          <cell r="I3299" t="str">
            <v>Ostrander</v>
          </cell>
        </row>
        <row r="3300">
          <cell r="A3300" t="str">
            <v>Taneka</v>
          </cell>
          <cell r="C3300">
            <v>1.0907271514342556E-2</v>
          </cell>
          <cell r="I3300" t="str">
            <v>Janes</v>
          </cell>
        </row>
        <row r="3301">
          <cell r="A3301" t="str">
            <v>Simonne</v>
          </cell>
          <cell r="C3301">
            <v>1.0896152990882473E-2</v>
          </cell>
          <cell r="I3301" t="str">
            <v>Francois</v>
          </cell>
        </row>
        <row r="3302">
          <cell r="A3302" t="str">
            <v>Shalanda</v>
          </cell>
          <cell r="C3302">
            <v>1.0885034467422387E-2</v>
          </cell>
          <cell r="I3302" t="str">
            <v>Fine</v>
          </cell>
        </row>
        <row r="3303">
          <cell r="A3303" t="str">
            <v>Serita</v>
          </cell>
          <cell r="C3303">
            <v>1.0873915943962304E-2</v>
          </cell>
          <cell r="I3303" t="str">
            <v>Crutchfield</v>
          </cell>
        </row>
        <row r="3304">
          <cell r="A3304" t="str">
            <v>Ressie</v>
          </cell>
          <cell r="C3304">
            <v>1.0862797420502219E-2</v>
          </cell>
          <cell r="I3304" t="str">
            <v>Cordell</v>
          </cell>
        </row>
        <row r="3305">
          <cell r="A3305" t="str">
            <v>Refugia</v>
          </cell>
          <cell r="C3305">
            <v>1.0851678897042135E-2</v>
          </cell>
          <cell r="I3305" t="str">
            <v>Chamberlin</v>
          </cell>
        </row>
        <row r="3306">
          <cell r="A3306" t="str">
            <v>Paz</v>
          </cell>
          <cell r="C3306">
            <v>1.0840560373582052E-2</v>
          </cell>
          <cell r="I3306" t="str">
            <v>Brubaker</v>
          </cell>
        </row>
        <row r="3307">
          <cell r="A3307" t="str">
            <v>Olene</v>
          </cell>
          <cell r="C3307">
            <v>1.0829441850121966E-2</v>
          </cell>
          <cell r="I3307" t="str">
            <v>Baptiste</v>
          </cell>
        </row>
        <row r="3308">
          <cell r="A3308" t="str">
            <v>Na</v>
          </cell>
          <cell r="C3308">
            <v>1.0818323326661883E-2</v>
          </cell>
          <cell r="I3308" t="str">
            <v>Willson</v>
          </cell>
        </row>
        <row r="3309">
          <cell r="A3309" t="str">
            <v>Merrill</v>
          </cell>
          <cell r="C3309">
            <v>1.0807204803201799E-2</v>
          </cell>
          <cell r="I3309" t="str">
            <v>Reis</v>
          </cell>
        </row>
        <row r="3310">
          <cell r="A3310" t="str">
            <v>Margherita</v>
          </cell>
          <cell r="C3310">
            <v>1.0796086279741714E-2</v>
          </cell>
          <cell r="I3310" t="str">
            <v>Neeley</v>
          </cell>
        </row>
        <row r="3311">
          <cell r="A3311" t="str">
            <v>Mandie</v>
          </cell>
          <cell r="C3311">
            <v>1.0784967756281631E-2</v>
          </cell>
          <cell r="I3311" t="str">
            <v>Mullin</v>
          </cell>
        </row>
        <row r="3312">
          <cell r="A3312" t="str">
            <v>Man</v>
          </cell>
          <cell r="C3312">
            <v>1.0773849232821545E-2</v>
          </cell>
          <cell r="I3312" t="str">
            <v>Mercier</v>
          </cell>
        </row>
        <row r="3313">
          <cell r="A3313" t="str">
            <v>Maire</v>
          </cell>
          <cell r="C3313">
            <v>1.0762730709361462E-2</v>
          </cell>
          <cell r="I3313" t="str">
            <v>Lira</v>
          </cell>
        </row>
        <row r="3314">
          <cell r="A3314" t="str">
            <v>Lyndia</v>
          </cell>
          <cell r="C3314">
            <v>1.0751612185901378E-2</v>
          </cell>
          <cell r="I3314" t="str">
            <v>Layman</v>
          </cell>
        </row>
        <row r="3315">
          <cell r="A3315" t="str">
            <v>Luci</v>
          </cell>
          <cell r="C3315">
            <v>1.0740493662441293E-2</v>
          </cell>
          <cell r="I3315" t="str">
            <v>Keeling</v>
          </cell>
        </row>
        <row r="3316">
          <cell r="A3316" t="str">
            <v>Lorriane</v>
          </cell>
          <cell r="C3316">
            <v>1.072937513898121E-2</v>
          </cell>
          <cell r="I3316" t="str">
            <v>Higdon</v>
          </cell>
        </row>
        <row r="3317">
          <cell r="A3317" t="str">
            <v>Loreta</v>
          </cell>
          <cell r="C3317">
            <v>1.0718256615521126E-2</v>
          </cell>
          <cell r="I3317" t="str">
            <v>Guest</v>
          </cell>
        </row>
        <row r="3318">
          <cell r="A3318" t="str">
            <v>Leonia</v>
          </cell>
          <cell r="C3318">
            <v>1.0707138092061041E-2</v>
          </cell>
          <cell r="I3318" t="str">
            <v>Forrester</v>
          </cell>
        </row>
        <row r="3319">
          <cell r="A3319" t="str">
            <v>Lavona</v>
          </cell>
          <cell r="C3319">
            <v>1.0696019568600957E-2</v>
          </cell>
          <cell r="I3319" t="str">
            <v>Espinal</v>
          </cell>
        </row>
        <row r="3320">
          <cell r="A3320" t="str">
            <v>Lashawnda</v>
          </cell>
          <cell r="C3320">
            <v>1.0684901045140872E-2</v>
          </cell>
          <cell r="I3320" t="str">
            <v>Dion</v>
          </cell>
        </row>
        <row r="3321">
          <cell r="A3321" t="str">
            <v>Lakia</v>
          </cell>
          <cell r="C3321">
            <v>1.0673782521680789E-2</v>
          </cell>
          <cell r="I3321" t="str">
            <v>Chapin</v>
          </cell>
        </row>
        <row r="3322">
          <cell r="A3322" t="str">
            <v>Kyoko</v>
          </cell>
          <cell r="C3322">
            <v>1.0662663998220705E-2</v>
          </cell>
          <cell r="I3322" t="str">
            <v>Carl</v>
          </cell>
        </row>
        <row r="3323">
          <cell r="A3323" t="str">
            <v>Krystina</v>
          </cell>
          <cell r="C3323">
            <v>1.065154547476062E-2</v>
          </cell>
          <cell r="I3323" t="str">
            <v>Warfield</v>
          </cell>
        </row>
        <row r="3324">
          <cell r="A3324" t="str">
            <v>Krysten</v>
          </cell>
          <cell r="C3324">
            <v>1.0640426951300536E-2</v>
          </cell>
          <cell r="I3324" t="str">
            <v>Toledo</v>
          </cell>
        </row>
        <row r="3325">
          <cell r="A3325" t="str">
            <v>Kenia</v>
          </cell>
          <cell r="C3325">
            <v>1.0629308427840453E-2</v>
          </cell>
          <cell r="I3325" t="str">
            <v>Pulido</v>
          </cell>
        </row>
        <row r="3326">
          <cell r="A3326" t="str">
            <v>Kelsi</v>
          </cell>
          <cell r="C3326">
            <v>1.0618189904380368E-2</v>
          </cell>
          <cell r="I3326" t="str">
            <v>Peebles</v>
          </cell>
        </row>
        <row r="3327">
          <cell r="A3327" t="str">
            <v>Jude</v>
          </cell>
          <cell r="C3327">
            <v>1.0607071380920284E-2</v>
          </cell>
          <cell r="I3327" t="str">
            <v>Nagy</v>
          </cell>
        </row>
        <row r="3328">
          <cell r="A3328" t="str">
            <v>Jeanice</v>
          </cell>
          <cell r="C3328">
            <v>1.0595952857460199E-2</v>
          </cell>
          <cell r="I3328" t="str">
            <v>Montague</v>
          </cell>
        </row>
        <row r="3329">
          <cell r="A3329" t="str">
            <v>Isobel</v>
          </cell>
          <cell r="C3329">
            <v>1.0584834334000115E-2</v>
          </cell>
          <cell r="I3329" t="str">
            <v>Mello</v>
          </cell>
        </row>
        <row r="3330">
          <cell r="A3330" t="str">
            <v>Georgiann</v>
          </cell>
          <cell r="C3330">
            <v>1.0573715810540032E-2</v>
          </cell>
          <cell r="I3330" t="str">
            <v>Lear</v>
          </cell>
        </row>
        <row r="3331">
          <cell r="A3331" t="str">
            <v>Genny</v>
          </cell>
          <cell r="C3331">
            <v>1.0562597287079947E-2</v>
          </cell>
          <cell r="I3331" t="str">
            <v>Jaeger</v>
          </cell>
        </row>
        <row r="3332">
          <cell r="A3332" t="str">
            <v>Felicidad</v>
          </cell>
          <cell r="C3332">
            <v>1.0551478763619863E-2</v>
          </cell>
          <cell r="I3332" t="str">
            <v>Hogg</v>
          </cell>
        </row>
        <row r="3333">
          <cell r="A3333" t="str">
            <v>Eilene</v>
          </cell>
          <cell r="C3333">
            <v>1.054036024015978E-2</v>
          </cell>
          <cell r="I3333" t="str">
            <v>Graff</v>
          </cell>
        </row>
        <row r="3334">
          <cell r="A3334" t="str">
            <v>Deon</v>
          </cell>
          <cell r="C3334">
            <v>1.0529241716699694E-2</v>
          </cell>
          <cell r="I3334" t="str">
            <v>Furr</v>
          </cell>
        </row>
        <row r="3335">
          <cell r="A3335" t="str">
            <v>Deloise</v>
          </cell>
          <cell r="C3335">
            <v>1.0518123193239611E-2</v>
          </cell>
          <cell r="I3335" t="str">
            <v>Derrick</v>
          </cell>
        </row>
        <row r="3336">
          <cell r="A3336" t="str">
            <v>Deedee</v>
          </cell>
          <cell r="C3336">
            <v>1.0507004669779526E-2</v>
          </cell>
          <cell r="I3336" t="str">
            <v>Cave</v>
          </cell>
        </row>
        <row r="3337">
          <cell r="A3337" t="str">
            <v>Dannie</v>
          </cell>
          <cell r="C3337">
            <v>1.0495886146319442E-2</v>
          </cell>
          <cell r="I3337" t="str">
            <v>Canada</v>
          </cell>
        </row>
        <row r="3338">
          <cell r="A3338" t="str">
            <v>Conception</v>
          </cell>
          <cell r="C3338">
            <v>1.0484767622859359E-2</v>
          </cell>
          <cell r="I3338" t="str">
            <v>Soliz</v>
          </cell>
        </row>
        <row r="3339">
          <cell r="A3339" t="str">
            <v>Clora</v>
          </cell>
          <cell r="C3339">
            <v>1.0473649099399273E-2</v>
          </cell>
          <cell r="I3339" t="str">
            <v>Poore</v>
          </cell>
        </row>
        <row r="3340">
          <cell r="A3340" t="str">
            <v>Cherilyn</v>
          </cell>
          <cell r="C3340">
            <v>1.046253057593919E-2</v>
          </cell>
          <cell r="I3340" t="str">
            <v>Mendenhall</v>
          </cell>
        </row>
        <row r="3341">
          <cell r="A3341" t="str">
            <v>Chang</v>
          </cell>
          <cell r="C3341">
            <v>1.0451412052479106E-2</v>
          </cell>
          <cell r="I3341" t="str">
            <v>Mclaurin</v>
          </cell>
        </row>
        <row r="3342">
          <cell r="A3342" t="str">
            <v>Calandra</v>
          </cell>
          <cell r="C3342">
            <v>1.0440293529019021E-2</v>
          </cell>
          <cell r="I3342" t="str">
            <v>Maestas</v>
          </cell>
        </row>
        <row r="3343">
          <cell r="A3343" t="str">
            <v>Berry</v>
          </cell>
          <cell r="C3343">
            <v>1.0429175005558938E-2</v>
          </cell>
          <cell r="I3343" t="str">
            <v>Low</v>
          </cell>
        </row>
        <row r="3344">
          <cell r="A3344" t="str">
            <v>Armandina</v>
          </cell>
          <cell r="C3344">
            <v>1.0418056482098852E-2</v>
          </cell>
          <cell r="I3344" t="str">
            <v>Gable</v>
          </cell>
        </row>
        <row r="3345">
          <cell r="A3345" t="str">
            <v>Anisa</v>
          </cell>
          <cell r="C3345">
            <v>1.0406937958638769E-2</v>
          </cell>
          <cell r="I3345" t="str">
            <v>Belt</v>
          </cell>
        </row>
        <row r="3346">
          <cell r="A3346" t="str">
            <v>Ula</v>
          </cell>
          <cell r="C3346">
            <v>1.0395819435178685E-2</v>
          </cell>
          <cell r="I3346" t="str">
            <v>Barraza</v>
          </cell>
        </row>
        <row r="3347">
          <cell r="A3347" t="str">
            <v>Timothy</v>
          </cell>
          <cell r="C3347">
            <v>1.03847009117186E-2</v>
          </cell>
          <cell r="I3347" t="str">
            <v>Tillery</v>
          </cell>
        </row>
        <row r="3348">
          <cell r="A3348" t="str">
            <v>Tiera</v>
          </cell>
          <cell r="C3348">
            <v>1.0373582388258517E-2</v>
          </cell>
          <cell r="I3348" t="str">
            <v>Snead</v>
          </cell>
        </row>
        <row r="3349">
          <cell r="A3349" t="str">
            <v>Theressa</v>
          </cell>
          <cell r="C3349">
            <v>1.0362463864798431E-2</v>
          </cell>
          <cell r="I3349" t="str">
            <v>Pond</v>
          </cell>
        </row>
        <row r="3350">
          <cell r="A3350" t="str">
            <v>Stephania</v>
          </cell>
          <cell r="C3350">
            <v>1.0351345341338348E-2</v>
          </cell>
          <cell r="I3350" t="str">
            <v>Neill</v>
          </cell>
        </row>
        <row r="3351">
          <cell r="A3351" t="str">
            <v>Sima</v>
          </cell>
          <cell r="C3351">
            <v>1.0340226817878264E-2</v>
          </cell>
          <cell r="I3351" t="str">
            <v>Mcculloch</v>
          </cell>
        </row>
        <row r="3352">
          <cell r="A3352" t="str">
            <v>Shyla</v>
          </cell>
          <cell r="C3352">
            <v>1.0329108294418179E-2</v>
          </cell>
          <cell r="I3352" t="str">
            <v>Mccorkle</v>
          </cell>
        </row>
        <row r="3353">
          <cell r="A3353" t="str">
            <v>Shonta</v>
          </cell>
          <cell r="C3353">
            <v>1.0317989770958096E-2</v>
          </cell>
          <cell r="I3353" t="str">
            <v>Lightfoot</v>
          </cell>
        </row>
        <row r="3354">
          <cell r="A3354" t="str">
            <v>Shera</v>
          </cell>
          <cell r="C3354">
            <v>1.0306871247498012E-2</v>
          </cell>
          <cell r="I3354" t="str">
            <v>Hutchings</v>
          </cell>
        </row>
        <row r="3355">
          <cell r="A3355" t="str">
            <v>Shaquita</v>
          </cell>
          <cell r="C3355">
            <v>1.0295752724037927E-2</v>
          </cell>
          <cell r="I3355" t="str">
            <v>Holloman</v>
          </cell>
        </row>
        <row r="3356">
          <cell r="A3356" t="str">
            <v>Shala</v>
          </cell>
          <cell r="C3356">
            <v>1.0284634200577843E-2</v>
          </cell>
          <cell r="I3356" t="str">
            <v>Harness</v>
          </cell>
        </row>
        <row r="3357">
          <cell r="A3357" t="str">
            <v>Sammy</v>
          </cell>
          <cell r="C3357">
            <v>1.0273515677117758E-2</v>
          </cell>
          <cell r="I3357" t="str">
            <v>Dorn</v>
          </cell>
        </row>
        <row r="3358">
          <cell r="A3358" t="str">
            <v>Rossana</v>
          </cell>
          <cell r="C3358">
            <v>1.0262397153657675E-2</v>
          </cell>
          <cell r="I3358" t="str">
            <v>Council</v>
          </cell>
        </row>
        <row r="3359">
          <cell r="A3359" t="str">
            <v>Nohemi</v>
          </cell>
          <cell r="C3359">
            <v>1.0251278630197591E-2</v>
          </cell>
          <cell r="I3359" t="str">
            <v>Bock</v>
          </cell>
        </row>
        <row r="3360">
          <cell r="A3360" t="str">
            <v>Nery</v>
          </cell>
          <cell r="C3360">
            <v>1.0240160106737506E-2</v>
          </cell>
          <cell r="I3360" t="str">
            <v>Zielinski</v>
          </cell>
        </row>
        <row r="3361">
          <cell r="A3361" t="str">
            <v>Moriah</v>
          </cell>
          <cell r="C3361">
            <v>1.0229041583277422E-2</v>
          </cell>
          <cell r="I3361" t="str">
            <v>Turley</v>
          </cell>
        </row>
        <row r="3362">
          <cell r="A3362" t="str">
            <v>Melita</v>
          </cell>
          <cell r="C3362">
            <v>1.0217923059817339E-2</v>
          </cell>
          <cell r="I3362" t="str">
            <v>Treadwell</v>
          </cell>
        </row>
        <row r="3363">
          <cell r="A3363" t="str">
            <v>Melida</v>
          </cell>
          <cell r="C3363">
            <v>1.0206804536357254E-2</v>
          </cell>
          <cell r="I3363" t="str">
            <v>Stpierre</v>
          </cell>
        </row>
        <row r="3364">
          <cell r="A3364" t="str">
            <v>Melani</v>
          </cell>
          <cell r="C3364">
            <v>1.019568601289717E-2</v>
          </cell>
          <cell r="I3364" t="str">
            <v>Starling</v>
          </cell>
        </row>
        <row r="3365">
          <cell r="A3365" t="str">
            <v>Marylynn</v>
          </cell>
          <cell r="C3365">
            <v>1.0184567489437085E-2</v>
          </cell>
          <cell r="I3365" t="str">
            <v>Somers</v>
          </cell>
        </row>
        <row r="3366">
          <cell r="A3366" t="str">
            <v>Marisha</v>
          </cell>
          <cell r="C3366">
            <v>1.0173448965977001E-2</v>
          </cell>
          <cell r="I3366" t="str">
            <v>Oswald</v>
          </cell>
        </row>
        <row r="3367">
          <cell r="A3367" t="str">
            <v>Mariette</v>
          </cell>
          <cell r="C3367">
            <v>1.0162330442516918E-2</v>
          </cell>
          <cell r="I3367" t="str">
            <v>Merrick</v>
          </cell>
        </row>
        <row r="3368">
          <cell r="A3368" t="str">
            <v>Malorie</v>
          </cell>
          <cell r="C3368">
            <v>1.0151211919056833E-2</v>
          </cell>
          <cell r="I3368" t="str">
            <v>Marquis</v>
          </cell>
        </row>
        <row r="3369">
          <cell r="A3369" t="str">
            <v>Madelene</v>
          </cell>
          <cell r="C3369">
            <v>1.0140093395596749E-2</v>
          </cell>
          <cell r="I3369" t="str">
            <v>Ivory</v>
          </cell>
        </row>
        <row r="3370">
          <cell r="A3370" t="str">
            <v>Ludivina</v>
          </cell>
          <cell r="C3370">
            <v>1.0128974872136666E-2</v>
          </cell>
          <cell r="I3370" t="str">
            <v>Easterling</v>
          </cell>
        </row>
        <row r="3371">
          <cell r="A3371" t="str">
            <v>Loria</v>
          </cell>
          <cell r="C3371">
            <v>1.011785634867658E-2</v>
          </cell>
          <cell r="I3371" t="str">
            <v>Bivens</v>
          </cell>
        </row>
        <row r="3372">
          <cell r="A3372" t="str">
            <v>Lorette</v>
          </cell>
          <cell r="C3372">
            <v>1.0106737825216497E-2</v>
          </cell>
          <cell r="I3372" t="str">
            <v>Truitt</v>
          </cell>
        </row>
        <row r="3373">
          <cell r="A3373" t="str">
            <v>Loralee</v>
          </cell>
          <cell r="C3373">
            <v>1.0095619301756412E-2</v>
          </cell>
          <cell r="I3373" t="str">
            <v>Poston</v>
          </cell>
        </row>
        <row r="3374">
          <cell r="A3374" t="str">
            <v>Lianne</v>
          </cell>
          <cell r="C3374">
            <v>1.0084500778296328E-2</v>
          </cell>
          <cell r="I3374" t="str">
            <v>Parry</v>
          </cell>
        </row>
        <row r="3375">
          <cell r="A3375" t="str">
            <v>Leon</v>
          </cell>
          <cell r="C3375">
            <v>1.0073382254836245E-2</v>
          </cell>
          <cell r="I3375" t="str">
            <v>Ontiveros</v>
          </cell>
        </row>
        <row r="3376">
          <cell r="A3376" t="str">
            <v>Lavenia</v>
          </cell>
          <cell r="C3376">
            <v>1.0062263731376159E-2</v>
          </cell>
          <cell r="I3376" t="str">
            <v>Olivarez</v>
          </cell>
        </row>
        <row r="3377">
          <cell r="A3377" t="str">
            <v>Laurinda</v>
          </cell>
          <cell r="C3377">
            <v>1.0051145207916076E-2</v>
          </cell>
          <cell r="I3377" t="str">
            <v>Neville</v>
          </cell>
        </row>
        <row r="3378">
          <cell r="A3378" t="str">
            <v>Lashon</v>
          </cell>
          <cell r="C3378">
            <v>1.0040026684455992E-2</v>
          </cell>
          <cell r="I3378" t="str">
            <v>Moreau</v>
          </cell>
        </row>
        <row r="3379">
          <cell r="A3379" t="str">
            <v>Kit</v>
          </cell>
          <cell r="C3379">
            <v>1.0028908160995907E-2</v>
          </cell>
          <cell r="I3379" t="str">
            <v>Medlin</v>
          </cell>
        </row>
        <row r="3380">
          <cell r="A3380" t="str">
            <v>Kimi</v>
          </cell>
          <cell r="C3380">
            <v>1.0017789637535824E-2</v>
          </cell>
          <cell r="I3380" t="str">
            <v>Ma</v>
          </cell>
        </row>
        <row r="3381">
          <cell r="A3381" t="str">
            <v>Keila</v>
          </cell>
          <cell r="C3381">
            <v>1.0006671114075738E-2</v>
          </cell>
          <cell r="I3381" t="str">
            <v>Lenz</v>
          </cell>
        </row>
        <row r="3382">
          <cell r="A3382" t="str">
            <v>Katelynn</v>
          </cell>
          <cell r="C3382">
            <v>9.9955525906156549E-3</v>
          </cell>
          <cell r="I3382" t="str">
            <v>Knowlton</v>
          </cell>
        </row>
        <row r="3383">
          <cell r="A3383" t="str">
            <v>Kai</v>
          </cell>
          <cell r="C3383">
            <v>9.9844340671555714E-3</v>
          </cell>
          <cell r="I3383" t="str">
            <v>Fairley</v>
          </cell>
        </row>
        <row r="3384">
          <cell r="A3384" t="str">
            <v>Jone</v>
          </cell>
          <cell r="C3384">
            <v>9.9733155436954862E-3</v>
          </cell>
          <cell r="I3384" t="str">
            <v>Cobbs</v>
          </cell>
        </row>
        <row r="3385">
          <cell r="A3385" t="str">
            <v>Joane</v>
          </cell>
          <cell r="C3385">
            <v>9.9621970202354027E-3</v>
          </cell>
          <cell r="I3385" t="str">
            <v>Chisolm</v>
          </cell>
        </row>
        <row r="3386">
          <cell r="A3386" t="str">
            <v>Ji</v>
          </cell>
          <cell r="C3386">
            <v>9.9510784967753192E-3</v>
          </cell>
          <cell r="I3386" t="str">
            <v>Bannister</v>
          </cell>
        </row>
        <row r="3387">
          <cell r="A3387" t="str">
            <v>Jayna</v>
          </cell>
          <cell r="C3387">
            <v>9.9399599733152339E-3</v>
          </cell>
          <cell r="I3387" t="str">
            <v>Woodworth</v>
          </cell>
        </row>
        <row r="3388">
          <cell r="A3388" t="str">
            <v>Janella</v>
          </cell>
          <cell r="C3388">
            <v>9.9288414498551504E-3</v>
          </cell>
          <cell r="I3388" t="str">
            <v>Toler</v>
          </cell>
        </row>
        <row r="3389">
          <cell r="A3389" t="str">
            <v>Ja</v>
          </cell>
          <cell r="C3389">
            <v>9.9177229263950652E-3</v>
          </cell>
          <cell r="I3389" t="str">
            <v>Ocasio</v>
          </cell>
        </row>
        <row r="3390">
          <cell r="A3390" t="str">
            <v>Hue</v>
          </cell>
          <cell r="C3390">
            <v>9.9066044029349817E-3</v>
          </cell>
          <cell r="I3390" t="str">
            <v>Noriega</v>
          </cell>
        </row>
        <row r="3391">
          <cell r="A3391" t="str">
            <v>Hertha</v>
          </cell>
          <cell r="C3391">
            <v>9.8954858794748982E-3</v>
          </cell>
          <cell r="I3391" t="str">
            <v>Neuman</v>
          </cell>
        </row>
        <row r="3392">
          <cell r="A3392" t="str">
            <v>Francene</v>
          </cell>
          <cell r="C3392">
            <v>9.8843673560148129E-3</v>
          </cell>
          <cell r="I3392" t="str">
            <v>Moye</v>
          </cell>
        </row>
        <row r="3393">
          <cell r="A3393" t="str">
            <v>Elinore</v>
          </cell>
          <cell r="C3393">
            <v>9.8732488325547294E-3</v>
          </cell>
          <cell r="I3393" t="str">
            <v>Milburn</v>
          </cell>
        </row>
        <row r="3394">
          <cell r="A3394" t="str">
            <v>Despina</v>
          </cell>
          <cell r="C3394">
            <v>9.8621303090946459E-3</v>
          </cell>
          <cell r="I3394" t="str">
            <v>Mcclanahan</v>
          </cell>
        </row>
        <row r="3395">
          <cell r="A3395" t="str">
            <v>Delsie</v>
          </cell>
          <cell r="C3395">
            <v>9.8510117856345607E-3</v>
          </cell>
          <cell r="I3395" t="str">
            <v>Lilley</v>
          </cell>
        </row>
        <row r="3396">
          <cell r="A3396" t="str">
            <v>Deedra</v>
          </cell>
          <cell r="C3396">
            <v>9.8398932621744772E-3</v>
          </cell>
          <cell r="I3396" t="str">
            <v>Hanes</v>
          </cell>
        </row>
        <row r="3397">
          <cell r="A3397" t="str">
            <v>Clemencia</v>
          </cell>
          <cell r="C3397">
            <v>9.8287747387143919E-3</v>
          </cell>
          <cell r="I3397" t="str">
            <v>Flannery</v>
          </cell>
        </row>
        <row r="3398">
          <cell r="A3398" t="str">
            <v>Carry</v>
          </cell>
          <cell r="C3398">
            <v>9.8176562152543084E-3</v>
          </cell>
          <cell r="I3398" t="str">
            <v>Dellinger</v>
          </cell>
        </row>
        <row r="3399">
          <cell r="A3399" t="str">
            <v>Carolin</v>
          </cell>
          <cell r="C3399">
            <v>9.8065376917942249E-3</v>
          </cell>
          <cell r="I3399" t="str">
            <v>Danielson</v>
          </cell>
        </row>
        <row r="3400">
          <cell r="A3400" t="str">
            <v>Carlos</v>
          </cell>
          <cell r="C3400">
            <v>9.7954191683341397E-3</v>
          </cell>
          <cell r="I3400" t="str">
            <v>Conti</v>
          </cell>
        </row>
        <row r="3401">
          <cell r="A3401" t="str">
            <v>Bulah</v>
          </cell>
          <cell r="C3401">
            <v>9.7843006448740562E-3</v>
          </cell>
          <cell r="I3401" t="str">
            <v>Blodgett</v>
          </cell>
        </row>
        <row r="3402">
          <cell r="A3402" t="str">
            <v>Brittanie</v>
          </cell>
          <cell r="C3402">
            <v>9.7731821214139727E-3</v>
          </cell>
          <cell r="I3402" t="str">
            <v>Beers</v>
          </cell>
        </row>
        <row r="3403">
          <cell r="A3403" t="str">
            <v>Bok</v>
          </cell>
          <cell r="C3403">
            <v>9.7620635979538874E-3</v>
          </cell>
          <cell r="I3403" t="str">
            <v>Weatherford</v>
          </cell>
        </row>
        <row r="3404">
          <cell r="A3404" t="str">
            <v>Blondell</v>
          </cell>
          <cell r="C3404">
            <v>9.7509450744938039E-3</v>
          </cell>
          <cell r="I3404" t="str">
            <v>Strain</v>
          </cell>
        </row>
        <row r="3405">
          <cell r="A3405" t="str">
            <v>Bibi</v>
          </cell>
          <cell r="C3405">
            <v>9.7398265510337187E-3</v>
          </cell>
          <cell r="I3405" t="str">
            <v>Karr</v>
          </cell>
        </row>
        <row r="3406">
          <cell r="A3406" t="str">
            <v>Beaulah</v>
          </cell>
          <cell r="C3406">
            <v>9.7287080275736352E-3</v>
          </cell>
          <cell r="I3406" t="str">
            <v>Hitt</v>
          </cell>
        </row>
        <row r="3407">
          <cell r="A3407" t="str">
            <v>Beata</v>
          </cell>
          <cell r="C3407">
            <v>9.7175895041135517E-3</v>
          </cell>
          <cell r="I3407" t="str">
            <v>Denham</v>
          </cell>
        </row>
        <row r="3408">
          <cell r="A3408" t="str">
            <v>Annita</v>
          </cell>
          <cell r="C3408">
            <v>9.7064709806534664E-3</v>
          </cell>
          <cell r="I3408" t="str">
            <v>Custer</v>
          </cell>
        </row>
        <row r="3409">
          <cell r="A3409" t="str">
            <v>Agripina</v>
          </cell>
          <cell r="C3409">
            <v>9.6953524571933829E-3</v>
          </cell>
          <cell r="I3409" t="str">
            <v>Coble</v>
          </cell>
        </row>
        <row r="3410">
          <cell r="A3410" t="str">
            <v>Virgen</v>
          </cell>
          <cell r="C3410">
            <v>9.6842339337332994E-3</v>
          </cell>
          <cell r="I3410" t="str">
            <v>Clough</v>
          </cell>
        </row>
        <row r="3411">
          <cell r="A3411" t="str">
            <v>Valene</v>
          </cell>
          <cell r="C3411">
            <v>9.6731154102732142E-3</v>
          </cell>
          <cell r="I3411" t="str">
            <v>Casteel</v>
          </cell>
        </row>
        <row r="3412">
          <cell r="A3412" t="str">
            <v>Un</v>
          </cell>
          <cell r="C3412">
            <v>9.6619968868131307E-3</v>
          </cell>
          <cell r="I3412" t="str">
            <v>Bolduc</v>
          </cell>
        </row>
        <row r="3413">
          <cell r="A3413" t="str">
            <v>Twanda</v>
          </cell>
          <cell r="C3413">
            <v>9.6508783633530455E-3</v>
          </cell>
          <cell r="I3413" t="str">
            <v>Batchelor</v>
          </cell>
        </row>
        <row r="3414">
          <cell r="A3414" t="str">
            <v>Tommye</v>
          </cell>
          <cell r="C3414">
            <v>9.639759839892962E-3</v>
          </cell>
          <cell r="I3414" t="str">
            <v>Ammons</v>
          </cell>
        </row>
        <row r="3415">
          <cell r="A3415" t="str">
            <v>Toi</v>
          </cell>
          <cell r="C3415">
            <v>9.6286413164328784E-3</v>
          </cell>
          <cell r="I3415" t="str">
            <v>Whitlow</v>
          </cell>
        </row>
        <row r="3416">
          <cell r="A3416" t="str">
            <v>Tarra</v>
          </cell>
          <cell r="C3416">
            <v>9.6175227929727932E-3</v>
          </cell>
          <cell r="I3416" t="str">
            <v>Tierney</v>
          </cell>
        </row>
        <row r="3417">
          <cell r="A3417" t="str">
            <v>Tari</v>
          </cell>
          <cell r="C3417">
            <v>9.6064042695127097E-3</v>
          </cell>
          <cell r="I3417" t="str">
            <v>Staten</v>
          </cell>
        </row>
        <row r="3418">
          <cell r="A3418" t="str">
            <v>Tammera</v>
          </cell>
          <cell r="C3418">
            <v>9.5952857460526262E-3</v>
          </cell>
          <cell r="I3418" t="str">
            <v>Sibley</v>
          </cell>
        </row>
        <row r="3419">
          <cell r="A3419" t="str">
            <v>Shakia</v>
          </cell>
          <cell r="C3419">
            <v>9.584167222592541E-3</v>
          </cell>
          <cell r="I3419" t="str">
            <v>Seifert</v>
          </cell>
        </row>
        <row r="3420">
          <cell r="A3420" t="str">
            <v>Sadye</v>
          </cell>
          <cell r="C3420">
            <v>9.5730486991324575E-3</v>
          </cell>
          <cell r="I3420" t="str">
            <v>Schubert</v>
          </cell>
        </row>
        <row r="3421">
          <cell r="A3421" t="str">
            <v>Ruthanne</v>
          </cell>
          <cell r="C3421">
            <v>9.5619301756723722E-3</v>
          </cell>
          <cell r="I3421" t="str">
            <v>Salcedo</v>
          </cell>
        </row>
        <row r="3422">
          <cell r="A3422" t="str">
            <v>Rochel</v>
          </cell>
          <cell r="C3422">
            <v>9.5508116522122887E-3</v>
          </cell>
          <cell r="I3422" t="str">
            <v>Mattison</v>
          </cell>
        </row>
        <row r="3423">
          <cell r="A3423" t="str">
            <v>Rivka</v>
          </cell>
          <cell r="C3423">
            <v>9.5396931287522052E-3</v>
          </cell>
          <cell r="I3423" t="str">
            <v>Laney</v>
          </cell>
        </row>
        <row r="3424">
          <cell r="A3424" t="str">
            <v>Pura</v>
          </cell>
          <cell r="C3424">
            <v>9.52857460529212E-3</v>
          </cell>
          <cell r="I3424" t="str">
            <v>Haggard</v>
          </cell>
        </row>
        <row r="3425">
          <cell r="A3425" t="str">
            <v>Nenita</v>
          </cell>
          <cell r="C3425">
            <v>9.5174560818320365E-3</v>
          </cell>
          <cell r="I3425" t="str">
            <v>Grooms</v>
          </cell>
        </row>
        <row r="3426">
          <cell r="A3426" t="str">
            <v>Natisha</v>
          </cell>
          <cell r="C3426">
            <v>9.506337558371953E-3</v>
          </cell>
          <cell r="I3426" t="str">
            <v>Dix</v>
          </cell>
        </row>
        <row r="3427">
          <cell r="A3427" t="str">
            <v>Ming</v>
          </cell>
          <cell r="C3427">
            <v>9.4952190349118677E-3</v>
          </cell>
          <cell r="I3427" t="str">
            <v>Dees</v>
          </cell>
        </row>
        <row r="3428">
          <cell r="A3428" t="str">
            <v>Merrilee</v>
          </cell>
          <cell r="C3428">
            <v>9.4841005114517842E-3</v>
          </cell>
          <cell r="I3428" t="str">
            <v>Cromer</v>
          </cell>
        </row>
        <row r="3429">
          <cell r="A3429" t="str">
            <v>Melodee</v>
          </cell>
          <cell r="C3429">
            <v>9.472981987991699E-3</v>
          </cell>
          <cell r="I3429" t="str">
            <v>Cooks</v>
          </cell>
        </row>
        <row r="3430">
          <cell r="A3430" t="str">
            <v>Marvis</v>
          </cell>
          <cell r="C3430">
            <v>9.4618634645316155E-3</v>
          </cell>
          <cell r="I3430" t="str">
            <v>Colson</v>
          </cell>
        </row>
        <row r="3431">
          <cell r="A3431" t="str">
            <v>Lucilla</v>
          </cell>
          <cell r="C3431">
            <v>9.450744941071532E-3</v>
          </cell>
          <cell r="I3431" t="str">
            <v>Caswell</v>
          </cell>
        </row>
        <row r="3432">
          <cell r="A3432" t="str">
            <v>Leena</v>
          </cell>
          <cell r="C3432">
            <v>9.4396264176114467E-3</v>
          </cell>
          <cell r="I3432" t="str">
            <v>Zarate</v>
          </cell>
        </row>
        <row r="3433">
          <cell r="A3433" t="str">
            <v>Laveta</v>
          </cell>
          <cell r="C3433">
            <v>9.4285078941513632E-3</v>
          </cell>
          <cell r="I3433" t="str">
            <v>Swisher</v>
          </cell>
        </row>
        <row r="3434">
          <cell r="A3434" t="str">
            <v>Larita</v>
          </cell>
          <cell r="C3434">
            <v>9.4173893706912797E-3</v>
          </cell>
          <cell r="I3434" t="str">
            <v>Stacey</v>
          </cell>
        </row>
        <row r="3435">
          <cell r="A3435" t="str">
            <v>Lanie</v>
          </cell>
          <cell r="C3435">
            <v>9.4062708472311945E-3</v>
          </cell>
          <cell r="I3435" t="str">
            <v>Shin</v>
          </cell>
        </row>
        <row r="3436">
          <cell r="A3436" t="str">
            <v>Keren</v>
          </cell>
          <cell r="C3436">
            <v>9.395152323771111E-3</v>
          </cell>
          <cell r="I3436" t="str">
            <v>Ragan</v>
          </cell>
        </row>
        <row r="3437">
          <cell r="A3437" t="str">
            <v>Ileen</v>
          </cell>
          <cell r="C3437">
            <v>9.3840338003110257E-3</v>
          </cell>
          <cell r="I3437" t="str">
            <v>Pridgen</v>
          </cell>
        </row>
        <row r="3438">
          <cell r="A3438" t="str">
            <v>Georgeann</v>
          </cell>
          <cell r="C3438">
            <v>9.3729152768509422E-3</v>
          </cell>
          <cell r="I3438" t="str">
            <v>Mcvey</v>
          </cell>
        </row>
        <row r="3439">
          <cell r="A3439" t="str">
            <v>Genna</v>
          </cell>
          <cell r="C3439">
            <v>9.3617967533908587E-3</v>
          </cell>
          <cell r="I3439" t="str">
            <v>Matheny</v>
          </cell>
        </row>
        <row r="3440">
          <cell r="A3440" t="str">
            <v>Genesis</v>
          </cell>
          <cell r="C3440">
            <v>9.3506782299307735E-3</v>
          </cell>
          <cell r="I3440" t="str">
            <v>Leigh</v>
          </cell>
        </row>
        <row r="3441">
          <cell r="A3441" t="str">
            <v>Frida</v>
          </cell>
          <cell r="C3441">
            <v>9.33955970647069E-3</v>
          </cell>
          <cell r="I3441" t="str">
            <v>Lafleur</v>
          </cell>
        </row>
        <row r="3442">
          <cell r="A3442" t="str">
            <v>Ewa</v>
          </cell>
          <cell r="C3442">
            <v>9.3284411830106065E-3</v>
          </cell>
          <cell r="I3442" t="str">
            <v>Franz</v>
          </cell>
        </row>
        <row r="3443">
          <cell r="A3443" t="str">
            <v>Eufemia</v>
          </cell>
          <cell r="C3443">
            <v>9.3173226595505212E-3</v>
          </cell>
          <cell r="I3443" t="str">
            <v>Ferraro</v>
          </cell>
        </row>
        <row r="3444">
          <cell r="A3444" t="str">
            <v>Emely</v>
          </cell>
          <cell r="C3444">
            <v>9.3062041360904377E-3</v>
          </cell>
          <cell r="I3444" t="str">
            <v>Dugger</v>
          </cell>
        </row>
        <row r="3445">
          <cell r="A3445" t="str">
            <v>Ela</v>
          </cell>
          <cell r="C3445">
            <v>9.2950856126303525E-3</v>
          </cell>
          <cell r="I3445" t="str">
            <v>Whiteside</v>
          </cell>
        </row>
        <row r="3446">
          <cell r="A3446" t="str">
            <v>Edyth</v>
          </cell>
          <cell r="C3446">
            <v>9.283967089170269E-3</v>
          </cell>
          <cell r="I3446" t="str">
            <v>Rigsby</v>
          </cell>
        </row>
        <row r="3447">
          <cell r="A3447" t="str">
            <v>Deonna</v>
          </cell>
          <cell r="C3447">
            <v>9.2728485657101855E-3</v>
          </cell>
          <cell r="I3447" t="str">
            <v>Mcmurray</v>
          </cell>
        </row>
        <row r="3448">
          <cell r="A3448" t="str">
            <v>Deadra</v>
          </cell>
          <cell r="C3448">
            <v>9.2617300422501003E-3</v>
          </cell>
          <cell r="I3448" t="str">
            <v>Lehmann</v>
          </cell>
        </row>
        <row r="3449">
          <cell r="A3449" t="str">
            <v>Darlena</v>
          </cell>
          <cell r="C3449">
            <v>9.2506115187900168E-3</v>
          </cell>
          <cell r="I3449" t="str">
            <v>Large</v>
          </cell>
        </row>
        <row r="3450">
          <cell r="A3450" t="str">
            <v>Chanell</v>
          </cell>
          <cell r="C3450">
            <v>9.2394929953299332E-3</v>
          </cell>
          <cell r="I3450" t="str">
            <v>Jacoby</v>
          </cell>
        </row>
        <row r="3451">
          <cell r="A3451" t="str">
            <v>Chan</v>
          </cell>
          <cell r="C3451">
            <v>9.228374471869848E-3</v>
          </cell>
          <cell r="I3451" t="str">
            <v>Hildebrand</v>
          </cell>
        </row>
        <row r="3452">
          <cell r="A3452" t="str">
            <v>Cathern</v>
          </cell>
          <cell r="C3452">
            <v>9.2172559484097645E-3</v>
          </cell>
          <cell r="I3452" t="str">
            <v>Hendrick</v>
          </cell>
        </row>
        <row r="3453">
          <cell r="A3453" t="str">
            <v>Cassondra</v>
          </cell>
          <cell r="C3453">
            <v>9.2061374249496793E-3</v>
          </cell>
          <cell r="I3453" t="str">
            <v>Headrick</v>
          </cell>
        </row>
        <row r="3454">
          <cell r="A3454" t="str">
            <v>Cassaundra</v>
          </cell>
          <cell r="C3454">
            <v>9.1950189014895958E-3</v>
          </cell>
          <cell r="I3454" t="str">
            <v>Goad</v>
          </cell>
        </row>
        <row r="3455">
          <cell r="A3455" t="str">
            <v>Bernarda</v>
          </cell>
          <cell r="C3455">
            <v>9.1839003780295123E-3</v>
          </cell>
          <cell r="I3455" t="str">
            <v>Fincher</v>
          </cell>
        </row>
        <row r="3456">
          <cell r="A3456" t="str">
            <v>Berna</v>
          </cell>
          <cell r="C3456">
            <v>9.172781854569427E-3</v>
          </cell>
          <cell r="I3456" t="str">
            <v>Drury</v>
          </cell>
        </row>
        <row r="3457">
          <cell r="A3457" t="str">
            <v>Arlinda</v>
          </cell>
          <cell r="C3457">
            <v>9.1616633311093435E-3</v>
          </cell>
          <cell r="I3457" t="str">
            <v>Borges</v>
          </cell>
        </row>
        <row r="3458">
          <cell r="A3458" t="str">
            <v>Anamaria</v>
          </cell>
          <cell r="C3458">
            <v>9.15054480764926E-3</v>
          </cell>
          <cell r="I3458" t="str">
            <v>Archibald</v>
          </cell>
        </row>
        <row r="3459">
          <cell r="A3459" t="str">
            <v>Albert</v>
          </cell>
          <cell r="C3459">
            <v>9.1394262841891748E-3</v>
          </cell>
          <cell r="I3459" t="str">
            <v>Albers</v>
          </cell>
        </row>
        <row r="3460">
          <cell r="A3460" t="str">
            <v>Wesley</v>
          </cell>
          <cell r="C3460">
            <v>9.1283077607290913E-3</v>
          </cell>
          <cell r="I3460" t="str">
            <v>Woodcock</v>
          </cell>
        </row>
        <row r="3461">
          <cell r="A3461" t="str">
            <v>Vertie</v>
          </cell>
          <cell r="C3461">
            <v>9.117189237269006E-3</v>
          </cell>
          <cell r="I3461" t="str">
            <v>Trapp</v>
          </cell>
        </row>
        <row r="3462">
          <cell r="A3462" t="str">
            <v>Valeri</v>
          </cell>
          <cell r="C3462">
            <v>9.1060707138089225E-3</v>
          </cell>
          <cell r="I3462" t="str">
            <v>Soares</v>
          </cell>
        </row>
        <row r="3463">
          <cell r="A3463" t="str">
            <v>Torri</v>
          </cell>
          <cell r="C3463">
            <v>9.094952190348839E-3</v>
          </cell>
          <cell r="I3463" t="str">
            <v>Seaton</v>
          </cell>
        </row>
        <row r="3464">
          <cell r="A3464" t="str">
            <v>Tatyana</v>
          </cell>
          <cell r="C3464">
            <v>9.0838336668887538E-3</v>
          </cell>
          <cell r="I3464" t="str">
            <v>Richie</v>
          </cell>
        </row>
        <row r="3465">
          <cell r="A3465" t="str">
            <v>Stasia</v>
          </cell>
          <cell r="C3465">
            <v>9.0727151434286703E-3</v>
          </cell>
          <cell r="I3465" t="str">
            <v>Monson</v>
          </cell>
        </row>
        <row r="3466">
          <cell r="A3466" t="str">
            <v>Sherise</v>
          </cell>
          <cell r="C3466">
            <v>9.0615966199685868E-3</v>
          </cell>
          <cell r="I3466" t="str">
            <v>Luckett</v>
          </cell>
        </row>
        <row r="3467">
          <cell r="A3467" t="str">
            <v>Sherill</v>
          </cell>
          <cell r="C3467">
            <v>9.0504780965085015E-3</v>
          </cell>
          <cell r="I3467" t="str">
            <v>Lindberg</v>
          </cell>
        </row>
        <row r="3468">
          <cell r="A3468" t="str">
            <v>Season</v>
          </cell>
          <cell r="C3468">
            <v>9.039359573048418E-3</v>
          </cell>
          <cell r="I3468" t="str">
            <v>Kopp</v>
          </cell>
        </row>
        <row r="3469">
          <cell r="A3469" t="str">
            <v>Scottie</v>
          </cell>
          <cell r="C3469">
            <v>9.0282410495883328E-3</v>
          </cell>
          <cell r="I3469" t="str">
            <v>Keeton</v>
          </cell>
        </row>
        <row r="3470">
          <cell r="A3470" t="str">
            <v>Sanda</v>
          </cell>
          <cell r="C3470">
            <v>9.0171225261282493E-3</v>
          </cell>
          <cell r="I3470" t="str">
            <v>Hsu</v>
          </cell>
        </row>
        <row r="3471">
          <cell r="A3471" t="str">
            <v>Ruthe</v>
          </cell>
          <cell r="C3471">
            <v>9.0060040026681658E-3</v>
          </cell>
          <cell r="I3471" t="str">
            <v>Healey</v>
          </cell>
        </row>
        <row r="3472">
          <cell r="A3472" t="str">
            <v>Rosy</v>
          </cell>
          <cell r="C3472">
            <v>8.9948854792080805E-3</v>
          </cell>
          <cell r="I3472" t="str">
            <v>Garvey</v>
          </cell>
        </row>
        <row r="3473">
          <cell r="A3473" t="str">
            <v>Roberto</v>
          </cell>
          <cell r="C3473">
            <v>8.983766955747997E-3</v>
          </cell>
          <cell r="I3473" t="str">
            <v>Gaddy</v>
          </cell>
        </row>
        <row r="3474">
          <cell r="A3474" t="str">
            <v>Robbi</v>
          </cell>
          <cell r="C3474">
            <v>8.9726484322879135E-3</v>
          </cell>
          <cell r="I3474" t="str">
            <v>Fain</v>
          </cell>
        </row>
        <row r="3475">
          <cell r="A3475" t="str">
            <v>Ranee</v>
          </cell>
          <cell r="C3475">
            <v>8.9615299088278283E-3</v>
          </cell>
          <cell r="I3475" t="str">
            <v>Burchfield</v>
          </cell>
        </row>
        <row r="3476">
          <cell r="A3476" t="str">
            <v>Quyen</v>
          </cell>
          <cell r="C3476">
            <v>8.9504113853677448E-3</v>
          </cell>
          <cell r="I3476" t="str">
            <v>Badger</v>
          </cell>
        </row>
        <row r="3477">
          <cell r="A3477" t="str">
            <v>Pearly</v>
          </cell>
          <cell r="C3477">
            <v>8.9392928619076596E-3</v>
          </cell>
          <cell r="I3477" t="str">
            <v>Wentworth</v>
          </cell>
        </row>
        <row r="3478">
          <cell r="A3478" t="str">
            <v>Palmira</v>
          </cell>
          <cell r="C3478">
            <v>8.928174338447576E-3</v>
          </cell>
          <cell r="I3478" t="str">
            <v>Strand</v>
          </cell>
        </row>
        <row r="3479">
          <cell r="A3479" t="str">
            <v>Onita</v>
          </cell>
          <cell r="C3479">
            <v>8.9170558149874925E-3</v>
          </cell>
          <cell r="I3479" t="str">
            <v>Stack</v>
          </cell>
        </row>
        <row r="3480">
          <cell r="A3480" t="str">
            <v>Nisha</v>
          </cell>
          <cell r="C3480">
            <v>8.9059372915274073E-3</v>
          </cell>
          <cell r="I3480" t="str">
            <v>Spooner</v>
          </cell>
        </row>
        <row r="3481">
          <cell r="A3481" t="str">
            <v>Niesha</v>
          </cell>
          <cell r="C3481">
            <v>8.8948187680673238E-3</v>
          </cell>
          <cell r="I3481" t="str">
            <v>Saucier</v>
          </cell>
        </row>
        <row r="3482">
          <cell r="A3482" t="str">
            <v>Nida</v>
          </cell>
          <cell r="C3482">
            <v>8.8837002446072403E-3</v>
          </cell>
          <cell r="I3482" t="str">
            <v>Sales</v>
          </cell>
        </row>
        <row r="3483">
          <cell r="A3483" t="str">
            <v>Nevada</v>
          </cell>
          <cell r="C3483">
            <v>8.8725817211471551E-3</v>
          </cell>
          <cell r="I3483" t="str">
            <v>Ruby</v>
          </cell>
        </row>
        <row r="3484">
          <cell r="A3484" t="str">
            <v>Nam</v>
          </cell>
          <cell r="C3484">
            <v>8.8614631976870716E-3</v>
          </cell>
          <cell r="I3484" t="str">
            <v>Ricci</v>
          </cell>
        </row>
        <row r="3485">
          <cell r="A3485" t="str">
            <v>Merlyn</v>
          </cell>
          <cell r="C3485">
            <v>8.8503446742269863E-3</v>
          </cell>
          <cell r="I3485" t="str">
            <v>Plunkett</v>
          </cell>
        </row>
        <row r="3486">
          <cell r="A3486" t="str">
            <v>Mayola</v>
          </cell>
          <cell r="C3486">
            <v>8.8392261507669028E-3</v>
          </cell>
          <cell r="I3486" t="str">
            <v>Pannell</v>
          </cell>
        </row>
        <row r="3487">
          <cell r="A3487" t="str">
            <v>Marylouise</v>
          </cell>
          <cell r="C3487">
            <v>8.8281076273068193E-3</v>
          </cell>
          <cell r="I3487" t="str">
            <v>Ness</v>
          </cell>
        </row>
        <row r="3488">
          <cell r="A3488" t="str">
            <v>Maryland</v>
          </cell>
          <cell r="C3488">
            <v>8.8169891038467341E-3</v>
          </cell>
          <cell r="I3488" t="str">
            <v>Leger</v>
          </cell>
        </row>
        <row r="3489">
          <cell r="A3489" t="str">
            <v>Marx</v>
          </cell>
          <cell r="C3489">
            <v>8.8058705803866506E-3</v>
          </cell>
          <cell r="I3489" t="str">
            <v>Hoy</v>
          </cell>
        </row>
        <row r="3490">
          <cell r="A3490" t="str">
            <v>Marth</v>
          </cell>
          <cell r="C3490">
            <v>8.7947520569265671E-3</v>
          </cell>
          <cell r="I3490" t="str">
            <v>Freitas</v>
          </cell>
        </row>
        <row r="3491">
          <cell r="A3491" t="str">
            <v>Margene</v>
          </cell>
          <cell r="C3491">
            <v>8.7836335334664818E-3</v>
          </cell>
          <cell r="I3491" t="str">
            <v>Fong</v>
          </cell>
        </row>
        <row r="3492">
          <cell r="A3492" t="str">
            <v>Madelaine</v>
          </cell>
          <cell r="C3492">
            <v>8.7725150100063983E-3</v>
          </cell>
          <cell r="I3492" t="str">
            <v>Elizondo</v>
          </cell>
        </row>
        <row r="3493">
          <cell r="A3493" t="str">
            <v>Londa</v>
          </cell>
          <cell r="C3493">
            <v>8.7613964865463131E-3</v>
          </cell>
          <cell r="I3493" t="str">
            <v>Duval</v>
          </cell>
        </row>
        <row r="3494">
          <cell r="A3494" t="str">
            <v>Leontine</v>
          </cell>
          <cell r="C3494">
            <v>8.7502779630862296E-3</v>
          </cell>
          <cell r="I3494" t="str">
            <v>Chun</v>
          </cell>
        </row>
        <row r="3495">
          <cell r="A3495" t="str">
            <v>Leoma</v>
          </cell>
          <cell r="C3495">
            <v>8.7391594396261461E-3</v>
          </cell>
          <cell r="I3495" t="str">
            <v>Calvin</v>
          </cell>
        </row>
        <row r="3496">
          <cell r="A3496" t="str">
            <v>Leia</v>
          </cell>
          <cell r="C3496">
            <v>8.7280409161660608E-3</v>
          </cell>
          <cell r="I3496" t="str">
            <v>Beaudoin</v>
          </cell>
        </row>
        <row r="3497">
          <cell r="A3497" t="str">
            <v>Lawrence</v>
          </cell>
          <cell r="C3497">
            <v>8.7169223927059773E-3</v>
          </cell>
          <cell r="I3497" t="str">
            <v>Urbina</v>
          </cell>
        </row>
        <row r="3498">
          <cell r="A3498" t="str">
            <v>Lauralee</v>
          </cell>
          <cell r="C3498">
            <v>8.7058038692458938E-3</v>
          </cell>
          <cell r="I3498" t="str">
            <v>Stock</v>
          </cell>
        </row>
        <row r="3499">
          <cell r="A3499" t="str">
            <v>Lanora</v>
          </cell>
          <cell r="C3499">
            <v>8.6946853457858086E-3</v>
          </cell>
          <cell r="I3499" t="str">
            <v>Rickard</v>
          </cell>
        </row>
        <row r="3500">
          <cell r="A3500" t="str">
            <v>Lakita</v>
          </cell>
          <cell r="C3500">
            <v>8.6835668223257251E-3</v>
          </cell>
          <cell r="I3500" t="str">
            <v>Partin</v>
          </cell>
        </row>
        <row r="3501">
          <cell r="A3501" t="str">
            <v>Kiyoko</v>
          </cell>
          <cell r="C3501">
            <v>8.6724482988656398E-3</v>
          </cell>
          <cell r="I3501" t="str">
            <v>Moe</v>
          </cell>
        </row>
        <row r="3502">
          <cell r="A3502" t="str">
            <v>Keturah</v>
          </cell>
          <cell r="C3502">
            <v>8.6613297754055563E-3</v>
          </cell>
          <cell r="I3502" t="str">
            <v>Mcgrew</v>
          </cell>
        </row>
        <row r="3503">
          <cell r="A3503" t="str">
            <v>Katelin</v>
          </cell>
          <cell r="C3503">
            <v>8.6502112519454728E-3</v>
          </cell>
          <cell r="I3503" t="str">
            <v>Mcclintock</v>
          </cell>
        </row>
        <row r="3504">
          <cell r="A3504" t="str">
            <v>Kareen</v>
          </cell>
          <cell r="C3504">
            <v>8.6390927284853876E-3</v>
          </cell>
          <cell r="I3504" t="str">
            <v>Ledoux</v>
          </cell>
        </row>
        <row r="3505">
          <cell r="A3505" t="str">
            <v>Jonie</v>
          </cell>
          <cell r="C3505">
            <v>8.6279742050253041E-3</v>
          </cell>
          <cell r="I3505" t="str">
            <v>Forsyth</v>
          </cell>
        </row>
        <row r="3506">
          <cell r="A3506" t="str">
            <v>Johnette</v>
          </cell>
          <cell r="C3506">
            <v>8.6168556815652206E-3</v>
          </cell>
          <cell r="I3506" t="str">
            <v>Faison</v>
          </cell>
        </row>
        <row r="3507">
          <cell r="A3507" t="str">
            <v>Jenee</v>
          </cell>
          <cell r="C3507">
            <v>8.6057371581051353E-3</v>
          </cell>
          <cell r="I3507" t="str">
            <v>Devries</v>
          </cell>
        </row>
        <row r="3508">
          <cell r="A3508" t="str">
            <v>Jeanett</v>
          </cell>
          <cell r="C3508">
            <v>8.5946186346450518E-3</v>
          </cell>
          <cell r="I3508" t="str">
            <v>Bertrand</v>
          </cell>
        </row>
        <row r="3509">
          <cell r="A3509" t="str">
            <v>Izetta</v>
          </cell>
          <cell r="C3509">
            <v>8.5835001111849666E-3</v>
          </cell>
          <cell r="I3509" t="str">
            <v>Wasson</v>
          </cell>
        </row>
        <row r="3510">
          <cell r="A3510" t="str">
            <v>Hiedi</v>
          </cell>
          <cell r="C3510">
            <v>8.5723815877248831E-3</v>
          </cell>
          <cell r="I3510" t="str">
            <v>Tilton</v>
          </cell>
        </row>
        <row r="3511">
          <cell r="A3511" t="str">
            <v>Heike</v>
          </cell>
          <cell r="C3511">
            <v>8.5612630642647996E-3</v>
          </cell>
          <cell r="I3511" t="str">
            <v>Scarbrough</v>
          </cell>
        </row>
        <row r="3512">
          <cell r="A3512" t="str">
            <v>Hassie</v>
          </cell>
          <cell r="C3512">
            <v>8.5501445408047144E-3</v>
          </cell>
          <cell r="I3512" t="str">
            <v>Pride</v>
          </cell>
        </row>
        <row r="3513">
          <cell r="A3513" t="str">
            <v>Harold</v>
          </cell>
          <cell r="C3513">
            <v>8.5390260173446308E-3</v>
          </cell>
          <cell r="I3513" t="str">
            <v>Oh</v>
          </cell>
        </row>
        <row r="3514">
          <cell r="A3514" t="str">
            <v>Giuseppina</v>
          </cell>
          <cell r="C3514">
            <v>8.5279074938845456E-3</v>
          </cell>
          <cell r="I3514" t="str">
            <v>Leung</v>
          </cell>
        </row>
        <row r="3515">
          <cell r="A3515" t="str">
            <v>Georgann</v>
          </cell>
          <cell r="C3515">
            <v>8.5167889704244621E-3</v>
          </cell>
          <cell r="I3515" t="str">
            <v>Larry</v>
          </cell>
        </row>
        <row r="3516">
          <cell r="A3516" t="str">
            <v>Fidela</v>
          </cell>
          <cell r="C3516">
            <v>8.5056704469643786E-3</v>
          </cell>
          <cell r="I3516" t="str">
            <v>Irvine</v>
          </cell>
        </row>
        <row r="3517">
          <cell r="A3517" t="str">
            <v>Fernande</v>
          </cell>
          <cell r="C3517">
            <v>8.4945519235042934E-3</v>
          </cell>
          <cell r="I3517" t="str">
            <v>Garber</v>
          </cell>
        </row>
        <row r="3518">
          <cell r="A3518" t="str">
            <v>Elwanda</v>
          </cell>
          <cell r="C3518">
            <v>8.4834334000442099E-3</v>
          </cell>
          <cell r="I3518" t="str">
            <v>Denning</v>
          </cell>
        </row>
        <row r="3519">
          <cell r="A3519" t="str">
            <v>Ellamae</v>
          </cell>
          <cell r="C3519">
            <v>8.4723148765841264E-3</v>
          </cell>
          <cell r="I3519" t="str">
            <v>Corral</v>
          </cell>
        </row>
        <row r="3520">
          <cell r="A3520" t="str">
            <v>Eliz</v>
          </cell>
          <cell r="C3520">
            <v>8.4611963531240411E-3</v>
          </cell>
          <cell r="I3520" t="str">
            <v>Colley</v>
          </cell>
        </row>
        <row r="3521">
          <cell r="A3521" t="str">
            <v>Dusti</v>
          </cell>
          <cell r="C3521">
            <v>8.4500778296639576E-3</v>
          </cell>
          <cell r="I3521" t="str">
            <v>Castleberry</v>
          </cell>
        </row>
        <row r="3522">
          <cell r="A3522" t="str">
            <v>Dotty</v>
          </cell>
          <cell r="C3522">
            <v>8.4389593062038724E-3</v>
          </cell>
          <cell r="I3522" t="str">
            <v>Bowlin</v>
          </cell>
        </row>
        <row r="3523">
          <cell r="A3523" t="str">
            <v>Cyndy</v>
          </cell>
          <cell r="C3523">
            <v>8.4278407827437889E-3</v>
          </cell>
          <cell r="I3523" t="str">
            <v>Bogan</v>
          </cell>
        </row>
        <row r="3524">
          <cell r="A3524" t="str">
            <v>Coralie</v>
          </cell>
          <cell r="C3524">
            <v>8.4167222592837054E-3</v>
          </cell>
          <cell r="I3524" t="str">
            <v>Beale</v>
          </cell>
        </row>
        <row r="3525">
          <cell r="A3525" t="str">
            <v>Celesta</v>
          </cell>
          <cell r="C3525">
            <v>8.4056037358236201E-3</v>
          </cell>
          <cell r="I3525" t="str">
            <v>Baines</v>
          </cell>
        </row>
        <row r="3526">
          <cell r="A3526" t="str">
            <v>Argentina</v>
          </cell>
          <cell r="C3526">
            <v>8.3944852123635366E-3</v>
          </cell>
          <cell r="I3526" t="str">
            <v>True</v>
          </cell>
        </row>
        <row r="3527">
          <cell r="A3527" t="str">
            <v>Alverta</v>
          </cell>
          <cell r="C3527">
            <v>8.3833666889034531E-3</v>
          </cell>
          <cell r="I3527" t="str">
            <v>Trice</v>
          </cell>
        </row>
        <row r="3528">
          <cell r="A3528" t="str">
            <v>Xenia</v>
          </cell>
          <cell r="C3528">
            <v>8.3722481654433679E-3</v>
          </cell>
          <cell r="I3528" t="str">
            <v>Rayburn</v>
          </cell>
        </row>
        <row r="3529">
          <cell r="A3529" t="str">
            <v>Wava</v>
          </cell>
          <cell r="C3529">
            <v>8.3611296419832844E-3</v>
          </cell>
          <cell r="I3529" t="str">
            <v>Parkinson</v>
          </cell>
        </row>
        <row r="3530">
          <cell r="A3530" t="str">
            <v>Vanetta</v>
          </cell>
          <cell r="C3530">
            <v>8.3500111185231991E-3</v>
          </cell>
          <cell r="I3530" t="str">
            <v>Pak</v>
          </cell>
        </row>
        <row r="3531">
          <cell r="A3531" t="str">
            <v>Torrie</v>
          </cell>
          <cell r="C3531">
            <v>8.3388925950631156E-3</v>
          </cell>
          <cell r="I3531" t="str">
            <v>Nunes</v>
          </cell>
        </row>
        <row r="3532">
          <cell r="A3532" t="str">
            <v>Tashina</v>
          </cell>
          <cell r="C3532">
            <v>8.3277740716030321E-3</v>
          </cell>
          <cell r="I3532" t="str">
            <v>Mcmillen</v>
          </cell>
        </row>
        <row r="3533">
          <cell r="A3533" t="str">
            <v>Tandy</v>
          </cell>
          <cell r="C3533">
            <v>8.3166555481429469E-3</v>
          </cell>
          <cell r="I3533" t="str">
            <v>Leahy</v>
          </cell>
        </row>
        <row r="3534">
          <cell r="A3534" t="str">
            <v>Tambra</v>
          </cell>
          <cell r="C3534">
            <v>8.3055370246828634E-3</v>
          </cell>
          <cell r="I3534" t="str">
            <v>Lea</v>
          </cell>
        </row>
        <row r="3535">
          <cell r="A3535" t="str">
            <v>Tama</v>
          </cell>
          <cell r="C3535">
            <v>8.2944185012227799E-3</v>
          </cell>
          <cell r="I3535" t="str">
            <v>Kimmel</v>
          </cell>
        </row>
        <row r="3536">
          <cell r="A3536" t="str">
            <v>Stepanie</v>
          </cell>
          <cell r="C3536">
            <v>8.2832999777626946E-3</v>
          </cell>
          <cell r="I3536" t="str">
            <v>Higgs</v>
          </cell>
        </row>
        <row r="3537">
          <cell r="A3537" t="str">
            <v>Shila</v>
          </cell>
          <cell r="C3537">
            <v>8.2721814543026111E-3</v>
          </cell>
          <cell r="I3537" t="str">
            <v>Fulmer</v>
          </cell>
        </row>
        <row r="3538">
          <cell r="A3538" t="str">
            <v>Shaunta</v>
          </cell>
          <cell r="C3538">
            <v>8.2610629308425259E-3</v>
          </cell>
          <cell r="I3538" t="str">
            <v>Carden</v>
          </cell>
        </row>
        <row r="3539">
          <cell r="A3539" t="str">
            <v>Sharan</v>
          </cell>
          <cell r="C3539">
            <v>8.2499444073824424E-3</v>
          </cell>
          <cell r="I3539" t="str">
            <v>Bedford</v>
          </cell>
        </row>
        <row r="3540">
          <cell r="A3540" t="str">
            <v>Shaniqua</v>
          </cell>
          <cell r="C3540">
            <v>8.2388258839223589E-3</v>
          </cell>
          <cell r="I3540" t="str">
            <v>Taggart</v>
          </cell>
        </row>
        <row r="3541">
          <cell r="A3541" t="str">
            <v>Shae</v>
          </cell>
          <cell r="C3541">
            <v>8.2277073604622736E-3</v>
          </cell>
          <cell r="I3541" t="str">
            <v>Spearman</v>
          </cell>
        </row>
        <row r="3542">
          <cell r="A3542" t="str">
            <v>Setsuko</v>
          </cell>
          <cell r="C3542">
            <v>8.2165888370021901E-3</v>
          </cell>
          <cell r="I3542" t="str">
            <v>Register</v>
          </cell>
        </row>
        <row r="3543">
          <cell r="A3543" t="str">
            <v>Serafina</v>
          </cell>
          <cell r="C3543">
            <v>8.2054703135421066E-3</v>
          </cell>
          <cell r="I3543" t="str">
            <v>Prichard</v>
          </cell>
        </row>
        <row r="3544">
          <cell r="A3544" t="str">
            <v>Sandee</v>
          </cell>
          <cell r="C3544">
            <v>8.1943517900820214E-3</v>
          </cell>
          <cell r="I3544" t="str">
            <v>Morrill</v>
          </cell>
        </row>
        <row r="3545">
          <cell r="A3545" t="str">
            <v>Rosamaria</v>
          </cell>
          <cell r="C3545">
            <v>8.1832332666219379E-3</v>
          </cell>
          <cell r="I3545" t="str">
            <v>Koonce</v>
          </cell>
        </row>
        <row r="3546">
          <cell r="A3546" t="str">
            <v>Priscila</v>
          </cell>
          <cell r="C3546">
            <v>8.1721147431618527E-3</v>
          </cell>
          <cell r="I3546" t="str">
            <v>Heinz</v>
          </cell>
        </row>
        <row r="3547">
          <cell r="A3547" t="str">
            <v>Olinda</v>
          </cell>
          <cell r="C3547">
            <v>8.1609962197017692E-3</v>
          </cell>
          <cell r="I3547" t="str">
            <v>Hedges</v>
          </cell>
        </row>
        <row r="3548">
          <cell r="A3548" t="str">
            <v>Nadene</v>
          </cell>
          <cell r="C3548">
            <v>8.1498776962416856E-3</v>
          </cell>
          <cell r="I3548" t="str">
            <v>Guenther</v>
          </cell>
        </row>
        <row r="3549">
          <cell r="A3549" t="str">
            <v>Muoi</v>
          </cell>
          <cell r="C3549">
            <v>8.1387591727816004E-3</v>
          </cell>
          <cell r="I3549" t="str">
            <v>Grice</v>
          </cell>
        </row>
        <row r="3550">
          <cell r="A3550" t="str">
            <v>Michelina</v>
          </cell>
          <cell r="C3550">
            <v>8.1276406493215169E-3</v>
          </cell>
          <cell r="I3550" t="str">
            <v>Findley</v>
          </cell>
        </row>
        <row r="3551">
          <cell r="A3551" t="str">
            <v>Mercedez</v>
          </cell>
          <cell r="C3551">
            <v>8.1165221258614334E-3</v>
          </cell>
          <cell r="I3551" t="str">
            <v>Earle</v>
          </cell>
        </row>
        <row r="3552">
          <cell r="A3552" t="str">
            <v>Maryrose</v>
          </cell>
          <cell r="C3552">
            <v>8.1054036024013482E-3</v>
          </cell>
          <cell r="I3552" t="str">
            <v>Dover</v>
          </cell>
        </row>
        <row r="3553">
          <cell r="A3553" t="str">
            <v>Marin</v>
          </cell>
          <cell r="C3553">
            <v>8.0942850789412647E-3</v>
          </cell>
          <cell r="I3553" t="str">
            <v>Creighton</v>
          </cell>
        </row>
        <row r="3554">
          <cell r="A3554" t="str">
            <v>Marcene</v>
          </cell>
          <cell r="C3554">
            <v>8.0831665554811794E-3</v>
          </cell>
          <cell r="I3554" t="str">
            <v>Boothe</v>
          </cell>
        </row>
        <row r="3555">
          <cell r="A3555" t="str">
            <v>Mao</v>
          </cell>
          <cell r="C3555">
            <v>8.0720480320210959E-3</v>
          </cell>
          <cell r="I3555" t="str">
            <v>Bayer</v>
          </cell>
        </row>
        <row r="3556">
          <cell r="A3556" t="str">
            <v>Magali</v>
          </cell>
          <cell r="C3556">
            <v>8.0609295085610124E-3</v>
          </cell>
          <cell r="I3556" t="str">
            <v>Arreola</v>
          </cell>
        </row>
        <row r="3557">
          <cell r="A3557" t="str">
            <v>Mafalda</v>
          </cell>
          <cell r="C3557">
            <v>8.0498109851009272E-3</v>
          </cell>
          <cell r="I3557" t="str">
            <v>Vitale</v>
          </cell>
        </row>
        <row r="3558">
          <cell r="A3558" t="str">
            <v>Logan</v>
          </cell>
          <cell r="C3558">
            <v>8.0386924616408437E-3</v>
          </cell>
          <cell r="I3558" t="str">
            <v>Valles</v>
          </cell>
        </row>
        <row r="3559">
          <cell r="A3559" t="str">
            <v>Linn</v>
          </cell>
          <cell r="C3559">
            <v>8.0275739381807602E-3</v>
          </cell>
          <cell r="I3559" t="str">
            <v>See</v>
          </cell>
        </row>
        <row r="3560">
          <cell r="A3560" t="str">
            <v>Lannie</v>
          </cell>
          <cell r="C3560">
            <v>8.0164554147206749E-3</v>
          </cell>
          <cell r="I3560" t="str">
            <v>Raney</v>
          </cell>
        </row>
        <row r="3561">
          <cell r="A3561" t="str">
            <v>Kayce</v>
          </cell>
          <cell r="C3561">
            <v>8.0053368912605914E-3</v>
          </cell>
          <cell r="I3561" t="str">
            <v>Peter</v>
          </cell>
        </row>
        <row r="3562">
          <cell r="A3562" t="str">
            <v>Karoline</v>
          </cell>
          <cell r="C3562">
            <v>7.9942183678005062E-3</v>
          </cell>
          <cell r="I3562" t="str">
            <v>Osgood</v>
          </cell>
        </row>
        <row r="3563">
          <cell r="A3563" t="str">
            <v>Kamilah</v>
          </cell>
          <cell r="C3563">
            <v>7.9830998443404227E-3</v>
          </cell>
          <cell r="I3563" t="str">
            <v>Lowell</v>
          </cell>
        </row>
        <row r="3564">
          <cell r="A3564" t="str">
            <v>Kamala</v>
          </cell>
          <cell r="C3564">
            <v>7.9719813208803392E-3</v>
          </cell>
          <cell r="I3564" t="str">
            <v>Hanlon</v>
          </cell>
        </row>
        <row r="3565">
          <cell r="A3565" t="str">
            <v>Justa</v>
          </cell>
          <cell r="C3565">
            <v>7.9608627974202539E-3</v>
          </cell>
          <cell r="I3565" t="str">
            <v>Burley</v>
          </cell>
        </row>
        <row r="3566">
          <cell r="A3566" t="str">
            <v>Joline</v>
          </cell>
          <cell r="C3566">
            <v>7.9497442739601704E-3</v>
          </cell>
          <cell r="I3566" t="str">
            <v>Bounds</v>
          </cell>
        </row>
        <row r="3567">
          <cell r="A3567" t="str">
            <v>Jennine</v>
          </cell>
          <cell r="C3567">
            <v>7.9386257505000869E-3</v>
          </cell>
          <cell r="I3567" t="str">
            <v>Worden</v>
          </cell>
        </row>
        <row r="3568">
          <cell r="A3568" t="str">
            <v>Jacquetta</v>
          </cell>
          <cell r="C3568">
            <v>7.9275072270400017E-3</v>
          </cell>
          <cell r="I3568" t="str">
            <v>Weatherly</v>
          </cell>
        </row>
        <row r="3569">
          <cell r="A3569" t="str">
            <v>Iraida</v>
          </cell>
          <cell r="C3569">
            <v>7.9163887035799182E-3</v>
          </cell>
          <cell r="I3569" t="str">
            <v>Vetter</v>
          </cell>
        </row>
        <row r="3570">
          <cell r="A3570" t="str">
            <v>Gerald</v>
          </cell>
          <cell r="C3570">
            <v>7.9052701801198329E-3</v>
          </cell>
          <cell r="I3570" t="str">
            <v>Tanaka</v>
          </cell>
        </row>
        <row r="3571">
          <cell r="A3571" t="str">
            <v>Georgeanna</v>
          </cell>
          <cell r="C3571">
            <v>7.8941516566597494E-3</v>
          </cell>
          <cell r="I3571" t="str">
            <v>Stiltner</v>
          </cell>
        </row>
        <row r="3572">
          <cell r="A3572" t="str">
            <v>Franchesca</v>
          </cell>
          <cell r="C3572">
            <v>7.8830331331996659E-3</v>
          </cell>
          <cell r="I3572" t="str">
            <v>Sell</v>
          </cell>
        </row>
        <row r="3573">
          <cell r="A3573" t="str">
            <v>Fairy</v>
          </cell>
          <cell r="C3573">
            <v>7.8719146097395807E-3</v>
          </cell>
          <cell r="I3573" t="str">
            <v>Nevarez</v>
          </cell>
        </row>
        <row r="3574">
          <cell r="A3574" t="str">
            <v>Emeline</v>
          </cell>
          <cell r="C3574">
            <v>7.8607960862794972E-3</v>
          </cell>
          <cell r="I3574" t="str">
            <v>Mosby</v>
          </cell>
        </row>
        <row r="3575">
          <cell r="A3575" t="str">
            <v>Elane</v>
          </cell>
          <cell r="C3575">
            <v>7.8496775628194137E-3</v>
          </cell>
          <cell r="I3575" t="str">
            <v>Montero</v>
          </cell>
        </row>
        <row r="3576">
          <cell r="A3576" t="str">
            <v>Ehtel</v>
          </cell>
          <cell r="C3576">
            <v>7.8385590393593284E-3</v>
          </cell>
          <cell r="I3576" t="str">
            <v>Melancon</v>
          </cell>
        </row>
        <row r="3577">
          <cell r="A3577" t="str">
            <v>Earlie</v>
          </cell>
          <cell r="C3577">
            <v>7.8274405158992449E-3</v>
          </cell>
          <cell r="I3577" t="str">
            <v>Harter</v>
          </cell>
        </row>
        <row r="3578">
          <cell r="A3578" t="str">
            <v>Dulcie</v>
          </cell>
          <cell r="C3578">
            <v>7.8163219924391597E-3</v>
          </cell>
          <cell r="I3578" t="str">
            <v>Hamer</v>
          </cell>
        </row>
        <row r="3579">
          <cell r="A3579" t="str">
            <v>Dalene</v>
          </cell>
          <cell r="C3579">
            <v>7.8052034689790762E-3</v>
          </cell>
          <cell r="I3579" t="str">
            <v>Goble</v>
          </cell>
        </row>
        <row r="3580">
          <cell r="A3580" t="str">
            <v>Cris</v>
          </cell>
          <cell r="C3580">
            <v>7.7940849455189918E-3</v>
          </cell>
          <cell r="I3580" t="str">
            <v>Gladden</v>
          </cell>
        </row>
        <row r="3581">
          <cell r="A3581" t="str">
            <v>Classie</v>
          </cell>
          <cell r="C3581">
            <v>7.7829664220589083E-3</v>
          </cell>
          <cell r="I3581" t="str">
            <v>Gist</v>
          </cell>
        </row>
        <row r="3582">
          <cell r="A3582" t="str">
            <v>Chere</v>
          </cell>
          <cell r="C3582">
            <v>7.771847898598824E-3</v>
          </cell>
          <cell r="I3582" t="str">
            <v>Ginn</v>
          </cell>
        </row>
        <row r="3583">
          <cell r="A3583" t="str">
            <v>Charis</v>
          </cell>
          <cell r="C3583">
            <v>7.7607293751387396E-3</v>
          </cell>
          <cell r="I3583" t="str">
            <v>Akin</v>
          </cell>
        </row>
        <row r="3584">
          <cell r="A3584" t="str">
            <v>Caroyln</v>
          </cell>
          <cell r="C3584">
            <v>7.7496108516786552E-3</v>
          </cell>
          <cell r="I3584" t="str">
            <v>Zaragoza</v>
          </cell>
        </row>
        <row r="3585">
          <cell r="A3585" t="str">
            <v>Carmina</v>
          </cell>
          <cell r="C3585">
            <v>7.7384923282185717E-3</v>
          </cell>
          <cell r="I3585" t="str">
            <v>Towns</v>
          </cell>
        </row>
        <row r="3586">
          <cell r="A3586" t="str">
            <v>Carita</v>
          </cell>
          <cell r="C3586">
            <v>7.7273738047584873E-3</v>
          </cell>
          <cell r="I3586" t="str">
            <v>Tarver</v>
          </cell>
        </row>
        <row r="3587">
          <cell r="A3587" t="str">
            <v>Brian</v>
          </cell>
          <cell r="C3587">
            <v>7.716255281298403E-3</v>
          </cell>
          <cell r="I3587" t="str">
            <v>Sammons</v>
          </cell>
        </row>
        <row r="3588">
          <cell r="A3588" t="str">
            <v>Bethanie</v>
          </cell>
          <cell r="C3588">
            <v>7.7051367578383186E-3</v>
          </cell>
          <cell r="I3588" t="str">
            <v>Royster</v>
          </cell>
        </row>
        <row r="3589">
          <cell r="A3589" t="str">
            <v>Ayako</v>
          </cell>
          <cell r="C3589">
            <v>7.6940182343782351E-3</v>
          </cell>
          <cell r="I3589" t="str">
            <v>Oreilly</v>
          </cell>
        </row>
        <row r="3590">
          <cell r="A3590" t="str">
            <v>Arica</v>
          </cell>
          <cell r="C3590">
            <v>7.6828997109181507E-3</v>
          </cell>
          <cell r="I3590" t="str">
            <v>Muir</v>
          </cell>
        </row>
        <row r="3591">
          <cell r="A3591" t="str">
            <v>An</v>
          </cell>
          <cell r="C3591">
            <v>7.6717811874580663E-3</v>
          </cell>
          <cell r="I3591" t="str">
            <v>Morehead</v>
          </cell>
        </row>
        <row r="3592">
          <cell r="A3592" t="str">
            <v>Alysa</v>
          </cell>
          <cell r="C3592">
            <v>7.660662663997982E-3</v>
          </cell>
          <cell r="I3592" t="str">
            <v>Luster</v>
          </cell>
        </row>
        <row r="3593">
          <cell r="A3593" t="str">
            <v>Alessandra</v>
          </cell>
          <cell r="C3593">
            <v>7.6495441405378985E-3</v>
          </cell>
          <cell r="I3593" t="str">
            <v>Kingsley</v>
          </cell>
        </row>
        <row r="3594">
          <cell r="A3594" t="str">
            <v>Akilah</v>
          </cell>
          <cell r="C3594">
            <v>7.6384256170778141E-3</v>
          </cell>
          <cell r="I3594" t="str">
            <v>Kelso</v>
          </cell>
        </row>
        <row r="3595">
          <cell r="A3595" t="str">
            <v>Adrien</v>
          </cell>
          <cell r="C3595">
            <v>7.6273070936177297E-3</v>
          </cell>
          <cell r="I3595" t="str">
            <v>Grisham</v>
          </cell>
        </row>
        <row r="3596">
          <cell r="A3596" t="str">
            <v>Zetta</v>
          </cell>
          <cell r="C3596">
            <v>7.6161885701576454E-3</v>
          </cell>
          <cell r="I3596" t="str">
            <v>Glynn</v>
          </cell>
        </row>
        <row r="3597">
          <cell r="A3597" t="str">
            <v>Youlanda</v>
          </cell>
          <cell r="C3597">
            <v>7.6050700466975618E-3</v>
          </cell>
          <cell r="I3597" t="str">
            <v>Baumann</v>
          </cell>
        </row>
        <row r="3598">
          <cell r="A3598" t="str">
            <v>Yelena</v>
          </cell>
          <cell r="C3598">
            <v>7.5939515232374775E-3</v>
          </cell>
          <cell r="I3598" t="str">
            <v>Alves</v>
          </cell>
        </row>
        <row r="3599">
          <cell r="A3599" t="str">
            <v>Yahaira</v>
          </cell>
          <cell r="C3599">
            <v>7.5828329997773931E-3</v>
          </cell>
          <cell r="I3599" t="str">
            <v>Yount</v>
          </cell>
        </row>
        <row r="3600">
          <cell r="A3600" t="str">
            <v>Xuan</v>
          </cell>
          <cell r="C3600">
            <v>7.5717144763173087E-3</v>
          </cell>
          <cell r="I3600" t="str">
            <v>Tamayo</v>
          </cell>
        </row>
        <row r="3601">
          <cell r="A3601" t="str">
            <v>Wendolyn</v>
          </cell>
          <cell r="C3601">
            <v>7.5605959528572252E-3</v>
          </cell>
          <cell r="I3601" t="str">
            <v>Tam</v>
          </cell>
        </row>
        <row r="3602">
          <cell r="A3602" t="str">
            <v>Victor</v>
          </cell>
          <cell r="C3602">
            <v>7.5494774293971409E-3</v>
          </cell>
          <cell r="I3602" t="str">
            <v>Paterson</v>
          </cell>
        </row>
        <row r="3603">
          <cell r="A3603" t="str">
            <v>Tijuana</v>
          </cell>
          <cell r="C3603">
            <v>7.5383589059370565E-3</v>
          </cell>
          <cell r="I3603" t="str">
            <v>Oates</v>
          </cell>
        </row>
        <row r="3604">
          <cell r="A3604" t="str">
            <v>Terrell</v>
          </cell>
          <cell r="C3604">
            <v>7.5272403824769721E-3</v>
          </cell>
          <cell r="I3604" t="str">
            <v>Menendez</v>
          </cell>
        </row>
        <row r="3605">
          <cell r="A3605" t="str">
            <v>Terina</v>
          </cell>
          <cell r="C3605">
            <v>7.5161218590168886E-3</v>
          </cell>
          <cell r="I3605" t="str">
            <v>Longo</v>
          </cell>
        </row>
        <row r="3606">
          <cell r="A3606" t="str">
            <v>Teresia</v>
          </cell>
          <cell r="C3606">
            <v>7.5050033355568042E-3</v>
          </cell>
          <cell r="I3606" t="str">
            <v>Hargis</v>
          </cell>
        </row>
        <row r="3607">
          <cell r="A3607" t="str">
            <v>Suzi</v>
          </cell>
          <cell r="C3607">
            <v>7.4938848120967199E-3</v>
          </cell>
          <cell r="I3607" t="str">
            <v>Greenlee</v>
          </cell>
        </row>
        <row r="3608">
          <cell r="A3608" t="str">
            <v>Sunday</v>
          </cell>
          <cell r="C3608">
            <v>7.4827662886366355E-3</v>
          </cell>
          <cell r="I3608" t="str">
            <v>Gillen</v>
          </cell>
        </row>
        <row r="3609">
          <cell r="A3609" t="str">
            <v>Sherell</v>
          </cell>
          <cell r="C3609">
            <v>7.471647765176552E-3</v>
          </cell>
          <cell r="I3609" t="str">
            <v>Desantis</v>
          </cell>
        </row>
        <row r="3610">
          <cell r="A3610" t="str">
            <v>Shavonda</v>
          </cell>
          <cell r="C3610">
            <v>7.4605292417164676E-3</v>
          </cell>
          <cell r="I3610" t="str">
            <v>Conover</v>
          </cell>
        </row>
        <row r="3611">
          <cell r="A3611" t="str">
            <v>Shaunte</v>
          </cell>
          <cell r="C3611">
            <v>7.4494107182563832E-3</v>
          </cell>
          <cell r="I3611" t="str">
            <v>Breedlove</v>
          </cell>
        </row>
        <row r="3612">
          <cell r="A3612" t="str">
            <v>Sharda</v>
          </cell>
          <cell r="C3612">
            <v>7.4382921947962989E-3</v>
          </cell>
          <cell r="I3612" t="str">
            <v>Wayne</v>
          </cell>
        </row>
        <row r="3613">
          <cell r="A3613" t="str">
            <v>Shakita</v>
          </cell>
          <cell r="C3613">
            <v>7.4271736713362154E-3</v>
          </cell>
          <cell r="I3613" t="str">
            <v>Sumpter</v>
          </cell>
        </row>
        <row r="3614">
          <cell r="A3614" t="str">
            <v>Sena</v>
          </cell>
          <cell r="C3614">
            <v>7.416055147876131E-3</v>
          </cell>
          <cell r="I3614" t="str">
            <v>Scherer</v>
          </cell>
        </row>
        <row r="3615">
          <cell r="A3615" t="str">
            <v>Ryann</v>
          </cell>
          <cell r="C3615">
            <v>7.4049366244160466E-3</v>
          </cell>
          <cell r="I3615" t="str">
            <v>Rupp</v>
          </cell>
        </row>
        <row r="3616">
          <cell r="A3616" t="str">
            <v>Rubi</v>
          </cell>
          <cell r="C3616">
            <v>7.3938181009559623E-3</v>
          </cell>
          <cell r="I3616" t="str">
            <v>Reichert</v>
          </cell>
        </row>
        <row r="3617">
          <cell r="A3617" t="str">
            <v>Riva</v>
          </cell>
          <cell r="C3617">
            <v>7.3826995774958788E-3</v>
          </cell>
          <cell r="I3617" t="str">
            <v>Heredia</v>
          </cell>
        </row>
        <row r="3618">
          <cell r="A3618" t="str">
            <v>Reginia</v>
          </cell>
          <cell r="C3618">
            <v>7.3715810540357944E-3</v>
          </cell>
          <cell r="I3618" t="str">
            <v>Fallon</v>
          </cell>
        </row>
        <row r="3619">
          <cell r="A3619" t="str">
            <v>Rea</v>
          </cell>
          <cell r="C3619">
            <v>7.36046253057571E-3</v>
          </cell>
          <cell r="I3619" t="str">
            <v>Creel</v>
          </cell>
        </row>
        <row r="3620">
          <cell r="A3620" t="str">
            <v>Rachal</v>
          </cell>
          <cell r="C3620">
            <v>7.3493440071156256E-3</v>
          </cell>
          <cell r="I3620" t="str">
            <v>Cohn</v>
          </cell>
        </row>
        <row r="3621">
          <cell r="A3621" t="str">
            <v>Parthenia</v>
          </cell>
          <cell r="C3621">
            <v>7.3382254836555421E-3</v>
          </cell>
          <cell r="I3621" t="str">
            <v>Clemmons</v>
          </cell>
        </row>
        <row r="3622">
          <cell r="A3622" t="str">
            <v>Pamula</v>
          </cell>
          <cell r="C3622">
            <v>7.3271069601954578E-3</v>
          </cell>
          <cell r="I3622" t="str">
            <v>Casas</v>
          </cell>
        </row>
        <row r="3623">
          <cell r="A3623" t="str">
            <v>Monnie</v>
          </cell>
          <cell r="C3623">
            <v>7.3159884367353734E-3</v>
          </cell>
          <cell r="I3623" t="str">
            <v>Bickford</v>
          </cell>
        </row>
        <row r="3624">
          <cell r="A3624" t="str">
            <v>Monet</v>
          </cell>
          <cell r="C3624">
            <v>7.304869913275289E-3</v>
          </cell>
          <cell r="I3624" t="str">
            <v>Belton</v>
          </cell>
        </row>
        <row r="3625">
          <cell r="A3625" t="str">
            <v>Michaele</v>
          </cell>
          <cell r="C3625">
            <v>7.2937513898152055E-3</v>
          </cell>
          <cell r="I3625" t="str">
            <v>Bach</v>
          </cell>
        </row>
        <row r="3626">
          <cell r="A3626" t="str">
            <v>Melia</v>
          </cell>
          <cell r="C3626">
            <v>7.2826328663551211E-3</v>
          </cell>
          <cell r="I3626" t="str">
            <v>Williford</v>
          </cell>
        </row>
        <row r="3627">
          <cell r="A3627" t="str">
            <v>Marine</v>
          </cell>
          <cell r="C3627">
            <v>7.2715143428950368E-3</v>
          </cell>
          <cell r="I3627" t="str">
            <v>Whitcomb</v>
          </cell>
        </row>
        <row r="3628">
          <cell r="A3628" t="str">
            <v>Malka</v>
          </cell>
          <cell r="C3628">
            <v>7.2603958194349524E-3</v>
          </cell>
          <cell r="I3628" t="str">
            <v>Tennant</v>
          </cell>
        </row>
        <row r="3629">
          <cell r="A3629" t="str">
            <v>Maisha</v>
          </cell>
          <cell r="C3629">
            <v>7.2492772959748689E-3</v>
          </cell>
          <cell r="I3629" t="str">
            <v>Sutter</v>
          </cell>
        </row>
        <row r="3630">
          <cell r="A3630" t="str">
            <v>Lisandra</v>
          </cell>
          <cell r="C3630">
            <v>7.2381587725147845E-3</v>
          </cell>
          <cell r="I3630" t="str">
            <v>Stull</v>
          </cell>
        </row>
        <row r="3631">
          <cell r="A3631" t="str">
            <v>Leo</v>
          </cell>
          <cell r="C3631">
            <v>7.2270402490547002E-3</v>
          </cell>
          <cell r="I3631" t="str">
            <v>Sessions</v>
          </cell>
        </row>
        <row r="3632">
          <cell r="A3632" t="str">
            <v>Lekisha</v>
          </cell>
          <cell r="C3632">
            <v>7.2159217255946158E-3</v>
          </cell>
          <cell r="I3632" t="str">
            <v>Mccallum</v>
          </cell>
        </row>
        <row r="3633">
          <cell r="A3633" t="str">
            <v>Lean</v>
          </cell>
          <cell r="C3633">
            <v>7.2048032021345323E-3</v>
          </cell>
          <cell r="I3633" t="str">
            <v>Manson</v>
          </cell>
        </row>
        <row r="3634">
          <cell r="A3634" t="str">
            <v>Laurence</v>
          </cell>
          <cell r="C3634">
            <v>7.1936846786744479E-3</v>
          </cell>
          <cell r="I3634" t="str">
            <v>Langlois</v>
          </cell>
        </row>
        <row r="3635">
          <cell r="A3635" t="str">
            <v>Lakendra</v>
          </cell>
          <cell r="C3635">
            <v>7.1825661552143635E-3</v>
          </cell>
          <cell r="I3635" t="str">
            <v>Keel</v>
          </cell>
        </row>
        <row r="3636">
          <cell r="A3636" t="str">
            <v>Krystin</v>
          </cell>
          <cell r="C3636">
            <v>7.1714476317542792E-3</v>
          </cell>
          <cell r="I3636" t="str">
            <v>Keegan</v>
          </cell>
        </row>
        <row r="3637">
          <cell r="A3637" t="str">
            <v>Kortney</v>
          </cell>
          <cell r="C3637">
            <v>7.1603291082941957E-3</v>
          </cell>
          <cell r="I3637" t="str">
            <v>Emanuel</v>
          </cell>
        </row>
        <row r="3638">
          <cell r="A3638" t="str">
            <v>Kizzie</v>
          </cell>
          <cell r="C3638">
            <v>7.1492105848341113E-3</v>
          </cell>
          <cell r="I3638" t="str">
            <v>Dangelo</v>
          </cell>
        </row>
        <row r="3639">
          <cell r="A3639" t="str">
            <v>Kittie</v>
          </cell>
          <cell r="C3639">
            <v>7.1380920613740269E-3</v>
          </cell>
          <cell r="I3639" t="str">
            <v>Dancy</v>
          </cell>
        </row>
        <row r="3640">
          <cell r="A3640" t="str">
            <v>Kera</v>
          </cell>
          <cell r="C3640">
            <v>7.1269735379139425E-3</v>
          </cell>
          <cell r="I3640" t="str">
            <v>Damron</v>
          </cell>
        </row>
        <row r="3641">
          <cell r="A3641" t="str">
            <v>Kendal</v>
          </cell>
          <cell r="C3641">
            <v>7.115855014453859E-3</v>
          </cell>
          <cell r="I3641" t="str">
            <v>Clapp</v>
          </cell>
        </row>
        <row r="3642">
          <cell r="A3642" t="str">
            <v>Kemberly</v>
          </cell>
          <cell r="C3642">
            <v>7.1047364909937747E-3</v>
          </cell>
          <cell r="I3642" t="str">
            <v>Clanton</v>
          </cell>
        </row>
        <row r="3643">
          <cell r="A3643" t="str">
            <v>Kanisha</v>
          </cell>
          <cell r="C3643">
            <v>7.0936179675336903E-3</v>
          </cell>
          <cell r="I3643" t="str">
            <v>Bankston</v>
          </cell>
        </row>
        <row r="3644">
          <cell r="A3644" t="str">
            <v>Julene</v>
          </cell>
          <cell r="C3644">
            <v>7.0824994440736059E-3</v>
          </cell>
          <cell r="I3644" t="str">
            <v>Trinidad</v>
          </cell>
        </row>
        <row r="3645">
          <cell r="A3645" t="str">
            <v>Jule</v>
          </cell>
          <cell r="C3645">
            <v>7.0713809206135224E-3</v>
          </cell>
          <cell r="I3645" t="str">
            <v>Oliveira</v>
          </cell>
        </row>
        <row r="3646">
          <cell r="A3646" t="str">
            <v>Joshua</v>
          </cell>
          <cell r="C3646">
            <v>7.060262397153438E-3</v>
          </cell>
          <cell r="I3646" t="str">
            <v>Mintz</v>
          </cell>
        </row>
        <row r="3647">
          <cell r="A3647" t="str">
            <v>Johanne</v>
          </cell>
          <cell r="C3647">
            <v>7.0491438736933537E-3</v>
          </cell>
          <cell r="I3647" t="str">
            <v>Mcinnis</v>
          </cell>
        </row>
        <row r="3648">
          <cell r="A3648" t="str">
            <v>Jeffrey</v>
          </cell>
          <cell r="C3648">
            <v>7.0380253502332693E-3</v>
          </cell>
          <cell r="I3648" t="str">
            <v>Martens</v>
          </cell>
        </row>
        <row r="3649">
          <cell r="A3649" t="str">
            <v>Jamee</v>
          </cell>
          <cell r="C3649">
            <v>7.0269068267731858E-3</v>
          </cell>
          <cell r="I3649" t="str">
            <v>Mabe</v>
          </cell>
        </row>
        <row r="3650">
          <cell r="A3650" t="str">
            <v>Han</v>
          </cell>
          <cell r="C3650">
            <v>7.0157883033131014E-3</v>
          </cell>
          <cell r="I3650" t="str">
            <v>Laster</v>
          </cell>
        </row>
        <row r="3651">
          <cell r="A3651" t="str">
            <v>Halley</v>
          </cell>
          <cell r="C3651">
            <v>7.0046697798530171E-3</v>
          </cell>
          <cell r="I3651" t="str">
            <v>Jolley</v>
          </cell>
        </row>
        <row r="3652">
          <cell r="A3652" t="str">
            <v>Gidget</v>
          </cell>
          <cell r="C3652">
            <v>6.9935512563929327E-3</v>
          </cell>
          <cell r="I3652" t="str">
            <v>Irish</v>
          </cell>
        </row>
        <row r="3653">
          <cell r="A3653" t="str">
            <v>Galina</v>
          </cell>
          <cell r="C3653">
            <v>6.9824327329328492E-3</v>
          </cell>
          <cell r="I3653" t="str">
            <v>Hildreth</v>
          </cell>
        </row>
        <row r="3654">
          <cell r="A3654" t="str">
            <v>Fredricka</v>
          </cell>
          <cell r="C3654">
            <v>6.9713142094727648E-3</v>
          </cell>
          <cell r="I3654" t="str">
            <v>Hefner</v>
          </cell>
        </row>
        <row r="3655">
          <cell r="A3655" t="str">
            <v>Fleta</v>
          </cell>
          <cell r="C3655">
            <v>6.9601956860126804E-3</v>
          </cell>
          <cell r="I3655" t="str">
            <v>Glaser</v>
          </cell>
        </row>
        <row r="3656">
          <cell r="A3656" t="str">
            <v>Fatimah</v>
          </cell>
          <cell r="C3656">
            <v>6.9490771625525961E-3</v>
          </cell>
          <cell r="I3656" t="str">
            <v>Duckett</v>
          </cell>
        </row>
        <row r="3657">
          <cell r="A3657" t="str">
            <v>Eusebia</v>
          </cell>
          <cell r="C3657">
            <v>6.9379586390925126E-3</v>
          </cell>
          <cell r="I3657" t="str">
            <v>Demers</v>
          </cell>
        </row>
        <row r="3658">
          <cell r="A3658" t="str">
            <v>Elza</v>
          </cell>
          <cell r="C3658">
            <v>6.9268401156324282E-3</v>
          </cell>
          <cell r="I3658" t="str">
            <v>Brockman</v>
          </cell>
        </row>
        <row r="3659">
          <cell r="A3659" t="str">
            <v>Eleonore</v>
          </cell>
          <cell r="C3659">
            <v>6.9157215921723438E-3</v>
          </cell>
          <cell r="I3659" t="str">
            <v>Blais</v>
          </cell>
        </row>
        <row r="3660">
          <cell r="A3660" t="str">
            <v>Dorthey</v>
          </cell>
          <cell r="C3660">
            <v>6.9046030687122594E-3</v>
          </cell>
          <cell r="I3660" t="str">
            <v>Back</v>
          </cell>
        </row>
        <row r="3661">
          <cell r="A3661" t="str">
            <v>Doria</v>
          </cell>
          <cell r="C3661">
            <v>6.8934845452521759E-3</v>
          </cell>
          <cell r="I3661" t="str">
            <v>Alcorn</v>
          </cell>
        </row>
        <row r="3662">
          <cell r="A3662" t="str">
            <v>Donella</v>
          </cell>
          <cell r="C3662">
            <v>6.8823660217920916E-3</v>
          </cell>
          <cell r="I3662" t="str">
            <v>Agnew</v>
          </cell>
        </row>
        <row r="3663">
          <cell r="A3663" t="str">
            <v>Dinorah</v>
          </cell>
          <cell r="C3663">
            <v>6.8712474983320072E-3</v>
          </cell>
          <cell r="I3663" t="str">
            <v>Toliver</v>
          </cell>
        </row>
        <row r="3664">
          <cell r="A3664" t="str">
            <v>Delorse</v>
          </cell>
          <cell r="C3664">
            <v>6.8601289748719228E-3</v>
          </cell>
          <cell r="I3664" t="str">
            <v>Tice</v>
          </cell>
        </row>
        <row r="3665">
          <cell r="A3665" t="str">
            <v>Claretha</v>
          </cell>
          <cell r="C3665">
            <v>6.8490104514118393E-3</v>
          </cell>
          <cell r="I3665" t="str">
            <v>Song</v>
          </cell>
        </row>
        <row r="3666">
          <cell r="A3666" t="str">
            <v>Christinia</v>
          </cell>
          <cell r="C3666">
            <v>6.837891927951755E-3</v>
          </cell>
          <cell r="I3666" t="str">
            <v>Seeley</v>
          </cell>
        </row>
        <row r="3667">
          <cell r="A3667" t="str">
            <v>Charlyn</v>
          </cell>
          <cell r="C3667">
            <v>6.8267734044916706E-3</v>
          </cell>
          <cell r="I3667" t="str">
            <v>Najera</v>
          </cell>
        </row>
        <row r="3668">
          <cell r="A3668" t="str">
            <v>Bong</v>
          </cell>
          <cell r="C3668">
            <v>6.8156548810315862E-3</v>
          </cell>
          <cell r="I3668" t="str">
            <v>Musser</v>
          </cell>
        </row>
        <row r="3669">
          <cell r="A3669" t="str">
            <v>Belkis</v>
          </cell>
          <cell r="C3669">
            <v>6.8045363575715027E-3</v>
          </cell>
          <cell r="I3669" t="str">
            <v>Mcfall</v>
          </cell>
        </row>
        <row r="3670">
          <cell r="A3670" t="str">
            <v>Azzie</v>
          </cell>
          <cell r="C3670">
            <v>6.7934178341114183E-3</v>
          </cell>
          <cell r="I3670" t="str">
            <v>Laplante</v>
          </cell>
        </row>
        <row r="3671">
          <cell r="A3671" t="str">
            <v>Andera</v>
          </cell>
          <cell r="C3671">
            <v>6.782299310651334E-3</v>
          </cell>
          <cell r="I3671" t="str">
            <v>Galvin</v>
          </cell>
        </row>
        <row r="3672">
          <cell r="A3672" t="str">
            <v>Aiko</v>
          </cell>
          <cell r="C3672">
            <v>6.7711807871912496E-3</v>
          </cell>
          <cell r="I3672" t="str">
            <v>Fajardo</v>
          </cell>
        </row>
        <row r="3673">
          <cell r="A3673" t="str">
            <v>Adena</v>
          </cell>
          <cell r="C3673">
            <v>6.7600622637311661E-3</v>
          </cell>
          <cell r="I3673" t="str">
            <v>Doan</v>
          </cell>
        </row>
        <row r="3674">
          <cell r="A3674" t="str">
            <v>Yer</v>
          </cell>
          <cell r="C3674">
            <v>6.7489437402710817E-3</v>
          </cell>
          <cell r="I3674" t="str">
            <v>Coyne</v>
          </cell>
        </row>
        <row r="3675">
          <cell r="A3675" t="str">
            <v>Yajaira</v>
          </cell>
          <cell r="C3675">
            <v>6.7378252168109973E-3</v>
          </cell>
          <cell r="I3675" t="str">
            <v>Copley</v>
          </cell>
        </row>
        <row r="3676">
          <cell r="A3676" t="str">
            <v>Wan</v>
          </cell>
          <cell r="C3676">
            <v>6.726706693350913E-3</v>
          </cell>
          <cell r="I3676" t="str">
            <v>Clawson</v>
          </cell>
        </row>
        <row r="3677">
          <cell r="A3677" t="str">
            <v>Vania</v>
          </cell>
          <cell r="C3677">
            <v>6.7155881698908286E-3</v>
          </cell>
          <cell r="I3677" t="str">
            <v>Cheung</v>
          </cell>
        </row>
        <row r="3678">
          <cell r="A3678" t="str">
            <v>Ulrike</v>
          </cell>
          <cell r="C3678">
            <v>6.7044696464307451E-3</v>
          </cell>
          <cell r="I3678" t="str">
            <v>Barone</v>
          </cell>
        </row>
        <row r="3679">
          <cell r="A3679" t="str">
            <v>Toshia</v>
          </cell>
          <cell r="C3679">
            <v>6.6933511229706607E-3</v>
          </cell>
          <cell r="I3679" t="str">
            <v>Wynne</v>
          </cell>
        </row>
        <row r="3680">
          <cell r="A3680" t="str">
            <v>Tifany</v>
          </cell>
          <cell r="C3680">
            <v>6.6822325995105764E-3</v>
          </cell>
          <cell r="I3680" t="str">
            <v>Woodley</v>
          </cell>
        </row>
        <row r="3681">
          <cell r="A3681" t="str">
            <v>Stefany</v>
          </cell>
          <cell r="C3681">
            <v>6.671114076050492E-3</v>
          </cell>
          <cell r="I3681" t="str">
            <v>Tremblay</v>
          </cell>
        </row>
        <row r="3682">
          <cell r="A3682" t="str">
            <v>Shizue</v>
          </cell>
          <cell r="C3682">
            <v>6.6599955525904085E-3</v>
          </cell>
          <cell r="I3682" t="str">
            <v>Stoll</v>
          </cell>
        </row>
        <row r="3683">
          <cell r="A3683" t="str">
            <v>Shenika</v>
          </cell>
          <cell r="C3683">
            <v>6.6488770291303241E-3</v>
          </cell>
          <cell r="I3683" t="str">
            <v>Sparrow</v>
          </cell>
        </row>
        <row r="3684">
          <cell r="A3684" t="str">
            <v>Shawanna</v>
          </cell>
          <cell r="C3684">
            <v>6.6377585056702397E-3</v>
          </cell>
          <cell r="I3684" t="str">
            <v>Sparkman</v>
          </cell>
        </row>
        <row r="3685">
          <cell r="A3685" t="str">
            <v>Sharolyn</v>
          </cell>
          <cell r="C3685">
            <v>6.6266399822101554E-3</v>
          </cell>
          <cell r="I3685" t="str">
            <v>Schweitzer</v>
          </cell>
        </row>
        <row r="3686">
          <cell r="A3686" t="str">
            <v>Sharilyn</v>
          </cell>
          <cell r="C3686">
            <v>6.6155214587500719E-3</v>
          </cell>
          <cell r="I3686" t="str">
            <v>Sasser</v>
          </cell>
        </row>
        <row r="3687">
          <cell r="A3687" t="str">
            <v>Shaquana</v>
          </cell>
          <cell r="C3687">
            <v>6.6044029352899875E-3</v>
          </cell>
          <cell r="I3687" t="str">
            <v>Samples</v>
          </cell>
        </row>
        <row r="3688">
          <cell r="A3688" t="str">
            <v>Shantay</v>
          </cell>
          <cell r="C3688">
            <v>6.5932844118299031E-3</v>
          </cell>
          <cell r="I3688" t="str">
            <v>Roney</v>
          </cell>
        </row>
        <row r="3689">
          <cell r="A3689" t="str">
            <v>See</v>
          </cell>
          <cell r="C3689">
            <v>6.5821658883698187E-3</v>
          </cell>
          <cell r="I3689" t="str">
            <v>Ramon</v>
          </cell>
        </row>
        <row r="3690">
          <cell r="A3690" t="str">
            <v>Rozanne</v>
          </cell>
          <cell r="C3690">
            <v>6.5710473649097352E-3</v>
          </cell>
          <cell r="I3690" t="str">
            <v>Legg</v>
          </cell>
        </row>
        <row r="3691">
          <cell r="A3691" t="str">
            <v>Roselee</v>
          </cell>
          <cell r="C3691">
            <v>6.5599288414496509E-3</v>
          </cell>
          <cell r="I3691" t="str">
            <v>Lai</v>
          </cell>
        </row>
        <row r="3692">
          <cell r="A3692" t="str">
            <v>Rickie</v>
          </cell>
          <cell r="C3692">
            <v>6.5488103179895665E-3</v>
          </cell>
          <cell r="I3692" t="str">
            <v>Joe</v>
          </cell>
        </row>
        <row r="3693">
          <cell r="A3693" t="str">
            <v>Remona</v>
          </cell>
          <cell r="C3693">
            <v>6.5376917945294821E-3</v>
          </cell>
          <cell r="I3693" t="str">
            <v>Heim</v>
          </cell>
        </row>
        <row r="3694">
          <cell r="A3694" t="str">
            <v>Reanna</v>
          </cell>
          <cell r="C3694">
            <v>6.5265732710693986E-3</v>
          </cell>
          <cell r="I3694" t="str">
            <v>Farias</v>
          </cell>
        </row>
        <row r="3695">
          <cell r="A3695" t="str">
            <v>Raelene</v>
          </cell>
          <cell r="C3695">
            <v>6.5154547476093142E-3</v>
          </cell>
          <cell r="I3695" t="str">
            <v>Concepcion</v>
          </cell>
        </row>
        <row r="3696">
          <cell r="A3696" t="str">
            <v>Quinn</v>
          </cell>
          <cell r="C3696">
            <v>6.5043362241492299E-3</v>
          </cell>
          <cell r="I3696" t="str">
            <v>Colwell</v>
          </cell>
        </row>
        <row r="3697">
          <cell r="A3697" t="str">
            <v>Phung</v>
          </cell>
          <cell r="C3697">
            <v>6.4932177006891455E-3</v>
          </cell>
          <cell r="I3697" t="str">
            <v>Christman</v>
          </cell>
        </row>
        <row r="3698">
          <cell r="A3698" t="str">
            <v>Petronila</v>
          </cell>
          <cell r="C3698">
            <v>6.482099177229062E-3</v>
          </cell>
          <cell r="I3698" t="str">
            <v>Bratcher</v>
          </cell>
        </row>
        <row r="3699">
          <cell r="A3699" t="str">
            <v>Natacha</v>
          </cell>
          <cell r="C3699">
            <v>6.4709806537689776E-3</v>
          </cell>
          <cell r="I3699" t="str">
            <v>Alba</v>
          </cell>
        </row>
        <row r="3700">
          <cell r="A3700" t="str">
            <v>Nancey</v>
          </cell>
          <cell r="C3700">
            <v>6.4598621303088933E-3</v>
          </cell>
          <cell r="I3700" t="str">
            <v>Winchester</v>
          </cell>
        </row>
        <row r="3701">
          <cell r="A3701" t="str">
            <v>Myrl</v>
          </cell>
          <cell r="C3701">
            <v>6.4487436068488089E-3</v>
          </cell>
          <cell r="I3701" t="str">
            <v>Upshaw</v>
          </cell>
        </row>
        <row r="3702">
          <cell r="A3702" t="str">
            <v>Miyoko</v>
          </cell>
          <cell r="C3702">
            <v>6.4376250833887254E-3</v>
          </cell>
          <cell r="I3702" t="str">
            <v>Southerland</v>
          </cell>
        </row>
        <row r="3703">
          <cell r="A3703" t="str">
            <v>Miesha</v>
          </cell>
          <cell r="C3703">
            <v>6.426506559928641E-3</v>
          </cell>
          <cell r="I3703" t="str">
            <v>Sorrell</v>
          </cell>
        </row>
        <row r="3704">
          <cell r="A3704" t="str">
            <v>Merideth</v>
          </cell>
          <cell r="C3704">
            <v>6.4153880364685566E-3</v>
          </cell>
          <cell r="I3704" t="str">
            <v>Shay</v>
          </cell>
        </row>
        <row r="3705">
          <cell r="A3705" t="str">
            <v>Marvella</v>
          </cell>
          <cell r="C3705">
            <v>6.4042695130084723E-3</v>
          </cell>
          <cell r="I3705" t="str">
            <v>Sells</v>
          </cell>
        </row>
        <row r="3706">
          <cell r="A3706" t="str">
            <v>Marquitta</v>
          </cell>
          <cell r="C3706">
            <v>6.3931509895483888E-3</v>
          </cell>
          <cell r="I3706" t="str">
            <v>Mount</v>
          </cell>
        </row>
        <row r="3707">
          <cell r="A3707" t="str">
            <v>Marhta</v>
          </cell>
          <cell r="C3707">
            <v>6.3820324660883044E-3</v>
          </cell>
          <cell r="I3707" t="str">
            <v>Mccloskey</v>
          </cell>
        </row>
        <row r="3708">
          <cell r="A3708" t="str">
            <v>Marchelle</v>
          </cell>
          <cell r="C3708">
            <v>6.37091394262822E-3</v>
          </cell>
          <cell r="I3708" t="str">
            <v>Martindale</v>
          </cell>
        </row>
        <row r="3709">
          <cell r="A3709" t="str">
            <v>Lizeth</v>
          </cell>
          <cell r="C3709">
            <v>6.3597954191681356E-3</v>
          </cell>
          <cell r="I3709" t="str">
            <v>Luttrell</v>
          </cell>
        </row>
        <row r="3710">
          <cell r="A3710" t="str">
            <v>Libbie</v>
          </cell>
          <cell r="C3710">
            <v>6.3486768957080521E-3</v>
          </cell>
          <cell r="I3710" t="str">
            <v>Loveless</v>
          </cell>
        </row>
        <row r="3711">
          <cell r="A3711" t="str">
            <v>Lahoma</v>
          </cell>
          <cell r="C3711">
            <v>6.3375583722479678E-3</v>
          </cell>
          <cell r="I3711" t="str">
            <v>Lovejoy</v>
          </cell>
        </row>
        <row r="3712">
          <cell r="A3712" t="str">
            <v>Ladawn</v>
          </cell>
          <cell r="C3712">
            <v>6.3264398487878834E-3</v>
          </cell>
          <cell r="I3712" t="str">
            <v>Linares</v>
          </cell>
        </row>
        <row r="3713">
          <cell r="A3713" t="str">
            <v>Kina</v>
          </cell>
          <cell r="C3713">
            <v>6.315321325327799E-3</v>
          </cell>
          <cell r="I3713" t="str">
            <v>Latimer</v>
          </cell>
        </row>
        <row r="3714">
          <cell r="A3714" t="str">
            <v>Katheleen</v>
          </cell>
          <cell r="C3714">
            <v>6.3042028018677155E-3</v>
          </cell>
          <cell r="I3714" t="str">
            <v>Holly</v>
          </cell>
        </row>
        <row r="3715">
          <cell r="A3715" t="str">
            <v>Katharyn</v>
          </cell>
          <cell r="C3715">
            <v>6.2930842784076312E-3</v>
          </cell>
          <cell r="I3715" t="str">
            <v>Embry</v>
          </cell>
        </row>
        <row r="3716">
          <cell r="A3716" t="str">
            <v>Karisa</v>
          </cell>
          <cell r="C3716">
            <v>6.2819657549475468E-3</v>
          </cell>
          <cell r="I3716" t="str">
            <v>Coombs</v>
          </cell>
        </row>
        <row r="3717">
          <cell r="A3717" t="str">
            <v>Kaleigh</v>
          </cell>
          <cell r="C3717">
            <v>6.2708472314874624E-3</v>
          </cell>
          <cell r="I3717" t="str">
            <v>Bratton</v>
          </cell>
        </row>
        <row r="3718">
          <cell r="A3718" t="str">
            <v>Junie</v>
          </cell>
          <cell r="C3718">
            <v>6.2597287080273789E-3</v>
          </cell>
          <cell r="I3718" t="str">
            <v>Bostick</v>
          </cell>
        </row>
        <row r="3719">
          <cell r="A3719" t="str">
            <v>Julieann</v>
          </cell>
          <cell r="C3719">
            <v>6.2486101845672945E-3</v>
          </cell>
          <cell r="I3719" t="str">
            <v>Boss</v>
          </cell>
        </row>
        <row r="3720">
          <cell r="A3720" t="str">
            <v>Johnsie</v>
          </cell>
          <cell r="C3720">
            <v>6.2374916611072102E-3</v>
          </cell>
          <cell r="I3720" t="str">
            <v>Venable</v>
          </cell>
        </row>
        <row r="3721">
          <cell r="A3721" t="str">
            <v>Janean</v>
          </cell>
          <cell r="C3721">
            <v>6.2263731376471258E-3</v>
          </cell>
          <cell r="I3721" t="str">
            <v>Tuggle</v>
          </cell>
        </row>
        <row r="3722">
          <cell r="A3722" t="str">
            <v>Jaimee</v>
          </cell>
          <cell r="C3722">
            <v>6.2152546141870423E-3</v>
          </cell>
          <cell r="I3722" t="str">
            <v>Toro</v>
          </cell>
        </row>
        <row r="3723">
          <cell r="A3723" t="str">
            <v>Jackqueline</v>
          </cell>
          <cell r="C3723">
            <v>6.2041360907269579E-3</v>
          </cell>
          <cell r="I3723" t="str">
            <v>Staggs</v>
          </cell>
        </row>
        <row r="3724">
          <cell r="A3724" t="str">
            <v>Hisako</v>
          </cell>
          <cell r="C3724">
            <v>6.1930175672668735E-3</v>
          </cell>
          <cell r="I3724" t="str">
            <v>Sandlin</v>
          </cell>
        </row>
        <row r="3725">
          <cell r="A3725" t="str">
            <v>Herma</v>
          </cell>
          <cell r="C3725">
            <v>6.1818990438067892E-3</v>
          </cell>
          <cell r="I3725" t="str">
            <v>Jefferies</v>
          </cell>
        </row>
        <row r="3726">
          <cell r="A3726" t="str">
            <v>Helaine</v>
          </cell>
          <cell r="C3726">
            <v>6.1707805203467057E-3</v>
          </cell>
          <cell r="I3726" t="str">
            <v>Heckman</v>
          </cell>
        </row>
        <row r="3727">
          <cell r="A3727" t="str">
            <v>Gwyneth</v>
          </cell>
          <cell r="C3727">
            <v>6.1596619968866213E-3</v>
          </cell>
          <cell r="I3727" t="str">
            <v>Griffis</v>
          </cell>
        </row>
        <row r="3728">
          <cell r="A3728" t="str">
            <v>Glenn</v>
          </cell>
          <cell r="C3728">
            <v>6.1485434734265369E-3</v>
          </cell>
          <cell r="I3728" t="str">
            <v>Crayton</v>
          </cell>
        </row>
        <row r="3729">
          <cell r="A3729" t="str">
            <v>Gita</v>
          </cell>
          <cell r="C3729">
            <v>6.1374249499664526E-3</v>
          </cell>
          <cell r="I3729" t="str">
            <v>Clem</v>
          </cell>
        </row>
        <row r="3730">
          <cell r="A3730" t="str">
            <v>Eustolia</v>
          </cell>
          <cell r="C3730">
            <v>6.1263064265063691E-3</v>
          </cell>
          <cell r="I3730" t="str">
            <v>Button</v>
          </cell>
        </row>
        <row r="3731">
          <cell r="A3731" t="str">
            <v>Emelina</v>
          </cell>
          <cell r="C3731">
            <v>6.1151879030462847E-3</v>
          </cell>
          <cell r="I3731" t="str">
            <v>Browder</v>
          </cell>
        </row>
        <row r="3732">
          <cell r="A3732" t="str">
            <v>Elin</v>
          </cell>
          <cell r="C3732">
            <v>6.1040693795862003E-3</v>
          </cell>
          <cell r="I3732" t="str">
            <v>Allan</v>
          </cell>
        </row>
        <row r="3733">
          <cell r="A3733" t="str">
            <v>Edris</v>
          </cell>
          <cell r="C3733">
            <v>6.0929508561261159E-3</v>
          </cell>
          <cell r="I3733" t="str">
            <v>Thorton</v>
          </cell>
        </row>
        <row r="3734">
          <cell r="A3734" t="str">
            <v>Donnette</v>
          </cell>
          <cell r="C3734">
            <v>6.0818323326660324E-3</v>
          </cell>
          <cell r="I3734" t="str">
            <v>Sturgill</v>
          </cell>
        </row>
        <row r="3735">
          <cell r="A3735" t="str">
            <v>Donnetta</v>
          </cell>
          <cell r="C3735">
            <v>6.0707138092059481E-3</v>
          </cell>
          <cell r="I3735" t="str">
            <v>Sprouse</v>
          </cell>
        </row>
        <row r="3736">
          <cell r="A3736" t="str">
            <v>Dierdre</v>
          </cell>
          <cell r="C3736">
            <v>6.0595952857458637E-3</v>
          </cell>
          <cell r="I3736" t="str">
            <v>Royer</v>
          </cell>
        </row>
        <row r="3737">
          <cell r="A3737" t="str">
            <v>Denae</v>
          </cell>
          <cell r="C3737">
            <v>6.0484767622857793E-3</v>
          </cell>
          <cell r="I3737" t="str">
            <v>Rousseau</v>
          </cell>
        </row>
        <row r="3738">
          <cell r="A3738" t="str">
            <v>Darcel</v>
          </cell>
          <cell r="C3738">
            <v>6.0373582388256958E-3</v>
          </cell>
          <cell r="I3738" t="str">
            <v>Ridenour</v>
          </cell>
        </row>
        <row r="3739">
          <cell r="A3739" t="str">
            <v>Claude</v>
          </cell>
          <cell r="C3739">
            <v>6.0262397153656114E-3</v>
          </cell>
          <cell r="I3739" t="str">
            <v>Pogue</v>
          </cell>
        </row>
        <row r="3740">
          <cell r="A3740" t="str">
            <v>Clarisa</v>
          </cell>
          <cell r="C3740">
            <v>6.0151211919055271E-3</v>
          </cell>
          <cell r="I3740" t="str">
            <v>Perales</v>
          </cell>
        </row>
        <row r="3741">
          <cell r="A3741" t="str">
            <v>Cinderella</v>
          </cell>
          <cell r="C3741">
            <v>6.0040026684454427E-3</v>
          </cell>
          <cell r="I3741" t="str">
            <v>Peeples</v>
          </cell>
        </row>
        <row r="3742">
          <cell r="A3742" t="str">
            <v>Chia</v>
          </cell>
          <cell r="C3742">
            <v>5.9928841449853592E-3</v>
          </cell>
          <cell r="I3742" t="str">
            <v>Metzler</v>
          </cell>
        </row>
        <row r="3743">
          <cell r="A3743" t="str">
            <v>Charlesetta</v>
          </cell>
          <cell r="C3743">
            <v>5.9817656215252748E-3</v>
          </cell>
          <cell r="I3743" t="str">
            <v>Mesa</v>
          </cell>
        </row>
        <row r="3744">
          <cell r="A3744" t="str">
            <v>Charita</v>
          </cell>
          <cell r="C3744">
            <v>5.9706470980651905E-3</v>
          </cell>
          <cell r="I3744" t="str">
            <v>Mccutcheon</v>
          </cell>
        </row>
        <row r="3745">
          <cell r="A3745" t="str">
            <v>Celsa</v>
          </cell>
          <cell r="C3745">
            <v>5.9595285746051061E-3</v>
          </cell>
          <cell r="I3745" t="str">
            <v>Mcbee</v>
          </cell>
        </row>
        <row r="3746">
          <cell r="A3746" t="str">
            <v>Cassy</v>
          </cell>
          <cell r="C3746">
            <v>5.9484100511450226E-3</v>
          </cell>
          <cell r="I3746" t="str">
            <v>Jay</v>
          </cell>
        </row>
        <row r="3747">
          <cell r="A3747" t="str">
            <v>Cassi</v>
          </cell>
          <cell r="C3747">
            <v>5.9372915276849382E-3</v>
          </cell>
          <cell r="I3747" t="str">
            <v>Hornsby</v>
          </cell>
        </row>
        <row r="3748">
          <cell r="A3748" t="str">
            <v>Carlee</v>
          </cell>
          <cell r="C3748">
            <v>5.9261730042248538E-3</v>
          </cell>
          <cell r="I3748" t="str">
            <v>Heffner</v>
          </cell>
        </row>
        <row r="3749">
          <cell r="A3749" t="str">
            <v>Bruna</v>
          </cell>
          <cell r="C3749">
            <v>5.9150544807647695E-3</v>
          </cell>
          <cell r="I3749" t="str">
            <v>Corrigan</v>
          </cell>
        </row>
        <row r="3750">
          <cell r="A3750" t="str">
            <v>Brittaney</v>
          </cell>
          <cell r="C3750">
            <v>5.903935957304686E-3</v>
          </cell>
          <cell r="I3750" t="str">
            <v>Armijo</v>
          </cell>
        </row>
        <row r="3751">
          <cell r="A3751" t="str">
            <v>Brande</v>
          </cell>
          <cell r="C3751">
            <v>5.8928174338446016E-3</v>
          </cell>
          <cell r="I3751" t="str">
            <v>Vue</v>
          </cell>
        </row>
        <row r="3752">
          <cell r="A3752" t="str">
            <v>Billi</v>
          </cell>
          <cell r="C3752">
            <v>5.8816989103845172E-3</v>
          </cell>
          <cell r="I3752" t="str">
            <v>Romeo</v>
          </cell>
        </row>
        <row r="3753">
          <cell r="A3753" t="str">
            <v>Bao</v>
          </cell>
          <cell r="C3753">
            <v>5.8705803869244328E-3</v>
          </cell>
          <cell r="I3753" t="str">
            <v>Plante</v>
          </cell>
        </row>
        <row r="3754">
          <cell r="A3754" t="str">
            <v>Antonetta</v>
          </cell>
          <cell r="C3754">
            <v>5.8594618634643493E-3</v>
          </cell>
          <cell r="I3754" t="str">
            <v>Peyton</v>
          </cell>
        </row>
        <row r="3755">
          <cell r="A3755" t="str">
            <v>Angla</v>
          </cell>
          <cell r="C3755">
            <v>5.848343340004265E-3</v>
          </cell>
          <cell r="I3755" t="str">
            <v>Paredes</v>
          </cell>
        </row>
        <row r="3756">
          <cell r="A3756" t="str">
            <v>Angelyn</v>
          </cell>
          <cell r="C3756">
            <v>5.8372248165441806E-3</v>
          </cell>
          <cell r="I3756" t="str">
            <v>Macklin</v>
          </cell>
        </row>
        <row r="3757">
          <cell r="A3757" t="str">
            <v>Analisa</v>
          </cell>
          <cell r="C3757">
            <v>5.8261062930840962E-3</v>
          </cell>
          <cell r="I3757" t="str">
            <v>Hussey</v>
          </cell>
        </row>
        <row r="3758">
          <cell r="A3758" t="str">
            <v>Alane</v>
          </cell>
          <cell r="C3758">
            <v>5.8149877696240127E-3</v>
          </cell>
          <cell r="I3758" t="str">
            <v>Hodgson</v>
          </cell>
        </row>
        <row r="3759">
          <cell r="A3759" t="str">
            <v>Wenona</v>
          </cell>
          <cell r="C3759">
            <v>5.8038692461639283E-3</v>
          </cell>
          <cell r="I3759" t="str">
            <v>Granados</v>
          </cell>
        </row>
        <row r="3760">
          <cell r="A3760" t="str">
            <v>Wendie</v>
          </cell>
          <cell r="C3760">
            <v>5.792750722703844E-3</v>
          </cell>
          <cell r="I3760" t="str">
            <v>Frias</v>
          </cell>
        </row>
        <row r="3761">
          <cell r="A3761" t="str">
            <v>Veronique</v>
          </cell>
          <cell r="C3761">
            <v>5.7816321992437596E-3</v>
          </cell>
          <cell r="I3761" t="str">
            <v>Carman</v>
          </cell>
        </row>
        <row r="3762">
          <cell r="A3762" t="str">
            <v>Vannesa</v>
          </cell>
          <cell r="C3762">
            <v>5.7705136757836761E-3</v>
          </cell>
          <cell r="I3762" t="str">
            <v>Brent</v>
          </cell>
        </row>
        <row r="3763">
          <cell r="A3763" t="str">
            <v>Tobie</v>
          </cell>
          <cell r="C3763">
            <v>5.7593951523235917E-3</v>
          </cell>
          <cell r="I3763" t="str">
            <v>Becnel</v>
          </cell>
        </row>
        <row r="3764">
          <cell r="A3764" t="str">
            <v>Tempie</v>
          </cell>
          <cell r="C3764">
            <v>5.7482766288635074E-3</v>
          </cell>
          <cell r="I3764" t="str">
            <v>Batten</v>
          </cell>
        </row>
        <row r="3765">
          <cell r="A3765" t="str">
            <v>Sumiko</v>
          </cell>
          <cell r="C3765">
            <v>5.737158105403423E-3</v>
          </cell>
          <cell r="I3765" t="str">
            <v>Almanza</v>
          </cell>
        </row>
        <row r="3766">
          <cell r="A3766" t="str">
            <v>Sulema</v>
          </cell>
          <cell r="C3766">
            <v>5.7260395819433395E-3</v>
          </cell>
          <cell r="I3766" t="str">
            <v>Turney</v>
          </cell>
        </row>
        <row r="3767">
          <cell r="A3767" t="str">
            <v>Sparkle</v>
          </cell>
          <cell r="C3767">
            <v>5.7149210584832551E-3</v>
          </cell>
          <cell r="I3767" t="str">
            <v>Teal</v>
          </cell>
        </row>
        <row r="3768">
          <cell r="A3768" t="str">
            <v>Somer</v>
          </cell>
          <cell r="C3768">
            <v>5.7038025350231707E-3</v>
          </cell>
          <cell r="I3768" t="str">
            <v>Sturgeon</v>
          </cell>
        </row>
        <row r="3769">
          <cell r="A3769" t="str">
            <v>Sheba</v>
          </cell>
          <cell r="C3769">
            <v>5.6926840115630864E-3</v>
          </cell>
          <cell r="I3769" t="str">
            <v>Meeker</v>
          </cell>
        </row>
        <row r="3770">
          <cell r="A3770" t="str">
            <v>Shayne</v>
          </cell>
          <cell r="C3770">
            <v>5.6815654881030029E-3</v>
          </cell>
          <cell r="I3770" t="str">
            <v>Mcdaniels</v>
          </cell>
        </row>
        <row r="3771">
          <cell r="A3771" t="str">
            <v>Sharice</v>
          </cell>
          <cell r="C3771">
            <v>5.6704469646429185E-3</v>
          </cell>
          <cell r="I3771" t="str">
            <v>Limon</v>
          </cell>
        </row>
        <row r="3772">
          <cell r="A3772" t="str">
            <v>Shanel</v>
          </cell>
          <cell r="C3772">
            <v>5.6593284411828341E-3</v>
          </cell>
          <cell r="I3772" t="str">
            <v>Keeney</v>
          </cell>
        </row>
        <row r="3773">
          <cell r="A3773" t="str">
            <v>Shalon</v>
          </cell>
          <cell r="C3773">
            <v>5.6482099177227497E-3</v>
          </cell>
          <cell r="I3773" t="str">
            <v>Kee</v>
          </cell>
        </row>
        <row r="3774">
          <cell r="A3774" t="str">
            <v>Sage</v>
          </cell>
          <cell r="C3774">
            <v>5.6370913942626662E-3</v>
          </cell>
          <cell r="I3774" t="str">
            <v>Hutto</v>
          </cell>
        </row>
        <row r="3775">
          <cell r="A3775" t="str">
            <v>Roy</v>
          </cell>
          <cell r="C3775">
            <v>5.6259728708025819E-3</v>
          </cell>
          <cell r="I3775" t="str">
            <v>Holguin</v>
          </cell>
        </row>
        <row r="3776">
          <cell r="A3776" t="str">
            <v>Rosio</v>
          </cell>
          <cell r="C3776">
            <v>5.6148543473424975E-3</v>
          </cell>
          <cell r="I3776" t="str">
            <v>Gorham</v>
          </cell>
        </row>
        <row r="3777">
          <cell r="A3777" t="str">
            <v>Roselia</v>
          </cell>
          <cell r="C3777">
            <v>5.6037358238824131E-3</v>
          </cell>
          <cell r="I3777" t="str">
            <v>Fishman</v>
          </cell>
        </row>
        <row r="3778">
          <cell r="A3778" t="str">
            <v>Renay</v>
          </cell>
          <cell r="C3778">
            <v>5.5926173004223296E-3</v>
          </cell>
          <cell r="I3778" t="str">
            <v>Fierro</v>
          </cell>
        </row>
        <row r="3779">
          <cell r="A3779" t="str">
            <v>Rema</v>
          </cell>
          <cell r="C3779">
            <v>5.5814987769622453E-3</v>
          </cell>
          <cell r="I3779" t="str">
            <v>Blanchette</v>
          </cell>
        </row>
        <row r="3780">
          <cell r="A3780" t="str">
            <v>Reena</v>
          </cell>
          <cell r="C3780">
            <v>5.5703802535021609E-3</v>
          </cell>
          <cell r="I3780" t="str">
            <v>Rodrigue</v>
          </cell>
        </row>
        <row r="3781">
          <cell r="A3781" t="str">
            <v>Porsche</v>
          </cell>
          <cell r="C3781">
            <v>5.5592617300420765E-3</v>
          </cell>
          <cell r="I3781" t="str">
            <v>Reddy</v>
          </cell>
        </row>
        <row r="3782">
          <cell r="A3782" t="str">
            <v>Ping</v>
          </cell>
          <cell r="C3782">
            <v>5.548143206581993E-3</v>
          </cell>
          <cell r="I3782" t="str">
            <v>Osburn</v>
          </cell>
        </row>
        <row r="3783">
          <cell r="A3783" t="str">
            <v>Peg</v>
          </cell>
          <cell r="C3783">
            <v>5.5370246831219095E-3</v>
          </cell>
          <cell r="I3783" t="str">
            <v>Oden</v>
          </cell>
        </row>
        <row r="3784">
          <cell r="A3784" t="str">
            <v>Ozie</v>
          </cell>
          <cell r="C3784">
            <v>5.5259061596618251E-3</v>
          </cell>
          <cell r="I3784" t="str">
            <v>Lerma</v>
          </cell>
        </row>
        <row r="3785">
          <cell r="A3785" t="str">
            <v>Oretha</v>
          </cell>
          <cell r="C3785">
            <v>5.5147876362017408E-3</v>
          </cell>
          <cell r="I3785" t="str">
            <v>Kirkwood</v>
          </cell>
        </row>
        <row r="3786">
          <cell r="A3786" t="str">
            <v>Oralee</v>
          </cell>
          <cell r="C3786">
            <v>5.5036691127416564E-3</v>
          </cell>
          <cell r="I3786" t="str">
            <v>Keefer</v>
          </cell>
        </row>
        <row r="3787">
          <cell r="A3787" t="str">
            <v>Oda</v>
          </cell>
          <cell r="C3787">
            <v>5.4925505892815729E-3</v>
          </cell>
          <cell r="I3787" t="str">
            <v>Haugen</v>
          </cell>
        </row>
        <row r="3788">
          <cell r="A3788" t="str">
            <v>Nu</v>
          </cell>
          <cell r="C3788">
            <v>5.4814320658214885E-3</v>
          </cell>
          <cell r="I3788" t="str">
            <v>Hammett</v>
          </cell>
        </row>
        <row r="3789">
          <cell r="A3789" t="str">
            <v>Ngan</v>
          </cell>
          <cell r="C3789">
            <v>5.4703135423614041E-3</v>
          </cell>
          <cell r="I3789" t="str">
            <v>Chalmers</v>
          </cell>
        </row>
        <row r="3790">
          <cell r="A3790" t="str">
            <v>Nakesha</v>
          </cell>
          <cell r="C3790">
            <v>5.4591950189013198E-3</v>
          </cell>
          <cell r="I3790" t="str">
            <v>Carlos</v>
          </cell>
        </row>
        <row r="3791">
          <cell r="A3791" t="str">
            <v>Milly</v>
          </cell>
          <cell r="C3791">
            <v>5.4480764954412363E-3</v>
          </cell>
          <cell r="I3791" t="str">
            <v>Brinkman</v>
          </cell>
        </row>
        <row r="3792">
          <cell r="A3792" t="str">
            <v>Marybelle</v>
          </cell>
          <cell r="C3792">
            <v>5.4369579719811519E-3</v>
          </cell>
          <cell r="I3792" t="str">
            <v>Baumgartner</v>
          </cell>
        </row>
        <row r="3793">
          <cell r="A3793" t="str">
            <v>Marlin</v>
          </cell>
          <cell r="C3793">
            <v>5.4258394485210675E-3</v>
          </cell>
          <cell r="I3793" t="str">
            <v>Zhang</v>
          </cell>
        </row>
        <row r="3794">
          <cell r="A3794" t="str">
            <v>Maris</v>
          </cell>
          <cell r="C3794">
            <v>5.4147209250609831E-3</v>
          </cell>
          <cell r="I3794" t="str">
            <v>Valerio</v>
          </cell>
        </row>
        <row r="3795">
          <cell r="A3795" t="str">
            <v>Margrett</v>
          </cell>
          <cell r="C3795">
            <v>5.4036024016008996E-3</v>
          </cell>
          <cell r="I3795" t="str">
            <v>Tellez</v>
          </cell>
        </row>
        <row r="3796">
          <cell r="A3796" t="str">
            <v>Maragaret</v>
          </cell>
          <cell r="C3796">
            <v>5.3924838781408153E-3</v>
          </cell>
          <cell r="I3796" t="str">
            <v>Steffen</v>
          </cell>
        </row>
        <row r="3797">
          <cell r="A3797" t="str">
            <v>Manie</v>
          </cell>
          <cell r="C3797">
            <v>5.3813653546807309E-3</v>
          </cell>
          <cell r="I3797" t="str">
            <v>Shumate</v>
          </cell>
        </row>
        <row r="3798">
          <cell r="A3798" t="str">
            <v>Lurlene</v>
          </cell>
          <cell r="C3798">
            <v>5.3702468312206465E-3</v>
          </cell>
          <cell r="I3798" t="str">
            <v>Sauls</v>
          </cell>
        </row>
        <row r="3799">
          <cell r="A3799" t="str">
            <v>Lillia</v>
          </cell>
          <cell r="C3799">
            <v>5.359128307760563E-3</v>
          </cell>
          <cell r="I3799" t="str">
            <v>Ripley</v>
          </cell>
        </row>
        <row r="3800">
          <cell r="A3800" t="str">
            <v>Lieselotte</v>
          </cell>
          <cell r="C3800">
            <v>5.3480097843004787E-3</v>
          </cell>
          <cell r="I3800" t="str">
            <v>Kemper</v>
          </cell>
        </row>
        <row r="3801">
          <cell r="A3801" t="str">
            <v>Lavelle</v>
          </cell>
          <cell r="C3801">
            <v>5.3368912608403943E-3</v>
          </cell>
          <cell r="I3801" t="str">
            <v>Jacks</v>
          </cell>
        </row>
        <row r="3802">
          <cell r="A3802" t="str">
            <v>Lashaunda</v>
          </cell>
          <cell r="C3802">
            <v>5.3257727373803099E-3</v>
          </cell>
          <cell r="I3802" t="str">
            <v>Guffey</v>
          </cell>
        </row>
        <row r="3803">
          <cell r="A3803" t="str">
            <v>Lakeesha</v>
          </cell>
          <cell r="C3803">
            <v>5.3146542139202264E-3</v>
          </cell>
          <cell r="I3803" t="str">
            <v>Evers</v>
          </cell>
        </row>
        <row r="3804">
          <cell r="A3804" t="str">
            <v>Keith</v>
          </cell>
          <cell r="C3804">
            <v>5.303535690460142E-3</v>
          </cell>
          <cell r="I3804" t="str">
            <v>Craddock</v>
          </cell>
        </row>
        <row r="3805">
          <cell r="A3805" t="str">
            <v>Kaycee</v>
          </cell>
          <cell r="C3805">
            <v>5.2924171670000577E-3</v>
          </cell>
          <cell r="I3805" t="str">
            <v>Carvalho</v>
          </cell>
        </row>
        <row r="3806">
          <cell r="A3806" t="str">
            <v>Kalyn</v>
          </cell>
          <cell r="C3806">
            <v>5.2812986435399733E-3</v>
          </cell>
          <cell r="I3806" t="str">
            <v>Blaylock</v>
          </cell>
        </row>
        <row r="3807">
          <cell r="A3807" t="str">
            <v>Joya</v>
          </cell>
          <cell r="C3807">
            <v>5.2701801200798898E-3</v>
          </cell>
          <cell r="I3807" t="str">
            <v>Banuelos</v>
          </cell>
        </row>
        <row r="3808">
          <cell r="A3808" t="str">
            <v>Joette</v>
          </cell>
          <cell r="C3808">
            <v>5.2590615966198054E-3</v>
          </cell>
          <cell r="I3808" t="str">
            <v>Balderas</v>
          </cell>
        </row>
        <row r="3809">
          <cell r="A3809" t="str">
            <v>Jenae</v>
          </cell>
          <cell r="C3809">
            <v>5.247943073159721E-3</v>
          </cell>
          <cell r="I3809" t="str">
            <v>Wooden</v>
          </cell>
        </row>
        <row r="3810">
          <cell r="A3810" t="str">
            <v>Janiece</v>
          </cell>
          <cell r="C3810">
            <v>5.2368245496996367E-3</v>
          </cell>
          <cell r="I3810" t="str">
            <v>Wheaton</v>
          </cell>
        </row>
        <row r="3811">
          <cell r="A3811" t="str">
            <v>Illa</v>
          </cell>
          <cell r="C3811">
            <v>5.2257060262395532E-3</v>
          </cell>
          <cell r="I3811" t="str">
            <v>Turnbull</v>
          </cell>
        </row>
        <row r="3812">
          <cell r="A3812" t="str">
            <v>Grisel</v>
          </cell>
          <cell r="C3812">
            <v>5.2145875027794688E-3</v>
          </cell>
          <cell r="I3812" t="str">
            <v>Shuman</v>
          </cell>
        </row>
        <row r="3813">
          <cell r="A3813" t="str">
            <v>Glayds</v>
          </cell>
          <cell r="C3813">
            <v>5.2034689793193844E-3</v>
          </cell>
          <cell r="I3813" t="str">
            <v>Pointer</v>
          </cell>
        </row>
        <row r="3814">
          <cell r="A3814" t="str">
            <v>Genevie</v>
          </cell>
          <cell r="C3814">
            <v>5.1923504558593001E-3</v>
          </cell>
          <cell r="I3814" t="str">
            <v>Mosier</v>
          </cell>
        </row>
        <row r="3815">
          <cell r="A3815" t="str">
            <v>Gala</v>
          </cell>
          <cell r="C3815">
            <v>5.1812319323992157E-3</v>
          </cell>
          <cell r="I3815" t="str">
            <v>Mccue</v>
          </cell>
        </row>
        <row r="3816">
          <cell r="A3816" t="str">
            <v>Fredda</v>
          </cell>
          <cell r="C3816">
            <v>5.1701134089391322E-3</v>
          </cell>
          <cell r="I3816" t="str">
            <v>Ligon</v>
          </cell>
        </row>
        <row r="3817">
          <cell r="A3817" t="str">
            <v>Fred</v>
          </cell>
          <cell r="C3817">
            <v>5.1589948854790478E-3</v>
          </cell>
          <cell r="I3817" t="str">
            <v>Kozlowski</v>
          </cell>
        </row>
        <row r="3818">
          <cell r="A3818" t="str">
            <v>Elmer</v>
          </cell>
          <cell r="C3818">
            <v>5.1478763620189634E-3</v>
          </cell>
          <cell r="I3818" t="str">
            <v>Johansen</v>
          </cell>
        </row>
        <row r="3819">
          <cell r="A3819" t="str">
            <v>Eleonor</v>
          </cell>
          <cell r="C3819">
            <v>5.1367578385588791E-3</v>
          </cell>
          <cell r="I3819" t="str">
            <v>Ingle</v>
          </cell>
        </row>
        <row r="3820">
          <cell r="A3820" t="str">
            <v>Debera</v>
          </cell>
          <cell r="C3820">
            <v>5.1256393150987956E-3</v>
          </cell>
          <cell r="I3820" t="str">
            <v>Herr</v>
          </cell>
        </row>
        <row r="3821">
          <cell r="A3821" t="str">
            <v>Deandrea</v>
          </cell>
          <cell r="C3821">
            <v>5.1145207916387112E-3</v>
          </cell>
          <cell r="I3821" t="str">
            <v>Briones</v>
          </cell>
        </row>
        <row r="3822">
          <cell r="A3822" t="str">
            <v>Dan</v>
          </cell>
          <cell r="C3822">
            <v>5.1034022681786268E-3</v>
          </cell>
          <cell r="I3822" t="str">
            <v>Southern</v>
          </cell>
        </row>
        <row r="3823">
          <cell r="A3823" t="str">
            <v>Corrinne</v>
          </cell>
          <cell r="C3823">
            <v>5.0922837447185424E-3</v>
          </cell>
          <cell r="I3823" t="str">
            <v>Snipes</v>
          </cell>
        </row>
        <row r="3824">
          <cell r="A3824" t="str">
            <v>Cordia</v>
          </cell>
          <cell r="C3824">
            <v>5.0811652212584589E-3</v>
          </cell>
          <cell r="I3824" t="str">
            <v>Rickman</v>
          </cell>
        </row>
        <row r="3825">
          <cell r="A3825" t="str">
            <v>Contessa</v>
          </cell>
          <cell r="C3825">
            <v>5.0700466977983746E-3</v>
          </cell>
          <cell r="I3825" t="str">
            <v>Pipkin</v>
          </cell>
        </row>
        <row r="3826">
          <cell r="A3826" t="str">
            <v>Colene</v>
          </cell>
          <cell r="C3826">
            <v>5.0589281743382902E-3</v>
          </cell>
          <cell r="I3826" t="str">
            <v>Peace</v>
          </cell>
        </row>
        <row r="3827">
          <cell r="A3827" t="str">
            <v>Cleotilde</v>
          </cell>
          <cell r="C3827">
            <v>5.0478096508782058E-3</v>
          </cell>
          <cell r="I3827" t="str">
            <v>Pantoja</v>
          </cell>
        </row>
        <row r="3828">
          <cell r="A3828" t="str">
            <v>Charlott</v>
          </cell>
          <cell r="C3828">
            <v>5.0366911274181223E-3</v>
          </cell>
          <cell r="I3828" t="str">
            <v>Orosco</v>
          </cell>
        </row>
        <row r="3829">
          <cell r="A3829" t="str">
            <v>Chantay</v>
          </cell>
          <cell r="C3829">
            <v>5.0255726039580379E-3</v>
          </cell>
          <cell r="I3829" t="str">
            <v>Moniz</v>
          </cell>
        </row>
        <row r="3830">
          <cell r="A3830" t="str">
            <v>Cecille</v>
          </cell>
          <cell r="C3830">
            <v>5.0144540804979536E-3</v>
          </cell>
          <cell r="I3830" t="str">
            <v>Lawless</v>
          </cell>
        </row>
        <row r="3831">
          <cell r="A3831" t="str">
            <v>Beatris</v>
          </cell>
          <cell r="C3831">
            <v>5.0033355570378692E-3</v>
          </cell>
          <cell r="I3831" t="str">
            <v>Kunkel</v>
          </cell>
        </row>
        <row r="3832">
          <cell r="A3832" t="str">
            <v>Azalee</v>
          </cell>
          <cell r="C3832">
            <v>4.9922170335777857E-3</v>
          </cell>
          <cell r="I3832" t="str">
            <v>Hibbard</v>
          </cell>
        </row>
        <row r="3833">
          <cell r="A3833" t="str">
            <v>Arlean</v>
          </cell>
          <cell r="C3833">
            <v>4.9810985101177013E-3</v>
          </cell>
          <cell r="I3833" t="str">
            <v>Galarza</v>
          </cell>
        </row>
        <row r="3834">
          <cell r="A3834" t="str">
            <v>Ardath</v>
          </cell>
          <cell r="C3834">
            <v>4.969979986657617E-3</v>
          </cell>
          <cell r="I3834" t="str">
            <v>Enos</v>
          </cell>
        </row>
        <row r="3835">
          <cell r="A3835" t="str">
            <v>Anjelica</v>
          </cell>
          <cell r="C3835">
            <v>4.9588614631975326E-3</v>
          </cell>
          <cell r="I3835" t="str">
            <v>Bussey</v>
          </cell>
        </row>
        <row r="3836">
          <cell r="A3836" t="str">
            <v>Anja</v>
          </cell>
          <cell r="C3836">
            <v>4.9477429397374491E-3</v>
          </cell>
          <cell r="I3836" t="str">
            <v>Settle</v>
          </cell>
        </row>
        <row r="3837">
          <cell r="A3837" t="str">
            <v>Alfredia</v>
          </cell>
          <cell r="C3837">
            <v>4.9366244162773647E-3</v>
          </cell>
          <cell r="I3837" t="str">
            <v>Schott</v>
          </cell>
        </row>
        <row r="3838">
          <cell r="A3838" t="str">
            <v>Aleisha</v>
          </cell>
          <cell r="C3838">
            <v>4.9255058928172803E-3</v>
          </cell>
          <cell r="I3838" t="str">
            <v>Salcido</v>
          </cell>
        </row>
        <row r="3839">
          <cell r="A3839" t="str">
            <v>Adam</v>
          </cell>
          <cell r="C3839">
            <v>4.914387369357196E-3</v>
          </cell>
          <cell r="I3839" t="str">
            <v>Perreault</v>
          </cell>
        </row>
        <row r="3840">
          <cell r="A3840" t="str">
            <v>Zada</v>
          </cell>
          <cell r="C3840">
            <v>4.9032688458971125E-3</v>
          </cell>
          <cell r="I3840" t="str">
            <v>Mcdougal</v>
          </cell>
        </row>
        <row r="3841">
          <cell r="A3841" t="str">
            <v>Yuonne</v>
          </cell>
          <cell r="C3841">
            <v>4.8921503224370281E-3</v>
          </cell>
          <cell r="I3841" t="str">
            <v>Mccool</v>
          </cell>
        </row>
        <row r="3842">
          <cell r="A3842" t="str">
            <v>Xiao</v>
          </cell>
          <cell r="C3842">
            <v>4.8810317989769437E-3</v>
          </cell>
          <cell r="I3842" t="str">
            <v>Haight</v>
          </cell>
        </row>
        <row r="3843">
          <cell r="A3843" t="str">
            <v>Willodean</v>
          </cell>
          <cell r="C3843">
            <v>4.8699132755168593E-3</v>
          </cell>
          <cell r="I3843" t="str">
            <v>Garris</v>
          </cell>
        </row>
        <row r="3844">
          <cell r="A3844" t="str">
            <v>Whitley</v>
          </cell>
          <cell r="C3844">
            <v>4.8587947520567758E-3</v>
          </cell>
          <cell r="I3844" t="str">
            <v>Ferry</v>
          </cell>
        </row>
        <row r="3845">
          <cell r="A3845" t="str">
            <v>Vennie</v>
          </cell>
          <cell r="C3845">
            <v>4.8476762285966915E-3</v>
          </cell>
          <cell r="I3845" t="str">
            <v>Easton</v>
          </cell>
        </row>
        <row r="3846">
          <cell r="A3846" t="str">
            <v>Vanna</v>
          </cell>
          <cell r="C3846">
            <v>4.8365577051366071E-3</v>
          </cell>
          <cell r="I3846" t="str">
            <v>Conyers</v>
          </cell>
        </row>
        <row r="3847">
          <cell r="A3847" t="str">
            <v>Tyisha</v>
          </cell>
          <cell r="C3847">
            <v>4.8254391816765227E-3</v>
          </cell>
          <cell r="I3847" t="str">
            <v>Atherton</v>
          </cell>
        </row>
        <row r="3848">
          <cell r="A3848" t="str">
            <v>Tova</v>
          </cell>
          <cell r="C3848">
            <v>4.8143206582164392E-3</v>
          </cell>
          <cell r="I3848" t="str">
            <v>Wimberly</v>
          </cell>
        </row>
        <row r="3849">
          <cell r="A3849" t="str">
            <v>Torie</v>
          </cell>
          <cell r="C3849">
            <v>4.8032021347563549E-3</v>
          </cell>
          <cell r="I3849" t="str">
            <v>Utley</v>
          </cell>
        </row>
        <row r="3850">
          <cell r="A3850" t="str">
            <v>Tonisha</v>
          </cell>
          <cell r="C3850">
            <v>4.7920836112962705E-3</v>
          </cell>
          <cell r="I3850" t="str">
            <v>Stephen</v>
          </cell>
        </row>
        <row r="3851">
          <cell r="A3851" t="str">
            <v>Tilda</v>
          </cell>
          <cell r="C3851">
            <v>4.7809650878361861E-3</v>
          </cell>
          <cell r="I3851" t="str">
            <v>Spellman</v>
          </cell>
        </row>
        <row r="3852">
          <cell r="A3852" t="str">
            <v>Tien</v>
          </cell>
          <cell r="C3852">
            <v>4.7698465643761026E-3</v>
          </cell>
          <cell r="I3852" t="str">
            <v>Smithson</v>
          </cell>
        </row>
        <row r="3853">
          <cell r="A3853" t="str">
            <v>Temple</v>
          </cell>
          <cell r="C3853">
            <v>4.7587280409160182E-3</v>
          </cell>
          <cell r="I3853" t="str">
            <v>Slagle</v>
          </cell>
        </row>
        <row r="3854">
          <cell r="A3854" t="str">
            <v>Sirena</v>
          </cell>
          <cell r="C3854">
            <v>4.7476095174559339E-3</v>
          </cell>
          <cell r="I3854" t="str">
            <v>Skipper</v>
          </cell>
        </row>
        <row r="3855">
          <cell r="A3855" t="str">
            <v>Sherril</v>
          </cell>
          <cell r="C3855">
            <v>4.7364909939958495E-3</v>
          </cell>
          <cell r="I3855" t="str">
            <v>Ritchey</v>
          </cell>
        </row>
        <row r="3856">
          <cell r="A3856" t="str">
            <v>Shanti</v>
          </cell>
          <cell r="C3856">
            <v>4.725372470535766E-3</v>
          </cell>
          <cell r="I3856" t="str">
            <v>Rand</v>
          </cell>
        </row>
        <row r="3857">
          <cell r="A3857" t="str">
            <v>Shan</v>
          </cell>
          <cell r="C3857">
            <v>4.7142539470756816E-3</v>
          </cell>
          <cell r="I3857" t="str">
            <v>Petit</v>
          </cell>
        </row>
        <row r="3858">
          <cell r="A3858" t="str">
            <v>Senaida</v>
          </cell>
          <cell r="C3858">
            <v>4.7031354236155972E-3</v>
          </cell>
          <cell r="I3858" t="str">
            <v>Osullivan</v>
          </cell>
        </row>
        <row r="3859">
          <cell r="A3859" t="str">
            <v>Samella</v>
          </cell>
          <cell r="C3859">
            <v>4.6920169001555129E-3</v>
          </cell>
          <cell r="I3859" t="str">
            <v>Oaks</v>
          </cell>
        </row>
        <row r="3860">
          <cell r="A3860" t="str">
            <v>Robbyn</v>
          </cell>
          <cell r="C3860">
            <v>4.6808983766954294E-3</v>
          </cell>
          <cell r="I3860" t="str">
            <v>Nutt</v>
          </cell>
        </row>
        <row r="3861">
          <cell r="A3861" t="str">
            <v>Renda</v>
          </cell>
          <cell r="C3861">
            <v>4.669779853235345E-3</v>
          </cell>
          <cell r="I3861" t="str">
            <v>Mcvay</v>
          </cell>
        </row>
        <row r="3862">
          <cell r="A3862" t="str">
            <v>Reita</v>
          </cell>
          <cell r="C3862">
            <v>4.6586613297752606E-3</v>
          </cell>
          <cell r="I3862" t="str">
            <v>Mccreary</v>
          </cell>
        </row>
        <row r="3863">
          <cell r="A3863" t="str">
            <v>Phebe</v>
          </cell>
          <cell r="C3863">
            <v>4.6475428063151763E-3</v>
          </cell>
          <cell r="I3863" t="str">
            <v>Mayhew</v>
          </cell>
        </row>
        <row r="3864">
          <cell r="A3864" t="str">
            <v>Paulita</v>
          </cell>
          <cell r="C3864">
            <v>4.6364242828550927E-3</v>
          </cell>
          <cell r="I3864" t="str">
            <v>Knoll</v>
          </cell>
        </row>
        <row r="3865">
          <cell r="A3865" t="str">
            <v>Nobuko</v>
          </cell>
          <cell r="C3865">
            <v>4.6253057593950084E-3</v>
          </cell>
          <cell r="I3865" t="str">
            <v>Jewett</v>
          </cell>
        </row>
        <row r="3866">
          <cell r="A3866" t="str">
            <v>Nguyet</v>
          </cell>
          <cell r="C3866">
            <v>4.614187235934924E-3</v>
          </cell>
          <cell r="I3866" t="str">
            <v>Harwood</v>
          </cell>
        </row>
        <row r="3867">
          <cell r="A3867" t="str">
            <v>Neomi</v>
          </cell>
          <cell r="C3867">
            <v>4.6030687124748396E-3</v>
          </cell>
          <cell r="I3867" t="str">
            <v>Hailey</v>
          </cell>
        </row>
        <row r="3868">
          <cell r="A3868" t="str">
            <v>Moon</v>
          </cell>
          <cell r="C3868">
            <v>4.5919501890147561E-3</v>
          </cell>
          <cell r="I3868" t="str">
            <v>Cardoza</v>
          </cell>
        </row>
        <row r="3869">
          <cell r="A3869" t="str">
            <v>Mikaela</v>
          </cell>
          <cell r="C3869">
            <v>4.5808316655546718E-3</v>
          </cell>
          <cell r="I3869" t="str">
            <v>Ashe</v>
          </cell>
        </row>
        <row r="3870">
          <cell r="A3870" t="str">
            <v>Melania</v>
          </cell>
          <cell r="C3870">
            <v>4.5697131420945874E-3</v>
          </cell>
          <cell r="I3870" t="str">
            <v>Arriaga</v>
          </cell>
        </row>
        <row r="3871">
          <cell r="A3871" t="str">
            <v>Maximina</v>
          </cell>
          <cell r="C3871">
            <v>4.558594618634503E-3</v>
          </cell>
          <cell r="I3871" t="str">
            <v>Andres</v>
          </cell>
        </row>
        <row r="3872">
          <cell r="A3872" t="str">
            <v>Marg</v>
          </cell>
          <cell r="C3872">
            <v>4.5474760951744195E-3</v>
          </cell>
          <cell r="I3872" t="str">
            <v>Zeller</v>
          </cell>
        </row>
        <row r="3873">
          <cell r="A3873" t="str">
            <v>Maisie</v>
          </cell>
          <cell r="C3873">
            <v>4.5363575717143351E-3</v>
          </cell>
          <cell r="I3873" t="str">
            <v>Wirth</v>
          </cell>
        </row>
        <row r="3874">
          <cell r="A3874" t="str">
            <v>Lynna</v>
          </cell>
          <cell r="C3874">
            <v>4.5252390482542508E-3</v>
          </cell>
          <cell r="I3874" t="str">
            <v>Whitmire</v>
          </cell>
        </row>
        <row r="3875">
          <cell r="A3875" t="str">
            <v>Lilli</v>
          </cell>
          <cell r="C3875">
            <v>4.5141205247941664E-3</v>
          </cell>
          <cell r="I3875" t="str">
            <v>Stauffer</v>
          </cell>
        </row>
        <row r="3876">
          <cell r="A3876" t="str">
            <v>Layne</v>
          </cell>
          <cell r="C3876">
            <v>4.5030020013340829E-3</v>
          </cell>
          <cell r="I3876" t="str">
            <v>Spring</v>
          </cell>
        </row>
        <row r="3877">
          <cell r="A3877" t="str">
            <v>Lashaun</v>
          </cell>
          <cell r="C3877">
            <v>4.4918834778739985E-3</v>
          </cell>
          <cell r="I3877" t="str">
            <v>Rountree</v>
          </cell>
        </row>
        <row r="3878">
          <cell r="A3878" t="str">
            <v>Lakenya</v>
          </cell>
          <cell r="C3878">
            <v>4.4807649544139141E-3</v>
          </cell>
          <cell r="I3878" t="str">
            <v>Redden</v>
          </cell>
        </row>
        <row r="3879">
          <cell r="A3879" t="str">
            <v>Lael</v>
          </cell>
          <cell r="C3879">
            <v>4.4696464309538298E-3</v>
          </cell>
          <cell r="I3879" t="str">
            <v>Mccaffrey</v>
          </cell>
        </row>
        <row r="3880">
          <cell r="A3880" t="str">
            <v>Kirstie</v>
          </cell>
          <cell r="C3880">
            <v>4.4585279074937463E-3</v>
          </cell>
          <cell r="I3880" t="str">
            <v>Martz</v>
          </cell>
        </row>
        <row r="3881">
          <cell r="A3881" t="str">
            <v>Kathline</v>
          </cell>
          <cell r="C3881">
            <v>4.4474093840336619E-3</v>
          </cell>
          <cell r="I3881" t="str">
            <v>Loving</v>
          </cell>
        </row>
        <row r="3882">
          <cell r="A3882" t="str">
            <v>Kasha</v>
          </cell>
          <cell r="C3882">
            <v>4.4362908605735775E-3</v>
          </cell>
          <cell r="I3882" t="str">
            <v>Larose</v>
          </cell>
        </row>
        <row r="3883">
          <cell r="A3883" t="str">
            <v>Karlyn</v>
          </cell>
          <cell r="C3883">
            <v>4.4251723371134932E-3</v>
          </cell>
          <cell r="I3883" t="str">
            <v>Langdon</v>
          </cell>
        </row>
        <row r="3884">
          <cell r="A3884" t="str">
            <v>Karima</v>
          </cell>
          <cell r="C3884">
            <v>4.4140538136534097E-3</v>
          </cell>
          <cell r="I3884" t="str">
            <v>Humes</v>
          </cell>
        </row>
        <row r="3885">
          <cell r="A3885" t="str">
            <v>Jovan</v>
          </cell>
          <cell r="C3885">
            <v>4.4029352901933253E-3</v>
          </cell>
          <cell r="I3885" t="str">
            <v>Gaskin</v>
          </cell>
        </row>
        <row r="3886">
          <cell r="A3886" t="str">
            <v>Josefine</v>
          </cell>
          <cell r="C3886">
            <v>4.3918167667332409E-3</v>
          </cell>
          <cell r="I3886" t="str">
            <v>Faber</v>
          </cell>
        </row>
        <row r="3887">
          <cell r="A3887" t="str">
            <v>Jennell</v>
          </cell>
          <cell r="C3887">
            <v>4.3806982432731565E-3</v>
          </cell>
          <cell r="I3887" t="str">
            <v>Doll</v>
          </cell>
        </row>
        <row r="3888">
          <cell r="A3888" t="str">
            <v>Jacqui</v>
          </cell>
          <cell r="C3888">
            <v>4.369579719813073E-3</v>
          </cell>
          <cell r="I3888" t="str">
            <v>Devito</v>
          </cell>
        </row>
        <row r="3889">
          <cell r="A3889" t="str">
            <v>Jackelyn</v>
          </cell>
          <cell r="C3889">
            <v>4.3584611963529887E-3</v>
          </cell>
          <cell r="I3889" t="str">
            <v>Cass</v>
          </cell>
        </row>
        <row r="3890">
          <cell r="A3890" t="str">
            <v>Hyo</v>
          </cell>
          <cell r="C3890">
            <v>4.3473426728929043E-3</v>
          </cell>
          <cell r="I3890" t="str">
            <v>Almond</v>
          </cell>
        </row>
        <row r="3891">
          <cell r="A3891" t="str">
            <v>Hien</v>
          </cell>
          <cell r="C3891">
            <v>4.3362241494328199E-3</v>
          </cell>
          <cell r="I3891" t="str">
            <v>Wingfield</v>
          </cell>
        </row>
        <row r="3892">
          <cell r="A3892" t="str">
            <v>Grazyna</v>
          </cell>
          <cell r="C3892">
            <v>4.3251056259727364E-3</v>
          </cell>
          <cell r="I3892" t="str">
            <v>Wingate</v>
          </cell>
        </row>
        <row r="3893">
          <cell r="A3893" t="str">
            <v>Florrie</v>
          </cell>
          <cell r="C3893">
            <v>4.313987102512652E-3</v>
          </cell>
          <cell r="I3893" t="str">
            <v>Villareal</v>
          </cell>
        </row>
        <row r="3894">
          <cell r="A3894" t="str">
            <v>Floria</v>
          </cell>
          <cell r="C3894">
            <v>4.3028685790525677E-3</v>
          </cell>
          <cell r="I3894" t="str">
            <v>Tyner</v>
          </cell>
        </row>
        <row r="3895">
          <cell r="A3895" t="str">
            <v>Eleonora</v>
          </cell>
          <cell r="C3895">
            <v>4.2917500555924833E-3</v>
          </cell>
          <cell r="I3895" t="str">
            <v>Smothers</v>
          </cell>
        </row>
        <row r="3896">
          <cell r="A3896" t="str">
            <v>Dwana</v>
          </cell>
          <cell r="C3896">
            <v>4.2806315321323998E-3</v>
          </cell>
          <cell r="I3896" t="str">
            <v>Severson</v>
          </cell>
        </row>
        <row r="3897">
          <cell r="A3897" t="str">
            <v>Dorla</v>
          </cell>
          <cell r="C3897">
            <v>4.2695130086723154E-3</v>
          </cell>
          <cell r="I3897" t="str">
            <v>Reno</v>
          </cell>
        </row>
        <row r="3898">
          <cell r="A3898" t="str">
            <v>Dong</v>
          </cell>
          <cell r="C3898">
            <v>4.2583944852122311E-3</v>
          </cell>
          <cell r="I3898" t="str">
            <v>Pennell</v>
          </cell>
        </row>
        <row r="3899">
          <cell r="A3899" t="str">
            <v>Delmy</v>
          </cell>
          <cell r="C3899">
            <v>4.2472759617521467E-3</v>
          </cell>
          <cell r="I3899" t="str">
            <v>Maupin</v>
          </cell>
        </row>
        <row r="3900">
          <cell r="A3900" t="str">
            <v>Deja</v>
          </cell>
          <cell r="C3900">
            <v>4.2361574382920632E-3</v>
          </cell>
          <cell r="I3900" t="str">
            <v>Leighton</v>
          </cell>
        </row>
        <row r="3901">
          <cell r="A3901" t="str">
            <v>Dede</v>
          </cell>
          <cell r="C3901">
            <v>4.2250389148319788E-3</v>
          </cell>
          <cell r="I3901" t="str">
            <v>Janssen</v>
          </cell>
        </row>
        <row r="3902">
          <cell r="A3902" t="str">
            <v>Dann</v>
          </cell>
          <cell r="C3902">
            <v>4.2139203913718944E-3</v>
          </cell>
          <cell r="I3902" t="str">
            <v>Hassell</v>
          </cell>
        </row>
        <row r="3903">
          <cell r="A3903" t="str">
            <v>Crysta</v>
          </cell>
          <cell r="C3903">
            <v>4.2028018679118101E-3</v>
          </cell>
          <cell r="I3903" t="str">
            <v>Hallman</v>
          </cell>
        </row>
        <row r="3904">
          <cell r="A3904" t="str">
            <v>Clelia</v>
          </cell>
          <cell r="C3904">
            <v>4.1916833444517266E-3</v>
          </cell>
          <cell r="I3904" t="str">
            <v>Halcomb</v>
          </cell>
        </row>
        <row r="3905">
          <cell r="A3905" t="str">
            <v>Claris</v>
          </cell>
          <cell r="C3905">
            <v>4.1805648209916422E-3</v>
          </cell>
          <cell r="I3905" t="str">
            <v>Folse</v>
          </cell>
        </row>
        <row r="3906">
          <cell r="A3906" t="str">
            <v>Clarence</v>
          </cell>
          <cell r="C3906">
            <v>4.1694462975315578E-3</v>
          </cell>
          <cell r="I3906" t="str">
            <v>Fitzsimmons</v>
          </cell>
        </row>
        <row r="3907">
          <cell r="A3907" t="str">
            <v>Chieko</v>
          </cell>
          <cell r="C3907">
            <v>4.1583277740714734E-3</v>
          </cell>
          <cell r="I3907" t="str">
            <v>Fahey</v>
          </cell>
        </row>
        <row r="3908">
          <cell r="A3908" t="str">
            <v>Cherlyn</v>
          </cell>
          <cell r="C3908">
            <v>4.1472092506113899E-3</v>
          </cell>
          <cell r="I3908" t="str">
            <v>Cranford</v>
          </cell>
        </row>
        <row r="3909">
          <cell r="A3909" t="str">
            <v>Cherelle</v>
          </cell>
          <cell r="C3909">
            <v>4.1360907271513056E-3</v>
          </cell>
          <cell r="I3909" t="str">
            <v>Bolen</v>
          </cell>
        </row>
        <row r="3910">
          <cell r="A3910" t="str">
            <v>Charmain</v>
          </cell>
          <cell r="C3910">
            <v>4.1249722036912212E-3</v>
          </cell>
          <cell r="I3910" t="str">
            <v>Battles</v>
          </cell>
        </row>
        <row r="3911">
          <cell r="A3911" t="str">
            <v>Chara</v>
          </cell>
          <cell r="C3911">
            <v>4.1138536802311368E-3</v>
          </cell>
          <cell r="I3911" t="str">
            <v>Battaglia</v>
          </cell>
        </row>
        <row r="3912">
          <cell r="A3912" t="str">
            <v>Cammy</v>
          </cell>
          <cell r="C3912">
            <v>4.1027351567710533E-3</v>
          </cell>
          <cell r="I3912" t="str">
            <v>Wooldridge</v>
          </cell>
        </row>
        <row r="3913">
          <cell r="A3913" t="str">
            <v>Bee</v>
          </cell>
          <cell r="C3913">
            <v>4.0916166333109689E-3</v>
          </cell>
          <cell r="I3913" t="str">
            <v>Weed</v>
          </cell>
        </row>
        <row r="3914">
          <cell r="A3914" t="str">
            <v>Arnette</v>
          </cell>
          <cell r="C3914">
            <v>4.0804981098508846E-3</v>
          </cell>
          <cell r="I3914" t="str">
            <v>Trask</v>
          </cell>
        </row>
        <row r="3915">
          <cell r="A3915" t="str">
            <v>Ardelle</v>
          </cell>
          <cell r="C3915">
            <v>4.0693795863908002E-3</v>
          </cell>
          <cell r="I3915" t="str">
            <v>Rosser</v>
          </cell>
        </row>
        <row r="3916">
          <cell r="A3916" t="str">
            <v>Annika</v>
          </cell>
          <cell r="C3916">
            <v>4.0582610629307167E-3</v>
          </cell>
          <cell r="I3916" t="str">
            <v>Regalado</v>
          </cell>
        </row>
        <row r="3917">
          <cell r="A3917" t="str">
            <v>Amiee</v>
          </cell>
          <cell r="C3917">
            <v>4.0471425394706323E-3</v>
          </cell>
          <cell r="I3917" t="str">
            <v>Mcewen</v>
          </cell>
        </row>
        <row r="3918">
          <cell r="A3918" t="str">
            <v>Amee</v>
          </cell>
          <cell r="C3918">
            <v>4.036024016010548E-3</v>
          </cell>
          <cell r="I3918" t="str">
            <v>Keefe</v>
          </cell>
        </row>
        <row r="3919">
          <cell r="A3919" t="str">
            <v>Allena</v>
          </cell>
          <cell r="C3919">
            <v>4.0249054925504636E-3</v>
          </cell>
          <cell r="I3919" t="str">
            <v>Fuqua</v>
          </cell>
        </row>
        <row r="3920">
          <cell r="A3920" t="str">
            <v>Yvone</v>
          </cell>
          <cell r="C3920">
            <v>4.0137869690903801E-3</v>
          </cell>
          <cell r="I3920" t="str">
            <v>Echevarria</v>
          </cell>
        </row>
        <row r="3921">
          <cell r="A3921" t="str">
            <v>Yuki</v>
          </cell>
          <cell r="C3921">
            <v>4.0026684456302957E-3</v>
          </cell>
          <cell r="I3921" t="str">
            <v>Domingo</v>
          </cell>
        </row>
        <row r="3922">
          <cell r="A3922" t="str">
            <v>Yoshie</v>
          </cell>
          <cell r="C3922">
            <v>3.9915499221702113E-3</v>
          </cell>
          <cell r="I3922" t="str">
            <v>Dang</v>
          </cell>
        </row>
        <row r="3923">
          <cell r="A3923" t="str">
            <v>Yevette</v>
          </cell>
          <cell r="C3923">
            <v>3.980431398710127E-3</v>
          </cell>
          <cell r="I3923" t="str">
            <v>Caro</v>
          </cell>
        </row>
        <row r="3924">
          <cell r="A3924" t="str">
            <v>Yael</v>
          </cell>
          <cell r="C3924">
            <v>3.9693128752500435E-3</v>
          </cell>
          <cell r="I3924" t="str">
            <v>Boynton</v>
          </cell>
        </row>
        <row r="3925">
          <cell r="A3925" t="str">
            <v>Willetta</v>
          </cell>
          <cell r="C3925">
            <v>3.9581943517899591E-3</v>
          </cell>
          <cell r="I3925" t="str">
            <v>Andrus</v>
          </cell>
        </row>
        <row r="3926">
          <cell r="A3926" t="str">
            <v>Voncile</v>
          </cell>
          <cell r="C3926">
            <v>3.9470758283298747E-3</v>
          </cell>
          <cell r="I3926" t="str">
            <v>Wild</v>
          </cell>
        </row>
        <row r="3927">
          <cell r="A3927" t="str">
            <v>Venetta</v>
          </cell>
          <cell r="C3927">
            <v>3.9359573048697903E-3</v>
          </cell>
          <cell r="I3927" t="str">
            <v>Viera</v>
          </cell>
        </row>
        <row r="3928">
          <cell r="A3928" t="str">
            <v>Tula</v>
          </cell>
          <cell r="C3928">
            <v>3.9248387814097068E-3</v>
          </cell>
          <cell r="I3928" t="str">
            <v>Vanmeter</v>
          </cell>
        </row>
        <row r="3929">
          <cell r="A3929" t="str">
            <v>Tonette</v>
          </cell>
          <cell r="C3929">
            <v>3.9137202579496225E-3</v>
          </cell>
          <cell r="I3929" t="str">
            <v>Taber</v>
          </cell>
        </row>
        <row r="3930">
          <cell r="A3930" t="str">
            <v>Timika</v>
          </cell>
          <cell r="C3930">
            <v>3.9026017344895381E-3</v>
          </cell>
          <cell r="I3930" t="str">
            <v>Spradlin</v>
          </cell>
        </row>
        <row r="3931">
          <cell r="A3931" t="str">
            <v>Temika</v>
          </cell>
          <cell r="C3931">
            <v>3.8914832110294542E-3</v>
          </cell>
          <cell r="I3931" t="str">
            <v>Seibert</v>
          </cell>
        </row>
        <row r="3932">
          <cell r="A3932" t="str">
            <v>Telma</v>
          </cell>
          <cell r="C3932">
            <v>3.8803646875693698E-3</v>
          </cell>
          <cell r="I3932" t="str">
            <v>Provost</v>
          </cell>
        </row>
        <row r="3933">
          <cell r="A3933" t="str">
            <v>Teisha</v>
          </cell>
          <cell r="C3933">
            <v>3.8692461641092859E-3</v>
          </cell>
          <cell r="I3933" t="str">
            <v>Prentice</v>
          </cell>
        </row>
        <row r="3934">
          <cell r="A3934" t="str">
            <v>Taren</v>
          </cell>
          <cell r="C3934">
            <v>3.8581276406492015E-3</v>
          </cell>
          <cell r="I3934" t="str">
            <v>Oliphant</v>
          </cell>
        </row>
        <row r="3935">
          <cell r="A3935" t="str">
            <v>Ta</v>
          </cell>
          <cell r="C3935">
            <v>3.8470091171891175E-3</v>
          </cell>
          <cell r="I3935" t="str">
            <v>Laporte</v>
          </cell>
        </row>
        <row r="3936">
          <cell r="A3936" t="str">
            <v>Stacee</v>
          </cell>
          <cell r="C3936">
            <v>3.8358905937290332E-3</v>
          </cell>
          <cell r="I3936" t="str">
            <v>Hwang</v>
          </cell>
        </row>
        <row r="3937">
          <cell r="A3937" t="str">
            <v>Shin</v>
          </cell>
          <cell r="C3937">
            <v>3.8247720702689492E-3</v>
          </cell>
          <cell r="I3937" t="str">
            <v>Hatchett</v>
          </cell>
        </row>
        <row r="3938">
          <cell r="A3938" t="str">
            <v>Shawnta</v>
          </cell>
          <cell r="C3938">
            <v>3.8136535468088649E-3</v>
          </cell>
          <cell r="I3938" t="str">
            <v>Hass</v>
          </cell>
        </row>
        <row r="3939">
          <cell r="A3939" t="str">
            <v>Saturnina</v>
          </cell>
          <cell r="C3939">
            <v>3.8025350233487809E-3</v>
          </cell>
          <cell r="I3939" t="str">
            <v>Greiner</v>
          </cell>
        </row>
        <row r="3940">
          <cell r="A3940" t="str">
            <v>Ricarda</v>
          </cell>
          <cell r="C3940">
            <v>3.7914164998886966E-3</v>
          </cell>
          <cell r="I3940" t="str">
            <v>Freedman</v>
          </cell>
        </row>
        <row r="3941">
          <cell r="A3941" t="str">
            <v>Pok</v>
          </cell>
          <cell r="C3941">
            <v>3.7802979764286126E-3</v>
          </cell>
          <cell r="I3941" t="str">
            <v>Covert</v>
          </cell>
        </row>
        <row r="3942">
          <cell r="A3942" t="str">
            <v>Pasty</v>
          </cell>
          <cell r="C3942">
            <v>3.7691794529685282E-3</v>
          </cell>
          <cell r="I3942" t="str">
            <v>Chilton</v>
          </cell>
        </row>
        <row r="3943">
          <cell r="A3943" t="str">
            <v>Onie</v>
          </cell>
          <cell r="C3943">
            <v>3.7580609295084443E-3</v>
          </cell>
          <cell r="I3943" t="str">
            <v>Byars</v>
          </cell>
        </row>
        <row r="3944">
          <cell r="A3944" t="str">
            <v>Nubia</v>
          </cell>
          <cell r="C3944">
            <v>3.7469424060483599E-3</v>
          </cell>
          <cell r="I3944" t="str">
            <v>Wiese</v>
          </cell>
        </row>
        <row r="3945">
          <cell r="A3945" t="str">
            <v>Mora</v>
          </cell>
          <cell r="C3945">
            <v>3.735823882588276E-3</v>
          </cell>
          <cell r="I3945" t="str">
            <v>Venegas</v>
          </cell>
        </row>
        <row r="3946">
          <cell r="A3946" t="str">
            <v>Mike</v>
          </cell>
          <cell r="C3946">
            <v>3.7247053591281916E-3</v>
          </cell>
          <cell r="I3946" t="str">
            <v>Swank</v>
          </cell>
        </row>
        <row r="3947">
          <cell r="A3947" t="str">
            <v>Marielle</v>
          </cell>
          <cell r="C3947">
            <v>3.7135868356681077E-3</v>
          </cell>
          <cell r="I3947" t="str">
            <v>Shrader</v>
          </cell>
        </row>
        <row r="3948">
          <cell r="A3948" t="str">
            <v>Mariella</v>
          </cell>
          <cell r="C3948">
            <v>3.7024683122080233E-3</v>
          </cell>
          <cell r="I3948" t="str">
            <v>Roderick</v>
          </cell>
        </row>
        <row r="3949">
          <cell r="A3949" t="str">
            <v>Marianela</v>
          </cell>
          <cell r="C3949">
            <v>3.6913497887479394E-3</v>
          </cell>
          <cell r="I3949" t="str">
            <v>Roberge</v>
          </cell>
        </row>
        <row r="3950">
          <cell r="A3950" t="str">
            <v>Mardell</v>
          </cell>
          <cell r="C3950">
            <v>3.680231265287855E-3</v>
          </cell>
          <cell r="I3950" t="str">
            <v>Mullis</v>
          </cell>
        </row>
        <row r="3951">
          <cell r="A3951" t="str">
            <v>Many</v>
          </cell>
          <cell r="C3951">
            <v>3.6691127418277711E-3</v>
          </cell>
          <cell r="I3951" t="str">
            <v>Mortensen</v>
          </cell>
        </row>
        <row r="3952">
          <cell r="A3952" t="str">
            <v>Luanna</v>
          </cell>
          <cell r="C3952">
            <v>3.6579942183676867E-3</v>
          </cell>
          <cell r="I3952" t="str">
            <v>Mccune</v>
          </cell>
        </row>
        <row r="3953">
          <cell r="A3953" t="str">
            <v>Loise</v>
          </cell>
          <cell r="C3953">
            <v>3.6468756949076028E-3</v>
          </cell>
          <cell r="I3953" t="str">
            <v>Marlowe</v>
          </cell>
        </row>
        <row r="3954">
          <cell r="A3954" t="str">
            <v>Lisabeth</v>
          </cell>
          <cell r="C3954">
            <v>3.6357571714475184E-3</v>
          </cell>
          <cell r="I3954" t="str">
            <v>Kirchner</v>
          </cell>
        </row>
        <row r="3955">
          <cell r="A3955" t="str">
            <v>Lindsy</v>
          </cell>
          <cell r="C3955">
            <v>3.6246386479874344E-3</v>
          </cell>
          <cell r="I3955" t="str">
            <v>Keck</v>
          </cell>
        </row>
        <row r="3956">
          <cell r="A3956" t="str">
            <v>Lilliana</v>
          </cell>
          <cell r="C3956">
            <v>3.6135201245273501E-3</v>
          </cell>
          <cell r="I3956" t="str">
            <v>Isaacson</v>
          </cell>
        </row>
        <row r="3957">
          <cell r="A3957" t="str">
            <v>Lilliam</v>
          </cell>
          <cell r="C3957">
            <v>3.6024016010672661E-3</v>
          </cell>
          <cell r="I3957" t="str">
            <v>Hostetler</v>
          </cell>
        </row>
        <row r="3958">
          <cell r="A3958" t="str">
            <v>Lelah</v>
          </cell>
          <cell r="C3958">
            <v>3.5912830776071818E-3</v>
          </cell>
          <cell r="I3958" t="str">
            <v>Halverson</v>
          </cell>
        </row>
        <row r="3959">
          <cell r="A3959" t="str">
            <v>Leigha</v>
          </cell>
          <cell r="C3959">
            <v>3.5801645541470978E-3</v>
          </cell>
          <cell r="I3959" t="str">
            <v>Gunther</v>
          </cell>
        </row>
        <row r="3960">
          <cell r="A3960" t="str">
            <v>Leanora</v>
          </cell>
          <cell r="C3960">
            <v>3.5690460306870135E-3</v>
          </cell>
          <cell r="I3960" t="str">
            <v>Griswold</v>
          </cell>
        </row>
        <row r="3961">
          <cell r="A3961" t="str">
            <v>Lang</v>
          </cell>
          <cell r="C3961">
            <v>3.5579275072269295E-3</v>
          </cell>
          <cell r="I3961" t="str">
            <v>Gerard</v>
          </cell>
        </row>
        <row r="3962">
          <cell r="A3962" t="str">
            <v>Kristeen</v>
          </cell>
          <cell r="C3962">
            <v>3.5468089837668451E-3</v>
          </cell>
          <cell r="I3962" t="str">
            <v>Fenner</v>
          </cell>
        </row>
        <row r="3963">
          <cell r="A3963" t="str">
            <v>Khalilah</v>
          </cell>
          <cell r="C3963">
            <v>3.5356904603067612E-3</v>
          </cell>
          <cell r="I3963" t="str">
            <v>Durden</v>
          </cell>
        </row>
        <row r="3964">
          <cell r="A3964" t="str">
            <v>Keeley</v>
          </cell>
          <cell r="C3964">
            <v>3.5245719368466768E-3</v>
          </cell>
          <cell r="I3964" t="str">
            <v>Blackwood</v>
          </cell>
        </row>
        <row r="3965">
          <cell r="A3965" t="str">
            <v>Kandra</v>
          </cell>
          <cell r="C3965">
            <v>3.5134534133865929E-3</v>
          </cell>
          <cell r="I3965" t="str">
            <v>Bertram</v>
          </cell>
        </row>
        <row r="3966">
          <cell r="A3966" t="str">
            <v>Junko</v>
          </cell>
          <cell r="C3966">
            <v>3.5023348899265085E-3</v>
          </cell>
          <cell r="I3966" t="str">
            <v>Ahrens</v>
          </cell>
        </row>
        <row r="3967">
          <cell r="A3967" t="str">
            <v>Joaquina</v>
          </cell>
          <cell r="C3967">
            <v>3.4912163664664246E-3</v>
          </cell>
          <cell r="I3967" t="str">
            <v>Sawyers</v>
          </cell>
        </row>
        <row r="3968">
          <cell r="A3968" t="str">
            <v>Jerlene</v>
          </cell>
          <cell r="C3968">
            <v>3.4800978430063402E-3</v>
          </cell>
          <cell r="I3968" t="str">
            <v>Savoy</v>
          </cell>
        </row>
        <row r="3969">
          <cell r="A3969" t="str">
            <v>Jani</v>
          </cell>
          <cell r="C3969">
            <v>3.4689793195462563E-3</v>
          </cell>
          <cell r="I3969" t="str">
            <v>Nabors</v>
          </cell>
        </row>
        <row r="3970">
          <cell r="A3970" t="str">
            <v>Jamika</v>
          </cell>
          <cell r="C3970">
            <v>3.4578607960861719E-3</v>
          </cell>
          <cell r="I3970" t="str">
            <v>Mcswain</v>
          </cell>
        </row>
        <row r="3971">
          <cell r="A3971" t="str">
            <v>Jame</v>
          </cell>
          <cell r="C3971">
            <v>3.446742272626088E-3</v>
          </cell>
          <cell r="I3971" t="str">
            <v>Mackay</v>
          </cell>
        </row>
        <row r="3972">
          <cell r="A3972" t="str">
            <v>Hsiu</v>
          </cell>
          <cell r="C3972">
            <v>3.4356237491660036E-3</v>
          </cell>
          <cell r="I3972" t="str">
            <v>Loy</v>
          </cell>
        </row>
        <row r="3973">
          <cell r="A3973" t="str">
            <v>Hermila</v>
          </cell>
          <cell r="C3973">
            <v>3.4245052257059197E-3</v>
          </cell>
          <cell r="I3973" t="str">
            <v>Lavender</v>
          </cell>
        </row>
        <row r="3974">
          <cell r="A3974" t="str">
            <v>Golden</v>
          </cell>
          <cell r="C3974">
            <v>3.4133867022458353E-3</v>
          </cell>
          <cell r="I3974" t="str">
            <v>Lash</v>
          </cell>
        </row>
        <row r="3975">
          <cell r="A3975" t="str">
            <v>Genevive</v>
          </cell>
          <cell r="C3975">
            <v>3.4022681787857514E-3</v>
          </cell>
          <cell r="I3975" t="str">
            <v>Labbe</v>
          </cell>
        </row>
        <row r="3976">
          <cell r="A3976" t="str">
            <v>Evia</v>
          </cell>
          <cell r="C3976">
            <v>3.391149655325667E-3</v>
          </cell>
          <cell r="I3976" t="str">
            <v>Jessup</v>
          </cell>
        </row>
        <row r="3977">
          <cell r="A3977" t="str">
            <v>Eugena</v>
          </cell>
          <cell r="C3977">
            <v>3.380031131865583E-3</v>
          </cell>
          <cell r="I3977" t="str">
            <v>Hubert</v>
          </cell>
        </row>
        <row r="3978">
          <cell r="A3978" t="str">
            <v>Emmaline</v>
          </cell>
          <cell r="C3978">
            <v>3.3689126084054987E-3</v>
          </cell>
          <cell r="I3978" t="str">
            <v>Fullerton</v>
          </cell>
        </row>
        <row r="3979">
          <cell r="A3979" t="str">
            <v>Elfreda</v>
          </cell>
          <cell r="C3979">
            <v>3.3577940849454143E-3</v>
          </cell>
          <cell r="I3979" t="str">
            <v>Donnell</v>
          </cell>
        </row>
        <row r="3980">
          <cell r="A3980" t="str">
            <v>Elene</v>
          </cell>
          <cell r="C3980">
            <v>3.3466755614853304E-3</v>
          </cell>
          <cell r="I3980" t="str">
            <v>Cruse</v>
          </cell>
        </row>
        <row r="3981">
          <cell r="A3981" t="str">
            <v>Donette</v>
          </cell>
          <cell r="C3981">
            <v>3.335557038025246E-3</v>
          </cell>
          <cell r="I3981" t="str">
            <v>Crittenden</v>
          </cell>
        </row>
        <row r="3982">
          <cell r="A3982" t="str">
            <v>Delcie</v>
          </cell>
          <cell r="C3982">
            <v>3.3244385145651621E-3</v>
          </cell>
          <cell r="I3982" t="str">
            <v>Correia</v>
          </cell>
        </row>
        <row r="3983">
          <cell r="A3983" t="str">
            <v>Deeanna</v>
          </cell>
          <cell r="C3983">
            <v>3.3133199911050777E-3</v>
          </cell>
          <cell r="I3983" t="str">
            <v>Centeno</v>
          </cell>
        </row>
        <row r="3984">
          <cell r="A3984" t="str">
            <v>Darcey</v>
          </cell>
          <cell r="C3984">
            <v>3.3022014676449937E-3</v>
          </cell>
          <cell r="I3984" t="str">
            <v>Caudle</v>
          </cell>
        </row>
        <row r="3985">
          <cell r="A3985" t="str">
            <v>Cuc</v>
          </cell>
          <cell r="C3985">
            <v>3.2910829441849094E-3</v>
          </cell>
          <cell r="I3985" t="str">
            <v>Canady</v>
          </cell>
        </row>
        <row r="3986">
          <cell r="A3986" t="str">
            <v>Clarinda</v>
          </cell>
          <cell r="C3986">
            <v>3.2799644207248254E-3</v>
          </cell>
          <cell r="I3986" t="str">
            <v>Callender</v>
          </cell>
        </row>
        <row r="3987">
          <cell r="A3987" t="str">
            <v>Cira</v>
          </cell>
          <cell r="C3987">
            <v>3.2688458972647411E-3</v>
          </cell>
          <cell r="I3987" t="str">
            <v>Alarcon</v>
          </cell>
        </row>
        <row r="3988">
          <cell r="A3988" t="str">
            <v>Chae</v>
          </cell>
          <cell r="C3988">
            <v>3.2577273738046571E-3</v>
          </cell>
          <cell r="I3988" t="str">
            <v>Ahern</v>
          </cell>
        </row>
        <row r="3989">
          <cell r="A3989" t="str">
            <v>Celinda</v>
          </cell>
          <cell r="C3989">
            <v>3.2466088503445728E-3</v>
          </cell>
          <cell r="I3989" t="str">
            <v>Winfrey</v>
          </cell>
        </row>
        <row r="3990">
          <cell r="A3990" t="str">
            <v>Catheryn</v>
          </cell>
          <cell r="C3990">
            <v>3.2354903268844888E-3</v>
          </cell>
          <cell r="I3990" t="str">
            <v>Tribble</v>
          </cell>
        </row>
        <row r="3991">
          <cell r="A3991" t="str">
            <v>Catherin</v>
          </cell>
          <cell r="C3991">
            <v>3.2243718034244044E-3</v>
          </cell>
          <cell r="I3991" t="str">
            <v>Tom</v>
          </cell>
        </row>
        <row r="3992">
          <cell r="A3992" t="str">
            <v>Casimira</v>
          </cell>
          <cell r="C3992">
            <v>3.2132532799643205E-3</v>
          </cell>
          <cell r="I3992" t="str">
            <v>Styles</v>
          </cell>
        </row>
        <row r="3993">
          <cell r="A3993" t="str">
            <v>Carmelia</v>
          </cell>
          <cell r="C3993">
            <v>3.2021347565042361E-3</v>
          </cell>
          <cell r="I3993" t="str">
            <v>Salley</v>
          </cell>
        </row>
        <row r="3994">
          <cell r="A3994" t="str">
            <v>Camellia</v>
          </cell>
          <cell r="C3994">
            <v>3.1910162330441522E-3</v>
          </cell>
          <cell r="I3994" t="str">
            <v>Roden</v>
          </cell>
        </row>
        <row r="3995">
          <cell r="A3995" t="str">
            <v>Breana</v>
          </cell>
          <cell r="C3995">
            <v>3.1798977095840678E-3</v>
          </cell>
          <cell r="I3995" t="str">
            <v>Musgrove</v>
          </cell>
        </row>
        <row r="3996">
          <cell r="A3996" t="str">
            <v>Bobette</v>
          </cell>
          <cell r="C3996">
            <v>3.1687791861239839E-3</v>
          </cell>
          <cell r="I3996" t="str">
            <v>Minnick</v>
          </cell>
        </row>
        <row r="3997">
          <cell r="A3997" t="str">
            <v>Bernardina</v>
          </cell>
          <cell r="C3997">
            <v>3.1576606626638995E-3</v>
          </cell>
          <cell r="I3997" t="str">
            <v>Fortenberry</v>
          </cell>
        </row>
        <row r="3998">
          <cell r="A3998" t="str">
            <v>Bebe</v>
          </cell>
          <cell r="C3998">
            <v>3.1465421392038156E-3</v>
          </cell>
          <cell r="I3998" t="str">
            <v>Carrion</v>
          </cell>
        </row>
        <row r="3999">
          <cell r="A3999" t="str">
            <v>Basilia</v>
          </cell>
          <cell r="C3999">
            <v>3.1354236157437312E-3</v>
          </cell>
          <cell r="I3999" t="str">
            <v>Bunting</v>
          </cell>
        </row>
        <row r="4000">
          <cell r="A4000" t="str">
            <v>Arlyne</v>
          </cell>
          <cell r="C4000">
            <v>3.1243050922836473E-3</v>
          </cell>
          <cell r="I4000" t="str">
            <v>Bethel</v>
          </cell>
        </row>
        <row r="4001">
          <cell r="A4001" t="str">
            <v>Amal</v>
          </cell>
          <cell r="C4001">
            <v>3.1131865688235629E-3</v>
          </cell>
          <cell r="I4001" t="str">
            <v>Batiste</v>
          </cell>
        </row>
        <row r="4002">
          <cell r="A4002" t="str">
            <v>Alayna</v>
          </cell>
          <cell r="C4002">
            <v>3.102068045363479E-3</v>
          </cell>
          <cell r="I4002" t="str">
            <v>Woo</v>
          </cell>
        </row>
        <row r="4003">
          <cell r="A4003" t="str">
            <v>Zonia</v>
          </cell>
          <cell r="C4003">
            <v>3.0909495219033946E-3</v>
          </cell>
          <cell r="I4003" t="str">
            <v>Whited</v>
          </cell>
        </row>
        <row r="4004">
          <cell r="A4004" t="str">
            <v>Zenia</v>
          </cell>
          <cell r="C4004">
            <v>3.0798309984433106E-3</v>
          </cell>
          <cell r="I4004" t="str">
            <v>Underhill</v>
          </cell>
        </row>
        <row r="4005">
          <cell r="A4005" t="str">
            <v>Yuriko</v>
          </cell>
          <cell r="C4005">
            <v>3.0687124749832263E-3</v>
          </cell>
          <cell r="I4005" t="str">
            <v>Stillwell</v>
          </cell>
        </row>
        <row r="4006">
          <cell r="A4006" t="str">
            <v>Yaeko</v>
          </cell>
          <cell r="C4006">
            <v>3.0575939515231423E-3</v>
          </cell>
          <cell r="I4006" t="str">
            <v>Silvia</v>
          </cell>
        </row>
        <row r="4007">
          <cell r="A4007" t="str">
            <v>Wynell</v>
          </cell>
          <cell r="C4007">
            <v>3.046475428063058E-3</v>
          </cell>
          <cell r="I4007" t="str">
            <v>Rauch</v>
          </cell>
        </row>
        <row r="4008">
          <cell r="A4008" t="str">
            <v>Willow</v>
          </cell>
          <cell r="C4008">
            <v>3.035356904602974E-3</v>
          </cell>
          <cell r="I4008" t="str">
            <v>Pippin</v>
          </cell>
        </row>
        <row r="4009">
          <cell r="A4009" t="str">
            <v>Willena</v>
          </cell>
          <cell r="C4009">
            <v>3.0242383811428897E-3</v>
          </cell>
          <cell r="I4009" t="str">
            <v>Perrin</v>
          </cell>
        </row>
        <row r="4010">
          <cell r="A4010" t="str">
            <v>Vernia</v>
          </cell>
          <cell r="C4010">
            <v>3.0131198576828057E-3</v>
          </cell>
          <cell r="I4010" t="str">
            <v>Messenger</v>
          </cell>
        </row>
        <row r="4011">
          <cell r="A4011" t="str">
            <v>Tu</v>
          </cell>
          <cell r="C4011">
            <v>3.0020013342227213E-3</v>
          </cell>
          <cell r="I4011" t="str">
            <v>Mancini</v>
          </cell>
        </row>
        <row r="4012">
          <cell r="A4012" t="str">
            <v>Travis</v>
          </cell>
          <cell r="C4012">
            <v>2.9908828107626374E-3</v>
          </cell>
          <cell r="I4012" t="str">
            <v>Lister</v>
          </cell>
        </row>
        <row r="4013">
          <cell r="A4013" t="str">
            <v>Tora</v>
          </cell>
          <cell r="C4013">
            <v>2.979764287302553E-3</v>
          </cell>
          <cell r="I4013" t="str">
            <v>Kinard</v>
          </cell>
        </row>
        <row r="4014">
          <cell r="A4014" t="str">
            <v>Terrilyn</v>
          </cell>
          <cell r="C4014">
            <v>2.9686457638424691E-3</v>
          </cell>
          <cell r="I4014" t="str">
            <v>Hartmann</v>
          </cell>
        </row>
        <row r="4015">
          <cell r="A4015" t="str">
            <v>Terica</v>
          </cell>
          <cell r="C4015">
            <v>2.9575272403823847E-3</v>
          </cell>
          <cell r="I4015" t="str">
            <v>Fleck</v>
          </cell>
        </row>
        <row r="4016">
          <cell r="A4016" t="str">
            <v>Tenesha</v>
          </cell>
          <cell r="C4016">
            <v>2.9464087169223008E-3</v>
          </cell>
          <cell r="I4016" t="str">
            <v>Broadway</v>
          </cell>
        </row>
        <row r="4017">
          <cell r="A4017" t="str">
            <v>Tawna</v>
          </cell>
          <cell r="C4017">
            <v>2.9352901934622164E-3</v>
          </cell>
          <cell r="I4017" t="str">
            <v>Wilt</v>
          </cell>
        </row>
        <row r="4018">
          <cell r="A4018" t="str">
            <v>Tajuana</v>
          </cell>
          <cell r="C4018">
            <v>2.9241716700021325E-3</v>
          </cell>
          <cell r="I4018" t="str">
            <v>Treadway</v>
          </cell>
        </row>
        <row r="4019">
          <cell r="A4019" t="str">
            <v>Taina</v>
          </cell>
          <cell r="C4019">
            <v>2.9130531465420481E-3</v>
          </cell>
          <cell r="I4019" t="str">
            <v>Thornhill</v>
          </cell>
        </row>
        <row r="4020">
          <cell r="A4020" t="str">
            <v>Stephnie</v>
          </cell>
          <cell r="C4020">
            <v>2.9019346230819642E-3</v>
          </cell>
          <cell r="I4020" t="str">
            <v>Speed</v>
          </cell>
        </row>
        <row r="4021">
          <cell r="A4021" t="str">
            <v>Sona</v>
          </cell>
          <cell r="C4021">
            <v>2.8908160996218798E-3</v>
          </cell>
          <cell r="I4021" t="str">
            <v>Spalding</v>
          </cell>
        </row>
        <row r="4022">
          <cell r="A4022" t="str">
            <v>Sol</v>
          </cell>
          <cell r="C4022">
            <v>2.8796975761617959E-3</v>
          </cell>
          <cell r="I4022" t="str">
            <v>Sam</v>
          </cell>
        </row>
        <row r="4023">
          <cell r="A4023" t="str">
            <v>Sina</v>
          </cell>
          <cell r="C4023">
            <v>2.8685790527017115E-3</v>
          </cell>
          <cell r="I4023" t="str">
            <v>Rafferty</v>
          </cell>
        </row>
        <row r="4024">
          <cell r="A4024" t="str">
            <v>Shondra</v>
          </cell>
          <cell r="C4024">
            <v>2.8574605292416276E-3</v>
          </cell>
          <cell r="I4024" t="str">
            <v>Pitre</v>
          </cell>
        </row>
        <row r="4025">
          <cell r="A4025" t="str">
            <v>Shizuko</v>
          </cell>
          <cell r="C4025">
            <v>2.8463420057815432E-3</v>
          </cell>
          <cell r="I4025" t="str">
            <v>Patino</v>
          </cell>
        </row>
        <row r="4026">
          <cell r="A4026" t="str">
            <v>Sherlene</v>
          </cell>
          <cell r="C4026">
            <v>2.8352234823214592E-3</v>
          </cell>
          <cell r="I4026" t="str">
            <v>Ordonez</v>
          </cell>
        </row>
        <row r="4027">
          <cell r="A4027" t="str">
            <v>Sherice</v>
          </cell>
          <cell r="C4027">
            <v>2.8241049588613749E-3</v>
          </cell>
          <cell r="I4027" t="str">
            <v>Linkous</v>
          </cell>
        </row>
        <row r="4028">
          <cell r="A4028" t="str">
            <v>Sharika</v>
          </cell>
          <cell r="C4028">
            <v>2.8129864354012909E-3</v>
          </cell>
          <cell r="I4028" t="str">
            <v>Kelleher</v>
          </cell>
        </row>
        <row r="4029">
          <cell r="A4029" t="str">
            <v>Rossie</v>
          </cell>
          <cell r="C4029">
            <v>2.8018679119412066E-3</v>
          </cell>
          <cell r="I4029" t="str">
            <v>Homan</v>
          </cell>
        </row>
        <row r="4030">
          <cell r="A4030" t="str">
            <v>Rosena</v>
          </cell>
          <cell r="C4030">
            <v>2.7907493884811226E-3</v>
          </cell>
          <cell r="I4030" t="str">
            <v>Holiday</v>
          </cell>
        </row>
        <row r="4031">
          <cell r="A4031" t="str">
            <v>Rory</v>
          </cell>
          <cell r="C4031">
            <v>2.7796308650210383E-3</v>
          </cell>
          <cell r="I4031" t="str">
            <v>Galbraith</v>
          </cell>
        </row>
        <row r="4032">
          <cell r="A4032" t="str">
            <v>Rima</v>
          </cell>
          <cell r="C4032">
            <v>2.7685123415609547E-3</v>
          </cell>
          <cell r="I4032" t="str">
            <v>Feeney</v>
          </cell>
        </row>
        <row r="4033">
          <cell r="A4033" t="str">
            <v>Ria</v>
          </cell>
          <cell r="C4033">
            <v>2.7573938181008704E-3</v>
          </cell>
          <cell r="I4033" t="str">
            <v>Dorris</v>
          </cell>
        </row>
        <row r="4034">
          <cell r="A4034" t="str">
            <v>Rheba</v>
          </cell>
          <cell r="C4034">
            <v>2.7462752946407864E-3</v>
          </cell>
          <cell r="I4034" t="str">
            <v>Curtin</v>
          </cell>
        </row>
        <row r="4035">
          <cell r="A4035" t="str">
            <v>Renna</v>
          </cell>
          <cell r="C4035">
            <v>2.7351567711807021E-3</v>
          </cell>
          <cell r="I4035" t="str">
            <v>Coward</v>
          </cell>
        </row>
        <row r="4036">
          <cell r="A4036" t="str">
            <v>Peter</v>
          </cell>
          <cell r="C4036">
            <v>2.7240382477206181E-3</v>
          </cell>
          <cell r="I4036" t="str">
            <v>Camarillo</v>
          </cell>
        </row>
        <row r="4037">
          <cell r="A4037" t="str">
            <v>Natalya</v>
          </cell>
          <cell r="C4037">
            <v>2.7129197242605338E-3</v>
          </cell>
          <cell r="I4037" t="str">
            <v>Buss</v>
          </cell>
        </row>
        <row r="4038">
          <cell r="A4038" t="str">
            <v>Nancee</v>
          </cell>
          <cell r="C4038">
            <v>2.7018012008004498E-3</v>
          </cell>
          <cell r="I4038" t="str">
            <v>Bunnell</v>
          </cell>
        </row>
        <row r="4039">
          <cell r="A4039" t="str">
            <v>Melodi</v>
          </cell>
          <cell r="C4039">
            <v>2.6906826773403654E-3</v>
          </cell>
          <cell r="I4039" t="str">
            <v>Bolt</v>
          </cell>
        </row>
        <row r="4040">
          <cell r="A4040" t="str">
            <v>Meda</v>
          </cell>
          <cell r="C4040">
            <v>2.6795641538802815E-3</v>
          </cell>
          <cell r="I4040" t="str">
            <v>Beeler</v>
          </cell>
        </row>
        <row r="4041">
          <cell r="A4041" t="str">
            <v>Maxima</v>
          </cell>
          <cell r="C4041">
            <v>2.6684456304201971E-3</v>
          </cell>
          <cell r="I4041" t="str">
            <v>Autry</v>
          </cell>
        </row>
        <row r="4042">
          <cell r="A4042" t="str">
            <v>Matha</v>
          </cell>
          <cell r="C4042">
            <v>2.6573271069601132E-3</v>
          </cell>
          <cell r="I4042" t="str">
            <v>Alcala</v>
          </cell>
        </row>
        <row r="4043">
          <cell r="A4043" t="str">
            <v>Marketta</v>
          </cell>
          <cell r="C4043">
            <v>2.6462085835000288E-3</v>
          </cell>
          <cell r="I4043" t="str">
            <v>Witte</v>
          </cell>
        </row>
        <row r="4044">
          <cell r="A4044" t="str">
            <v>Maricruz</v>
          </cell>
          <cell r="C4044">
            <v>2.6350900600399449E-3</v>
          </cell>
          <cell r="I4044" t="str">
            <v>Wentz</v>
          </cell>
        </row>
        <row r="4045">
          <cell r="A4045" t="str">
            <v>Marcelene</v>
          </cell>
          <cell r="C4045">
            <v>2.6239715365798605E-3</v>
          </cell>
          <cell r="I4045" t="str">
            <v>Stidham</v>
          </cell>
        </row>
        <row r="4046">
          <cell r="A4046" t="str">
            <v>Malvina</v>
          </cell>
          <cell r="C4046">
            <v>2.6128530131197766E-3</v>
          </cell>
          <cell r="I4046" t="str">
            <v>Shively</v>
          </cell>
        </row>
        <row r="4047">
          <cell r="A4047" t="str">
            <v>Luba</v>
          </cell>
          <cell r="C4047">
            <v>2.6017344896596922E-3</v>
          </cell>
          <cell r="I4047" t="str">
            <v>Nunley</v>
          </cell>
        </row>
        <row r="4048">
          <cell r="A4048" t="str">
            <v>Louetta</v>
          </cell>
          <cell r="C4048">
            <v>2.5906159661996078E-3</v>
          </cell>
          <cell r="I4048" t="str">
            <v>Meacham</v>
          </cell>
        </row>
        <row r="4049">
          <cell r="A4049" t="str">
            <v>Leida</v>
          </cell>
          <cell r="C4049">
            <v>2.5794974427395239E-3</v>
          </cell>
          <cell r="I4049" t="str">
            <v>Martins</v>
          </cell>
        </row>
        <row r="4050">
          <cell r="A4050" t="str">
            <v>Lecia</v>
          </cell>
          <cell r="C4050">
            <v>2.5683789192794395E-3</v>
          </cell>
          <cell r="I4050" t="str">
            <v>Lemke</v>
          </cell>
        </row>
        <row r="4051">
          <cell r="A4051" t="str">
            <v>Lauran</v>
          </cell>
          <cell r="C4051">
            <v>2.5572603958193556E-3</v>
          </cell>
          <cell r="I4051" t="str">
            <v>Lefebvre</v>
          </cell>
        </row>
        <row r="4052">
          <cell r="A4052" t="str">
            <v>Lashawna</v>
          </cell>
          <cell r="C4052">
            <v>2.5461418723592712E-3</v>
          </cell>
          <cell r="I4052" t="str">
            <v>Kaye</v>
          </cell>
        </row>
        <row r="4053">
          <cell r="A4053" t="str">
            <v>Laine</v>
          </cell>
          <cell r="C4053">
            <v>2.5350233488991873E-3</v>
          </cell>
          <cell r="I4053" t="str">
            <v>Hynes</v>
          </cell>
        </row>
        <row r="4054">
          <cell r="A4054" t="str">
            <v>Khadijah</v>
          </cell>
          <cell r="C4054">
            <v>2.5239048254391029E-3</v>
          </cell>
          <cell r="I4054" t="str">
            <v>Horowitz</v>
          </cell>
        </row>
        <row r="4055">
          <cell r="A4055" t="str">
            <v>Katerine</v>
          </cell>
          <cell r="C4055">
            <v>2.512786301979019E-3</v>
          </cell>
          <cell r="I4055" t="str">
            <v>Hoppe</v>
          </cell>
        </row>
        <row r="4056">
          <cell r="A4056" t="str">
            <v>Kasi</v>
          </cell>
          <cell r="C4056">
            <v>2.5016677785189346E-3</v>
          </cell>
          <cell r="I4056" t="str">
            <v>Holcombe</v>
          </cell>
        </row>
        <row r="4057">
          <cell r="A4057" t="str">
            <v>Kallie</v>
          </cell>
          <cell r="C4057">
            <v>2.4905492550588507E-3</v>
          </cell>
          <cell r="I4057" t="str">
            <v>Estrella</v>
          </cell>
        </row>
        <row r="4058">
          <cell r="A4058" t="str">
            <v>Julietta</v>
          </cell>
          <cell r="C4058">
            <v>2.4794307315987663E-3</v>
          </cell>
          <cell r="I4058" t="str">
            <v>Dunne</v>
          </cell>
        </row>
        <row r="4059">
          <cell r="A4059" t="str">
            <v>Jesusita</v>
          </cell>
          <cell r="C4059">
            <v>2.4683122081386824E-3</v>
          </cell>
          <cell r="I4059" t="str">
            <v>Derr</v>
          </cell>
        </row>
        <row r="4060">
          <cell r="A4060" t="str">
            <v>Jestine</v>
          </cell>
          <cell r="C4060">
            <v>2.457193684678598E-3</v>
          </cell>
          <cell r="I4060" t="str">
            <v>Cochrane</v>
          </cell>
        </row>
        <row r="4061">
          <cell r="A4061" t="str">
            <v>Jessia</v>
          </cell>
          <cell r="C4061">
            <v>2.446075161218514E-3</v>
          </cell>
          <cell r="I4061" t="str">
            <v>Brittain</v>
          </cell>
        </row>
        <row r="4062">
          <cell r="A4062" t="str">
            <v>Jeremy</v>
          </cell>
          <cell r="C4062">
            <v>2.4349566377584297E-3</v>
          </cell>
          <cell r="I4062" t="str">
            <v>Bedard</v>
          </cell>
        </row>
        <row r="4063">
          <cell r="A4063" t="str">
            <v>Jeffie</v>
          </cell>
          <cell r="C4063">
            <v>2.4238381142983457E-3</v>
          </cell>
          <cell r="I4063" t="str">
            <v>Beauregard</v>
          </cell>
        </row>
        <row r="4064">
          <cell r="A4064" t="str">
            <v>Janyce</v>
          </cell>
          <cell r="C4064">
            <v>2.4127195908382614E-3</v>
          </cell>
          <cell r="I4064" t="str">
            <v>Torrence</v>
          </cell>
        </row>
        <row r="4065">
          <cell r="A4065" t="str">
            <v>Isadora</v>
          </cell>
          <cell r="C4065">
            <v>2.4016010673781774E-3</v>
          </cell>
          <cell r="I4065" t="str">
            <v>Strunk</v>
          </cell>
        </row>
        <row r="4066">
          <cell r="A4066" t="str">
            <v>Georgianne</v>
          </cell>
          <cell r="C4066">
            <v>2.3904825439180931E-3</v>
          </cell>
          <cell r="I4066" t="str">
            <v>Soria</v>
          </cell>
        </row>
        <row r="4067">
          <cell r="A4067" t="str">
            <v>Fidelia</v>
          </cell>
          <cell r="C4067">
            <v>2.3793640204580091E-3</v>
          </cell>
          <cell r="I4067" t="str">
            <v>Simonson</v>
          </cell>
        </row>
        <row r="4068">
          <cell r="A4068" t="str">
            <v>Evita</v>
          </cell>
          <cell r="C4068">
            <v>2.3682454969979247E-3</v>
          </cell>
          <cell r="I4068" t="str">
            <v>Shumaker</v>
          </cell>
        </row>
        <row r="4069">
          <cell r="A4069" t="str">
            <v>Eura</v>
          </cell>
          <cell r="C4069">
            <v>2.3571269735378408E-3</v>
          </cell>
          <cell r="I4069" t="str">
            <v>Scoggins</v>
          </cell>
        </row>
        <row r="4070">
          <cell r="A4070" t="str">
            <v>Eulah</v>
          </cell>
          <cell r="C4070">
            <v>2.3460084500777564E-3</v>
          </cell>
          <cell r="I4070" t="str">
            <v>Packer</v>
          </cell>
        </row>
        <row r="4071">
          <cell r="A4071" t="str">
            <v>Estefana</v>
          </cell>
          <cell r="C4071">
            <v>2.3348899266176725E-3</v>
          </cell>
          <cell r="I4071" t="str">
            <v>Oconner</v>
          </cell>
        </row>
        <row r="4072">
          <cell r="A4072" t="str">
            <v>Elsy</v>
          </cell>
          <cell r="C4072">
            <v>2.3237714031575881E-3</v>
          </cell>
          <cell r="I4072" t="str">
            <v>Moriarty</v>
          </cell>
        </row>
        <row r="4073">
          <cell r="A4073" t="str">
            <v>Elizabet</v>
          </cell>
          <cell r="C4073">
            <v>2.3126528796975042E-3</v>
          </cell>
          <cell r="I4073" t="str">
            <v>Leroy</v>
          </cell>
        </row>
        <row r="4074">
          <cell r="A4074" t="str">
            <v>Eladia</v>
          </cell>
          <cell r="C4074">
            <v>2.3015343562374198E-3</v>
          </cell>
          <cell r="I4074" t="str">
            <v>Kuntz</v>
          </cell>
        </row>
        <row r="4075">
          <cell r="A4075" t="str">
            <v>Dodie</v>
          </cell>
          <cell r="C4075">
            <v>2.2904158327773359E-3</v>
          </cell>
          <cell r="I4075" t="str">
            <v>Ives</v>
          </cell>
        </row>
        <row r="4076">
          <cell r="A4076" t="str">
            <v>Dion</v>
          </cell>
          <cell r="C4076">
            <v>2.2792973093172515E-3</v>
          </cell>
          <cell r="I4076" t="str">
            <v>Hutcheson</v>
          </cell>
        </row>
        <row r="4077">
          <cell r="A4077" t="str">
            <v>Dia</v>
          </cell>
          <cell r="C4077">
            <v>2.2681787858571676E-3</v>
          </cell>
          <cell r="I4077" t="str">
            <v>Horan</v>
          </cell>
        </row>
        <row r="4078">
          <cell r="A4078" t="str">
            <v>Denisse</v>
          </cell>
          <cell r="C4078">
            <v>2.2570602623970832E-3</v>
          </cell>
          <cell r="I4078" t="str">
            <v>Hales</v>
          </cell>
        </row>
        <row r="4079">
          <cell r="A4079" t="str">
            <v>Deloras</v>
          </cell>
          <cell r="C4079">
            <v>2.2459417389369993E-3</v>
          </cell>
          <cell r="I4079" t="str">
            <v>Garmon</v>
          </cell>
        </row>
        <row r="4080">
          <cell r="A4080" t="str">
            <v>Delila</v>
          </cell>
          <cell r="C4080">
            <v>2.2348232154769149E-3</v>
          </cell>
          <cell r="I4080" t="str">
            <v>Fitts</v>
          </cell>
        </row>
        <row r="4081">
          <cell r="A4081" t="str">
            <v>Daysi</v>
          </cell>
          <cell r="C4081">
            <v>2.2237046920168309E-3</v>
          </cell>
          <cell r="I4081" t="str">
            <v>Dell</v>
          </cell>
        </row>
        <row r="4082">
          <cell r="A4082" t="str">
            <v>Dakota</v>
          </cell>
          <cell r="C4082">
            <v>2.2125861685567466E-3</v>
          </cell>
          <cell r="I4082" t="str">
            <v>Bohn</v>
          </cell>
        </row>
        <row r="4083">
          <cell r="A4083" t="str">
            <v>Curtis</v>
          </cell>
          <cell r="C4083">
            <v>2.2014676450966626E-3</v>
          </cell>
          <cell r="I4083" t="str">
            <v>Atchison</v>
          </cell>
        </row>
        <row r="4084">
          <cell r="A4084" t="str">
            <v>Crystle</v>
          </cell>
          <cell r="C4084">
            <v>2.1903491216365783E-3</v>
          </cell>
          <cell r="I4084" t="str">
            <v>Worth</v>
          </cell>
        </row>
        <row r="4085">
          <cell r="A4085" t="str">
            <v>Concha</v>
          </cell>
          <cell r="C4085">
            <v>2.1792305981764943E-3</v>
          </cell>
          <cell r="I4085" t="str">
            <v>Wisniewski</v>
          </cell>
        </row>
        <row r="4086">
          <cell r="A4086" t="str">
            <v>Colby</v>
          </cell>
          <cell r="C4086">
            <v>2.16811207471641E-3</v>
          </cell>
          <cell r="I4086" t="str">
            <v>Will</v>
          </cell>
        </row>
        <row r="4087">
          <cell r="A4087" t="str">
            <v>Claretta</v>
          </cell>
          <cell r="C4087">
            <v>2.156993551256326E-3</v>
          </cell>
          <cell r="I4087" t="str">
            <v>Vanwinkle</v>
          </cell>
        </row>
        <row r="4088">
          <cell r="A4088" t="str">
            <v>Chu</v>
          </cell>
          <cell r="C4088">
            <v>2.1458750277962416E-3</v>
          </cell>
          <cell r="I4088" t="str">
            <v>Sturm</v>
          </cell>
        </row>
        <row r="4089">
          <cell r="A4089" t="str">
            <v>Christia</v>
          </cell>
          <cell r="C4089">
            <v>2.1347565043361577E-3</v>
          </cell>
          <cell r="I4089" t="str">
            <v>Sallee</v>
          </cell>
        </row>
        <row r="4090">
          <cell r="A4090" t="str">
            <v>Charlsie</v>
          </cell>
          <cell r="C4090">
            <v>2.1236379808760733E-3</v>
          </cell>
          <cell r="I4090" t="str">
            <v>Prosser</v>
          </cell>
        </row>
        <row r="4091">
          <cell r="A4091" t="str">
            <v>Charlena</v>
          </cell>
          <cell r="C4091">
            <v>2.1125194574159894E-3</v>
          </cell>
          <cell r="I4091" t="str">
            <v>Moen</v>
          </cell>
        </row>
        <row r="4092">
          <cell r="A4092" t="str">
            <v>Carylon</v>
          </cell>
          <cell r="C4092">
            <v>2.101400933955905E-3</v>
          </cell>
          <cell r="I4092" t="str">
            <v>Lundberg</v>
          </cell>
        </row>
        <row r="4093">
          <cell r="A4093" t="str">
            <v>Bettyann</v>
          </cell>
          <cell r="C4093">
            <v>2.0902824104958211E-3</v>
          </cell>
          <cell r="I4093" t="str">
            <v>Kunz</v>
          </cell>
        </row>
        <row r="4094">
          <cell r="A4094" t="str">
            <v>Asley</v>
          </cell>
          <cell r="C4094">
            <v>2.0791638870357367E-3</v>
          </cell>
          <cell r="I4094" t="str">
            <v>Kohl</v>
          </cell>
        </row>
        <row r="4095">
          <cell r="A4095" t="str">
            <v>Ashlea</v>
          </cell>
          <cell r="C4095">
            <v>2.0680453635756528E-3</v>
          </cell>
          <cell r="I4095" t="str">
            <v>Keane</v>
          </cell>
        </row>
        <row r="4096">
          <cell r="A4096" t="str">
            <v>Amira</v>
          </cell>
          <cell r="C4096">
            <v>2.0569268401155684E-3</v>
          </cell>
          <cell r="I4096" t="str">
            <v>Jorgenson</v>
          </cell>
        </row>
        <row r="4097">
          <cell r="A4097" t="str">
            <v>Ai</v>
          </cell>
          <cell r="C4097">
            <v>2.0458083166554845E-3</v>
          </cell>
          <cell r="I4097" t="str">
            <v>Jaynes</v>
          </cell>
        </row>
        <row r="4098">
          <cell r="A4098" t="str">
            <v>Agueda</v>
          </cell>
          <cell r="C4098">
            <v>2.0346897931954001E-3</v>
          </cell>
          <cell r="I4098" t="str">
            <v>Funderburk</v>
          </cell>
        </row>
        <row r="4099">
          <cell r="A4099" t="str">
            <v>Agnus</v>
          </cell>
          <cell r="C4099">
            <v>2.0235712697353162E-3</v>
          </cell>
          <cell r="I4099" t="str">
            <v>Freed</v>
          </cell>
        </row>
        <row r="4100">
          <cell r="A4100" t="str">
            <v>Yuette</v>
          </cell>
          <cell r="C4100">
            <v>2.0124527462752318E-3</v>
          </cell>
          <cell r="I4100" t="str">
            <v>Frame</v>
          </cell>
        </row>
        <row r="4101">
          <cell r="A4101" t="str">
            <v>Vinita</v>
          </cell>
          <cell r="C4101">
            <v>2.0013342228151479E-3</v>
          </cell>
          <cell r="I4101" t="str">
            <v>Durr</v>
          </cell>
        </row>
        <row r="4102">
          <cell r="A4102" t="str">
            <v>Victorina</v>
          </cell>
          <cell r="C4102">
            <v>1.9902156993550635E-3</v>
          </cell>
          <cell r="I4102" t="str">
            <v>Creamer</v>
          </cell>
        </row>
        <row r="4103">
          <cell r="A4103" t="str">
            <v>Tynisha</v>
          </cell>
          <cell r="C4103">
            <v>1.9790971758949795E-3</v>
          </cell>
          <cell r="I4103" t="str">
            <v>Cosgrove</v>
          </cell>
        </row>
        <row r="4104">
          <cell r="A4104" t="str">
            <v>Treena</v>
          </cell>
          <cell r="C4104">
            <v>1.9679786524348952E-3</v>
          </cell>
          <cell r="I4104" t="str">
            <v>Candelaria</v>
          </cell>
        </row>
        <row r="4105">
          <cell r="A4105" t="str">
            <v>Toccara</v>
          </cell>
          <cell r="C4105">
            <v>1.9568601289748112E-3</v>
          </cell>
          <cell r="I4105" t="str">
            <v>Berlin</v>
          </cell>
        </row>
        <row r="4106">
          <cell r="A4106" t="str">
            <v>Tish</v>
          </cell>
          <cell r="C4106">
            <v>1.9457416055147271E-3</v>
          </cell>
          <cell r="I4106" t="str">
            <v>Batson</v>
          </cell>
        </row>
        <row r="4107">
          <cell r="A4107" t="str">
            <v>Thomasena</v>
          </cell>
          <cell r="C4107">
            <v>1.9346230820546429E-3</v>
          </cell>
          <cell r="I4107" t="str">
            <v>Vanhoose</v>
          </cell>
        </row>
        <row r="4108">
          <cell r="A4108" t="str">
            <v>Tegan</v>
          </cell>
          <cell r="C4108">
            <v>1.9235045585945588E-3</v>
          </cell>
          <cell r="I4108" t="str">
            <v>Thomsen</v>
          </cell>
        </row>
        <row r="4109">
          <cell r="A4109" t="str">
            <v>Soila</v>
          </cell>
          <cell r="C4109">
            <v>1.9123860351344746E-3</v>
          </cell>
          <cell r="I4109" t="str">
            <v>Teeter</v>
          </cell>
        </row>
        <row r="4110">
          <cell r="A4110" t="str">
            <v>Shiloh</v>
          </cell>
          <cell r="C4110">
            <v>1.9012675116743905E-3</v>
          </cell>
          <cell r="I4110" t="str">
            <v>Sommer</v>
          </cell>
        </row>
        <row r="4111">
          <cell r="A4111" t="str">
            <v>Shenna</v>
          </cell>
          <cell r="C4111">
            <v>1.8901489882143063E-3</v>
          </cell>
          <cell r="I4111" t="str">
            <v>Smyth</v>
          </cell>
        </row>
        <row r="4112">
          <cell r="A4112" t="str">
            <v>Sharmaine</v>
          </cell>
          <cell r="C4112">
            <v>1.8790304647542222E-3</v>
          </cell>
          <cell r="I4112" t="str">
            <v>Sena</v>
          </cell>
        </row>
        <row r="4113">
          <cell r="A4113" t="str">
            <v>Shantae</v>
          </cell>
          <cell r="C4113">
            <v>1.867911941294138E-3</v>
          </cell>
          <cell r="I4113" t="str">
            <v>Redmon</v>
          </cell>
        </row>
        <row r="4114">
          <cell r="A4114" t="str">
            <v>Shandi</v>
          </cell>
          <cell r="C4114">
            <v>1.8567934178340538E-3</v>
          </cell>
          <cell r="I4114" t="str">
            <v>Orellana</v>
          </cell>
        </row>
        <row r="4115">
          <cell r="A4115" t="str">
            <v>September</v>
          </cell>
          <cell r="C4115">
            <v>1.8456748943739697E-3</v>
          </cell>
          <cell r="I4115" t="str">
            <v>Maness</v>
          </cell>
        </row>
        <row r="4116">
          <cell r="A4116" t="str">
            <v>Saran</v>
          </cell>
          <cell r="C4116">
            <v>1.8345563709138855E-3</v>
          </cell>
          <cell r="I4116" t="str">
            <v>Lennon</v>
          </cell>
        </row>
        <row r="4117">
          <cell r="A4117" t="str">
            <v>Sarai</v>
          </cell>
          <cell r="C4117">
            <v>1.8234378474538014E-3</v>
          </cell>
          <cell r="I4117" t="str">
            <v>Heflin</v>
          </cell>
        </row>
        <row r="4118">
          <cell r="A4118" t="str">
            <v>Sana</v>
          </cell>
          <cell r="C4118">
            <v>1.8123193239937172E-3</v>
          </cell>
          <cell r="I4118" t="str">
            <v>Goulet</v>
          </cell>
        </row>
        <row r="4119">
          <cell r="A4119" t="str">
            <v>Samuel</v>
          </cell>
          <cell r="C4119">
            <v>1.8012008005336331E-3</v>
          </cell>
          <cell r="I4119" t="str">
            <v>Frick</v>
          </cell>
        </row>
        <row r="4120">
          <cell r="A4120" t="str">
            <v>Salley</v>
          </cell>
          <cell r="C4120">
            <v>1.7900822770735489E-3</v>
          </cell>
          <cell r="I4120" t="str">
            <v>Forney</v>
          </cell>
        </row>
        <row r="4121">
          <cell r="A4121" t="str">
            <v>Rosette</v>
          </cell>
          <cell r="C4121">
            <v>1.7789637536134648E-3</v>
          </cell>
          <cell r="I4121" t="str">
            <v>Dollar</v>
          </cell>
        </row>
        <row r="4122">
          <cell r="A4122" t="str">
            <v>Rolande</v>
          </cell>
          <cell r="C4122">
            <v>1.7678452301533806E-3</v>
          </cell>
          <cell r="I4122" t="str">
            <v>Bunker</v>
          </cell>
        </row>
        <row r="4123">
          <cell r="A4123" t="str">
            <v>Regine</v>
          </cell>
          <cell r="C4123">
            <v>1.7567267066932965E-3</v>
          </cell>
          <cell r="I4123" t="str">
            <v>Asbury</v>
          </cell>
        </row>
        <row r="4124">
          <cell r="A4124" t="str">
            <v>Otelia</v>
          </cell>
          <cell r="C4124">
            <v>1.7456081832332123E-3</v>
          </cell>
          <cell r="I4124" t="str">
            <v>Aguiar</v>
          </cell>
        </row>
        <row r="4125">
          <cell r="A4125" t="str">
            <v>Oscar</v>
          </cell>
          <cell r="C4125">
            <v>1.7344896597731281E-3</v>
          </cell>
          <cell r="I4125" t="str">
            <v>Talbott</v>
          </cell>
        </row>
        <row r="4126">
          <cell r="A4126" t="str">
            <v>Olevia</v>
          </cell>
          <cell r="C4126">
            <v>1.723371136313044E-3</v>
          </cell>
          <cell r="I4126" t="str">
            <v>Southard</v>
          </cell>
        </row>
        <row r="4127">
          <cell r="A4127" t="str">
            <v>Nicholle</v>
          </cell>
          <cell r="C4127">
            <v>1.7122526128529598E-3</v>
          </cell>
          <cell r="I4127" t="str">
            <v>Pleasant</v>
          </cell>
        </row>
        <row r="4128">
          <cell r="A4128" t="str">
            <v>Necole</v>
          </cell>
          <cell r="C4128">
            <v>1.7011340893928757E-3</v>
          </cell>
          <cell r="I4128" t="str">
            <v>Mowery</v>
          </cell>
        </row>
        <row r="4129">
          <cell r="A4129" t="str">
            <v>Naida</v>
          </cell>
          <cell r="C4129">
            <v>1.6900155659327915E-3</v>
          </cell>
          <cell r="I4129" t="str">
            <v>Mears</v>
          </cell>
        </row>
        <row r="4130">
          <cell r="A4130" t="str">
            <v>Myrta</v>
          </cell>
          <cell r="C4130">
            <v>1.6788970424727072E-3</v>
          </cell>
          <cell r="I4130" t="str">
            <v>Lemmon</v>
          </cell>
        </row>
        <row r="4131">
          <cell r="A4131" t="str">
            <v>Myesha</v>
          </cell>
          <cell r="C4131">
            <v>1.667778519012623E-3</v>
          </cell>
          <cell r="I4131" t="str">
            <v>Krieger</v>
          </cell>
        </row>
        <row r="4132">
          <cell r="A4132" t="str">
            <v>Mitsue</v>
          </cell>
          <cell r="C4132">
            <v>1.6566599955525388E-3</v>
          </cell>
          <cell r="I4132" t="str">
            <v>Hickson</v>
          </cell>
        </row>
        <row r="4133">
          <cell r="A4133" t="str">
            <v>Minta</v>
          </cell>
          <cell r="C4133">
            <v>1.6455414720924547E-3</v>
          </cell>
          <cell r="I4133" t="str">
            <v>Gracia</v>
          </cell>
        </row>
        <row r="4134">
          <cell r="A4134" t="str">
            <v>Mertie</v>
          </cell>
          <cell r="C4134">
            <v>1.6344229486323705E-3</v>
          </cell>
          <cell r="I4134" t="str">
            <v>Elston</v>
          </cell>
        </row>
        <row r="4135">
          <cell r="A4135" t="str">
            <v>Margy</v>
          </cell>
          <cell r="C4135">
            <v>1.6233044251722864E-3</v>
          </cell>
          <cell r="I4135" t="str">
            <v>Duong</v>
          </cell>
        </row>
        <row r="4136">
          <cell r="A4136" t="str">
            <v>Mahalia</v>
          </cell>
          <cell r="C4136">
            <v>1.6121859017122022E-3</v>
          </cell>
          <cell r="I4136" t="str">
            <v>Delgadillo</v>
          </cell>
        </row>
        <row r="4137">
          <cell r="A4137" t="str">
            <v>Madalene</v>
          </cell>
          <cell r="C4137">
            <v>1.6010673782521181E-3</v>
          </cell>
          <cell r="I4137" t="str">
            <v>Dayton</v>
          </cell>
        </row>
        <row r="4138">
          <cell r="A4138" t="str">
            <v>Love</v>
          </cell>
          <cell r="C4138">
            <v>1.5899488547920339E-3</v>
          </cell>
          <cell r="I4138" t="str">
            <v>Dasilva</v>
          </cell>
        </row>
        <row r="4139">
          <cell r="A4139" t="str">
            <v>Loura</v>
          </cell>
          <cell r="C4139">
            <v>1.5788303313319498E-3</v>
          </cell>
          <cell r="I4139" t="str">
            <v>Conaway</v>
          </cell>
        </row>
        <row r="4140">
          <cell r="A4140" t="str">
            <v>Lorean</v>
          </cell>
          <cell r="C4140">
            <v>1.5677118078718656E-3</v>
          </cell>
          <cell r="I4140" t="str">
            <v>Catron</v>
          </cell>
        </row>
        <row r="4141">
          <cell r="A4141" t="str">
            <v>Lewis</v>
          </cell>
          <cell r="C4141">
            <v>1.5565932844117814E-3</v>
          </cell>
          <cell r="I4141" t="str">
            <v>Bruton</v>
          </cell>
        </row>
        <row r="4142">
          <cell r="A4142" t="str">
            <v>Lesha</v>
          </cell>
          <cell r="C4142">
            <v>1.5454747609516973E-3</v>
          </cell>
          <cell r="I4142" t="str">
            <v>Bradbury</v>
          </cell>
        </row>
        <row r="4143">
          <cell r="A4143" t="str">
            <v>Leonida</v>
          </cell>
          <cell r="C4143">
            <v>1.5343562374916131E-3</v>
          </cell>
          <cell r="I4143" t="str">
            <v>Bordelon</v>
          </cell>
        </row>
        <row r="4144">
          <cell r="A4144" t="str">
            <v>Lenita</v>
          </cell>
          <cell r="C4144">
            <v>1.523237714031529E-3</v>
          </cell>
          <cell r="I4144" t="str">
            <v>Bivins</v>
          </cell>
        </row>
        <row r="4145">
          <cell r="A4145" t="str">
            <v>Lavone</v>
          </cell>
          <cell r="C4145">
            <v>1.5121191905714448E-3</v>
          </cell>
          <cell r="I4145" t="str">
            <v>Bittner</v>
          </cell>
        </row>
        <row r="4146">
          <cell r="A4146" t="str">
            <v>Lashell</v>
          </cell>
          <cell r="C4146">
            <v>1.5010006671113607E-3</v>
          </cell>
          <cell r="I4146" t="str">
            <v>Bergstrom</v>
          </cell>
        </row>
        <row r="4147">
          <cell r="A4147" t="str">
            <v>Lashandra</v>
          </cell>
          <cell r="C4147">
            <v>1.4898821436512765E-3</v>
          </cell>
          <cell r="I4147" t="str">
            <v>Beals</v>
          </cell>
        </row>
        <row r="4148">
          <cell r="A4148" t="str">
            <v>Lamonica</v>
          </cell>
          <cell r="C4148">
            <v>1.4787636201911924E-3</v>
          </cell>
          <cell r="I4148" t="str">
            <v>Abell</v>
          </cell>
        </row>
        <row r="4149">
          <cell r="A4149" t="str">
            <v>Kimbra</v>
          </cell>
          <cell r="C4149">
            <v>1.4676450967311082E-3</v>
          </cell>
          <cell r="I4149" t="str">
            <v>Whelan</v>
          </cell>
        </row>
        <row r="4150">
          <cell r="A4150" t="str">
            <v>Katherina</v>
          </cell>
          <cell r="C4150">
            <v>1.4565265732710241E-3</v>
          </cell>
          <cell r="I4150" t="str">
            <v>Travers</v>
          </cell>
        </row>
        <row r="4151">
          <cell r="A4151" t="str">
            <v>Karry</v>
          </cell>
          <cell r="C4151">
            <v>1.4454080498109399E-3</v>
          </cell>
          <cell r="I4151" t="str">
            <v>Tejada</v>
          </cell>
        </row>
        <row r="4152">
          <cell r="A4152" t="str">
            <v>Kanesha</v>
          </cell>
          <cell r="C4152">
            <v>1.4342895263508557E-3</v>
          </cell>
          <cell r="I4152" t="str">
            <v>Pulley</v>
          </cell>
        </row>
        <row r="4153">
          <cell r="A4153" t="str">
            <v>Julio</v>
          </cell>
          <cell r="C4153">
            <v>1.4231710028907716E-3</v>
          </cell>
          <cell r="I4153" t="str">
            <v>Pino</v>
          </cell>
        </row>
        <row r="4154">
          <cell r="A4154" t="str">
            <v>Jong</v>
          </cell>
          <cell r="C4154">
            <v>1.4120524794306874E-3</v>
          </cell>
          <cell r="I4154" t="str">
            <v>Norfleet</v>
          </cell>
        </row>
        <row r="4155">
          <cell r="A4155" t="str">
            <v>Jeneva</v>
          </cell>
          <cell r="C4155">
            <v>1.4009339559706033E-3</v>
          </cell>
          <cell r="I4155" t="str">
            <v>Nealy</v>
          </cell>
        </row>
        <row r="4156">
          <cell r="A4156" t="str">
            <v>Jaquelyn</v>
          </cell>
          <cell r="C4156">
            <v>1.3898154325105191E-3</v>
          </cell>
          <cell r="I4156" t="str">
            <v>Maes</v>
          </cell>
        </row>
        <row r="4157">
          <cell r="A4157" t="str">
            <v>Hwa</v>
          </cell>
          <cell r="C4157">
            <v>1.3786969090504352E-3</v>
          </cell>
          <cell r="I4157" t="str">
            <v>Loper</v>
          </cell>
        </row>
        <row r="4158">
          <cell r="A4158" t="str">
            <v>Gilma</v>
          </cell>
          <cell r="C4158">
            <v>1.367578385590351E-3</v>
          </cell>
          <cell r="I4158" t="str">
            <v>Held</v>
          </cell>
        </row>
        <row r="4159">
          <cell r="A4159" t="str">
            <v>Ghislaine</v>
          </cell>
          <cell r="C4159">
            <v>1.3564598621302669E-3</v>
          </cell>
          <cell r="I4159" t="str">
            <v>Gerald</v>
          </cell>
        </row>
        <row r="4160">
          <cell r="A4160" t="str">
            <v>Gertrudis</v>
          </cell>
          <cell r="C4160">
            <v>1.3453413386701827E-3</v>
          </cell>
          <cell r="I4160" t="str">
            <v>Gatewood</v>
          </cell>
        </row>
        <row r="4161">
          <cell r="A4161" t="str">
            <v>Fransisca</v>
          </cell>
          <cell r="C4161">
            <v>1.3342228152100986E-3</v>
          </cell>
          <cell r="I4161" t="str">
            <v>Frierson</v>
          </cell>
        </row>
        <row r="4162">
          <cell r="A4162" t="str">
            <v>Fermina</v>
          </cell>
          <cell r="C4162">
            <v>1.3231042917500144E-3</v>
          </cell>
          <cell r="I4162" t="str">
            <v>Freund</v>
          </cell>
        </row>
        <row r="4163">
          <cell r="A4163" t="str">
            <v>Ettie</v>
          </cell>
          <cell r="C4163">
            <v>1.3119857682899303E-3</v>
          </cell>
          <cell r="I4163" t="str">
            <v>Finnegan</v>
          </cell>
        </row>
        <row r="4164">
          <cell r="A4164" t="str">
            <v>Etsuko</v>
          </cell>
          <cell r="C4164">
            <v>1.3008672448298461E-3</v>
          </cell>
          <cell r="I4164" t="str">
            <v>Cupp</v>
          </cell>
        </row>
        <row r="4165">
          <cell r="A4165" t="str">
            <v>Ellis</v>
          </cell>
          <cell r="C4165">
            <v>1.289748721369762E-3</v>
          </cell>
          <cell r="I4165" t="str">
            <v>Covey</v>
          </cell>
        </row>
        <row r="4166">
          <cell r="A4166" t="str">
            <v>Ellan</v>
          </cell>
          <cell r="C4166">
            <v>1.2786301979096778E-3</v>
          </cell>
          <cell r="I4166" t="str">
            <v>Catalano</v>
          </cell>
        </row>
        <row r="4167">
          <cell r="A4167" t="str">
            <v>Elidia</v>
          </cell>
          <cell r="C4167">
            <v>1.2675116744495936E-3</v>
          </cell>
          <cell r="I4167" t="str">
            <v>Boehm</v>
          </cell>
        </row>
        <row r="4168">
          <cell r="A4168" t="str">
            <v>Edra</v>
          </cell>
          <cell r="C4168">
            <v>1.2563931509895095E-3</v>
          </cell>
          <cell r="I4168" t="str">
            <v>Bader</v>
          </cell>
        </row>
        <row r="4169">
          <cell r="A4169" t="str">
            <v>Dorethea</v>
          </cell>
          <cell r="C4169">
            <v>1.2452746275294253E-3</v>
          </cell>
          <cell r="I4169" t="str">
            <v>Yoon</v>
          </cell>
        </row>
        <row r="4170">
          <cell r="A4170" t="str">
            <v>Doreatha</v>
          </cell>
          <cell r="C4170">
            <v>1.2341561040693412E-3</v>
          </cell>
          <cell r="I4170" t="str">
            <v>Walston</v>
          </cell>
        </row>
        <row r="4171">
          <cell r="A4171" t="str">
            <v>Denyse</v>
          </cell>
          <cell r="C4171">
            <v>1.223037580609257E-3</v>
          </cell>
          <cell r="I4171" t="str">
            <v>Tenney</v>
          </cell>
        </row>
        <row r="4172">
          <cell r="A4172" t="str">
            <v>Denny</v>
          </cell>
          <cell r="C4172">
            <v>1.2119190571491729E-3</v>
          </cell>
          <cell r="I4172" t="str">
            <v>Sipes</v>
          </cell>
        </row>
        <row r="4173">
          <cell r="A4173" t="str">
            <v>Deetta</v>
          </cell>
          <cell r="C4173">
            <v>1.2008005336890887E-3</v>
          </cell>
          <cell r="I4173" t="str">
            <v>Roller</v>
          </cell>
        </row>
        <row r="4174">
          <cell r="A4174" t="str">
            <v>Daine</v>
          </cell>
          <cell r="C4174">
            <v>1.1896820102290046E-3</v>
          </cell>
          <cell r="I4174" t="str">
            <v>Rawlins</v>
          </cell>
        </row>
        <row r="4175">
          <cell r="A4175" t="str">
            <v>Cyrstal</v>
          </cell>
          <cell r="C4175">
            <v>1.1785634867689204E-3</v>
          </cell>
          <cell r="I4175" t="str">
            <v>Medlock</v>
          </cell>
        </row>
        <row r="4176">
          <cell r="A4176" t="str">
            <v>Corrin</v>
          </cell>
          <cell r="C4176">
            <v>1.1674449633088362E-3</v>
          </cell>
          <cell r="I4176" t="str">
            <v>Mccaskill</v>
          </cell>
        </row>
        <row r="4177">
          <cell r="A4177" t="str">
            <v>Cayla</v>
          </cell>
          <cell r="C4177">
            <v>1.1563264398487521E-3</v>
          </cell>
          <cell r="I4177" t="str">
            <v>Mccallister</v>
          </cell>
        </row>
        <row r="4178">
          <cell r="A4178" t="str">
            <v>Carlita</v>
          </cell>
          <cell r="C4178">
            <v>1.1452079163886679E-3</v>
          </cell>
          <cell r="I4178" t="str">
            <v>Marcotte</v>
          </cell>
        </row>
        <row r="4179">
          <cell r="A4179" t="str">
            <v>Camila</v>
          </cell>
          <cell r="C4179">
            <v>1.1340893929285838E-3</v>
          </cell>
          <cell r="I4179" t="str">
            <v>Maclean</v>
          </cell>
        </row>
        <row r="4180">
          <cell r="A4180" t="str">
            <v>Burma</v>
          </cell>
          <cell r="C4180">
            <v>1.1229708694684996E-3</v>
          </cell>
          <cell r="I4180" t="str">
            <v>Hughey</v>
          </cell>
        </row>
        <row r="4181">
          <cell r="A4181" t="str">
            <v>Bula</v>
          </cell>
          <cell r="C4181">
            <v>1.1118523460084155E-3</v>
          </cell>
          <cell r="I4181" t="str">
            <v>Henke</v>
          </cell>
        </row>
        <row r="4182">
          <cell r="A4182" t="str">
            <v>Buena</v>
          </cell>
          <cell r="C4182">
            <v>1.1007338225483313E-3</v>
          </cell>
          <cell r="I4182" t="str">
            <v>Harwell</v>
          </cell>
        </row>
        <row r="4183">
          <cell r="A4183" t="str">
            <v>Blake</v>
          </cell>
          <cell r="C4183">
            <v>1.0896152990882472E-3</v>
          </cell>
          <cell r="I4183" t="str">
            <v>Gladney</v>
          </cell>
        </row>
        <row r="4184">
          <cell r="A4184" t="str">
            <v>Barabara</v>
          </cell>
          <cell r="C4184">
            <v>1.078496775628163E-3</v>
          </cell>
          <cell r="I4184" t="str">
            <v>Gilson</v>
          </cell>
        </row>
        <row r="4185">
          <cell r="A4185" t="str">
            <v>Avril</v>
          </cell>
          <cell r="C4185">
            <v>1.0673782521680789E-3</v>
          </cell>
          <cell r="I4185" t="str">
            <v>Dew</v>
          </cell>
        </row>
        <row r="4186">
          <cell r="A4186" t="str">
            <v>Austin</v>
          </cell>
          <cell r="C4186">
            <v>1.0562597287079947E-3</v>
          </cell>
          <cell r="I4186" t="str">
            <v>Chism</v>
          </cell>
        </row>
        <row r="4187">
          <cell r="A4187" t="str">
            <v>Alaine</v>
          </cell>
          <cell r="C4187">
            <v>1.0451412052479105E-3</v>
          </cell>
          <cell r="I4187" t="str">
            <v>Caskey</v>
          </cell>
        </row>
        <row r="4188">
          <cell r="A4188" t="str">
            <v>Zana</v>
          </cell>
          <cell r="C4188">
            <v>1.0340226817878264E-3</v>
          </cell>
          <cell r="I4188" t="str">
            <v>Brandenburg</v>
          </cell>
        </row>
        <row r="4189">
          <cell r="A4189" t="str">
            <v>Wilhemina</v>
          </cell>
          <cell r="C4189">
            <v>1.0229041583277422E-3</v>
          </cell>
          <cell r="I4189" t="str">
            <v>Baylor</v>
          </cell>
        </row>
        <row r="4190">
          <cell r="A4190" t="str">
            <v>Wanetta</v>
          </cell>
          <cell r="C4190">
            <v>1.0117856348676581E-3</v>
          </cell>
          <cell r="I4190" t="str">
            <v>Villasenor</v>
          </cell>
        </row>
        <row r="4191">
          <cell r="A4191" t="str">
            <v>Virgil</v>
          </cell>
          <cell r="C4191">
            <v>1.0006671114075739E-3</v>
          </cell>
          <cell r="I4191" t="str">
            <v>Veal</v>
          </cell>
        </row>
        <row r="4192">
          <cell r="A4192" t="str">
            <v>Vi</v>
          </cell>
          <cell r="C4192">
            <v>9.8954858794748977E-4</v>
          </cell>
          <cell r="I4192" t="str">
            <v>Van</v>
          </cell>
        </row>
        <row r="4193">
          <cell r="A4193" t="str">
            <v>Veronika</v>
          </cell>
          <cell r="C4193">
            <v>9.7843006448740562E-4</v>
          </cell>
          <cell r="I4193" t="str">
            <v>Thatcher</v>
          </cell>
        </row>
        <row r="4194">
          <cell r="A4194" t="str">
            <v>Vernon</v>
          </cell>
          <cell r="C4194">
            <v>9.6731154102732146E-4</v>
          </cell>
          <cell r="I4194" t="str">
            <v>Stegall</v>
          </cell>
        </row>
        <row r="4195">
          <cell r="A4195" t="str">
            <v>Verline</v>
          </cell>
          <cell r="C4195">
            <v>9.5619301756723731E-4</v>
          </cell>
          <cell r="I4195" t="str">
            <v>Shore</v>
          </cell>
        </row>
        <row r="4196">
          <cell r="A4196" t="str">
            <v>Vasiliki</v>
          </cell>
          <cell r="C4196">
            <v>9.4507449410715315E-4</v>
          </cell>
          <cell r="I4196" t="str">
            <v>Petrie</v>
          </cell>
        </row>
        <row r="4197">
          <cell r="A4197" t="str">
            <v>Tonita</v>
          </cell>
          <cell r="C4197">
            <v>9.33955970647069E-4</v>
          </cell>
          <cell r="I4197" t="str">
            <v>Nowlin</v>
          </cell>
        </row>
        <row r="4198">
          <cell r="A4198" t="str">
            <v>Tisa</v>
          </cell>
          <cell r="C4198">
            <v>9.2283744718698484E-4</v>
          </cell>
          <cell r="I4198" t="str">
            <v>Navarrete</v>
          </cell>
        </row>
        <row r="4199">
          <cell r="A4199" t="str">
            <v>Teofila</v>
          </cell>
          <cell r="C4199">
            <v>9.1171892372690069E-4</v>
          </cell>
          <cell r="I4199" t="str">
            <v>Muhammad</v>
          </cell>
        </row>
        <row r="4200">
          <cell r="A4200" t="str">
            <v>Tayna</v>
          </cell>
          <cell r="C4200">
            <v>9.0060040026681653E-4</v>
          </cell>
          <cell r="I4200" t="str">
            <v>Lombard</v>
          </cell>
        </row>
        <row r="4201">
          <cell r="A4201" t="str">
            <v>Taunya</v>
          </cell>
          <cell r="C4201">
            <v>8.8948187680673238E-4</v>
          </cell>
          <cell r="I4201" t="str">
            <v>Loftin</v>
          </cell>
        </row>
        <row r="4202">
          <cell r="A4202" t="str">
            <v>Tandra</v>
          </cell>
          <cell r="C4202">
            <v>8.7836335334664823E-4</v>
          </cell>
          <cell r="I4202" t="str">
            <v>Lemaster</v>
          </cell>
        </row>
        <row r="4203">
          <cell r="A4203" t="str">
            <v>Takako</v>
          </cell>
          <cell r="C4203">
            <v>8.6724482988656407E-4</v>
          </cell>
          <cell r="I4203" t="str">
            <v>Kroll</v>
          </cell>
        </row>
        <row r="4204">
          <cell r="A4204" t="str">
            <v>Sunni</v>
          </cell>
          <cell r="C4204">
            <v>8.5612630642647992E-4</v>
          </cell>
          <cell r="I4204" t="str">
            <v>Kovach</v>
          </cell>
        </row>
        <row r="4205">
          <cell r="A4205" t="str">
            <v>Suanne</v>
          </cell>
          <cell r="C4205">
            <v>8.4500778296639576E-4</v>
          </cell>
          <cell r="I4205" t="str">
            <v>Kimbrell</v>
          </cell>
        </row>
        <row r="4206">
          <cell r="A4206" t="str">
            <v>Sixta</v>
          </cell>
          <cell r="C4206">
            <v>8.338892595063115E-4</v>
          </cell>
          <cell r="I4206" t="str">
            <v>Kidwell</v>
          </cell>
        </row>
        <row r="4207">
          <cell r="A4207" t="str">
            <v>Sharell</v>
          </cell>
          <cell r="C4207">
            <v>8.2277073604622734E-4</v>
          </cell>
          <cell r="I4207" t="str">
            <v>Hershberger</v>
          </cell>
        </row>
        <row r="4208">
          <cell r="A4208" t="str">
            <v>Seema</v>
          </cell>
          <cell r="C4208">
            <v>8.1165221258614319E-4</v>
          </cell>
          <cell r="I4208" t="str">
            <v>Fulcher</v>
          </cell>
        </row>
        <row r="4209">
          <cell r="A4209" t="str">
            <v>Russell</v>
          </cell>
          <cell r="C4209">
            <v>8.0053368912605903E-4</v>
          </cell>
          <cell r="I4209" t="str">
            <v>Eng</v>
          </cell>
        </row>
        <row r="4210">
          <cell r="A4210" t="str">
            <v>Rosenda</v>
          </cell>
          <cell r="C4210">
            <v>7.8941516566597488E-4</v>
          </cell>
          <cell r="I4210" t="str">
            <v>Cantwell</v>
          </cell>
        </row>
        <row r="4211">
          <cell r="A4211" t="str">
            <v>Robena</v>
          </cell>
          <cell r="C4211">
            <v>7.7829664220589072E-4</v>
          </cell>
          <cell r="I4211" t="str">
            <v>Bustos</v>
          </cell>
        </row>
        <row r="4212">
          <cell r="A4212" t="str">
            <v>Raymonde</v>
          </cell>
          <cell r="C4212">
            <v>7.6717811874580657E-4</v>
          </cell>
          <cell r="I4212" t="str">
            <v>Boland</v>
          </cell>
        </row>
        <row r="4213">
          <cell r="A4213" t="str">
            <v>Pei</v>
          </cell>
          <cell r="C4213">
            <v>7.5605959528572241E-4</v>
          </cell>
          <cell r="I4213" t="str">
            <v>Bobbitt</v>
          </cell>
        </row>
        <row r="4214">
          <cell r="A4214" t="str">
            <v>Pamila</v>
          </cell>
          <cell r="C4214">
            <v>7.4494107182563826E-4</v>
          </cell>
          <cell r="I4214" t="str">
            <v>Binkley</v>
          </cell>
        </row>
        <row r="4215">
          <cell r="A4215" t="str">
            <v>Ozell</v>
          </cell>
          <cell r="C4215">
            <v>7.3382254836555411E-4</v>
          </cell>
          <cell r="I4215" t="str">
            <v>Wester</v>
          </cell>
        </row>
        <row r="4216">
          <cell r="A4216" t="str">
            <v>Neida</v>
          </cell>
          <cell r="C4216">
            <v>7.2270402490546995E-4</v>
          </cell>
          <cell r="I4216" t="str">
            <v>Weis</v>
          </cell>
        </row>
        <row r="4217">
          <cell r="A4217" t="str">
            <v>Neely</v>
          </cell>
          <cell r="C4217">
            <v>7.115855014453858E-4</v>
          </cell>
          <cell r="I4217" t="str">
            <v>Verdin</v>
          </cell>
        </row>
        <row r="4218">
          <cell r="A4218" t="str">
            <v>Mistie</v>
          </cell>
          <cell r="C4218">
            <v>7.0046697798530164E-4</v>
          </cell>
          <cell r="I4218" t="str">
            <v>Tong</v>
          </cell>
        </row>
        <row r="4219">
          <cell r="A4219" t="str">
            <v>Micha</v>
          </cell>
          <cell r="C4219">
            <v>6.8934845452521759E-4</v>
          </cell>
          <cell r="I4219" t="str">
            <v>Tiller</v>
          </cell>
        </row>
        <row r="4220">
          <cell r="A4220" t="str">
            <v>Merissa</v>
          </cell>
          <cell r="C4220">
            <v>6.7822993106513344E-4</v>
          </cell>
          <cell r="I4220" t="str">
            <v>Sisco</v>
          </cell>
        </row>
        <row r="4221">
          <cell r="A4221" t="str">
            <v>Maurita</v>
          </cell>
          <cell r="C4221">
            <v>6.6711140760504928E-4</v>
          </cell>
          <cell r="I4221" t="str">
            <v>Sharkey</v>
          </cell>
        </row>
        <row r="4222">
          <cell r="A4222" t="str">
            <v>Maryln</v>
          </cell>
          <cell r="C4222">
            <v>6.5599288414496513E-4</v>
          </cell>
          <cell r="I4222" t="str">
            <v>Seymore</v>
          </cell>
        </row>
        <row r="4223">
          <cell r="A4223" t="str">
            <v>Maryetta</v>
          </cell>
          <cell r="C4223">
            <v>6.4487436068488098E-4</v>
          </cell>
          <cell r="I4223" t="str">
            <v>Rosenbaum</v>
          </cell>
        </row>
        <row r="4224">
          <cell r="A4224" t="str">
            <v>Marshall</v>
          </cell>
          <cell r="C4224">
            <v>6.3375583722479682E-4</v>
          </cell>
          <cell r="I4224" t="str">
            <v>Rohr</v>
          </cell>
        </row>
        <row r="4225">
          <cell r="A4225" t="str">
            <v>Marcell</v>
          </cell>
          <cell r="C4225">
            <v>6.2263731376471267E-4</v>
          </cell>
          <cell r="I4225" t="str">
            <v>Quinonez</v>
          </cell>
        </row>
        <row r="4226">
          <cell r="A4226" t="str">
            <v>Malena</v>
          </cell>
          <cell r="C4226">
            <v>6.1151879030462851E-4</v>
          </cell>
          <cell r="I4226" t="str">
            <v>Pinkston</v>
          </cell>
        </row>
        <row r="4227">
          <cell r="A4227" t="str">
            <v>Makeda</v>
          </cell>
          <cell r="C4227">
            <v>6.0040026684454436E-4</v>
          </cell>
          <cell r="I4227" t="str">
            <v>Nation</v>
          </cell>
        </row>
        <row r="4228">
          <cell r="A4228" t="str">
            <v>Maddie</v>
          </cell>
          <cell r="C4228">
            <v>5.892817433844602E-4</v>
          </cell>
          <cell r="I4228" t="str">
            <v>Malley</v>
          </cell>
        </row>
        <row r="4229">
          <cell r="A4229" t="str">
            <v>Lovetta</v>
          </cell>
          <cell r="C4229">
            <v>5.7816321992437605E-4</v>
          </cell>
          <cell r="I4229" t="str">
            <v>Logue</v>
          </cell>
        </row>
        <row r="4230">
          <cell r="A4230" t="str">
            <v>Lourie</v>
          </cell>
          <cell r="C4230">
            <v>5.6704469646429189E-4</v>
          </cell>
          <cell r="I4230" t="str">
            <v>Lessard</v>
          </cell>
        </row>
        <row r="4231">
          <cell r="A4231" t="str">
            <v>Lorrine</v>
          </cell>
          <cell r="C4231">
            <v>5.5592617300420774E-4</v>
          </cell>
          <cell r="I4231" t="str">
            <v>Lerner</v>
          </cell>
        </row>
        <row r="4232">
          <cell r="A4232" t="str">
            <v>Lorilee</v>
          </cell>
          <cell r="C4232">
            <v>5.4480764954412358E-4</v>
          </cell>
          <cell r="I4232" t="str">
            <v>Lebron</v>
          </cell>
        </row>
        <row r="4233">
          <cell r="A4233" t="str">
            <v>Lester</v>
          </cell>
          <cell r="C4233">
            <v>5.3368912608403943E-4</v>
          </cell>
          <cell r="I4233" t="str">
            <v>Krauss</v>
          </cell>
        </row>
        <row r="4234">
          <cell r="A4234" t="str">
            <v>Laurena</v>
          </cell>
          <cell r="C4234">
            <v>5.2257060262395527E-4</v>
          </cell>
          <cell r="I4234" t="str">
            <v>Klinger</v>
          </cell>
        </row>
        <row r="4235">
          <cell r="A4235" t="str">
            <v>Lashay</v>
          </cell>
          <cell r="C4235">
            <v>5.1145207916387112E-4</v>
          </cell>
          <cell r="I4235" t="str">
            <v>Halstead</v>
          </cell>
        </row>
        <row r="4236">
          <cell r="A4236" t="str">
            <v>Larraine</v>
          </cell>
          <cell r="C4236">
            <v>5.0033355570378696E-4</v>
          </cell>
          <cell r="I4236" t="str">
            <v>Haller</v>
          </cell>
        </row>
        <row r="4237">
          <cell r="A4237" t="str">
            <v>Laree</v>
          </cell>
          <cell r="C4237">
            <v>4.8921503224370281E-4</v>
          </cell>
          <cell r="I4237" t="str">
            <v>Getz</v>
          </cell>
        </row>
        <row r="4238">
          <cell r="A4238" t="str">
            <v>Lacresha</v>
          </cell>
          <cell r="C4238">
            <v>4.7809650878361865E-4</v>
          </cell>
          <cell r="I4238" t="str">
            <v>Burrow</v>
          </cell>
        </row>
        <row r="4239">
          <cell r="A4239" t="str">
            <v>Kristle</v>
          </cell>
          <cell r="C4239">
            <v>4.669779853235345E-4</v>
          </cell>
          <cell r="I4239" t="str">
            <v>Brant</v>
          </cell>
        </row>
        <row r="4240">
          <cell r="A4240" t="str">
            <v>Krishna</v>
          </cell>
          <cell r="C4240">
            <v>4.5585946186345034E-4</v>
          </cell>
          <cell r="I4240" t="str">
            <v>Alger</v>
          </cell>
        </row>
        <row r="4241">
          <cell r="A4241" t="str">
            <v>Keva</v>
          </cell>
          <cell r="C4241">
            <v>4.4474093840336619E-4</v>
          </cell>
          <cell r="I4241" t="str">
            <v>Victor</v>
          </cell>
        </row>
        <row r="4242">
          <cell r="A4242" t="str">
            <v>Keira</v>
          </cell>
          <cell r="C4242">
            <v>4.3362241494328204E-4</v>
          </cell>
          <cell r="I4242" t="str">
            <v>Shores</v>
          </cell>
        </row>
        <row r="4243">
          <cell r="A4243" t="str">
            <v>Karole</v>
          </cell>
          <cell r="C4243">
            <v>4.2250389148319788E-4</v>
          </cell>
          <cell r="I4243" t="str">
            <v>Scully</v>
          </cell>
        </row>
        <row r="4244">
          <cell r="A4244" t="str">
            <v>Joie</v>
          </cell>
          <cell r="C4244">
            <v>4.1138536802311367E-4</v>
          </cell>
          <cell r="I4244" t="str">
            <v>Pounds</v>
          </cell>
        </row>
        <row r="4245">
          <cell r="A4245" t="str">
            <v>Jinny</v>
          </cell>
          <cell r="C4245">
            <v>4.0026684456302952E-4</v>
          </cell>
          <cell r="I4245" t="str">
            <v>Pfeifer</v>
          </cell>
        </row>
        <row r="4246">
          <cell r="A4246" t="str">
            <v>Jeannetta</v>
          </cell>
          <cell r="C4246">
            <v>3.8914832110294536E-4</v>
          </cell>
          <cell r="I4246" t="str">
            <v>Perron</v>
          </cell>
        </row>
        <row r="4247">
          <cell r="A4247" t="str">
            <v>Jama</v>
          </cell>
          <cell r="C4247">
            <v>3.7802979764286121E-4</v>
          </cell>
          <cell r="I4247" t="str">
            <v>Nelms</v>
          </cell>
        </row>
        <row r="4248">
          <cell r="A4248" t="str">
            <v>Heidy</v>
          </cell>
          <cell r="C4248">
            <v>3.6691127418277705E-4</v>
          </cell>
          <cell r="I4248" t="str">
            <v>Munn</v>
          </cell>
        </row>
        <row r="4249">
          <cell r="A4249" t="str">
            <v>Gilberte</v>
          </cell>
          <cell r="C4249">
            <v>3.557927507226929E-4</v>
          </cell>
          <cell r="I4249" t="str">
            <v>Mcmaster</v>
          </cell>
        </row>
        <row r="4250">
          <cell r="A4250" t="str">
            <v>Gema</v>
          </cell>
          <cell r="C4250">
            <v>3.4467422726260874E-4</v>
          </cell>
          <cell r="I4250" t="str">
            <v>Mckenney</v>
          </cell>
        </row>
        <row r="4251">
          <cell r="A4251" t="str">
            <v>Faviola</v>
          </cell>
          <cell r="C4251">
            <v>3.3355570380252459E-4</v>
          </cell>
          <cell r="I4251" t="str">
            <v>Manns</v>
          </cell>
        </row>
        <row r="4252">
          <cell r="A4252" t="str">
            <v>Evelynn</v>
          </cell>
          <cell r="C4252">
            <v>3.2243718034244043E-4</v>
          </cell>
          <cell r="I4252" t="str">
            <v>Knudson</v>
          </cell>
        </row>
        <row r="4253">
          <cell r="A4253" t="str">
            <v>Enda</v>
          </cell>
          <cell r="C4253">
            <v>3.1131865688235628E-4</v>
          </cell>
          <cell r="I4253" t="str">
            <v>Hutchens</v>
          </cell>
        </row>
        <row r="4254">
          <cell r="A4254" t="str">
            <v>Elli</v>
          </cell>
          <cell r="C4254">
            <v>3.0020013342227212E-4</v>
          </cell>
          <cell r="I4254" t="str">
            <v>Huskey</v>
          </cell>
        </row>
        <row r="4255">
          <cell r="A4255" t="str">
            <v>Ellena</v>
          </cell>
          <cell r="C4255">
            <v>2.8908160996218797E-4</v>
          </cell>
          <cell r="I4255" t="str">
            <v>Goebel</v>
          </cell>
        </row>
        <row r="4256">
          <cell r="A4256" t="str">
            <v>Divina</v>
          </cell>
          <cell r="C4256">
            <v>2.7796308650210381E-4</v>
          </cell>
          <cell r="I4256" t="str">
            <v>Flagg</v>
          </cell>
        </row>
        <row r="4257">
          <cell r="A4257" t="str">
            <v>Dagny</v>
          </cell>
          <cell r="C4257">
            <v>2.6684456304201966E-4</v>
          </cell>
          <cell r="I4257" t="str">
            <v>Cushman</v>
          </cell>
        </row>
        <row r="4258">
          <cell r="A4258" t="str">
            <v>Collene</v>
          </cell>
          <cell r="C4258">
            <v>2.5572603958193551E-4</v>
          </cell>
          <cell r="I4258" t="str">
            <v>Click</v>
          </cell>
        </row>
        <row r="4259">
          <cell r="A4259" t="str">
            <v>Codi</v>
          </cell>
          <cell r="C4259">
            <v>2.4460751612185135E-4</v>
          </cell>
          <cell r="I4259" t="str">
            <v>Castellano</v>
          </cell>
        </row>
        <row r="4260">
          <cell r="A4260" t="str">
            <v>Cindie</v>
          </cell>
          <cell r="C4260">
            <v>2.334889926617672E-4</v>
          </cell>
          <cell r="I4260" t="str">
            <v>Carder</v>
          </cell>
        </row>
        <row r="4261">
          <cell r="A4261" t="str">
            <v>Chassidy</v>
          </cell>
          <cell r="C4261">
            <v>2.2237046920168304E-4</v>
          </cell>
          <cell r="I4261" t="str">
            <v>Bumgarner</v>
          </cell>
        </row>
        <row r="4262">
          <cell r="A4262" t="str">
            <v>Chasidy</v>
          </cell>
          <cell r="C4262">
            <v>2.1125194574159889E-4</v>
          </cell>
          <cell r="I4262" t="str">
            <v>Blaine</v>
          </cell>
        </row>
        <row r="4263">
          <cell r="A4263" t="str">
            <v>Catrice</v>
          </cell>
          <cell r="C4263">
            <v>2.0013342228151473E-4</v>
          </cell>
          <cell r="I4263" t="str">
            <v>Bible</v>
          </cell>
        </row>
        <row r="4264">
          <cell r="A4264" t="str">
            <v>Catherina</v>
          </cell>
          <cell r="C4264">
            <v>1.8901489882143058E-4</v>
          </cell>
          <cell r="I4264" t="str">
            <v>Wampler</v>
          </cell>
        </row>
        <row r="4265">
          <cell r="A4265" t="str">
            <v>Cassey</v>
          </cell>
          <cell r="C4265">
            <v>1.7789637536134642E-4</v>
          </cell>
          <cell r="I4265" t="str">
            <v>Spinks</v>
          </cell>
        </row>
        <row r="4266">
          <cell r="A4266" t="str">
            <v>Caroll</v>
          </cell>
          <cell r="C4266">
            <v>1.6677785190126227E-4</v>
          </cell>
          <cell r="I4266" t="str">
            <v>Robson</v>
          </cell>
        </row>
        <row r="4267">
          <cell r="A4267" t="str">
            <v>Carlena</v>
          </cell>
          <cell r="C4267">
            <v>1.5565932844117811E-4</v>
          </cell>
          <cell r="I4267" t="str">
            <v>Neel</v>
          </cell>
        </row>
        <row r="4268">
          <cell r="A4268" t="str">
            <v>Candra</v>
          </cell>
          <cell r="C4268">
            <v>1.4454080498109396E-4</v>
          </cell>
          <cell r="I4268" t="str">
            <v>Mcreynolds</v>
          </cell>
        </row>
        <row r="4269">
          <cell r="A4269" t="str">
            <v>Calista</v>
          </cell>
          <cell r="C4269">
            <v>1.334222815210098E-4</v>
          </cell>
          <cell r="I4269" t="str">
            <v>Mathias</v>
          </cell>
        </row>
        <row r="4270">
          <cell r="A4270" t="str">
            <v>Bryanna</v>
          </cell>
          <cell r="C4270">
            <v>1.2230375806092565E-4</v>
          </cell>
          <cell r="I4270" t="str">
            <v>Maas</v>
          </cell>
        </row>
        <row r="4271">
          <cell r="A4271" t="str">
            <v>Britteny</v>
          </cell>
          <cell r="C4271">
            <v>1.1118523460084148E-4</v>
          </cell>
          <cell r="I4271" t="str">
            <v>Loera</v>
          </cell>
        </row>
        <row r="4272">
          <cell r="A4272" t="str">
            <v>Beula</v>
          </cell>
          <cell r="C4272">
            <v>1.0006671114075732E-4</v>
          </cell>
          <cell r="I4272" t="str">
            <v>Kasper</v>
          </cell>
        </row>
        <row r="4273">
          <cell r="A4273" t="str">
            <v>Bari</v>
          </cell>
          <cell r="C4273">
            <v>8.894818768067317E-5</v>
          </cell>
          <cell r="I4273" t="str">
            <v>Jose</v>
          </cell>
        </row>
        <row r="4274">
          <cell r="A4274" t="str">
            <v>Audrie</v>
          </cell>
          <cell r="C4274">
            <v>7.7829664220589029E-5</v>
          </cell>
          <cell r="I4274" t="str">
            <v>Jenson</v>
          </cell>
        </row>
        <row r="4275">
          <cell r="A4275" t="str">
            <v>Audria</v>
          </cell>
          <cell r="C4275">
            <v>6.6711140760504874E-5</v>
          </cell>
          <cell r="I4275" t="str">
            <v>Florez</v>
          </cell>
        </row>
        <row r="4276">
          <cell r="A4276" t="str">
            <v>Ardelia</v>
          </cell>
          <cell r="C4276">
            <v>5.5592617300420733E-5</v>
          </cell>
          <cell r="I4276" t="str">
            <v>Coons</v>
          </cell>
        </row>
        <row r="4277">
          <cell r="A4277" t="str">
            <v>Annelle</v>
          </cell>
          <cell r="C4277">
            <v>4.4474093840336585E-5</v>
          </cell>
          <cell r="I4277" t="str">
            <v>Buckingham</v>
          </cell>
        </row>
        <row r="4278">
          <cell r="A4278" t="str">
            <v>Angila</v>
          </cell>
          <cell r="C4278">
            <v>3.3355570380252437E-5</v>
          </cell>
          <cell r="I4278" t="str">
            <v>Brogan</v>
          </cell>
        </row>
        <row r="4279">
          <cell r="A4279" t="str">
            <v>Alona</v>
          </cell>
          <cell r="C4279">
            <v>2.2237046920168293E-5</v>
          </cell>
          <cell r="I4279" t="str">
            <v>Berryman</v>
          </cell>
        </row>
        <row r="4280">
          <cell r="A4280" t="str">
            <v>Allyn</v>
          </cell>
          <cell r="C4280">
            <v>1.1118523460084146E-5</v>
          </cell>
          <cell r="I4280" t="str">
            <v>Wilmoth</v>
          </cell>
        </row>
        <row r="4281">
          <cell r="I4281" t="str">
            <v>Wilhite</v>
          </cell>
        </row>
        <row r="4282">
          <cell r="I4282" t="str">
            <v>Thrash</v>
          </cell>
        </row>
        <row r="4283">
          <cell r="I4283" t="str">
            <v>Shephard</v>
          </cell>
        </row>
        <row r="4284">
          <cell r="I4284" t="str">
            <v>Seidel</v>
          </cell>
        </row>
        <row r="4285">
          <cell r="I4285" t="str">
            <v>Schulze</v>
          </cell>
        </row>
        <row r="4286">
          <cell r="I4286" t="str">
            <v>Roldan</v>
          </cell>
        </row>
        <row r="4287">
          <cell r="I4287" t="str">
            <v>Pettis</v>
          </cell>
        </row>
        <row r="4288">
          <cell r="I4288" t="str">
            <v>Obryan</v>
          </cell>
        </row>
        <row r="4289">
          <cell r="I4289" t="str">
            <v>Maki</v>
          </cell>
        </row>
        <row r="4290">
          <cell r="I4290" t="str">
            <v>Mackie</v>
          </cell>
        </row>
        <row r="4291">
          <cell r="I4291" t="str">
            <v>Hatley</v>
          </cell>
        </row>
        <row r="4292">
          <cell r="I4292" t="str">
            <v>Frazer</v>
          </cell>
        </row>
        <row r="4293">
          <cell r="I4293" t="str">
            <v>Fiore</v>
          </cell>
        </row>
        <row r="4294">
          <cell r="I4294" t="str">
            <v>Falls</v>
          </cell>
        </row>
        <row r="4295">
          <cell r="I4295" t="str">
            <v>Chesser</v>
          </cell>
        </row>
        <row r="4296">
          <cell r="I4296" t="str">
            <v>Bui</v>
          </cell>
        </row>
        <row r="4297">
          <cell r="I4297" t="str">
            <v>Bottoms</v>
          </cell>
        </row>
        <row r="4298">
          <cell r="I4298" t="str">
            <v>Bisson</v>
          </cell>
        </row>
        <row r="4299">
          <cell r="I4299" t="str">
            <v>Benefield</v>
          </cell>
        </row>
        <row r="4300">
          <cell r="I4300" t="str">
            <v>Allman</v>
          </cell>
        </row>
        <row r="4301">
          <cell r="I4301" t="str">
            <v>Wilke</v>
          </cell>
        </row>
        <row r="4302">
          <cell r="I4302" t="str">
            <v>Trudeau</v>
          </cell>
        </row>
        <row r="4303">
          <cell r="I4303" t="str">
            <v>Timm</v>
          </cell>
        </row>
        <row r="4304">
          <cell r="I4304" t="str">
            <v>Shifflett</v>
          </cell>
        </row>
        <row r="4305">
          <cell r="I4305" t="str">
            <v>Rau</v>
          </cell>
        </row>
        <row r="4306">
          <cell r="I4306" t="str">
            <v>Mundy</v>
          </cell>
        </row>
        <row r="4307">
          <cell r="I4307" t="str">
            <v>Milliken</v>
          </cell>
        </row>
        <row r="4308">
          <cell r="I4308" t="str">
            <v>Mayers</v>
          </cell>
        </row>
        <row r="4309">
          <cell r="I4309" t="str">
            <v>Leake</v>
          </cell>
        </row>
        <row r="4310">
          <cell r="I4310" t="str">
            <v>Kohn</v>
          </cell>
        </row>
        <row r="4311">
          <cell r="I4311" t="str">
            <v>Huntington</v>
          </cell>
        </row>
        <row r="4312">
          <cell r="I4312" t="str">
            <v>Horsley</v>
          </cell>
        </row>
        <row r="4313">
          <cell r="I4313" t="str">
            <v>Hermann</v>
          </cell>
        </row>
        <row r="4314">
          <cell r="I4314" t="str">
            <v>Guerin</v>
          </cell>
        </row>
        <row r="4315">
          <cell r="I4315" t="str">
            <v>Fryer</v>
          </cell>
        </row>
        <row r="4316">
          <cell r="I4316" t="str">
            <v>Frizzell</v>
          </cell>
        </row>
        <row r="4317">
          <cell r="I4317" t="str">
            <v>Foret</v>
          </cell>
        </row>
        <row r="4318">
          <cell r="I4318" t="str">
            <v>Flemming</v>
          </cell>
        </row>
        <row r="4319">
          <cell r="I4319" t="str">
            <v>Fife</v>
          </cell>
        </row>
        <row r="4320">
          <cell r="I4320" t="str">
            <v>Criswell</v>
          </cell>
        </row>
        <row r="4321">
          <cell r="I4321" t="str">
            <v>Carbajal</v>
          </cell>
        </row>
        <row r="4322">
          <cell r="I4322" t="str">
            <v>Bozeman</v>
          </cell>
        </row>
        <row r="4323">
          <cell r="I4323" t="str">
            <v>Boisvert</v>
          </cell>
        </row>
        <row r="4324">
          <cell r="I4324" t="str">
            <v>Archie</v>
          </cell>
        </row>
        <row r="4325">
          <cell r="I4325" t="str">
            <v>Antonio</v>
          </cell>
        </row>
        <row r="4326">
          <cell r="I4326" t="str">
            <v>Angulo</v>
          </cell>
        </row>
        <row r="4327">
          <cell r="I4327" t="str">
            <v>Wallen</v>
          </cell>
        </row>
        <row r="4328">
          <cell r="I4328" t="str">
            <v>Tapp</v>
          </cell>
        </row>
        <row r="4329">
          <cell r="I4329" t="str">
            <v>Silvers</v>
          </cell>
        </row>
        <row r="4330">
          <cell r="I4330" t="str">
            <v>Ramsay</v>
          </cell>
        </row>
        <row r="4331">
          <cell r="I4331" t="str">
            <v>Oshea</v>
          </cell>
        </row>
        <row r="4332">
          <cell r="I4332" t="str">
            <v>Orta</v>
          </cell>
        </row>
        <row r="4333">
          <cell r="I4333" t="str">
            <v>Moll</v>
          </cell>
        </row>
        <row r="4334">
          <cell r="I4334" t="str">
            <v>Mckeever</v>
          </cell>
        </row>
        <row r="4335">
          <cell r="I4335" t="str">
            <v>Mcgehee</v>
          </cell>
        </row>
        <row r="4336">
          <cell r="I4336" t="str">
            <v>Luciano</v>
          </cell>
        </row>
        <row r="4337">
          <cell r="I4337" t="str">
            <v>Linville</v>
          </cell>
        </row>
        <row r="4338">
          <cell r="I4338" t="str">
            <v>Kiefer</v>
          </cell>
        </row>
        <row r="4339">
          <cell r="I4339" t="str">
            <v>Ketchum</v>
          </cell>
        </row>
        <row r="4340">
          <cell r="I4340" t="str">
            <v>Howerton</v>
          </cell>
        </row>
        <row r="4341">
          <cell r="I4341" t="str">
            <v>Groce</v>
          </cell>
        </row>
        <row r="4342">
          <cell r="I4342" t="str">
            <v>Gaylord</v>
          </cell>
        </row>
        <row r="4343">
          <cell r="I4343" t="str">
            <v>Gass</v>
          </cell>
        </row>
        <row r="4344">
          <cell r="I4344" t="str">
            <v>Fusco</v>
          </cell>
        </row>
        <row r="4345">
          <cell r="I4345" t="str">
            <v>Corbitt</v>
          </cell>
        </row>
        <row r="4346">
          <cell r="I4346" t="str">
            <v>Blythe</v>
          </cell>
        </row>
        <row r="4347">
          <cell r="I4347" t="str">
            <v>Betz</v>
          </cell>
        </row>
        <row r="4348">
          <cell r="I4348" t="str">
            <v>Bartels</v>
          </cell>
        </row>
        <row r="4349">
          <cell r="I4349" t="str">
            <v>Amaral</v>
          </cell>
        </row>
        <row r="4350">
          <cell r="I4350" t="str">
            <v>Aiello</v>
          </cell>
        </row>
        <row r="4351">
          <cell r="I4351" t="str">
            <v>Yoo</v>
          </cell>
        </row>
        <row r="4352">
          <cell r="I4352" t="str">
            <v>Weddle</v>
          </cell>
        </row>
        <row r="4353">
          <cell r="I4353" t="str">
            <v>Troy</v>
          </cell>
        </row>
        <row r="4354">
          <cell r="I4354" t="str">
            <v>Sun</v>
          </cell>
        </row>
        <row r="4355">
          <cell r="I4355" t="str">
            <v>Sperry</v>
          </cell>
        </row>
        <row r="4356">
          <cell r="I4356" t="str">
            <v>Seiler</v>
          </cell>
        </row>
        <row r="4357">
          <cell r="I4357" t="str">
            <v>Runyan</v>
          </cell>
        </row>
        <row r="4358">
          <cell r="I4358" t="str">
            <v>Raley</v>
          </cell>
        </row>
        <row r="4359">
          <cell r="I4359" t="str">
            <v>Overby</v>
          </cell>
        </row>
        <row r="4360">
          <cell r="I4360" t="str">
            <v>Osteen</v>
          </cell>
        </row>
        <row r="4361">
          <cell r="I4361" t="str">
            <v>Olds</v>
          </cell>
        </row>
        <row r="4362">
          <cell r="I4362" t="str">
            <v>Mckeown</v>
          </cell>
        </row>
        <row r="4363">
          <cell r="I4363" t="str">
            <v>Mauro</v>
          </cell>
        </row>
        <row r="4364">
          <cell r="I4364" t="str">
            <v>Matney</v>
          </cell>
        </row>
        <row r="4365">
          <cell r="I4365" t="str">
            <v>Lauer</v>
          </cell>
        </row>
        <row r="4366">
          <cell r="I4366" t="str">
            <v>Lattimore</v>
          </cell>
        </row>
        <row r="4367">
          <cell r="I4367" t="str">
            <v>Hindman</v>
          </cell>
        </row>
        <row r="4368">
          <cell r="I4368" t="str">
            <v>Hartwell</v>
          </cell>
        </row>
        <row r="4369">
          <cell r="I4369" t="str">
            <v>Fredrickson</v>
          </cell>
        </row>
        <row r="4370">
          <cell r="I4370" t="str">
            <v>Fredericks</v>
          </cell>
        </row>
        <row r="4371">
          <cell r="I4371" t="str">
            <v>Espino</v>
          </cell>
        </row>
        <row r="4372">
          <cell r="I4372" t="str">
            <v>Clegg</v>
          </cell>
        </row>
        <row r="4373">
          <cell r="I4373" t="str">
            <v>Carswell</v>
          </cell>
        </row>
        <row r="4374">
          <cell r="I4374" t="str">
            <v>Cambell</v>
          </cell>
        </row>
        <row r="4375">
          <cell r="I4375" t="str">
            <v>Burkholder</v>
          </cell>
        </row>
        <row r="4376">
          <cell r="I4376" t="str">
            <v>August</v>
          </cell>
        </row>
        <row r="4377">
          <cell r="I4377" t="str">
            <v>Woodbury</v>
          </cell>
        </row>
        <row r="4378">
          <cell r="I4378" t="str">
            <v>Welker</v>
          </cell>
        </row>
        <row r="4379">
          <cell r="I4379" t="str">
            <v>Totten</v>
          </cell>
        </row>
        <row r="4380">
          <cell r="I4380" t="str">
            <v>Thornburg</v>
          </cell>
        </row>
        <row r="4381">
          <cell r="I4381" t="str">
            <v>Theriault</v>
          </cell>
        </row>
        <row r="4382">
          <cell r="I4382" t="str">
            <v>Stitt</v>
          </cell>
        </row>
        <row r="4383">
          <cell r="I4383" t="str">
            <v>Stamm</v>
          </cell>
        </row>
        <row r="4384">
          <cell r="I4384" t="str">
            <v>Stackhouse</v>
          </cell>
        </row>
        <row r="4385">
          <cell r="I4385" t="str">
            <v>Simone</v>
          </cell>
        </row>
        <row r="4386">
          <cell r="I4386" t="str">
            <v>Scholl</v>
          </cell>
        </row>
        <row r="4387">
          <cell r="I4387" t="str">
            <v>Saxon</v>
          </cell>
        </row>
        <row r="4388">
          <cell r="I4388" t="str">
            <v>Rife</v>
          </cell>
        </row>
        <row r="4389">
          <cell r="I4389" t="str">
            <v>Razo</v>
          </cell>
        </row>
        <row r="4390">
          <cell r="I4390" t="str">
            <v>Quinlan</v>
          </cell>
        </row>
        <row r="4391">
          <cell r="I4391" t="str">
            <v>Pinkerton</v>
          </cell>
        </row>
        <row r="4392">
          <cell r="I4392" t="str">
            <v>Olivo</v>
          </cell>
        </row>
        <row r="4393">
          <cell r="I4393" t="str">
            <v>Nesmith</v>
          </cell>
        </row>
        <row r="4394">
          <cell r="I4394" t="str">
            <v>Nall</v>
          </cell>
        </row>
        <row r="4395">
          <cell r="I4395" t="str">
            <v>Mattos</v>
          </cell>
        </row>
        <row r="4396">
          <cell r="I4396" t="str">
            <v>Leak</v>
          </cell>
        </row>
        <row r="4397">
          <cell r="I4397" t="str">
            <v>Lafferty</v>
          </cell>
        </row>
        <row r="4398">
          <cell r="I4398" t="str">
            <v>Justus</v>
          </cell>
        </row>
        <row r="4399">
          <cell r="I4399" t="str">
            <v>Giron</v>
          </cell>
        </row>
        <row r="4400">
          <cell r="I4400" t="str">
            <v>Geer</v>
          </cell>
        </row>
        <row r="4401">
          <cell r="I4401" t="str">
            <v>Fielder</v>
          </cell>
        </row>
        <row r="4402">
          <cell r="I4402" t="str">
            <v>Eagle</v>
          </cell>
        </row>
        <row r="4403">
          <cell r="I4403" t="str">
            <v>Drayton</v>
          </cell>
        </row>
        <row r="4404">
          <cell r="I4404" t="str">
            <v>Dortch</v>
          </cell>
        </row>
        <row r="4405">
          <cell r="I4405" t="str">
            <v>Conners</v>
          </cell>
        </row>
        <row r="4406">
          <cell r="I4406" t="str">
            <v>Conger</v>
          </cell>
        </row>
        <row r="4407">
          <cell r="I4407" t="str">
            <v>Chau</v>
          </cell>
        </row>
        <row r="4408">
          <cell r="I4408" t="str">
            <v>Boatwright</v>
          </cell>
        </row>
        <row r="4409">
          <cell r="I4409" t="str">
            <v>Billiot</v>
          </cell>
        </row>
        <row r="4410">
          <cell r="I4410" t="str">
            <v>Barden</v>
          </cell>
        </row>
        <row r="4411">
          <cell r="I4411" t="str">
            <v>Armenta</v>
          </cell>
        </row>
        <row r="4412">
          <cell r="I4412" t="str">
            <v>Antoine</v>
          </cell>
        </row>
        <row r="4413">
          <cell r="I4413" t="str">
            <v>Tibbetts</v>
          </cell>
        </row>
        <row r="4414">
          <cell r="I4414" t="str">
            <v>Steadman</v>
          </cell>
        </row>
        <row r="4415">
          <cell r="I4415" t="str">
            <v>Slattery</v>
          </cell>
        </row>
        <row r="4416">
          <cell r="I4416" t="str">
            <v>Sides</v>
          </cell>
        </row>
        <row r="4417">
          <cell r="I4417" t="str">
            <v>Rinaldi</v>
          </cell>
        </row>
        <row r="4418">
          <cell r="I4418" t="str">
            <v>Raynor</v>
          </cell>
        </row>
        <row r="4419">
          <cell r="I4419" t="str">
            <v>Rayford</v>
          </cell>
        </row>
        <row r="4420">
          <cell r="I4420" t="str">
            <v>Pinckney</v>
          </cell>
        </row>
        <row r="4421">
          <cell r="I4421" t="str">
            <v>Pettigrew</v>
          </cell>
        </row>
        <row r="4422">
          <cell r="I4422" t="str">
            <v>Nickel</v>
          </cell>
        </row>
        <row r="4423">
          <cell r="I4423" t="str">
            <v>Milne</v>
          </cell>
        </row>
        <row r="4424">
          <cell r="I4424" t="str">
            <v>Matteson</v>
          </cell>
        </row>
        <row r="4425">
          <cell r="I4425" t="str">
            <v>Halsey</v>
          </cell>
        </row>
        <row r="4426">
          <cell r="I4426" t="str">
            <v>Gonsalves</v>
          </cell>
        </row>
        <row r="4427">
          <cell r="I4427" t="str">
            <v>Fellows</v>
          </cell>
        </row>
        <row r="4428">
          <cell r="I4428" t="str">
            <v>Durand</v>
          </cell>
        </row>
        <row r="4429">
          <cell r="I4429" t="str">
            <v>Desimone</v>
          </cell>
        </row>
        <row r="4430">
          <cell r="I4430" t="str">
            <v>Cowley</v>
          </cell>
        </row>
        <row r="4431">
          <cell r="I4431" t="str">
            <v>Cowles</v>
          </cell>
        </row>
        <row r="4432">
          <cell r="I4432" t="str">
            <v>Brill</v>
          </cell>
        </row>
        <row r="4433">
          <cell r="I4433" t="str">
            <v>Barham</v>
          </cell>
        </row>
        <row r="4434">
          <cell r="I4434" t="str">
            <v>Barela</v>
          </cell>
        </row>
        <row r="4435">
          <cell r="I4435" t="str">
            <v>Barba</v>
          </cell>
        </row>
        <row r="4436">
          <cell r="I4436" t="str">
            <v>Ashmore</v>
          </cell>
        </row>
        <row r="4437">
          <cell r="I4437" t="str">
            <v>Withrow</v>
          </cell>
        </row>
        <row r="4438">
          <cell r="I4438" t="str">
            <v>Valenti</v>
          </cell>
        </row>
        <row r="4439">
          <cell r="I4439" t="str">
            <v>Tejeda</v>
          </cell>
        </row>
        <row r="4440">
          <cell r="I4440" t="str">
            <v>Spriggs</v>
          </cell>
        </row>
        <row r="4441">
          <cell r="I4441" t="str">
            <v>Sayre</v>
          </cell>
        </row>
        <row r="4442">
          <cell r="I4442" t="str">
            <v>Salerno</v>
          </cell>
        </row>
        <row r="4443">
          <cell r="I4443" t="str">
            <v>Place</v>
          </cell>
        </row>
        <row r="4444">
          <cell r="I4444" t="str">
            <v>Peltier</v>
          </cell>
        </row>
        <row r="4445">
          <cell r="I4445" t="str">
            <v>Peel</v>
          </cell>
        </row>
        <row r="4446">
          <cell r="I4446" t="str">
            <v>Merriman</v>
          </cell>
        </row>
        <row r="4447">
          <cell r="I4447" t="str">
            <v>Matheson</v>
          </cell>
        </row>
        <row r="4448">
          <cell r="I4448" t="str">
            <v>Lowman</v>
          </cell>
        </row>
        <row r="4449">
          <cell r="I4449" t="str">
            <v>Lindstrom</v>
          </cell>
        </row>
        <row r="4450">
          <cell r="I4450" t="str">
            <v>Hyland</v>
          </cell>
        </row>
        <row r="4451">
          <cell r="I4451" t="str">
            <v>Homer</v>
          </cell>
        </row>
        <row r="4452">
          <cell r="I4452" t="str">
            <v>Ha</v>
          </cell>
        </row>
        <row r="4453">
          <cell r="I4453" t="str">
            <v>Giroux</v>
          </cell>
        </row>
        <row r="4454">
          <cell r="I4454" t="str">
            <v>Fries</v>
          </cell>
        </row>
        <row r="4455">
          <cell r="I4455" t="str">
            <v>Frasier</v>
          </cell>
        </row>
        <row r="4456">
          <cell r="I4456" t="str">
            <v>Earls</v>
          </cell>
        </row>
        <row r="4457">
          <cell r="I4457" t="str">
            <v>Dugas</v>
          </cell>
        </row>
        <row r="4458">
          <cell r="I4458" t="str">
            <v>Damon</v>
          </cell>
        </row>
        <row r="4459">
          <cell r="I4459" t="str">
            <v>Dabney</v>
          </cell>
        </row>
        <row r="4460">
          <cell r="I4460" t="str">
            <v>Collado</v>
          </cell>
        </row>
        <row r="4461">
          <cell r="I4461" t="str">
            <v>Briseno</v>
          </cell>
        </row>
        <row r="4462">
          <cell r="I4462" t="str">
            <v>Baxley</v>
          </cell>
        </row>
        <row r="4463">
          <cell r="I4463" t="str">
            <v>Andre</v>
          </cell>
        </row>
        <row r="4464">
          <cell r="I4464" t="str">
            <v>Word</v>
          </cell>
        </row>
        <row r="4465">
          <cell r="I4465" t="str">
            <v>Whyte</v>
          </cell>
        </row>
        <row r="4466">
          <cell r="I4466" t="str">
            <v>Wenger</v>
          </cell>
        </row>
        <row r="4467">
          <cell r="I4467" t="str">
            <v>Vanover</v>
          </cell>
        </row>
        <row r="4468">
          <cell r="I4468" t="str">
            <v>Vanburen</v>
          </cell>
        </row>
        <row r="4469">
          <cell r="I4469" t="str">
            <v>Thiel</v>
          </cell>
        </row>
        <row r="4470">
          <cell r="I4470" t="str">
            <v>Schindler</v>
          </cell>
        </row>
        <row r="4471">
          <cell r="I4471" t="str">
            <v>Schiller</v>
          </cell>
        </row>
        <row r="4472">
          <cell r="I4472" t="str">
            <v>Rigby</v>
          </cell>
        </row>
        <row r="4473">
          <cell r="I4473" t="str">
            <v>Pomeroy</v>
          </cell>
        </row>
        <row r="4474">
          <cell r="I4474" t="str">
            <v>Passmore</v>
          </cell>
        </row>
        <row r="4475">
          <cell r="I4475" t="str">
            <v>Marble</v>
          </cell>
        </row>
        <row r="4476">
          <cell r="I4476" t="str">
            <v>Manzo</v>
          </cell>
        </row>
        <row r="4477">
          <cell r="I4477" t="str">
            <v>Mahaffey</v>
          </cell>
        </row>
        <row r="4478">
          <cell r="I4478" t="str">
            <v>Lindgren</v>
          </cell>
        </row>
        <row r="4479">
          <cell r="I4479" t="str">
            <v>Laflamme</v>
          </cell>
        </row>
        <row r="4480">
          <cell r="I4480" t="str">
            <v>Greathouse</v>
          </cell>
        </row>
        <row r="4481">
          <cell r="I4481" t="str">
            <v>Fite</v>
          </cell>
        </row>
        <row r="4482">
          <cell r="I4482" t="str">
            <v>Ferrari</v>
          </cell>
        </row>
        <row r="4483">
          <cell r="I4483" t="str">
            <v>Calabrese</v>
          </cell>
        </row>
        <row r="4484">
          <cell r="I4484" t="str">
            <v>Bayne</v>
          </cell>
        </row>
        <row r="4485">
          <cell r="I4485" t="str">
            <v>Yamamoto</v>
          </cell>
        </row>
        <row r="4486">
          <cell r="I4486" t="str">
            <v>Wick</v>
          </cell>
        </row>
        <row r="4487">
          <cell r="I4487" t="str">
            <v>Townes</v>
          </cell>
        </row>
        <row r="4488">
          <cell r="I4488" t="str">
            <v>Thames</v>
          </cell>
        </row>
        <row r="4489">
          <cell r="I4489" t="str">
            <v>Steel</v>
          </cell>
        </row>
        <row r="4490">
          <cell r="I4490" t="str">
            <v>Reinhart</v>
          </cell>
        </row>
        <row r="4491">
          <cell r="I4491" t="str">
            <v>Peeler</v>
          </cell>
        </row>
        <row r="4492">
          <cell r="I4492" t="str">
            <v>Naranjo</v>
          </cell>
        </row>
        <row r="4493">
          <cell r="I4493" t="str">
            <v>Montez</v>
          </cell>
        </row>
        <row r="4494">
          <cell r="I4494" t="str">
            <v>Mcdade</v>
          </cell>
        </row>
        <row r="4495">
          <cell r="I4495" t="str">
            <v>Mast</v>
          </cell>
        </row>
        <row r="4496">
          <cell r="I4496" t="str">
            <v>Markley</v>
          </cell>
        </row>
        <row r="4497">
          <cell r="I4497" t="str">
            <v>Marchand</v>
          </cell>
        </row>
        <row r="4498">
          <cell r="I4498" t="str">
            <v>Leeper</v>
          </cell>
        </row>
        <row r="4499">
          <cell r="I4499" t="str">
            <v>Kong</v>
          </cell>
        </row>
        <row r="4500">
          <cell r="I4500" t="str">
            <v>Kellum</v>
          </cell>
        </row>
        <row r="4501">
          <cell r="I4501" t="str">
            <v>Hudgens</v>
          </cell>
        </row>
        <row r="4502">
          <cell r="I4502" t="str">
            <v>Hennessey</v>
          </cell>
        </row>
        <row r="4503">
          <cell r="I4503" t="str">
            <v>Hadden</v>
          </cell>
        </row>
        <row r="4504">
          <cell r="I4504" t="str">
            <v>Guess</v>
          </cell>
        </row>
        <row r="4505">
          <cell r="I4505" t="str">
            <v>Gainey</v>
          </cell>
        </row>
        <row r="4506">
          <cell r="I4506" t="str">
            <v>Coppola</v>
          </cell>
        </row>
        <row r="4507">
          <cell r="I4507" t="str">
            <v>Borrego</v>
          </cell>
        </row>
        <row r="4508">
          <cell r="I4508" t="str">
            <v>Bolling</v>
          </cell>
        </row>
        <row r="4509">
          <cell r="I4509" t="str">
            <v>Beane</v>
          </cell>
        </row>
        <row r="4510">
          <cell r="I4510" t="str">
            <v>Ault</v>
          </cell>
        </row>
        <row r="4511">
          <cell r="I4511" t="str">
            <v>Slaton</v>
          </cell>
        </row>
        <row r="4512">
          <cell r="I4512" t="str">
            <v>Poland</v>
          </cell>
        </row>
        <row r="4513">
          <cell r="I4513" t="str">
            <v>Pape</v>
          </cell>
        </row>
        <row r="4514">
          <cell r="I4514" t="str">
            <v>Null</v>
          </cell>
        </row>
        <row r="4515">
          <cell r="I4515" t="str">
            <v>Mulkey</v>
          </cell>
        </row>
        <row r="4516">
          <cell r="I4516" t="str">
            <v>Lightner</v>
          </cell>
        </row>
        <row r="4517">
          <cell r="I4517" t="str">
            <v>Langer</v>
          </cell>
        </row>
        <row r="4518">
          <cell r="I4518" t="str">
            <v>Hillard</v>
          </cell>
        </row>
        <row r="4519">
          <cell r="I4519" t="str">
            <v>Glasgow</v>
          </cell>
        </row>
        <row r="4520">
          <cell r="I4520" t="str">
            <v>Fabian</v>
          </cell>
        </row>
        <row r="4521">
          <cell r="I4521" t="str">
            <v>Ethridge</v>
          </cell>
        </row>
        <row r="4522">
          <cell r="I4522" t="str">
            <v>Enright</v>
          </cell>
        </row>
        <row r="4523">
          <cell r="I4523" t="str">
            <v>Derosa</v>
          </cell>
        </row>
        <row r="4524">
          <cell r="I4524" t="str">
            <v>Baskin</v>
          </cell>
        </row>
        <row r="4525">
          <cell r="I4525" t="str">
            <v>Alfred</v>
          </cell>
        </row>
        <row r="4526">
          <cell r="I4526" t="str">
            <v>Weinberg</v>
          </cell>
        </row>
        <row r="4527">
          <cell r="I4527" t="str">
            <v>Turman</v>
          </cell>
        </row>
        <row r="4528">
          <cell r="I4528" t="str">
            <v>Tinker</v>
          </cell>
        </row>
        <row r="4529">
          <cell r="I4529" t="str">
            <v>Somerville</v>
          </cell>
        </row>
        <row r="4530">
          <cell r="I4530" t="str">
            <v>Pardo</v>
          </cell>
        </row>
        <row r="4531">
          <cell r="I4531" t="str">
            <v>Noll</v>
          </cell>
        </row>
        <row r="4532">
          <cell r="I4532" t="str">
            <v>Lashley</v>
          </cell>
        </row>
        <row r="4533">
          <cell r="I4533" t="str">
            <v>Ingraham</v>
          </cell>
        </row>
        <row r="4534">
          <cell r="I4534" t="str">
            <v>Hiller</v>
          </cell>
        </row>
        <row r="4535">
          <cell r="I4535" t="str">
            <v>Hendon</v>
          </cell>
        </row>
        <row r="4536">
          <cell r="I4536" t="str">
            <v>Glaze</v>
          </cell>
        </row>
        <row r="4537">
          <cell r="I4537" t="str">
            <v>Flora</v>
          </cell>
        </row>
        <row r="4538">
          <cell r="I4538" t="str">
            <v>Cothran</v>
          </cell>
        </row>
        <row r="4539">
          <cell r="I4539" t="str">
            <v>Cooksey</v>
          </cell>
        </row>
        <row r="4540">
          <cell r="I4540" t="str">
            <v>Conte</v>
          </cell>
        </row>
        <row r="4541">
          <cell r="I4541" t="str">
            <v>Carrico</v>
          </cell>
        </row>
        <row r="4542">
          <cell r="I4542" t="str">
            <v>Apple</v>
          </cell>
        </row>
        <row r="4543">
          <cell r="I4543" t="str">
            <v>Abner</v>
          </cell>
        </row>
        <row r="4544">
          <cell r="I4544" t="str">
            <v>Wooley</v>
          </cell>
        </row>
        <row r="4545">
          <cell r="I4545" t="str">
            <v>Swope</v>
          </cell>
        </row>
        <row r="4546">
          <cell r="I4546" t="str">
            <v>Summerlin</v>
          </cell>
        </row>
        <row r="4547">
          <cell r="I4547" t="str">
            <v>Sturgis</v>
          </cell>
        </row>
        <row r="4548">
          <cell r="I4548" t="str">
            <v>Sturdivant</v>
          </cell>
        </row>
        <row r="4549">
          <cell r="I4549" t="str">
            <v>Stott</v>
          </cell>
        </row>
        <row r="4550">
          <cell r="I4550" t="str">
            <v>Spurgeon</v>
          </cell>
        </row>
        <row r="4551">
          <cell r="I4551" t="str">
            <v>Spillman</v>
          </cell>
        </row>
        <row r="4552">
          <cell r="I4552" t="str">
            <v>Speight</v>
          </cell>
        </row>
        <row r="4553">
          <cell r="I4553" t="str">
            <v>Roussel</v>
          </cell>
        </row>
        <row r="4554">
          <cell r="I4554" t="str">
            <v>Popp</v>
          </cell>
        </row>
        <row r="4555">
          <cell r="I4555" t="str">
            <v>Nutter</v>
          </cell>
        </row>
        <row r="4556">
          <cell r="I4556" t="str">
            <v>Mckeon</v>
          </cell>
        </row>
        <row r="4557">
          <cell r="I4557" t="str">
            <v>Mazza</v>
          </cell>
        </row>
        <row r="4558">
          <cell r="I4558" t="str">
            <v>Magnuson</v>
          </cell>
        </row>
        <row r="4559">
          <cell r="I4559" t="str">
            <v>Lanning</v>
          </cell>
        </row>
        <row r="4560">
          <cell r="I4560" t="str">
            <v>Kozak</v>
          </cell>
        </row>
        <row r="4561">
          <cell r="I4561" t="str">
            <v>Jankowski</v>
          </cell>
        </row>
        <row r="4562">
          <cell r="I4562" t="str">
            <v>Heyward</v>
          </cell>
        </row>
        <row r="4563">
          <cell r="I4563" t="str">
            <v>Forster</v>
          </cell>
        </row>
        <row r="4564">
          <cell r="I4564" t="str">
            <v>Corwin</v>
          </cell>
        </row>
        <row r="4565">
          <cell r="I4565" t="str">
            <v>Callaghan</v>
          </cell>
        </row>
        <row r="4566">
          <cell r="I4566" t="str">
            <v>Bays</v>
          </cell>
        </row>
        <row r="4567">
          <cell r="I4567" t="str">
            <v>Wortham</v>
          </cell>
        </row>
        <row r="4568">
          <cell r="I4568" t="str">
            <v>Usher</v>
          </cell>
        </row>
        <row r="4569">
          <cell r="I4569" t="str">
            <v>Theriot</v>
          </cell>
        </row>
        <row r="4570">
          <cell r="I4570" t="str">
            <v>Sayers</v>
          </cell>
        </row>
        <row r="4571">
          <cell r="I4571" t="str">
            <v>Sabo</v>
          </cell>
        </row>
        <row r="4572">
          <cell r="I4572" t="str">
            <v>Rupert</v>
          </cell>
        </row>
        <row r="4573">
          <cell r="I4573" t="str">
            <v>Poling</v>
          </cell>
        </row>
        <row r="4574">
          <cell r="I4574" t="str">
            <v>Nathan</v>
          </cell>
        </row>
        <row r="4575">
          <cell r="I4575" t="str">
            <v>Loya</v>
          </cell>
        </row>
        <row r="4576">
          <cell r="I4576" t="str">
            <v>Lieberman</v>
          </cell>
        </row>
        <row r="4577">
          <cell r="I4577" t="str">
            <v>Levi</v>
          </cell>
        </row>
        <row r="4578">
          <cell r="I4578" t="str">
            <v>Laroche</v>
          </cell>
        </row>
        <row r="4579">
          <cell r="I4579" t="str">
            <v>Labelle</v>
          </cell>
        </row>
        <row r="4580">
          <cell r="I4580" t="str">
            <v>Howes</v>
          </cell>
        </row>
        <row r="4581">
          <cell r="I4581" t="str">
            <v>Harr</v>
          </cell>
        </row>
        <row r="4582">
          <cell r="I4582" t="str">
            <v>Garay</v>
          </cell>
        </row>
        <row r="4583">
          <cell r="I4583" t="str">
            <v>Fogarty</v>
          </cell>
        </row>
        <row r="4584">
          <cell r="I4584" t="str">
            <v>Everson</v>
          </cell>
        </row>
        <row r="4585">
          <cell r="I4585" t="str">
            <v>Durkin</v>
          </cell>
        </row>
        <row r="4586">
          <cell r="I4586" t="str">
            <v>Dominquez</v>
          </cell>
        </row>
        <row r="4587">
          <cell r="I4587" t="str">
            <v>Chaves</v>
          </cell>
        </row>
        <row r="4588">
          <cell r="I4588" t="str">
            <v>Chambliss</v>
          </cell>
        </row>
        <row r="4589">
          <cell r="I4589" t="str">
            <v>Alfonso</v>
          </cell>
        </row>
        <row r="4590">
          <cell r="I4590" t="str">
            <v>Witcher</v>
          </cell>
        </row>
        <row r="4591">
          <cell r="I4591" t="str">
            <v>Wilber</v>
          </cell>
        </row>
        <row r="4592">
          <cell r="I4592" t="str">
            <v>Vieira</v>
          </cell>
        </row>
        <row r="4593">
          <cell r="I4593" t="str">
            <v>Vandiver</v>
          </cell>
        </row>
        <row r="4594">
          <cell r="I4594" t="str">
            <v>Terrill</v>
          </cell>
        </row>
        <row r="4595">
          <cell r="I4595" t="str">
            <v>Stoker</v>
          </cell>
        </row>
        <row r="4596">
          <cell r="I4596" t="str">
            <v>Schreiner</v>
          </cell>
        </row>
        <row r="4597">
          <cell r="I4597" t="str">
            <v>Nestor</v>
          </cell>
        </row>
        <row r="4598">
          <cell r="I4598" t="str">
            <v>Moorman</v>
          </cell>
        </row>
        <row r="4599">
          <cell r="I4599" t="str">
            <v>Liddell</v>
          </cell>
        </row>
        <row r="4600">
          <cell r="I4600" t="str">
            <v>Lew</v>
          </cell>
        </row>
        <row r="4601">
          <cell r="I4601" t="str">
            <v>Lawhorn</v>
          </cell>
        </row>
        <row r="4602">
          <cell r="I4602" t="str">
            <v>Krug</v>
          </cell>
        </row>
        <row r="4603">
          <cell r="I4603" t="str">
            <v>Irons</v>
          </cell>
        </row>
        <row r="4604">
          <cell r="I4604" t="str">
            <v>Hylton</v>
          </cell>
        </row>
        <row r="4605">
          <cell r="I4605" t="str">
            <v>Hollenbeck</v>
          </cell>
        </row>
        <row r="4606">
          <cell r="I4606" t="str">
            <v>Herrin</v>
          </cell>
        </row>
        <row r="4607">
          <cell r="I4607" t="str">
            <v>Hembree</v>
          </cell>
        </row>
        <row r="4608">
          <cell r="I4608" t="str">
            <v>Hair</v>
          </cell>
        </row>
        <row r="4609">
          <cell r="I4609" t="str">
            <v>Goolsby</v>
          </cell>
        </row>
        <row r="4610">
          <cell r="I4610" t="str">
            <v>Goodin</v>
          </cell>
        </row>
        <row r="4611">
          <cell r="I4611" t="str">
            <v>Gilmer</v>
          </cell>
        </row>
        <row r="4612">
          <cell r="I4612" t="str">
            <v>Foltz</v>
          </cell>
        </row>
        <row r="4613">
          <cell r="I4613" t="str">
            <v>Dinkins</v>
          </cell>
        </row>
        <row r="4614">
          <cell r="I4614" t="str">
            <v>Daughtry</v>
          </cell>
        </row>
        <row r="4615">
          <cell r="I4615" t="str">
            <v>Caban</v>
          </cell>
        </row>
        <row r="4616">
          <cell r="I4616" t="str">
            <v>Brim</v>
          </cell>
        </row>
        <row r="4617">
          <cell r="I4617" t="str">
            <v>Briley</v>
          </cell>
        </row>
        <row r="4618">
          <cell r="I4618" t="str">
            <v>Bilodeau</v>
          </cell>
        </row>
        <row r="4619">
          <cell r="I4619" t="str">
            <v>Bear</v>
          </cell>
        </row>
        <row r="4620">
          <cell r="I4620" t="str">
            <v>Wyant</v>
          </cell>
        </row>
        <row r="4621">
          <cell r="I4621" t="str">
            <v>Vergara</v>
          </cell>
        </row>
        <row r="4622">
          <cell r="I4622" t="str">
            <v>Tallent</v>
          </cell>
        </row>
        <row r="4623">
          <cell r="I4623" t="str">
            <v>Swearingen</v>
          </cell>
        </row>
        <row r="4624">
          <cell r="I4624" t="str">
            <v>Stroup</v>
          </cell>
        </row>
        <row r="4625">
          <cell r="I4625" t="str">
            <v>Sherry</v>
          </cell>
        </row>
        <row r="4626">
          <cell r="I4626" t="str">
            <v>Scribner</v>
          </cell>
        </row>
        <row r="4627">
          <cell r="I4627" t="str">
            <v>Roger</v>
          </cell>
        </row>
        <row r="4628">
          <cell r="I4628" t="str">
            <v>Quillen</v>
          </cell>
        </row>
        <row r="4629">
          <cell r="I4629" t="str">
            <v>Pitman</v>
          </cell>
        </row>
        <row r="4630">
          <cell r="I4630" t="str">
            <v>Monaco</v>
          </cell>
        </row>
        <row r="4631">
          <cell r="I4631" t="str">
            <v>Mccants</v>
          </cell>
        </row>
        <row r="4632">
          <cell r="I4632" t="str">
            <v>Maxfield</v>
          </cell>
        </row>
        <row r="4633">
          <cell r="I4633" t="str">
            <v>Martinson</v>
          </cell>
        </row>
        <row r="4634">
          <cell r="I4634" t="str">
            <v>Landon</v>
          </cell>
        </row>
        <row r="4635">
          <cell r="I4635" t="str">
            <v>Holtz</v>
          </cell>
        </row>
        <row r="4636">
          <cell r="I4636" t="str">
            <v>Flournoy</v>
          </cell>
        </row>
        <row r="4637">
          <cell r="I4637" t="str">
            <v>Brookins</v>
          </cell>
        </row>
        <row r="4638">
          <cell r="I4638" t="str">
            <v>Brody</v>
          </cell>
        </row>
        <row r="4639">
          <cell r="I4639" t="str">
            <v>Baumgardner</v>
          </cell>
        </row>
        <row r="4640">
          <cell r="I4640" t="str">
            <v>Angelo</v>
          </cell>
        </row>
        <row r="4641">
          <cell r="I4641" t="str">
            <v>Straub</v>
          </cell>
        </row>
        <row r="4642">
          <cell r="I4642" t="str">
            <v>Sills</v>
          </cell>
        </row>
        <row r="4643">
          <cell r="I4643" t="str">
            <v>Roybal</v>
          </cell>
        </row>
        <row r="4644">
          <cell r="I4644" t="str">
            <v>Roundtree</v>
          </cell>
        </row>
        <row r="4645">
          <cell r="I4645" t="str">
            <v>Oswalt</v>
          </cell>
        </row>
        <row r="4646">
          <cell r="I4646" t="str">
            <v>Money</v>
          </cell>
        </row>
        <row r="4647">
          <cell r="I4647" t="str">
            <v>Mcgriff</v>
          </cell>
        </row>
        <row r="4648">
          <cell r="I4648" t="str">
            <v>Mcdougall</v>
          </cell>
        </row>
        <row r="4649">
          <cell r="I4649" t="str">
            <v>Mccleary</v>
          </cell>
        </row>
        <row r="4650">
          <cell r="I4650" t="str">
            <v>Maggard</v>
          </cell>
        </row>
        <row r="4651">
          <cell r="I4651" t="str">
            <v>Gragg</v>
          </cell>
        </row>
        <row r="4652">
          <cell r="I4652" t="str">
            <v>Gooding</v>
          </cell>
        </row>
        <row r="4653">
          <cell r="I4653" t="str">
            <v>Godinez</v>
          </cell>
        </row>
        <row r="4654">
          <cell r="I4654" t="str">
            <v>Doolittle</v>
          </cell>
        </row>
        <row r="4655">
          <cell r="I4655" t="str">
            <v>Donato</v>
          </cell>
        </row>
        <row r="4656">
          <cell r="I4656" t="str">
            <v>Cowell</v>
          </cell>
        </row>
        <row r="4657">
          <cell r="I4657" t="str">
            <v>Cassell</v>
          </cell>
        </row>
        <row r="4658">
          <cell r="I4658" t="str">
            <v>Bracken</v>
          </cell>
        </row>
        <row r="4659">
          <cell r="I4659" t="str">
            <v>Appel</v>
          </cell>
        </row>
        <row r="4660">
          <cell r="I4660" t="str">
            <v>Ahmad</v>
          </cell>
        </row>
        <row r="4661">
          <cell r="I4661" t="str">
            <v>Zambrano</v>
          </cell>
        </row>
        <row r="4662">
          <cell r="I4662" t="str">
            <v>Reuter</v>
          </cell>
        </row>
        <row r="4663">
          <cell r="I4663" t="str">
            <v>Perea</v>
          </cell>
        </row>
        <row r="4664">
          <cell r="I4664" t="str">
            <v>Olive</v>
          </cell>
        </row>
        <row r="4665">
          <cell r="I4665" t="str">
            <v>Nakamura</v>
          </cell>
        </row>
        <row r="4666">
          <cell r="I4666" t="str">
            <v>Monaghan</v>
          </cell>
        </row>
        <row r="4667">
          <cell r="I4667" t="str">
            <v>Mickens</v>
          </cell>
        </row>
        <row r="4668">
          <cell r="I4668" t="str">
            <v>Mcclinton</v>
          </cell>
        </row>
        <row r="4669">
          <cell r="I4669" t="str">
            <v>Mcclary</v>
          </cell>
        </row>
        <row r="4670">
          <cell r="I4670" t="str">
            <v>Marler</v>
          </cell>
        </row>
        <row r="4671">
          <cell r="I4671" t="str">
            <v>Kish</v>
          </cell>
        </row>
        <row r="4672">
          <cell r="I4672" t="str">
            <v>Judkins</v>
          </cell>
        </row>
        <row r="4673">
          <cell r="I4673" t="str">
            <v>Gilbreath</v>
          </cell>
        </row>
        <row r="4674">
          <cell r="I4674" t="str">
            <v>Freese</v>
          </cell>
        </row>
        <row r="4675">
          <cell r="I4675" t="str">
            <v>Flanigan</v>
          </cell>
        </row>
        <row r="4676">
          <cell r="I4676" t="str">
            <v>Felts</v>
          </cell>
        </row>
        <row r="4677">
          <cell r="I4677" t="str">
            <v>Erdmann</v>
          </cell>
        </row>
        <row r="4678">
          <cell r="I4678" t="str">
            <v>Dodds</v>
          </cell>
        </row>
        <row r="4679">
          <cell r="I4679" t="str">
            <v>Chew</v>
          </cell>
        </row>
        <row r="4680">
          <cell r="I4680" t="str">
            <v>Brownell</v>
          </cell>
        </row>
        <row r="4681">
          <cell r="I4681" t="str">
            <v>Brazil</v>
          </cell>
        </row>
        <row r="4682">
          <cell r="I4682" t="str">
            <v>Boatright</v>
          </cell>
        </row>
        <row r="4683">
          <cell r="I4683" t="str">
            <v>Barreto</v>
          </cell>
        </row>
        <row r="4684">
          <cell r="I4684" t="str">
            <v>Slayton</v>
          </cell>
        </row>
        <row r="4685">
          <cell r="I4685" t="str">
            <v>Sandberg</v>
          </cell>
        </row>
        <row r="4686">
          <cell r="I4686" t="str">
            <v>Saldivar</v>
          </cell>
        </row>
        <row r="4687">
          <cell r="I4687" t="str">
            <v>Pettway</v>
          </cell>
        </row>
        <row r="4688">
          <cell r="I4688" t="str">
            <v>Odum</v>
          </cell>
        </row>
        <row r="4689">
          <cell r="I4689" t="str">
            <v>Narvaez</v>
          </cell>
        </row>
        <row r="4690">
          <cell r="I4690" t="str">
            <v>Moultrie</v>
          </cell>
        </row>
        <row r="4691">
          <cell r="I4691" t="str">
            <v>Montemayor</v>
          </cell>
        </row>
        <row r="4692">
          <cell r="I4692" t="str">
            <v>Merrell</v>
          </cell>
        </row>
        <row r="4693">
          <cell r="I4693" t="str">
            <v>Lees</v>
          </cell>
        </row>
        <row r="4694">
          <cell r="I4694" t="str">
            <v>Keyser</v>
          </cell>
        </row>
        <row r="4695">
          <cell r="I4695" t="str">
            <v>Hoke</v>
          </cell>
        </row>
        <row r="4696">
          <cell r="I4696" t="str">
            <v>Hardaway</v>
          </cell>
        </row>
        <row r="4697">
          <cell r="I4697" t="str">
            <v>Hannan</v>
          </cell>
        </row>
        <row r="4698">
          <cell r="I4698" t="str">
            <v>Gilbertson</v>
          </cell>
        </row>
        <row r="4699">
          <cell r="I4699" t="str">
            <v>Fogg</v>
          </cell>
        </row>
        <row r="4700">
          <cell r="I4700" t="str">
            <v>Dumont</v>
          </cell>
        </row>
        <row r="4701">
          <cell r="I4701" t="str">
            <v>Deberry</v>
          </cell>
        </row>
        <row r="4702">
          <cell r="I4702" t="str">
            <v>Coggins</v>
          </cell>
        </row>
        <row r="4703">
          <cell r="I4703" t="str">
            <v>Carrera</v>
          </cell>
        </row>
        <row r="4704">
          <cell r="I4704" t="str">
            <v>Buxton</v>
          </cell>
        </row>
        <row r="4705">
          <cell r="I4705" t="str">
            <v>Bucher</v>
          </cell>
        </row>
        <row r="4706">
          <cell r="I4706" t="str">
            <v>Broadnax</v>
          </cell>
        </row>
        <row r="4707">
          <cell r="I4707" t="str">
            <v>Beeson</v>
          </cell>
        </row>
        <row r="4708">
          <cell r="I4708" t="str">
            <v>Araujo</v>
          </cell>
        </row>
        <row r="4709">
          <cell r="I4709" t="str">
            <v>Appleton</v>
          </cell>
        </row>
        <row r="4710">
          <cell r="I4710" t="str">
            <v>Amundson</v>
          </cell>
        </row>
        <row r="4711">
          <cell r="I4711" t="str">
            <v>Aguayo</v>
          </cell>
        </row>
        <row r="4712">
          <cell r="I4712" t="str">
            <v>Ackley</v>
          </cell>
        </row>
        <row r="4713">
          <cell r="I4713" t="str">
            <v>Yocum</v>
          </cell>
        </row>
        <row r="4714">
          <cell r="I4714" t="str">
            <v>Worsham</v>
          </cell>
        </row>
        <row r="4715">
          <cell r="I4715" t="str">
            <v>Shivers</v>
          </cell>
        </row>
        <row r="4716">
          <cell r="I4716" t="str">
            <v>Shelly</v>
          </cell>
        </row>
        <row r="4717">
          <cell r="I4717" t="str">
            <v>Sanches</v>
          </cell>
        </row>
        <row r="4718">
          <cell r="I4718" t="str">
            <v>Sacco</v>
          </cell>
        </row>
        <row r="4719">
          <cell r="I4719" t="str">
            <v>Robey</v>
          </cell>
        </row>
        <row r="4720">
          <cell r="I4720" t="str">
            <v>Rhoden</v>
          </cell>
        </row>
        <row r="4721">
          <cell r="I4721" t="str">
            <v>Pender</v>
          </cell>
        </row>
        <row r="4722">
          <cell r="I4722" t="str">
            <v>Ochs</v>
          </cell>
        </row>
        <row r="4723">
          <cell r="I4723" t="str">
            <v>Mccurry</v>
          </cell>
        </row>
        <row r="4724">
          <cell r="I4724" t="str">
            <v>Madera</v>
          </cell>
        </row>
        <row r="4725">
          <cell r="I4725" t="str">
            <v>Luong</v>
          </cell>
        </row>
        <row r="4726">
          <cell r="I4726" t="str">
            <v>Luis</v>
          </cell>
        </row>
        <row r="4727">
          <cell r="I4727" t="str">
            <v>Knotts</v>
          </cell>
        </row>
        <row r="4728">
          <cell r="I4728" t="str">
            <v>Jackman</v>
          </cell>
        </row>
        <row r="4729">
          <cell r="I4729" t="str">
            <v>Heinrich</v>
          </cell>
        </row>
        <row r="4730">
          <cell r="I4730" t="str">
            <v>Hargrave</v>
          </cell>
        </row>
        <row r="4731">
          <cell r="I4731" t="str">
            <v>Gault</v>
          </cell>
        </row>
        <row r="4732">
          <cell r="I4732" t="str">
            <v>Forest</v>
          </cell>
        </row>
        <row r="4733">
          <cell r="I4733" t="str">
            <v>Comeaux</v>
          </cell>
        </row>
        <row r="4734">
          <cell r="I4734" t="str">
            <v>Chitwood</v>
          </cell>
        </row>
        <row r="4735">
          <cell r="I4735" t="str">
            <v>Child</v>
          </cell>
        </row>
        <row r="4736">
          <cell r="I4736" t="str">
            <v>Caraway</v>
          </cell>
        </row>
        <row r="4737">
          <cell r="I4737" t="str">
            <v>Boettcher</v>
          </cell>
        </row>
        <row r="4738">
          <cell r="I4738" t="str">
            <v>Bernhardt</v>
          </cell>
        </row>
        <row r="4739">
          <cell r="I4739" t="str">
            <v>Barrientos</v>
          </cell>
        </row>
        <row r="4740">
          <cell r="I4740" t="str">
            <v>Zink</v>
          </cell>
        </row>
        <row r="4741">
          <cell r="I4741" t="str">
            <v>Wickham</v>
          </cell>
        </row>
        <row r="4742">
          <cell r="I4742" t="str">
            <v>Whiteman</v>
          </cell>
        </row>
        <row r="4743">
          <cell r="I4743" t="str">
            <v>Thorp</v>
          </cell>
        </row>
        <row r="4744">
          <cell r="I4744" t="str">
            <v>Stillman</v>
          </cell>
        </row>
        <row r="4745">
          <cell r="I4745" t="str">
            <v>Settles</v>
          </cell>
        </row>
        <row r="4746">
          <cell r="I4746" t="str">
            <v>Schoonover</v>
          </cell>
        </row>
        <row r="4747">
          <cell r="I4747" t="str">
            <v>Roque</v>
          </cell>
        </row>
        <row r="4748">
          <cell r="I4748" t="str">
            <v>Riddell</v>
          </cell>
        </row>
        <row r="4749">
          <cell r="I4749" t="str">
            <v>Rey</v>
          </cell>
        </row>
        <row r="4750">
          <cell r="I4750" t="str">
            <v>Pilcher</v>
          </cell>
        </row>
        <row r="4751">
          <cell r="I4751" t="str">
            <v>Phifer</v>
          </cell>
        </row>
        <row r="4752">
          <cell r="I4752" t="str">
            <v>Novotny</v>
          </cell>
        </row>
        <row r="4753">
          <cell r="I4753" t="str">
            <v>Maple</v>
          </cell>
        </row>
        <row r="4754">
          <cell r="I4754" t="str">
            <v>Macleod</v>
          </cell>
        </row>
        <row r="4755">
          <cell r="I4755" t="str">
            <v>Hardee</v>
          </cell>
        </row>
        <row r="4756">
          <cell r="I4756" t="str">
            <v>Haase</v>
          </cell>
        </row>
        <row r="4757">
          <cell r="I4757" t="str">
            <v>Grider</v>
          </cell>
        </row>
        <row r="4758">
          <cell r="I4758" t="str">
            <v>Fredrick</v>
          </cell>
        </row>
        <row r="4759">
          <cell r="I4759" t="str">
            <v>Earnest</v>
          </cell>
        </row>
        <row r="4760">
          <cell r="I4760" t="str">
            <v>Doucette</v>
          </cell>
        </row>
        <row r="4761">
          <cell r="I4761" t="str">
            <v>Clausen</v>
          </cell>
        </row>
        <row r="4762">
          <cell r="I4762" t="str">
            <v>Christmas</v>
          </cell>
        </row>
        <row r="4763">
          <cell r="I4763" t="str">
            <v>Bevins</v>
          </cell>
        </row>
        <row r="4764">
          <cell r="I4764" t="str">
            <v>Beamon</v>
          </cell>
        </row>
        <row r="4765">
          <cell r="I4765" t="str">
            <v>Badillo</v>
          </cell>
        </row>
        <row r="4766">
          <cell r="I4766" t="str">
            <v>Tolley</v>
          </cell>
        </row>
        <row r="4767">
          <cell r="I4767" t="str">
            <v>Tindall</v>
          </cell>
        </row>
        <row r="4768">
          <cell r="I4768" t="str">
            <v>Soule</v>
          </cell>
        </row>
        <row r="4769">
          <cell r="I4769" t="str">
            <v>Snook</v>
          </cell>
        </row>
        <row r="4770">
          <cell r="I4770" t="str">
            <v>Sebastian</v>
          </cell>
        </row>
        <row r="4771">
          <cell r="I4771" t="str">
            <v>Seale</v>
          </cell>
        </row>
        <row r="4772">
          <cell r="I4772" t="str">
            <v>Pitcher</v>
          </cell>
        </row>
        <row r="4773">
          <cell r="I4773" t="str">
            <v>Pinkney</v>
          </cell>
        </row>
        <row r="4774">
          <cell r="I4774" t="str">
            <v>Pellegrino</v>
          </cell>
        </row>
        <row r="4775">
          <cell r="I4775" t="str">
            <v>Nowell</v>
          </cell>
        </row>
        <row r="4776">
          <cell r="I4776" t="str">
            <v>Nemeth</v>
          </cell>
        </row>
        <row r="4777">
          <cell r="I4777" t="str">
            <v>Nail</v>
          </cell>
        </row>
        <row r="4778">
          <cell r="I4778" t="str">
            <v>Mondragon</v>
          </cell>
        </row>
        <row r="4779">
          <cell r="I4779" t="str">
            <v>Mclane</v>
          </cell>
        </row>
        <row r="4780">
          <cell r="I4780" t="str">
            <v>Lundgren</v>
          </cell>
        </row>
        <row r="4781">
          <cell r="I4781" t="str">
            <v>Ingalls</v>
          </cell>
        </row>
        <row r="4782">
          <cell r="I4782" t="str">
            <v>Hudspeth</v>
          </cell>
        </row>
        <row r="4783">
          <cell r="I4783" t="str">
            <v>Hixson</v>
          </cell>
        </row>
        <row r="4784">
          <cell r="I4784" t="str">
            <v>Gearhart</v>
          </cell>
        </row>
        <row r="4785">
          <cell r="I4785" t="str">
            <v>Furlong</v>
          </cell>
        </row>
        <row r="4786">
          <cell r="I4786" t="str">
            <v>Downes</v>
          </cell>
        </row>
        <row r="4787">
          <cell r="I4787" t="str">
            <v>Dionne</v>
          </cell>
        </row>
        <row r="4788">
          <cell r="I4788" t="str">
            <v>Dibble</v>
          </cell>
        </row>
        <row r="4789">
          <cell r="I4789" t="str">
            <v>Deyoung</v>
          </cell>
        </row>
        <row r="4790">
          <cell r="I4790" t="str">
            <v>Cornejo</v>
          </cell>
        </row>
        <row r="4791">
          <cell r="I4791" t="str">
            <v>Camara</v>
          </cell>
        </row>
        <row r="4792">
          <cell r="I4792" t="str">
            <v>Brookshire</v>
          </cell>
        </row>
        <row r="4793">
          <cell r="I4793" t="str">
            <v>Boyette</v>
          </cell>
        </row>
        <row r="4794">
          <cell r="I4794" t="str">
            <v>Wolcott</v>
          </cell>
        </row>
        <row r="4795">
          <cell r="I4795" t="str">
            <v>Tracey</v>
          </cell>
        </row>
        <row r="4796">
          <cell r="I4796" t="str">
            <v>Surratt</v>
          </cell>
        </row>
        <row r="4797">
          <cell r="I4797" t="str">
            <v>Sellars</v>
          </cell>
        </row>
        <row r="4798">
          <cell r="I4798" t="str">
            <v>Segal</v>
          </cell>
        </row>
        <row r="4799">
          <cell r="I4799" t="str">
            <v>Salyer</v>
          </cell>
        </row>
        <row r="4800">
          <cell r="I4800" t="str">
            <v>Reeve</v>
          </cell>
        </row>
        <row r="4801">
          <cell r="I4801" t="str">
            <v>Rausch</v>
          </cell>
        </row>
        <row r="4802">
          <cell r="I4802" t="str">
            <v>Philips</v>
          </cell>
        </row>
        <row r="4803">
          <cell r="I4803" t="str">
            <v>Labonte</v>
          </cell>
        </row>
        <row r="4804">
          <cell r="I4804" t="str">
            <v>Haro</v>
          </cell>
        </row>
        <row r="4805">
          <cell r="I4805" t="str">
            <v>Gower</v>
          </cell>
        </row>
        <row r="4806">
          <cell r="I4806" t="str">
            <v>Freeland</v>
          </cell>
        </row>
        <row r="4807">
          <cell r="I4807" t="str">
            <v>Fawcett</v>
          </cell>
        </row>
        <row r="4808">
          <cell r="I4808" t="str">
            <v>Eads</v>
          </cell>
        </row>
        <row r="4809">
          <cell r="I4809" t="str">
            <v>Driggers</v>
          </cell>
        </row>
        <row r="4810">
          <cell r="I4810" t="str">
            <v>Donley</v>
          </cell>
        </row>
        <row r="4811">
          <cell r="I4811" t="str">
            <v>Collett</v>
          </cell>
        </row>
        <row r="4812">
          <cell r="I4812" t="str">
            <v>Cage</v>
          </cell>
        </row>
        <row r="4813">
          <cell r="I4813" t="str">
            <v>Bromley</v>
          </cell>
        </row>
        <row r="4814">
          <cell r="I4814" t="str">
            <v>Boatman</v>
          </cell>
        </row>
        <row r="4815">
          <cell r="I4815" t="str">
            <v>Ballinger</v>
          </cell>
        </row>
        <row r="4816">
          <cell r="I4816" t="str">
            <v>Baldridge</v>
          </cell>
        </row>
        <row r="4817">
          <cell r="I4817" t="str">
            <v>Volz</v>
          </cell>
        </row>
        <row r="4818">
          <cell r="I4818" t="str">
            <v>Trombley</v>
          </cell>
        </row>
        <row r="4819">
          <cell r="I4819" t="str">
            <v>Stonge</v>
          </cell>
        </row>
        <row r="4820">
          <cell r="I4820" t="str">
            <v>Silas</v>
          </cell>
        </row>
        <row r="4821">
          <cell r="I4821" t="str">
            <v>Shanahan</v>
          </cell>
        </row>
        <row r="4822">
          <cell r="I4822" t="str">
            <v>Rivard</v>
          </cell>
        </row>
        <row r="4823">
          <cell r="I4823" t="str">
            <v>Rhyne</v>
          </cell>
        </row>
        <row r="4824">
          <cell r="I4824" t="str">
            <v>Pedroza</v>
          </cell>
        </row>
        <row r="4825">
          <cell r="I4825" t="str">
            <v>Matias</v>
          </cell>
        </row>
        <row r="4826">
          <cell r="I4826" t="str">
            <v>Mallard</v>
          </cell>
        </row>
        <row r="4827">
          <cell r="I4827" t="str">
            <v>Jamieson</v>
          </cell>
        </row>
        <row r="4828">
          <cell r="I4828" t="str">
            <v>Hedgepeth</v>
          </cell>
        </row>
        <row r="4829">
          <cell r="I4829" t="str">
            <v>Hartnett</v>
          </cell>
        </row>
        <row r="4830">
          <cell r="I4830" t="str">
            <v>Estevez</v>
          </cell>
        </row>
        <row r="4831">
          <cell r="I4831" t="str">
            <v>Eskridge</v>
          </cell>
        </row>
        <row r="4832">
          <cell r="I4832" t="str">
            <v>Denman</v>
          </cell>
        </row>
        <row r="4833">
          <cell r="I4833" t="str">
            <v>Chiu</v>
          </cell>
        </row>
        <row r="4834">
          <cell r="I4834" t="str">
            <v>Chinn</v>
          </cell>
        </row>
        <row r="4835">
          <cell r="I4835" t="str">
            <v>Catlett</v>
          </cell>
        </row>
        <row r="4836">
          <cell r="I4836" t="str">
            <v>Carmack</v>
          </cell>
        </row>
        <row r="4837">
          <cell r="I4837" t="str">
            <v>Buie</v>
          </cell>
        </row>
        <row r="4838">
          <cell r="I4838" t="str">
            <v>Book</v>
          </cell>
        </row>
        <row r="4839">
          <cell r="I4839" t="str">
            <v>Bechtel</v>
          </cell>
        </row>
        <row r="4840">
          <cell r="I4840" t="str">
            <v>Beardsley</v>
          </cell>
        </row>
        <row r="4841">
          <cell r="I4841" t="str">
            <v>Bard</v>
          </cell>
        </row>
        <row r="4842">
          <cell r="I4842" t="str">
            <v>Ballou</v>
          </cell>
        </row>
        <row r="4843">
          <cell r="I4843" t="str">
            <v>Windsor</v>
          </cell>
        </row>
        <row r="4844">
          <cell r="I4844" t="str">
            <v>Ulmer</v>
          </cell>
        </row>
        <row r="4845">
          <cell r="I4845" t="str">
            <v>Storm</v>
          </cell>
        </row>
        <row r="4846">
          <cell r="I4846" t="str">
            <v>Skeen</v>
          </cell>
        </row>
        <row r="4847">
          <cell r="I4847" t="str">
            <v>Robledo</v>
          </cell>
        </row>
        <row r="4848">
          <cell r="I4848" t="str">
            <v>Rincon</v>
          </cell>
        </row>
        <row r="4849">
          <cell r="I4849" t="str">
            <v>Reitz</v>
          </cell>
        </row>
        <row r="4850">
          <cell r="I4850" t="str">
            <v>Piazza</v>
          </cell>
        </row>
        <row r="4851">
          <cell r="I4851" t="str">
            <v>Pearl</v>
          </cell>
        </row>
        <row r="4852">
          <cell r="I4852" t="str">
            <v>Munger</v>
          </cell>
        </row>
        <row r="4853">
          <cell r="I4853" t="str">
            <v>Moten</v>
          </cell>
        </row>
        <row r="4854">
          <cell r="I4854" t="str">
            <v>Mcmichael</v>
          </cell>
        </row>
        <row r="4855">
          <cell r="I4855" t="str">
            <v>Loftus</v>
          </cell>
        </row>
        <row r="4856">
          <cell r="I4856" t="str">
            <v>Ledet</v>
          </cell>
        </row>
        <row r="4857">
          <cell r="I4857" t="str">
            <v>Kersey</v>
          </cell>
        </row>
        <row r="4858">
          <cell r="I4858" t="str">
            <v>Groff</v>
          </cell>
        </row>
        <row r="4859">
          <cell r="I4859" t="str">
            <v>Fowlkes</v>
          </cell>
        </row>
        <row r="4860">
          <cell r="I4860" t="str">
            <v>Folk</v>
          </cell>
        </row>
        <row r="4861">
          <cell r="I4861" t="str">
            <v>Crumpton</v>
          </cell>
        </row>
        <row r="4862">
          <cell r="I4862" t="str">
            <v>Collette</v>
          </cell>
        </row>
        <row r="4863">
          <cell r="I4863" t="str">
            <v>Clouse</v>
          </cell>
        </row>
        <row r="4864">
          <cell r="I4864" t="str">
            <v>Bettis</v>
          </cell>
        </row>
        <row r="4865">
          <cell r="I4865" t="str">
            <v>Villagomez</v>
          </cell>
        </row>
        <row r="4866">
          <cell r="I4866" t="str">
            <v>Timmerman</v>
          </cell>
        </row>
        <row r="4867">
          <cell r="I4867" t="str">
            <v>Strom</v>
          </cell>
        </row>
        <row r="4868">
          <cell r="I4868" t="str">
            <v>Saul</v>
          </cell>
        </row>
        <row r="4869">
          <cell r="I4869" t="str">
            <v>Santoro</v>
          </cell>
        </row>
        <row r="4870">
          <cell r="I4870" t="str">
            <v>Roddy</v>
          </cell>
        </row>
        <row r="4871">
          <cell r="I4871" t="str">
            <v>Phillip</v>
          </cell>
        </row>
        <row r="4872">
          <cell r="I4872" t="str">
            <v>Penrod</v>
          </cell>
        </row>
        <row r="4873">
          <cell r="I4873" t="str">
            <v>Musselman</v>
          </cell>
        </row>
        <row r="4874">
          <cell r="I4874" t="str">
            <v>Macpherson</v>
          </cell>
        </row>
        <row r="4875">
          <cell r="I4875" t="str">
            <v>Leboeuf</v>
          </cell>
        </row>
        <row r="4876">
          <cell r="I4876" t="str">
            <v>Harless</v>
          </cell>
        </row>
        <row r="4877">
          <cell r="I4877" t="str">
            <v>Haddad</v>
          </cell>
        </row>
        <row r="4878">
          <cell r="I4878" t="str">
            <v>Guido</v>
          </cell>
        </row>
        <row r="4879">
          <cell r="I4879" t="str">
            <v>Golding</v>
          </cell>
        </row>
        <row r="4880">
          <cell r="I4880" t="str">
            <v>Fulkerson</v>
          </cell>
        </row>
        <row r="4881">
          <cell r="I4881" t="str">
            <v>Fannin</v>
          </cell>
        </row>
        <row r="4882">
          <cell r="I4882" t="str">
            <v>Dulaney</v>
          </cell>
        </row>
        <row r="4883">
          <cell r="I4883" t="str">
            <v>Dowdell</v>
          </cell>
        </row>
        <row r="4884">
          <cell r="I4884" t="str">
            <v>Deane</v>
          </cell>
        </row>
        <row r="4885">
          <cell r="I4885" t="str">
            <v>Cottle</v>
          </cell>
        </row>
        <row r="4886">
          <cell r="I4886" t="str">
            <v>Ceja</v>
          </cell>
        </row>
        <row r="4887">
          <cell r="I4887" t="str">
            <v>Cate</v>
          </cell>
        </row>
        <row r="4888">
          <cell r="I4888" t="str">
            <v>Bosley</v>
          </cell>
        </row>
        <row r="4889">
          <cell r="I4889" t="str">
            <v>Benge</v>
          </cell>
        </row>
        <row r="4890">
          <cell r="I4890" t="str">
            <v>Albritton</v>
          </cell>
        </row>
        <row r="4891">
          <cell r="I4891" t="str">
            <v>Voigt</v>
          </cell>
        </row>
        <row r="4892">
          <cell r="I4892" t="str">
            <v>Trowbridge</v>
          </cell>
        </row>
        <row r="4893">
          <cell r="I4893" t="str">
            <v>Soileau</v>
          </cell>
        </row>
        <row r="4894">
          <cell r="I4894" t="str">
            <v>Seely</v>
          </cell>
        </row>
        <row r="4895">
          <cell r="I4895" t="str">
            <v>Rome</v>
          </cell>
        </row>
        <row r="4896">
          <cell r="I4896" t="str">
            <v>Rohde</v>
          </cell>
        </row>
        <row r="4897">
          <cell r="I4897" t="str">
            <v>Pearsall</v>
          </cell>
        </row>
        <row r="4898">
          <cell r="I4898" t="str">
            <v>Paulk</v>
          </cell>
        </row>
        <row r="4899">
          <cell r="I4899" t="str">
            <v>Orth</v>
          </cell>
        </row>
        <row r="4900">
          <cell r="I4900" t="str">
            <v>Nason</v>
          </cell>
        </row>
        <row r="4901">
          <cell r="I4901" t="str">
            <v>Mota</v>
          </cell>
        </row>
        <row r="4902">
          <cell r="I4902" t="str">
            <v>Mcmullin</v>
          </cell>
        </row>
        <row r="4903">
          <cell r="I4903" t="str">
            <v>Marquardt</v>
          </cell>
        </row>
        <row r="4904">
          <cell r="I4904" t="str">
            <v>Madigan</v>
          </cell>
        </row>
        <row r="4905">
          <cell r="I4905" t="str">
            <v>Hoag</v>
          </cell>
        </row>
        <row r="4906">
          <cell r="I4906" t="str">
            <v>Gillum</v>
          </cell>
        </row>
        <row r="4907">
          <cell r="I4907" t="str">
            <v>Gayle</v>
          </cell>
        </row>
        <row r="4908">
          <cell r="I4908" t="str">
            <v>Gabbard</v>
          </cell>
        </row>
        <row r="4909">
          <cell r="I4909" t="str">
            <v>Fenwick</v>
          </cell>
        </row>
        <row r="4910">
          <cell r="I4910" t="str">
            <v>Fender</v>
          </cell>
        </row>
        <row r="4911">
          <cell r="I4911" t="str">
            <v>Eck</v>
          </cell>
        </row>
        <row r="4912">
          <cell r="I4912" t="str">
            <v>Danforth</v>
          </cell>
        </row>
        <row r="4913">
          <cell r="I4913" t="str">
            <v>Cushing</v>
          </cell>
        </row>
        <row r="4914">
          <cell r="I4914" t="str">
            <v>Cress</v>
          </cell>
        </row>
        <row r="4915">
          <cell r="I4915" t="str">
            <v>Creed</v>
          </cell>
        </row>
        <row r="4916">
          <cell r="I4916" t="str">
            <v>Cazares</v>
          </cell>
        </row>
        <row r="4917">
          <cell r="I4917" t="str">
            <v>Casanova</v>
          </cell>
        </row>
        <row r="4918">
          <cell r="I4918" t="str">
            <v>Bey</v>
          </cell>
        </row>
        <row r="4919">
          <cell r="I4919" t="str">
            <v>Bettencourt</v>
          </cell>
        </row>
        <row r="4920">
          <cell r="I4920" t="str">
            <v>Barringer</v>
          </cell>
        </row>
        <row r="4921">
          <cell r="I4921" t="str">
            <v>Baber</v>
          </cell>
        </row>
        <row r="4922">
          <cell r="I4922" t="str">
            <v>Stansberry</v>
          </cell>
        </row>
        <row r="4923">
          <cell r="I4923" t="str">
            <v>Schramm</v>
          </cell>
        </row>
        <row r="4924">
          <cell r="I4924" t="str">
            <v>Rutter</v>
          </cell>
        </row>
        <row r="4925">
          <cell r="I4925" t="str">
            <v>Rivero</v>
          </cell>
        </row>
        <row r="4926">
          <cell r="I4926" t="str">
            <v>Race</v>
          </cell>
        </row>
        <row r="4927">
          <cell r="I4927" t="str">
            <v>Oquendo</v>
          </cell>
        </row>
        <row r="4928">
          <cell r="I4928" t="str">
            <v>Necaise</v>
          </cell>
        </row>
        <row r="4929">
          <cell r="I4929" t="str">
            <v>Mouton</v>
          </cell>
        </row>
        <row r="4930">
          <cell r="I4930" t="str">
            <v>Montenegro</v>
          </cell>
        </row>
        <row r="4931">
          <cell r="I4931" t="str">
            <v>Miley</v>
          </cell>
        </row>
        <row r="4932">
          <cell r="I4932" t="str">
            <v>Mcgough</v>
          </cell>
        </row>
        <row r="4933">
          <cell r="I4933" t="str">
            <v>Marra</v>
          </cell>
        </row>
        <row r="4934">
          <cell r="I4934" t="str">
            <v>Macmillan</v>
          </cell>
        </row>
        <row r="4935">
          <cell r="I4935" t="str">
            <v>Lock</v>
          </cell>
        </row>
        <row r="4936">
          <cell r="I4936" t="str">
            <v>Lamontagne</v>
          </cell>
        </row>
        <row r="4937">
          <cell r="I4937" t="str">
            <v>Jasso</v>
          </cell>
        </row>
        <row r="4938">
          <cell r="I4938" t="str">
            <v>Jaime</v>
          </cell>
        </row>
        <row r="4939">
          <cell r="I4939" t="str">
            <v>Horst</v>
          </cell>
        </row>
        <row r="4940">
          <cell r="I4940" t="str">
            <v>Hetrick</v>
          </cell>
        </row>
        <row r="4941">
          <cell r="I4941" t="str">
            <v>Heilman</v>
          </cell>
        </row>
        <row r="4942">
          <cell r="I4942" t="str">
            <v>Gaytan</v>
          </cell>
        </row>
        <row r="4943">
          <cell r="I4943" t="str">
            <v>Gall</v>
          </cell>
        </row>
        <row r="4944">
          <cell r="I4944" t="str">
            <v>Fried</v>
          </cell>
        </row>
        <row r="4945">
          <cell r="I4945" t="str">
            <v>Fortney</v>
          </cell>
        </row>
        <row r="4946">
          <cell r="I4946" t="str">
            <v>Eden</v>
          </cell>
        </row>
        <row r="4947">
          <cell r="I4947" t="str">
            <v>Dingle</v>
          </cell>
        </row>
        <row r="4948">
          <cell r="I4948" t="str">
            <v>Desjardins</v>
          </cell>
        </row>
        <row r="4949">
          <cell r="I4949" t="str">
            <v>Dabbs</v>
          </cell>
        </row>
        <row r="4950">
          <cell r="I4950" t="str">
            <v>Burbank</v>
          </cell>
        </row>
        <row r="4951">
          <cell r="I4951" t="str">
            <v>Brigham</v>
          </cell>
        </row>
        <row r="4952">
          <cell r="I4952" t="str">
            <v>Breland</v>
          </cell>
        </row>
        <row r="4953">
          <cell r="I4953" t="str">
            <v>Beaman</v>
          </cell>
        </row>
        <row r="4954">
          <cell r="I4954" t="str">
            <v>Banner</v>
          </cell>
        </row>
        <row r="4955">
          <cell r="I4955" t="str">
            <v>Arriola</v>
          </cell>
        </row>
        <row r="4956">
          <cell r="I4956" t="str">
            <v>Yarborough</v>
          </cell>
        </row>
        <row r="4957">
          <cell r="I4957" t="str">
            <v>Wallin</v>
          </cell>
        </row>
        <row r="4958">
          <cell r="I4958" t="str">
            <v>Treat</v>
          </cell>
        </row>
        <row r="4959">
          <cell r="I4959" t="str">
            <v>Toscano</v>
          </cell>
        </row>
        <row r="4960">
          <cell r="I4960" t="str">
            <v>Stowers</v>
          </cell>
        </row>
        <row r="4961">
          <cell r="I4961" t="str">
            <v>Reiss</v>
          </cell>
        </row>
        <row r="4962">
          <cell r="I4962" t="str">
            <v>Pichardo</v>
          </cell>
        </row>
        <row r="4963">
          <cell r="I4963" t="str">
            <v>Orton</v>
          </cell>
        </row>
        <row r="4964">
          <cell r="I4964" t="str">
            <v>Mitchel</v>
          </cell>
        </row>
        <row r="4965">
          <cell r="I4965" t="str">
            <v>Michels</v>
          </cell>
        </row>
        <row r="4966">
          <cell r="I4966" t="str">
            <v>Mcnamee</v>
          </cell>
        </row>
        <row r="4967">
          <cell r="I4967" t="str">
            <v>Mccrory</v>
          </cell>
        </row>
        <row r="4968">
          <cell r="I4968" t="str">
            <v>Leatherman</v>
          </cell>
        </row>
        <row r="4969">
          <cell r="I4969" t="str">
            <v>Kell</v>
          </cell>
        </row>
        <row r="4970">
          <cell r="I4970" t="str">
            <v>Keister</v>
          </cell>
        </row>
        <row r="4971">
          <cell r="I4971" t="str">
            <v>Jerome</v>
          </cell>
        </row>
        <row r="4972">
          <cell r="I4972" t="str">
            <v>Horning</v>
          </cell>
        </row>
        <row r="4973">
          <cell r="I4973" t="str">
            <v>Hargett</v>
          </cell>
        </row>
        <row r="4974">
          <cell r="I4974" t="str">
            <v>Guay</v>
          </cell>
        </row>
        <row r="4975">
          <cell r="I4975" t="str">
            <v>Friday</v>
          </cell>
        </row>
        <row r="4976">
          <cell r="I4976" t="str">
            <v>Ferro</v>
          </cell>
        </row>
        <row r="4977">
          <cell r="I4977" t="str">
            <v>Deboer</v>
          </cell>
        </row>
        <row r="4978">
          <cell r="I4978" t="str">
            <v>Dagostino</v>
          </cell>
        </row>
        <row r="4979">
          <cell r="I4979" t="str">
            <v>Clemente</v>
          </cell>
        </row>
        <row r="4980">
          <cell r="I4980" t="str">
            <v>Christ</v>
          </cell>
        </row>
        <row r="4981">
          <cell r="I4981" t="str">
            <v>Carper</v>
          </cell>
        </row>
        <row r="4982">
          <cell r="I4982" t="str">
            <v>Bowler</v>
          </cell>
        </row>
        <row r="4983">
          <cell r="I4983" t="str">
            <v>Blanks</v>
          </cell>
        </row>
        <row r="4984">
          <cell r="I4984" t="str">
            <v>Beaudry</v>
          </cell>
        </row>
        <row r="4985">
          <cell r="I4985" t="str">
            <v>Willie</v>
          </cell>
        </row>
        <row r="4986">
          <cell r="I4986" t="str">
            <v>Towle</v>
          </cell>
        </row>
        <row r="4987">
          <cell r="I4987" t="str">
            <v>Tafoya</v>
          </cell>
        </row>
        <row r="4988">
          <cell r="I4988" t="str">
            <v>Stricklin</v>
          </cell>
        </row>
        <row r="4989">
          <cell r="I4989" t="str">
            <v>Strader</v>
          </cell>
        </row>
        <row r="4990">
          <cell r="I4990" t="str">
            <v>Soper</v>
          </cell>
        </row>
        <row r="4991">
          <cell r="I4991" t="str">
            <v>Sonnier</v>
          </cell>
        </row>
        <row r="4992">
          <cell r="I4992" t="str">
            <v>Sigmon</v>
          </cell>
        </row>
        <row r="4993">
          <cell r="I4993" t="str">
            <v>Schenk</v>
          </cell>
        </row>
        <row r="4994">
          <cell r="I4994" t="str">
            <v>Saddler</v>
          </cell>
        </row>
        <row r="4995">
          <cell r="I4995" t="str">
            <v>Rodman</v>
          </cell>
        </row>
        <row r="4996">
          <cell r="I4996" t="str">
            <v>Pedigo</v>
          </cell>
        </row>
        <row r="4997">
          <cell r="I4997" t="str">
            <v>Mendes</v>
          </cell>
        </row>
        <row r="4998">
          <cell r="I4998" t="str">
            <v>Lunn</v>
          </cell>
        </row>
        <row r="4999">
          <cell r="I4999" t="str">
            <v>Lohr</v>
          </cell>
        </row>
        <row r="5000">
          <cell r="I5000" t="str">
            <v>Lahr</v>
          </cell>
        </row>
        <row r="5001">
          <cell r="I5001" t="str">
            <v>Kingsbury</v>
          </cell>
        </row>
        <row r="5002">
          <cell r="I5002" t="str">
            <v>Jarman</v>
          </cell>
        </row>
        <row r="5003">
          <cell r="I5003" t="str">
            <v>Hume</v>
          </cell>
        </row>
        <row r="5004">
          <cell r="I5004" t="str">
            <v>Holliman</v>
          </cell>
        </row>
        <row r="5005">
          <cell r="I5005" t="str">
            <v>Hofmann</v>
          </cell>
        </row>
        <row r="5006">
          <cell r="I5006" t="str">
            <v>Haworth</v>
          </cell>
        </row>
        <row r="5007">
          <cell r="I5007" t="str">
            <v>Harrelson</v>
          </cell>
        </row>
        <row r="5008">
          <cell r="I5008" t="str">
            <v>Hambrick</v>
          </cell>
        </row>
        <row r="5009">
          <cell r="I5009" t="str">
            <v>Flick</v>
          </cell>
        </row>
        <row r="5010">
          <cell r="I5010" t="str">
            <v>Edmunds</v>
          </cell>
        </row>
        <row r="5011">
          <cell r="I5011" t="str">
            <v>Dacosta</v>
          </cell>
        </row>
        <row r="5012">
          <cell r="I5012" t="str">
            <v>Crossman</v>
          </cell>
        </row>
        <row r="5013">
          <cell r="I5013" t="str">
            <v>Colston</v>
          </cell>
        </row>
        <row r="5014">
          <cell r="I5014" t="str">
            <v>Chaplin</v>
          </cell>
        </row>
        <row r="5015">
          <cell r="I5015" t="str">
            <v>Carrell</v>
          </cell>
        </row>
        <row r="5016">
          <cell r="I5016" t="str">
            <v>Budd</v>
          </cell>
        </row>
        <row r="5017">
          <cell r="I5017" t="str">
            <v>Weiler</v>
          </cell>
        </row>
        <row r="5018">
          <cell r="I5018" t="str">
            <v>Waits</v>
          </cell>
        </row>
        <row r="5019">
          <cell r="I5019" t="str">
            <v>Viola</v>
          </cell>
        </row>
        <row r="5020">
          <cell r="I5020" t="str">
            <v>Valentino</v>
          </cell>
        </row>
        <row r="5021">
          <cell r="I5021" t="str">
            <v>Trantham</v>
          </cell>
        </row>
        <row r="5022">
          <cell r="I5022" t="str">
            <v>Tarr</v>
          </cell>
        </row>
        <row r="5023">
          <cell r="I5023" t="str">
            <v>Straight</v>
          </cell>
        </row>
        <row r="5024">
          <cell r="I5024" t="str">
            <v>Solorio</v>
          </cell>
        </row>
        <row r="5025">
          <cell r="I5025" t="str">
            <v>Roebuck</v>
          </cell>
        </row>
        <row r="5026">
          <cell r="I5026" t="str">
            <v>Powe</v>
          </cell>
        </row>
        <row r="5027">
          <cell r="I5027" t="str">
            <v>Plank</v>
          </cell>
        </row>
        <row r="5028">
          <cell r="I5028" t="str">
            <v>Pettus</v>
          </cell>
        </row>
        <row r="5029">
          <cell r="I5029" t="str">
            <v>Palm</v>
          </cell>
        </row>
        <row r="5030">
          <cell r="I5030" t="str">
            <v>Pagano</v>
          </cell>
        </row>
        <row r="5031">
          <cell r="I5031" t="str">
            <v>Mink</v>
          </cell>
        </row>
        <row r="5032">
          <cell r="I5032" t="str">
            <v>Luker</v>
          </cell>
        </row>
        <row r="5033">
          <cell r="I5033" t="str">
            <v>Leathers</v>
          </cell>
        </row>
        <row r="5034">
          <cell r="I5034" t="str">
            <v>Joslin</v>
          </cell>
        </row>
        <row r="5035">
          <cell r="I5035" t="str">
            <v>Hartzell</v>
          </cell>
        </row>
        <row r="5036">
          <cell r="I5036" t="str">
            <v>Gambrell</v>
          </cell>
        </row>
        <row r="5037">
          <cell r="I5037" t="str">
            <v>Fears</v>
          </cell>
        </row>
        <row r="5038">
          <cell r="I5038" t="str">
            <v>Deutsch</v>
          </cell>
        </row>
        <row r="5039">
          <cell r="I5039" t="str">
            <v>Cepeda</v>
          </cell>
        </row>
        <row r="5040">
          <cell r="I5040" t="str">
            <v>Carty</v>
          </cell>
        </row>
        <row r="5041">
          <cell r="I5041" t="str">
            <v>Caputo</v>
          </cell>
        </row>
        <row r="5042">
          <cell r="I5042" t="str">
            <v>Brewington</v>
          </cell>
        </row>
        <row r="5043">
          <cell r="I5043" t="str">
            <v>Bedell</v>
          </cell>
        </row>
        <row r="5044">
          <cell r="I5044" t="str">
            <v>Ballew</v>
          </cell>
        </row>
        <row r="5045">
          <cell r="I5045" t="str">
            <v>Applewhite</v>
          </cell>
        </row>
        <row r="5046">
          <cell r="I5046" t="str">
            <v>Warnock</v>
          </cell>
        </row>
        <row r="5047">
          <cell r="I5047" t="str">
            <v>Walz</v>
          </cell>
        </row>
        <row r="5048">
          <cell r="I5048" t="str">
            <v>Urena</v>
          </cell>
        </row>
        <row r="5049">
          <cell r="I5049" t="str">
            <v>Tudor</v>
          </cell>
        </row>
        <row r="5050">
          <cell r="I5050" t="str">
            <v>Reel</v>
          </cell>
        </row>
        <row r="5051">
          <cell r="I5051" t="str">
            <v>Pigg</v>
          </cell>
        </row>
        <row r="5052">
          <cell r="I5052" t="str">
            <v>Parton</v>
          </cell>
        </row>
        <row r="5053">
          <cell r="I5053" t="str">
            <v>Mickelson</v>
          </cell>
        </row>
        <row r="5054">
          <cell r="I5054" t="str">
            <v>Meagher</v>
          </cell>
        </row>
        <row r="5055">
          <cell r="I5055" t="str">
            <v>Mclellan</v>
          </cell>
        </row>
        <row r="5056">
          <cell r="I5056" t="str">
            <v>Mcculley</v>
          </cell>
        </row>
        <row r="5057">
          <cell r="I5057" t="str">
            <v>Mandel</v>
          </cell>
        </row>
        <row r="5058">
          <cell r="I5058" t="str">
            <v>Leech</v>
          </cell>
        </row>
        <row r="5059">
          <cell r="I5059" t="str">
            <v>Lavallee</v>
          </cell>
        </row>
        <row r="5060">
          <cell r="I5060" t="str">
            <v>Kraemer</v>
          </cell>
        </row>
        <row r="5061">
          <cell r="I5061" t="str">
            <v>Kling</v>
          </cell>
        </row>
        <row r="5062">
          <cell r="I5062" t="str">
            <v>Kipp</v>
          </cell>
        </row>
        <row r="5063">
          <cell r="I5063" t="str">
            <v>Kingston</v>
          </cell>
        </row>
        <row r="5064">
          <cell r="I5064" t="str">
            <v>Kehoe</v>
          </cell>
        </row>
        <row r="5065">
          <cell r="I5065" t="str">
            <v>Hochstetler</v>
          </cell>
        </row>
        <row r="5066">
          <cell r="I5066" t="str">
            <v>Harriman</v>
          </cell>
        </row>
        <row r="5067">
          <cell r="I5067" t="str">
            <v>Gregoire</v>
          </cell>
        </row>
        <row r="5068">
          <cell r="I5068" t="str">
            <v>Grabowski</v>
          </cell>
        </row>
        <row r="5069">
          <cell r="I5069" t="str">
            <v>Gosselin</v>
          </cell>
        </row>
        <row r="5070">
          <cell r="I5070" t="str">
            <v>Gammon</v>
          </cell>
        </row>
        <row r="5071">
          <cell r="I5071" t="str">
            <v>Fancher</v>
          </cell>
        </row>
        <row r="5072">
          <cell r="I5072" t="str">
            <v>Edens</v>
          </cell>
        </row>
        <row r="5073">
          <cell r="I5073" t="str">
            <v>Desai</v>
          </cell>
        </row>
        <row r="5074">
          <cell r="I5074" t="str">
            <v>Butt</v>
          </cell>
        </row>
        <row r="5075">
          <cell r="I5075" t="str">
            <v>Brannan</v>
          </cell>
        </row>
        <row r="5076">
          <cell r="I5076" t="str">
            <v>Armendariz</v>
          </cell>
        </row>
        <row r="5077">
          <cell r="I5077" t="str">
            <v>Woolsey</v>
          </cell>
        </row>
        <row r="5078">
          <cell r="I5078" t="str">
            <v>Whitehouse</v>
          </cell>
        </row>
        <row r="5079">
          <cell r="I5079" t="str">
            <v>Whetstone</v>
          </cell>
        </row>
        <row r="5080">
          <cell r="I5080" t="str">
            <v>Ussery</v>
          </cell>
        </row>
        <row r="5081">
          <cell r="I5081" t="str">
            <v>Towne</v>
          </cell>
        </row>
        <row r="5082">
          <cell r="I5082" t="str">
            <v>Tower</v>
          </cell>
        </row>
        <row r="5083">
          <cell r="I5083" t="str">
            <v>Testa</v>
          </cell>
        </row>
        <row r="5084">
          <cell r="I5084" t="str">
            <v>Tallman</v>
          </cell>
        </row>
        <row r="5085">
          <cell r="I5085" t="str">
            <v>Studer</v>
          </cell>
        </row>
        <row r="5086">
          <cell r="I5086" t="str">
            <v>Strait</v>
          </cell>
        </row>
        <row r="5087">
          <cell r="I5087" t="str">
            <v>Steinmetz</v>
          </cell>
        </row>
        <row r="5088">
          <cell r="I5088" t="str">
            <v>Sorrells</v>
          </cell>
        </row>
        <row r="5089">
          <cell r="I5089" t="str">
            <v>Sauceda</v>
          </cell>
        </row>
        <row r="5090">
          <cell r="I5090" t="str">
            <v>Rolfe</v>
          </cell>
        </row>
        <row r="5091">
          <cell r="I5091" t="str">
            <v>Rae</v>
          </cell>
        </row>
        <row r="5092">
          <cell r="I5092" t="str">
            <v>Paddock</v>
          </cell>
        </row>
        <row r="5093">
          <cell r="I5093" t="str">
            <v>Mitchem</v>
          </cell>
        </row>
        <row r="5094">
          <cell r="I5094" t="str">
            <v>Mcginn</v>
          </cell>
        </row>
        <row r="5095">
          <cell r="I5095" t="str">
            <v>Mccrea</v>
          </cell>
        </row>
        <row r="5096">
          <cell r="I5096" t="str">
            <v>Luck</v>
          </cell>
        </row>
        <row r="5097">
          <cell r="I5097" t="str">
            <v>Lovato</v>
          </cell>
        </row>
        <row r="5098">
          <cell r="I5098" t="str">
            <v>Ling</v>
          </cell>
        </row>
        <row r="5099">
          <cell r="I5099" t="str">
            <v>Hazen</v>
          </cell>
        </row>
        <row r="5100">
          <cell r="I5100" t="str">
            <v>Gilpin</v>
          </cell>
        </row>
        <row r="5101">
          <cell r="I5101" t="str">
            <v>Gaynor</v>
          </cell>
        </row>
        <row r="5102">
          <cell r="I5102" t="str">
            <v>Fike</v>
          </cell>
        </row>
        <row r="5103">
          <cell r="I5103" t="str">
            <v>Devoe</v>
          </cell>
        </row>
        <row r="5104">
          <cell r="I5104" t="str">
            <v>Delrio</v>
          </cell>
        </row>
        <row r="5105">
          <cell r="I5105" t="str">
            <v>Curiel</v>
          </cell>
        </row>
        <row r="5106">
          <cell r="I5106" t="str">
            <v>Burkhardt</v>
          </cell>
        </row>
        <row r="5107">
          <cell r="I5107" t="str">
            <v>Bristol</v>
          </cell>
        </row>
        <row r="5108">
          <cell r="I5108" t="str">
            <v>Bode</v>
          </cell>
        </row>
        <row r="5109">
          <cell r="I5109" t="str">
            <v>Backus</v>
          </cell>
        </row>
        <row r="5110">
          <cell r="I5110" t="str">
            <v>Alton</v>
          </cell>
        </row>
        <row r="5111">
          <cell r="I5111" t="str">
            <v>Zinn</v>
          </cell>
        </row>
        <row r="5112">
          <cell r="I5112" t="str">
            <v>Watanabe</v>
          </cell>
        </row>
        <row r="5113">
          <cell r="I5113" t="str">
            <v>Wachter</v>
          </cell>
        </row>
        <row r="5114">
          <cell r="I5114" t="str">
            <v>Vanpelt</v>
          </cell>
        </row>
        <row r="5115">
          <cell r="I5115" t="str">
            <v>Turnage</v>
          </cell>
        </row>
        <row r="5116">
          <cell r="I5116" t="str">
            <v>Shaner</v>
          </cell>
        </row>
        <row r="5117">
          <cell r="I5117" t="str">
            <v>Schroder</v>
          </cell>
        </row>
        <row r="5118">
          <cell r="I5118" t="str">
            <v>Sato</v>
          </cell>
        </row>
        <row r="5119">
          <cell r="I5119" t="str">
            <v>Riordan</v>
          </cell>
        </row>
        <row r="5120">
          <cell r="I5120" t="str">
            <v>Quimby</v>
          </cell>
        </row>
        <row r="5121">
          <cell r="I5121" t="str">
            <v>Portis</v>
          </cell>
        </row>
        <row r="5122">
          <cell r="I5122" t="str">
            <v>Natale</v>
          </cell>
        </row>
        <row r="5123">
          <cell r="I5123" t="str">
            <v>Mckoy</v>
          </cell>
        </row>
        <row r="5124">
          <cell r="I5124" t="str">
            <v>Mccown</v>
          </cell>
        </row>
        <row r="5125">
          <cell r="I5125" t="str">
            <v>Marker</v>
          </cell>
        </row>
        <row r="5126">
          <cell r="I5126" t="str">
            <v>Lucio</v>
          </cell>
        </row>
        <row r="5127">
          <cell r="I5127" t="str">
            <v>Kilmer</v>
          </cell>
        </row>
        <row r="5128">
          <cell r="I5128" t="str">
            <v>Karl</v>
          </cell>
        </row>
        <row r="5129">
          <cell r="I5129" t="str">
            <v>Hotchkiss</v>
          </cell>
        </row>
        <row r="5130">
          <cell r="I5130" t="str">
            <v>Hesse</v>
          </cell>
        </row>
        <row r="5131">
          <cell r="I5131" t="str">
            <v>Halbert</v>
          </cell>
        </row>
        <row r="5132">
          <cell r="I5132" t="str">
            <v>Gwinn</v>
          </cell>
        </row>
        <row r="5133">
          <cell r="I5133" t="str">
            <v>Godsey</v>
          </cell>
        </row>
        <row r="5134">
          <cell r="I5134" t="str">
            <v>Desmond</v>
          </cell>
        </row>
        <row r="5135">
          <cell r="I5135" t="str">
            <v>Delisle</v>
          </cell>
        </row>
        <row r="5136">
          <cell r="I5136" t="str">
            <v>Chrisman</v>
          </cell>
        </row>
        <row r="5137">
          <cell r="I5137" t="str">
            <v>Canter</v>
          </cell>
        </row>
        <row r="5138">
          <cell r="I5138" t="str">
            <v>Brook</v>
          </cell>
        </row>
        <row r="5139">
          <cell r="I5139" t="str">
            <v>Arbogast</v>
          </cell>
        </row>
        <row r="5140">
          <cell r="I5140" t="str">
            <v>Angell</v>
          </cell>
        </row>
        <row r="5141">
          <cell r="I5141" t="str">
            <v>Acree</v>
          </cell>
        </row>
        <row r="5142">
          <cell r="I5142" t="str">
            <v>Yancy</v>
          </cell>
        </row>
        <row r="5143">
          <cell r="I5143" t="str">
            <v>Woolley</v>
          </cell>
        </row>
        <row r="5144">
          <cell r="I5144" t="str">
            <v>Wesson</v>
          </cell>
        </row>
        <row r="5145">
          <cell r="I5145" t="str">
            <v>Weatherspoon</v>
          </cell>
        </row>
        <row r="5146">
          <cell r="I5146" t="str">
            <v>Trainor</v>
          </cell>
        </row>
        <row r="5147">
          <cell r="I5147" t="str">
            <v>Stockman</v>
          </cell>
        </row>
        <row r="5148">
          <cell r="I5148" t="str">
            <v>Spiller</v>
          </cell>
        </row>
        <row r="5149">
          <cell r="I5149" t="str">
            <v>Sipe</v>
          </cell>
        </row>
        <row r="5150">
          <cell r="I5150" t="str">
            <v>Rooks</v>
          </cell>
        </row>
        <row r="5151">
          <cell r="I5151" t="str">
            <v>Reavis</v>
          </cell>
        </row>
        <row r="5152">
          <cell r="I5152" t="str">
            <v>Propst</v>
          </cell>
        </row>
        <row r="5153">
          <cell r="I5153" t="str">
            <v>Porras</v>
          </cell>
        </row>
        <row r="5154">
          <cell r="I5154" t="str">
            <v>Neilson</v>
          </cell>
        </row>
        <row r="5155">
          <cell r="I5155" t="str">
            <v>Mullens</v>
          </cell>
        </row>
        <row r="5156">
          <cell r="I5156" t="str">
            <v>Loucks</v>
          </cell>
        </row>
        <row r="5157">
          <cell r="I5157" t="str">
            <v>Llewellyn</v>
          </cell>
        </row>
        <row r="5158">
          <cell r="I5158" t="str">
            <v>Lamont</v>
          </cell>
        </row>
        <row r="5159">
          <cell r="I5159" t="str">
            <v>Kumar</v>
          </cell>
        </row>
        <row r="5160">
          <cell r="I5160" t="str">
            <v>Koester</v>
          </cell>
        </row>
        <row r="5161">
          <cell r="I5161" t="str">
            <v>Klingensmith</v>
          </cell>
        </row>
        <row r="5162">
          <cell r="I5162" t="str">
            <v>Kirsch</v>
          </cell>
        </row>
        <row r="5163">
          <cell r="I5163" t="str">
            <v>Kester</v>
          </cell>
        </row>
        <row r="5164">
          <cell r="I5164" t="str">
            <v>Honaker</v>
          </cell>
        </row>
        <row r="5165">
          <cell r="I5165" t="str">
            <v>Hodson</v>
          </cell>
        </row>
        <row r="5166">
          <cell r="I5166" t="str">
            <v>Hennessy</v>
          </cell>
        </row>
        <row r="5167">
          <cell r="I5167" t="str">
            <v>Helmick</v>
          </cell>
        </row>
        <row r="5168">
          <cell r="I5168" t="str">
            <v>Garrity</v>
          </cell>
        </row>
        <row r="5169">
          <cell r="I5169" t="str">
            <v>Garibay</v>
          </cell>
        </row>
        <row r="5170">
          <cell r="I5170" t="str">
            <v>Fee</v>
          </cell>
        </row>
        <row r="5171">
          <cell r="I5171" t="str">
            <v>Drain</v>
          </cell>
        </row>
        <row r="5172">
          <cell r="I5172" t="str">
            <v>Casarez</v>
          </cell>
        </row>
        <row r="5173">
          <cell r="I5173" t="str">
            <v>Callis</v>
          </cell>
        </row>
        <row r="5174">
          <cell r="I5174" t="str">
            <v>Botello</v>
          </cell>
        </row>
        <row r="5175">
          <cell r="I5175" t="str">
            <v>Bay</v>
          </cell>
        </row>
        <row r="5176">
          <cell r="I5176" t="str">
            <v>Aycock</v>
          </cell>
        </row>
        <row r="5177">
          <cell r="I5177" t="str">
            <v>Avant</v>
          </cell>
        </row>
        <row r="5178">
          <cell r="I5178" t="str">
            <v>Angle</v>
          </cell>
        </row>
        <row r="5179">
          <cell r="I5179" t="str">
            <v>Wingard</v>
          </cell>
        </row>
        <row r="5180">
          <cell r="I5180" t="str">
            <v>Wayman</v>
          </cell>
        </row>
        <row r="5181">
          <cell r="I5181" t="str">
            <v>Tully</v>
          </cell>
        </row>
        <row r="5182">
          <cell r="I5182" t="str">
            <v>Theisen</v>
          </cell>
        </row>
        <row r="5183">
          <cell r="I5183" t="str">
            <v>Szymanski</v>
          </cell>
        </row>
        <row r="5184">
          <cell r="I5184" t="str">
            <v>Stansbury</v>
          </cell>
        </row>
        <row r="5185">
          <cell r="I5185" t="str">
            <v>Segovia</v>
          </cell>
        </row>
        <row r="5186">
          <cell r="I5186" t="str">
            <v>Rudy</v>
          </cell>
        </row>
        <row r="5187">
          <cell r="I5187" t="str">
            <v>Rainwater</v>
          </cell>
        </row>
        <row r="5188">
          <cell r="I5188" t="str">
            <v>Preece</v>
          </cell>
        </row>
        <row r="5189">
          <cell r="I5189" t="str">
            <v>Pirtle</v>
          </cell>
        </row>
        <row r="5190">
          <cell r="I5190" t="str">
            <v>Padron</v>
          </cell>
        </row>
        <row r="5191">
          <cell r="I5191" t="str">
            <v>Mincey</v>
          </cell>
        </row>
        <row r="5192">
          <cell r="I5192" t="str">
            <v>Mckelvey</v>
          </cell>
        </row>
        <row r="5193">
          <cell r="I5193" t="str">
            <v>Mathes</v>
          </cell>
        </row>
        <row r="5194">
          <cell r="I5194" t="str">
            <v>Marty</v>
          </cell>
        </row>
        <row r="5195">
          <cell r="I5195" t="str">
            <v>Larrabee</v>
          </cell>
        </row>
        <row r="5196">
          <cell r="I5196" t="str">
            <v>Kornegay</v>
          </cell>
        </row>
        <row r="5197">
          <cell r="I5197" t="str">
            <v>Klug</v>
          </cell>
        </row>
        <row r="5198">
          <cell r="I5198" t="str">
            <v>Judy</v>
          </cell>
        </row>
        <row r="5199">
          <cell r="I5199" t="str">
            <v>Ingersoll</v>
          </cell>
        </row>
        <row r="5200">
          <cell r="I5200" t="str">
            <v>Hecht</v>
          </cell>
        </row>
        <row r="5201">
          <cell r="I5201" t="str">
            <v>Germain</v>
          </cell>
        </row>
        <row r="5202">
          <cell r="I5202" t="str">
            <v>Eggers</v>
          </cell>
        </row>
        <row r="5203">
          <cell r="I5203" t="str">
            <v>Dykstra</v>
          </cell>
        </row>
        <row r="5204">
          <cell r="I5204" t="str">
            <v>Denis</v>
          </cell>
        </row>
        <row r="5205">
          <cell r="I5205" t="str">
            <v>Deering</v>
          </cell>
        </row>
        <row r="5206">
          <cell r="I5206" t="str">
            <v>Decoteau</v>
          </cell>
        </row>
        <row r="5207">
          <cell r="I5207" t="str">
            <v>Deason</v>
          </cell>
        </row>
        <row r="5208">
          <cell r="I5208" t="str">
            <v>Dearing</v>
          </cell>
        </row>
        <row r="5209">
          <cell r="I5209" t="str">
            <v>Cofield</v>
          </cell>
        </row>
        <row r="5210">
          <cell r="I5210" t="str">
            <v>Carrigan</v>
          </cell>
        </row>
        <row r="5211">
          <cell r="I5211" t="str">
            <v>Brush</v>
          </cell>
        </row>
        <row r="5212">
          <cell r="I5212" t="str">
            <v>Bonham</v>
          </cell>
        </row>
        <row r="5213">
          <cell r="I5213" t="str">
            <v>Bahr</v>
          </cell>
        </row>
        <row r="5214">
          <cell r="I5214" t="str">
            <v>Aucoin</v>
          </cell>
        </row>
        <row r="5215">
          <cell r="I5215" t="str">
            <v>Appleby</v>
          </cell>
        </row>
        <row r="5216">
          <cell r="I5216" t="str">
            <v>Almonte</v>
          </cell>
        </row>
        <row r="5217">
          <cell r="I5217" t="str">
            <v>Yager</v>
          </cell>
        </row>
        <row r="5218">
          <cell r="I5218" t="str">
            <v>Womble</v>
          </cell>
        </row>
        <row r="5219">
          <cell r="I5219" t="str">
            <v>Wimmer</v>
          </cell>
        </row>
        <row r="5220">
          <cell r="I5220" t="str">
            <v>Weimer</v>
          </cell>
        </row>
        <row r="5221">
          <cell r="I5221" t="str">
            <v>Vanderpool</v>
          </cell>
        </row>
        <row r="5222">
          <cell r="I5222" t="str">
            <v>Stancil</v>
          </cell>
        </row>
        <row r="5223">
          <cell r="I5223" t="str">
            <v>Sprinkle</v>
          </cell>
        </row>
        <row r="5224">
          <cell r="I5224" t="str">
            <v>Romine</v>
          </cell>
        </row>
        <row r="5225">
          <cell r="I5225" t="str">
            <v>Remington</v>
          </cell>
        </row>
        <row r="5226">
          <cell r="I5226" t="str">
            <v>Pfaff</v>
          </cell>
        </row>
        <row r="5227">
          <cell r="I5227" t="str">
            <v>Peckham</v>
          </cell>
        </row>
        <row r="5228">
          <cell r="I5228" t="str">
            <v>Olivera</v>
          </cell>
        </row>
        <row r="5229">
          <cell r="I5229" t="str">
            <v>Meraz</v>
          </cell>
        </row>
        <row r="5230">
          <cell r="I5230" t="str">
            <v>Maze</v>
          </cell>
        </row>
        <row r="5231">
          <cell r="I5231" t="str">
            <v>Lathrop</v>
          </cell>
        </row>
        <row r="5232">
          <cell r="I5232" t="str">
            <v>Koehn</v>
          </cell>
        </row>
        <row r="5233">
          <cell r="I5233" t="str">
            <v>Jonas</v>
          </cell>
        </row>
        <row r="5234">
          <cell r="I5234" t="str">
            <v>Hazelton</v>
          </cell>
        </row>
        <row r="5235">
          <cell r="I5235" t="str">
            <v>Halvorson</v>
          </cell>
        </row>
        <row r="5236">
          <cell r="I5236" t="str">
            <v>Hallock</v>
          </cell>
        </row>
        <row r="5237">
          <cell r="I5237" t="str">
            <v>Haddock</v>
          </cell>
        </row>
        <row r="5238">
          <cell r="I5238" t="str">
            <v>Ducharme</v>
          </cell>
        </row>
        <row r="5239">
          <cell r="I5239" t="str">
            <v>Dehaven</v>
          </cell>
        </row>
        <row r="5240">
          <cell r="I5240" t="str">
            <v>Colton</v>
          </cell>
        </row>
        <row r="5241">
          <cell r="I5241" t="str">
            <v>Caruthers</v>
          </cell>
        </row>
        <row r="5242">
          <cell r="I5242" t="str">
            <v>Brehm</v>
          </cell>
        </row>
        <row r="5243">
          <cell r="I5243" t="str">
            <v>Bosworth</v>
          </cell>
        </row>
        <row r="5244">
          <cell r="I5244" t="str">
            <v>Bost</v>
          </cell>
        </row>
        <row r="5245">
          <cell r="I5245" t="str">
            <v>Blow</v>
          </cell>
        </row>
        <row r="5246">
          <cell r="I5246" t="str">
            <v>Bias</v>
          </cell>
        </row>
        <row r="5247">
          <cell r="I5247" t="str">
            <v>Beeman</v>
          </cell>
        </row>
        <row r="5248">
          <cell r="I5248" t="str">
            <v>Basile</v>
          </cell>
        </row>
        <row r="5249">
          <cell r="I5249" t="str">
            <v>Bane</v>
          </cell>
        </row>
        <row r="5250">
          <cell r="I5250" t="str">
            <v>Aikens</v>
          </cell>
        </row>
        <row r="5251">
          <cell r="I5251" t="str">
            <v>Zachary</v>
          </cell>
        </row>
        <row r="5252">
          <cell r="I5252" t="str">
            <v>Wold</v>
          </cell>
        </row>
        <row r="5253">
          <cell r="I5253" t="str">
            <v>Walther</v>
          </cell>
        </row>
        <row r="5254">
          <cell r="I5254" t="str">
            <v>Tabb</v>
          </cell>
        </row>
        <row r="5255">
          <cell r="I5255" t="str">
            <v>Suber</v>
          </cell>
        </row>
        <row r="5256">
          <cell r="I5256" t="str">
            <v>Strawn</v>
          </cell>
        </row>
        <row r="5257">
          <cell r="I5257" t="str">
            <v>Stocks</v>
          </cell>
        </row>
        <row r="5258">
          <cell r="I5258" t="str">
            <v>Stocker</v>
          </cell>
        </row>
        <row r="5259">
          <cell r="I5259" t="str">
            <v>Shirey</v>
          </cell>
        </row>
        <row r="5260">
          <cell r="I5260" t="str">
            <v>Schlosser</v>
          </cell>
        </row>
        <row r="5261">
          <cell r="I5261" t="str">
            <v>Salvador</v>
          </cell>
        </row>
        <row r="5262">
          <cell r="I5262" t="str">
            <v>Riedel</v>
          </cell>
        </row>
        <row r="5263">
          <cell r="I5263" t="str">
            <v>Rembert</v>
          </cell>
        </row>
        <row r="5264">
          <cell r="I5264" t="str">
            <v>Reimer</v>
          </cell>
        </row>
        <row r="5265">
          <cell r="I5265" t="str">
            <v>Pyles</v>
          </cell>
        </row>
        <row r="5266">
          <cell r="I5266" t="str">
            <v>Pickle</v>
          </cell>
        </row>
        <row r="5267">
          <cell r="I5267" t="str">
            <v>Peele</v>
          </cell>
        </row>
        <row r="5268">
          <cell r="I5268" t="str">
            <v>Merriweather</v>
          </cell>
        </row>
        <row r="5269">
          <cell r="I5269" t="str">
            <v>Letourneau</v>
          </cell>
        </row>
        <row r="5270">
          <cell r="I5270" t="str">
            <v>Latta</v>
          </cell>
        </row>
        <row r="5271">
          <cell r="I5271" t="str">
            <v>Kidder</v>
          </cell>
        </row>
        <row r="5272">
          <cell r="I5272" t="str">
            <v>Hixon</v>
          </cell>
        </row>
        <row r="5273">
          <cell r="I5273" t="str">
            <v>Hillis</v>
          </cell>
        </row>
        <row r="5274">
          <cell r="I5274" t="str">
            <v>Hight</v>
          </cell>
        </row>
        <row r="5275">
          <cell r="I5275" t="str">
            <v>Herbst</v>
          </cell>
        </row>
        <row r="5276">
          <cell r="I5276" t="str">
            <v>Henriquez</v>
          </cell>
        </row>
        <row r="5277">
          <cell r="I5277" t="str">
            <v>Haygood</v>
          </cell>
        </row>
        <row r="5278">
          <cell r="I5278" t="str">
            <v>Hamill</v>
          </cell>
        </row>
        <row r="5279">
          <cell r="I5279" t="str">
            <v>Gabel</v>
          </cell>
        </row>
        <row r="5280">
          <cell r="I5280" t="str">
            <v>Fritts</v>
          </cell>
        </row>
        <row r="5281">
          <cell r="I5281" t="str">
            <v>Eubank</v>
          </cell>
        </row>
        <row r="5282">
          <cell r="I5282" t="str">
            <v>Duty</v>
          </cell>
        </row>
        <row r="5283">
          <cell r="I5283" t="str">
            <v>Dawes</v>
          </cell>
        </row>
        <row r="5284">
          <cell r="I5284" t="str">
            <v>Correll</v>
          </cell>
        </row>
        <row r="5285">
          <cell r="I5285" t="str">
            <v>Coffee</v>
          </cell>
        </row>
        <row r="5286">
          <cell r="I5286" t="str">
            <v>Cha</v>
          </cell>
        </row>
        <row r="5287">
          <cell r="I5287" t="str">
            <v>Bushey</v>
          </cell>
        </row>
        <row r="5288">
          <cell r="I5288" t="str">
            <v>Buchholz</v>
          </cell>
        </row>
        <row r="5289">
          <cell r="I5289" t="str">
            <v>Brotherton</v>
          </cell>
        </row>
        <row r="5290">
          <cell r="I5290" t="str">
            <v>Bridge</v>
          </cell>
        </row>
        <row r="5291">
          <cell r="I5291" t="str">
            <v>Botts</v>
          </cell>
        </row>
        <row r="5292">
          <cell r="I5292" t="str">
            <v>Barnwell</v>
          </cell>
        </row>
        <row r="5293">
          <cell r="I5293" t="str">
            <v>Auger</v>
          </cell>
        </row>
        <row r="5294">
          <cell r="I5294" t="str">
            <v>Atchley</v>
          </cell>
        </row>
        <row r="5295">
          <cell r="I5295" t="str">
            <v>Westphal</v>
          </cell>
        </row>
        <row r="5296">
          <cell r="I5296" t="str">
            <v>Veilleux</v>
          </cell>
        </row>
        <row r="5297">
          <cell r="I5297" t="str">
            <v>Ulloa</v>
          </cell>
        </row>
        <row r="5298">
          <cell r="I5298" t="str">
            <v>Truman</v>
          </cell>
        </row>
        <row r="5299">
          <cell r="I5299" t="str">
            <v>Stutzman</v>
          </cell>
        </row>
        <row r="5300">
          <cell r="I5300" t="str">
            <v>Shriver</v>
          </cell>
        </row>
        <row r="5301">
          <cell r="I5301" t="str">
            <v>Ryals</v>
          </cell>
        </row>
        <row r="5302">
          <cell r="I5302" t="str">
            <v>Prior</v>
          </cell>
        </row>
        <row r="5303">
          <cell r="I5303" t="str">
            <v>Pilkington</v>
          </cell>
        </row>
        <row r="5304">
          <cell r="I5304" t="str">
            <v>Newport</v>
          </cell>
        </row>
        <row r="5305">
          <cell r="I5305" t="str">
            <v>Moyers</v>
          </cell>
        </row>
        <row r="5306">
          <cell r="I5306" t="str">
            <v>Miracle</v>
          </cell>
        </row>
        <row r="5307">
          <cell r="I5307" t="str">
            <v>Marrs</v>
          </cell>
        </row>
        <row r="5308">
          <cell r="I5308" t="str">
            <v>Mangrum</v>
          </cell>
        </row>
        <row r="5309">
          <cell r="I5309" t="str">
            <v>Maddux</v>
          </cell>
        </row>
        <row r="5310">
          <cell r="I5310" t="str">
            <v>Lockard</v>
          </cell>
        </row>
        <row r="5311">
          <cell r="I5311" t="str">
            <v>Laing</v>
          </cell>
        </row>
        <row r="5312">
          <cell r="I5312" t="str">
            <v>Kuhl</v>
          </cell>
        </row>
        <row r="5313">
          <cell r="I5313" t="str">
            <v>Harney</v>
          </cell>
        </row>
        <row r="5314">
          <cell r="I5314" t="str">
            <v>Hammock</v>
          </cell>
        </row>
        <row r="5315">
          <cell r="I5315" t="str">
            <v>Hamlett</v>
          </cell>
        </row>
        <row r="5316">
          <cell r="I5316" t="str">
            <v>Felker</v>
          </cell>
        </row>
        <row r="5317">
          <cell r="I5317" t="str">
            <v>Doerr</v>
          </cell>
        </row>
        <row r="5318">
          <cell r="I5318" t="str">
            <v>Depriest</v>
          </cell>
        </row>
        <row r="5319">
          <cell r="I5319" t="str">
            <v>Carrasquillo</v>
          </cell>
        </row>
        <row r="5320">
          <cell r="I5320" t="str">
            <v>Carothers</v>
          </cell>
        </row>
        <row r="5321">
          <cell r="I5321" t="str">
            <v>Bogle</v>
          </cell>
        </row>
        <row r="5322">
          <cell r="I5322" t="str">
            <v>Blood</v>
          </cell>
        </row>
        <row r="5323">
          <cell r="I5323" t="str">
            <v>Bischoff</v>
          </cell>
        </row>
        <row r="5324">
          <cell r="I5324" t="str">
            <v>Bergen</v>
          </cell>
        </row>
        <row r="5325">
          <cell r="I5325" t="str">
            <v>Albanese</v>
          </cell>
        </row>
        <row r="5326">
          <cell r="I5326" t="str">
            <v>Wyckoff</v>
          </cell>
        </row>
        <row r="5327">
          <cell r="I5327" t="str">
            <v>Vermillion</v>
          </cell>
        </row>
        <row r="5328">
          <cell r="I5328" t="str">
            <v>Vansickle</v>
          </cell>
        </row>
        <row r="5329">
          <cell r="I5329" t="str">
            <v>Thibault</v>
          </cell>
        </row>
        <row r="5330">
          <cell r="I5330" t="str">
            <v>Tetreault</v>
          </cell>
        </row>
        <row r="5331">
          <cell r="I5331" t="str">
            <v>Stickney</v>
          </cell>
        </row>
        <row r="5332">
          <cell r="I5332" t="str">
            <v>Shoemake</v>
          </cell>
        </row>
        <row r="5333">
          <cell r="I5333" t="str">
            <v>Ruggiero</v>
          </cell>
        </row>
        <row r="5334">
          <cell r="I5334" t="str">
            <v>Rawson</v>
          </cell>
        </row>
        <row r="5335">
          <cell r="I5335" t="str">
            <v>Racine</v>
          </cell>
        </row>
        <row r="5336">
          <cell r="I5336" t="str">
            <v>Philpot</v>
          </cell>
        </row>
        <row r="5337">
          <cell r="I5337" t="str">
            <v>Paschal</v>
          </cell>
        </row>
        <row r="5338">
          <cell r="I5338" t="str">
            <v>Mcelhaney</v>
          </cell>
        </row>
        <row r="5339">
          <cell r="I5339" t="str">
            <v>Mathison</v>
          </cell>
        </row>
        <row r="5340">
          <cell r="I5340" t="str">
            <v>Legrand</v>
          </cell>
        </row>
        <row r="5341">
          <cell r="I5341" t="str">
            <v>Lapierre</v>
          </cell>
        </row>
        <row r="5342">
          <cell r="I5342" t="str">
            <v>Kwan</v>
          </cell>
        </row>
        <row r="5343">
          <cell r="I5343" t="str">
            <v>Kremer</v>
          </cell>
        </row>
        <row r="5344">
          <cell r="I5344" t="str">
            <v>Jiles</v>
          </cell>
        </row>
        <row r="5345">
          <cell r="I5345" t="str">
            <v>Hilbert</v>
          </cell>
        </row>
        <row r="5346">
          <cell r="I5346" t="str">
            <v>Geyer</v>
          </cell>
        </row>
        <row r="5347">
          <cell r="I5347" t="str">
            <v>Faircloth</v>
          </cell>
        </row>
        <row r="5348">
          <cell r="I5348" t="str">
            <v>Ehlers</v>
          </cell>
        </row>
        <row r="5349">
          <cell r="I5349" t="str">
            <v>Egbert</v>
          </cell>
        </row>
        <row r="5350">
          <cell r="I5350" t="str">
            <v>Desrosiers</v>
          </cell>
        </row>
        <row r="5351">
          <cell r="I5351" t="str">
            <v>Dalrymple</v>
          </cell>
        </row>
        <row r="5352">
          <cell r="I5352" t="str">
            <v>Cotten</v>
          </cell>
        </row>
        <row r="5353">
          <cell r="I5353" t="str">
            <v>Cashman</v>
          </cell>
        </row>
        <row r="5354">
          <cell r="I5354" t="str">
            <v>Cadena</v>
          </cell>
        </row>
        <row r="5355">
          <cell r="I5355" t="str">
            <v>Breeding</v>
          </cell>
        </row>
        <row r="5356">
          <cell r="I5356" t="str">
            <v>Boardman</v>
          </cell>
        </row>
        <row r="5357">
          <cell r="I5357" t="str">
            <v>Alcaraz</v>
          </cell>
        </row>
        <row r="5358">
          <cell r="I5358" t="str">
            <v>Ahn</v>
          </cell>
        </row>
        <row r="5359">
          <cell r="I5359" t="str">
            <v>Wyrick</v>
          </cell>
        </row>
        <row r="5360">
          <cell r="I5360" t="str">
            <v>Therrien</v>
          </cell>
        </row>
        <row r="5361">
          <cell r="I5361" t="str">
            <v>Tankersley</v>
          </cell>
        </row>
        <row r="5362">
          <cell r="I5362" t="str">
            <v>Strickler</v>
          </cell>
        </row>
        <row r="5363">
          <cell r="I5363" t="str">
            <v>Puryear</v>
          </cell>
        </row>
        <row r="5364">
          <cell r="I5364" t="str">
            <v>Plourde</v>
          </cell>
        </row>
        <row r="5365">
          <cell r="I5365" t="str">
            <v>Pattison</v>
          </cell>
        </row>
        <row r="5366">
          <cell r="I5366" t="str">
            <v>Pardue</v>
          </cell>
        </row>
        <row r="5367">
          <cell r="I5367" t="str">
            <v>Milan</v>
          </cell>
        </row>
        <row r="5368">
          <cell r="I5368" t="str">
            <v>Mcginty</v>
          </cell>
        </row>
        <row r="5369">
          <cell r="I5369" t="str">
            <v>Mcevoy</v>
          </cell>
        </row>
        <row r="5370">
          <cell r="I5370" t="str">
            <v>Landreth</v>
          </cell>
        </row>
        <row r="5371">
          <cell r="I5371" t="str">
            <v>Kuhns</v>
          </cell>
        </row>
        <row r="5372">
          <cell r="I5372" t="str">
            <v>Koon</v>
          </cell>
        </row>
        <row r="5373">
          <cell r="I5373" t="str">
            <v>Hewett</v>
          </cell>
        </row>
        <row r="5374">
          <cell r="I5374" t="str">
            <v>Giddens</v>
          </cell>
        </row>
        <row r="5375">
          <cell r="I5375" t="str">
            <v>Everette</v>
          </cell>
        </row>
        <row r="5376">
          <cell r="I5376" t="str">
            <v>Emerick</v>
          </cell>
        </row>
        <row r="5377">
          <cell r="I5377" t="str">
            <v>Eades</v>
          </cell>
        </row>
        <row r="5378">
          <cell r="I5378" t="str">
            <v>Deangelis</v>
          </cell>
        </row>
        <row r="5379">
          <cell r="I5379" t="str">
            <v>Cosme</v>
          </cell>
        </row>
        <row r="5380">
          <cell r="I5380" t="str">
            <v>Ceballos</v>
          </cell>
        </row>
        <row r="5381">
          <cell r="I5381" t="str">
            <v>Birdsong</v>
          </cell>
        </row>
        <row r="5382">
          <cell r="I5382" t="str">
            <v>Benham</v>
          </cell>
        </row>
        <row r="5383">
          <cell r="I5383" t="str">
            <v>Bemis</v>
          </cell>
        </row>
        <row r="5384">
          <cell r="I5384" t="str">
            <v>Armour</v>
          </cell>
        </row>
        <row r="5385">
          <cell r="I5385" t="str">
            <v>Anguiano</v>
          </cell>
        </row>
        <row r="5386">
          <cell r="I5386" t="str">
            <v>Angeles</v>
          </cell>
        </row>
        <row r="5387">
          <cell r="I5387" t="str">
            <v>Welborn</v>
          </cell>
        </row>
        <row r="5388">
          <cell r="I5388" t="str">
            <v>Tsosie</v>
          </cell>
        </row>
        <row r="5389">
          <cell r="I5389" t="str">
            <v>Storms</v>
          </cell>
        </row>
        <row r="5390">
          <cell r="I5390" t="str">
            <v>Shoup</v>
          </cell>
        </row>
        <row r="5391">
          <cell r="I5391" t="str">
            <v>Sessoms</v>
          </cell>
        </row>
        <row r="5392">
          <cell r="I5392" t="str">
            <v>Samaniego</v>
          </cell>
        </row>
        <row r="5393">
          <cell r="I5393" t="str">
            <v>Rood</v>
          </cell>
        </row>
        <row r="5394">
          <cell r="I5394" t="str">
            <v>Rojo</v>
          </cell>
        </row>
        <row r="5395">
          <cell r="I5395" t="str">
            <v>Rhinehart</v>
          </cell>
        </row>
        <row r="5396">
          <cell r="I5396" t="str">
            <v>Raby</v>
          </cell>
        </row>
        <row r="5397">
          <cell r="I5397" t="str">
            <v>Northcutt</v>
          </cell>
        </row>
        <row r="5398">
          <cell r="I5398" t="str">
            <v>Myer</v>
          </cell>
        </row>
        <row r="5399">
          <cell r="I5399" t="str">
            <v>Munguia</v>
          </cell>
        </row>
        <row r="5400">
          <cell r="I5400" t="str">
            <v>Morehouse</v>
          </cell>
        </row>
        <row r="5401">
          <cell r="I5401" t="str">
            <v>More</v>
          </cell>
        </row>
        <row r="5402">
          <cell r="I5402" t="str">
            <v>Mcdevitt</v>
          </cell>
        </row>
        <row r="5403">
          <cell r="I5403" t="str">
            <v>Mateo</v>
          </cell>
        </row>
        <row r="5404">
          <cell r="I5404" t="str">
            <v>Mallett</v>
          </cell>
        </row>
        <row r="5405">
          <cell r="I5405" t="str">
            <v>Lozada</v>
          </cell>
        </row>
        <row r="5406">
          <cell r="I5406" t="str">
            <v>Lemoine</v>
          </cell>
        </row>
        <row r="5407">
          <cell r="I5407" t="str">
            <v>Kuehn</v>
          </cell>
        </row>
        <row r="5408">
          <cell r="I5408" t="str">
            <v>Hallett</v>
          </cell>
        </row>
        <row r="5409">
          <cell r="I5409" t="str">
            <v>Grim</v>
          </cell>
        </row>
        <row r="5410">
          <cell r="I5410" t="str">
            <v>Gillard</v>
          </cell>
        </row>
        <row r="5411">
          <cell r="I5411" t="str">
            <v>Gaylor</v>
          </cell>
        </row>
        <row r="5412">
          <cell r="I5412" t="str">
            <v>Garman</v>
          </cell>
        </row>
        <row r="5413">
          <cell r="I5413" t="str">
            <v>Gallaher</v>
          </cell>
        </row>
        <row r="5414">
          <cell r="I5414" t="str">
            <v>Feaster</v>
          </cell>
        </row>
        <row r="5415">
          <cell r="I5415" t="str">
            <v>Faris</v>
          </cell>
        </row>
        <row r="5416">
          <cell r="I5416" t="str">
            <v>Darrow</v>
          </cell>
        </row>
        <row r="5417">
          <cell r="I5417" t="str">
            <v>Dardar</v>
          </cell>
        </row>
        <row r="5418">
          <cell r="I5418" t="str">
            <v>Coney</v>
          </cell>
        </row>
        <row r="5419">
          <cell r="I5419" t="str">
            <v>Carreon</v>
          </cell>
        </row>
        <row r="5420">
          <cell r="I5420" t="str">
            <v>Byron</v>
          </cell>
        </row>
        <row r="5421">
          <cell r="I5421" t="str">
            <v>Braithwaite</v>
          </cell>
        </row>
        <row r="5422">
          <cell r="I5422" t="str">
            <v>Boylan</v>
          </cell>
        </row>
        <row r="5423">
          <cell r="I5423" t="str">
            <v>Boyett</v>
          </cell>
        </row>
        <row r="5424">
          <cell r="I5424" t="str">
            <v>Born</v>
          </cell>
        </row>
        <row r="5425">
          <cell r="I5425" t="str">
            <v>Bixler</v>
          </cell>
        </row>
        <row r="5426">
          <cell r="I5426" t="str">
            <v>Bigham</v>
          </cell>
        </row>
        <row r="5427">
          <cell r="I5427" t="str">
            <v>Benford</v>
          </cell>
        </row>
        <row r="5428">
          <cell r="I5428" t="str">
            <v>Barragan</v>
          </cell>
        </row>
        <row r="5429">
          <cell r="I5429" t="str">
            <v>Barnum</v>
          </cell>
        </row>
        <row r="5430">
          <cell r="I5430" t="str">
            <v>Zuber</v>
          </cell>
        </row>
        <row r="5431">
          <cell r="I5431" t="str">
            <v>Wyche</v>
          </cell>
        </row>
        <row r="5432">
          <cell r="I5432" t="str">
            <v>Westcott</v>
          </cell>
        </row>
        <row r="5433">
          <cell r="I5433" t="str">
            <v>Vining</v>
          </cell>
        </row>
        <row r="5434">
          <cell r="I5434" t="str">
            <v>Stoltzfus</v>
          </cell>
        </row>
        <row r="5435">
          <cell r="I5435" t="str">
            <v>Simonds</v>
          </cell>
        </row>
        <row r="5436">
          <cell r="I5436" t="str">
            <v>Shupe</v>
          </cell>
        </row>
        <row r="5437">
          <cell r="I5437" t="str">
            <v>Sabin</v>
          </cell>
        </row>
        <row r="5438">
          <cell r="I5438" t="str">
            <v>Ruble</v>
          </cell>
        </row>
        <row r="5439">
          <cell r="I5439" t="str">
            <v>Rittenhouse</v>
          </cell>
        </row>
        <row r="5440">
          <cell r="I5440" t="str">
            <v>Richman</v>
          </cell>
        </row>
        <row r="5441">
          <cell r="I5441" t="str">
            <v>Perrone</v>
          </cell>
        </row>
        <row r="5442">
          <cell r="I5442" t="str">
            <v>Mulholland</v>
          </cell>
        </row>
        <row r="5443">
          <cell r="I5443" t="str">
            <v>Millan</v>
          </cell>
        </row>
        <row r="5444">
          <cell r="I5444" t="str">
            <v>Meister</v>
          </cell>
        </row>
        <row r="5445">
          <cell r="I5445" t="str">
            <v>Mathew</v>
          </cell>
        </row>
        <row r="5446">
          <cell r="I5446" t="str">
            <v>Lomeli</v>
          </cell>
        </row>
        <row r="5447">
          <cell r="I5447" t="str">
            <v>Kite</v>
          </cell>
        </row>
        <row r="5448">
          <cell r="I5448" t="str">
            <v>Jemison</v>
          </cell>
        </row>
        <row r="5449">
          <cell r="I5449" t="str">
            <v>Hulett</v>
          </cell>
        </row>
        <row r="5450">
          <cell r="I5450" t="str">
            <v>Holler</v>
          </cell>
        </row>
        <row r="5451">
          <cell r="I5451" t="str">
            <v>Hickerson</v>
          </cell>
        </row>
        <row r="5452">
          <cell r="I5452" t="str">
            <v>Herold</v>
          </cell>
        </row>
        <row r="5453">
          <cell r="I5453" t="str">
            <v>Hazelwood</v>
          </cell>
        </row>
        <row r="5454">
          <cell r="I5454" t="str">
            <v>Griffen</v>
          </cell>
        </row>
        <row r="5455">
          <cell r="I5455" t="str">
            <v>Gause</v>
          </cell>
        </row>
        <row r="5456">
          <cell r="I5456" t="str">
            <v>Forde</v>
          </cell>
        </row>
        <row r="5457">
          <cell r="I5457" t="str">
            <v>Eisenberg</v>
          </cell>
        </row>
        <row r="5458">
          <cell r="I5458" t="str">
            <v>Dilworth</v>
          </cell>
        </row>
        <row r="5459">
          <cell r="I5459" t="str">
            <v>Charron</v>
          </cell>
        </row>
        <row r="5460">
          <cell r="I5460" t="str">
            <v>Chaisson</v>
          </cell>
        </row>
        <row r="5461">
          <cell r="I5461" t="str">
            <v>Brodie</v>
          </cell>
        </row>
        <row r="5462">
          <cell r="I5462" t="str">
            <v>Bristow</v>
          </cell>
        </row>
        <row r="5463">
          <cell r="I5463" t="str">
            <v>Breunig</v>
          </cell>
        </row>
        <row r="5464">
          <cell r="I5464" t="str">
            <v>Brace</v>
          </cell>
        </row>
        <row r="5465">
          <cell r="I5465" t="str">
            <v>Boutwell</v>
          </cell>
        </row>
        <row r="5466">
          <cell r="I5466" t="str">
            <v>Bentz</v>
          </cell>
        </row>
        <row r="5467">
          <cell r="I5467" t="str">
            <v>Belk</v>
          </cell>
        </row>
        <row r="5468">
          <cell r="I5468" t="str">
            <v>Bayless</v>
          </cell>
        </row>
        <row r="5469">
          <cell r="I5469" t="str">
            <v>Batchelder</v>
          </cell>
        </row>
        <row r="5470">
          <cell r="I5470" t="str">
            <v>Baran</v>
          </cell>
        </row>
        <row r="5471">
          <cell r="I5471" t="str">
            <v>Baeza</v>
          </cell>
        </row>
        <row r="5472">
          <cell r="I5472" t="str">
            <v>Zimmermann</v>
          </cell>
        </row>
        <row r="5473">
          <cell r="I5473" t="str">
            <v>Weathersby</v>
          </cell>
        </row>
        <row r="5474">
          <cell r="I5474" t="str">
            <v>Volk</v>
          </cell>
        </row>
        <row r="5475">
          <cell r="I5475" t="str">
            <v>Toole</v>
          </cell>
        </row>
        <row r="5476">
          <cell r="I5476" t="str">
            <v>Theis</v>
          </cell>
        </row>
        <row r="5477">
          <cell r="I5477" t="str">
            <v>Tedesco</v>
          </cell>
        </row>
        <row r="5478">
          <cell r="I5478" t="str">
            <v>Shine</v>
          </cell>
        </row>
        <row r="5479">
          <cell r="I5479" t="str">
            <v>Searle</v>
          </cell>
        </row>
        <row r="5480">
          <cell r="I5480" t="str">
            <v>Schenck</v>
          </cell>
        </row>
        <row r="5481">
          <cell r="I5481" t="str">
            <v>Satterwhite</v>
          </cell>
        </row>
        <row r="5482">
          <cell r="I5482" t="str">
            <v>Sandy</v>
          </cell>
        </row>
        <row r="5483">
          <cell r="I5483" t="str">
            <v>Ruelas</v>
          </cell>
        </row>
        <row r="5484">
          <cell r="I5484" t="str">
            <v>Royce</v>
          </cell>
        </row>
        <row r="5485">
          <cell r="I5485" t="str">
            <v>Rankins</v>
          </cell>
        </row>
        <row r="5486">
          <cell r="I5486" t="str">
            <v>Partida</v>
          </cell>
        </row>
        <row r="5487">
          <cell r="I5487" t="str">
            <v>Nesbit</v>
          </cell>
        </row>
        <row r="5488">
          <cell r="I5488" t="str">
            <v>Morel</v>
          </cell>
        </row>
        <row r="5489">
          <cell r="I5489" t="str">
            <v>Menchaca</v>
          </cell>
        </row>
        <row r="5490">
          <cell r="I5490" t="str">
            <v>Levasseur</v>
          </cell>
        </row>
        <row r="5491">
          <cell r="I5491" t="str">
            <v>Kaylor</v>
          </cell>
        </row>
        <row r="5492">
          <cell r="I5492" t="str">
            <v>Johnstone</v>
          </cell>
        </row>
        <row r="5493">
          <cell r="I5493" t="str">
            <v>Hulse</v>
          </cell>
        </row>
        <row r="5494">
          <cell r="I5494" t="str">
            <v>Hollar</v>
          </cell>
        </row>
        <row r="5495">
          <cell r="I5495" t="str">
            <v>Hersey</v>
          </cell>
        </row>
        <row r="5496">
          <cell r="I5496" t="str">
            <v>Harrigan</v>
          </cell>
        </row>
        <row r="5497">
          <cell r="I5497" t="str">
            <v>Harbison</v>
          </cell>
        </row>
        <row r="5498">
          <cell r="I5498" t="str">
            <v>Guyer</v>
          </cell>
        </row>
        <row r="5499">
          <cell r="I5499" t="str">
            <v>Gish</v>
          </cell>
        </row>
        <row r="5500">
          <cell r="I5500" t="str">
            <v>Giese</v>
          </cell>
        </row>
        <row r="5501">
          <cell r="I5501" t="str">
            <v>Gerlach</v>
          </cell>
        </row>
        <row r="5502">
          <cell r="I5502" t="str">
            <v>Geller</v>
          </cell>
        </row>
        <row r="5503">
          <cell r="I5503" t="str">
            <v>Geisler</v>
          </cell>
        </row>
        <row r="5504">
          <cell r="I5504" t="str">
            <v>Falcone</v>
          </cell>
        </row>
        <row r="5505">
          <cell r="I5505" t="str">
            <v>Ernest</v>
          </cell>
        </row>
        <row r="5506">
          <cell r="I5506" t="str">
            <v>Elwell</v>
          </cell>
        </row>
        <row r="5507">
          <cell r="I5507" t="str">
            <v>Doucet</v>
          </cell>
        </row>
        <row r="5508">
          <cell r="I5508" t="str">
            <v>Deese</v>
          </cell>
        </row>
        <row r="5509">
          <cell r="I5509" t="str">
            <v>Darr</v>
          </cell>
        </row>
        <row r="5510">
          <cell r="I5510" t="str">
            <v>Corder</v>
          </cell>
        </row>
        <row r="5511">
          <cell r="I5511" t="str">
            <v>Chafin</v>
          </cell>
        </row>
        <row r="5512">
          <cell r="I5512" t="str">
            <v>Byler</v>
          </cell>
        </row>
        <row r="5513">
          <cell r="I5513" t="str">
            <v>Bussell</v>
          </cell>
        </row>
        <row r="5514">
          <cell r="I5514" t="str">
            <v>Burdett</v>
          </cell>
        </row>
        <row r="5515">
          <cell r="I5515" t="str">
            <v>Brasher</v>
          </cell>
        </row>
        <row r="5516">
          <cell r="I5516" t="str">
            <v>Bowe</v>
          </cell>
        </row>
        <row r="5517">
          <cell r="I5517" t="str">
            <v>Bellinger</v>
          </cell>
        </row>
        <row r="5518">
          <cell r="I5518" t="str">
            <v>Bastian</v>
          </cell>
        </row>
        <row r="5519">
          <cell r="I5519" t="str">
            <v>Barner</v>
          </cell>
        </row>
        <row r="5520">
          <cell r="I5520" t="str">
            <v>Alleyne</v>
          </cell>
        </row>
        <row r="5521">
          <cell r="I5521" t="str">
            <v>Wilborn</v>
          </cell>
        </row>
        <row r="5522">
          <cell r="I5522" t="str">
            <v>Weil</v>
          </cell>
        </row>
        <row r="5523">
          <cell r="I5523" t="str">
            <v>Wegner</v>
          </cell>
        </row>
        <row r="5524">
          <cell r="I5524" t="str">
            <v>Wales</v>
          </cell>
        </row>
        <row r="5525">
          <cell r="I5525" t="str">
            <v>Tatro</v>
          </cell>
        </row>
        <row r="5526">
          <cell r="I5526" t="str">
            <v>Spitzer</v>
          </cell>
        </row>
        <row r="5527">
          <cell r="I5527" t="str">
            <v>Smithers</v>
          </cell>
        </row>
        <row r="5528">
          <cell r="I5528" t="str">
            <v>Schoen</v>
          </cell>
        </row>
        <row r="5529">
          <cell r="I5529" t="str">
            <v>Resendez</v>
          </cell>
        </row>
        <row r="5530">
          <cell r="I5530" t="str">
            <v>Pete</v>
          </cell>
        </row>
        <row r="5531">
          <cell r="I5531" t="str">
            <v>Parisi</v>
          </cell>
        </row>
        <row r="5532">
          <cell r="I5532" t="str">
            <v>Overman</v>
          </cell>
        </row>
        <row r="5533">
          <cell r="I5533" t="str">
            <v>Obrian</v>
          </cell>
        </row>
        <row r="5534">
          <cell r="I5534" t="str">
            <v>Mudd</v>
          </cell>
        </row>
        <row r="5535">
          <cell r="I5535" t="str">
            <v>Moy</v>
          </cell>
        </row>
        <row r="5536">
          <cell r="I5536" t="str">
            <v>Mclaren</v>
          </cell>
        </row>
        <row r="5537">
          <cell r="I5537" t="str">
            <v>Mahler</v>
          </cell>
        </row>
        <row r="5538">
          <cell r="I5538" t="str">
            <v>Maggio</v>
          </cell>
        </row>
        <row r="5539">
          <cell r="I5539" t="str">
            <v>Lindner</v>
          </cell>
        </row>
        <row r="5540">
          <cell r="I5540" t="str">
            <v>Lalonde</v>
          </cell>
        </row>
        <row r="5541">
          <cell r="I5541" t="str">
            <v>Lacasse</v>
          </cell>
        </row>
        <row r="5542">
          <cell r="I5542" t="str">
            <v>Laboy</v>
          </cell>
        </row>
        <row r="5543">
          <cell r="I5543" t="str">
            <v>Killion</v>
          </cell>
        </row>
        <row r="5544">
          <cell r="I5544" t="str">
            <v>Kahl</v>
          </cell>
        </row>
        <row r="5545">
          <cell r="I5545" t="str">
            <v>Jessen</v>
          </cell>
        </row>
        <row r="5546">
          <cell r="I5546" t="str">
            <v>Jamerson</v>
          </cell>
        </row>
        <row r="5547">
          <cell r="I5547" t="str">
            <v>Houk</v>
          </cell>
        </row>
        <row r="5548">
          <cell r="I5548" t="str">
            <v>Henshaw</v>
          </cell>
        </row>
        <row r="5549">
          <cell r="I5549" t="str">
            <v>Gustin</v>
          </cell>
        </row>
        <row r="5550">
          <cell r="I5550" t="str">
            <v>Groom</v>
          </cell>
        </row>
        <row r="5551">
          <cell r="I5551" t="str">
            <v>Graber</v>
          </cell>
        </row>
        <row r="5552">
          <cell r="I5552" t="str">
            <v>Durst</v>
          </cell>
        </row>
        <row r="5553">
          <cell r="I5553" t="str">
            <v>Duenas</v>
          </cell>
        </row>
        <row r="5554">
          <cell r="I5554" t="str">
            <v>Davey</v>
          </cell>
        </row>
        <row r="5555">
          <cell r="I5555" t="str">
            <v>Cundiff</v>
          </cell>
        </row>
        <row r="5556">
          <cell r="I5556" t="str">
            <v>Conlon</v>
          </cell>
        </row>
        <row r="5557">
          <cell r="I5557" t="str">
            <v>Colunga</v>
          </cell>
        </row>
        <row r="5558">
          <cell r="I5558" t="str">
            <v>Coakley</v>
          </cell>
        </row>
        <row r="5559">
          <cell r="I5559" t="str">
            <v>Chiles</v>
          </cell>
        </row>
        <row r="5560">
          <cell r="I5560" t="str">
            <v>Capers</v>
          </cell>
        </row>
        <row r="5561">
          <cell r="I5561" t="str">
            <v>Buell</v>
          </cell>
        </row>
        <row r="5562">
          <cell r="I5562" t="str">
            <v>Bricker</v>
          </cell>
        </row>
        <row r="5563">
          <cell r="I5563" t="str">
            <v>Bissonnette</v>
          </cell>
        </row>
        <row r="5564">
          <cell r="I5564" t="str">
            <v>Birmingham</v>
          </cell>
        </row>
        <row r="5565">
          <cell r="I5565" t="str">
            <v>Bartz</v>
          </cell>
        </row>
        <row r="5566">
          <cell r="I5566" t="str">
            <v>Bagby</v>
          </cell>
        </row>
        <row r="5567">
          <cell r="I5567" t="str">
            <v>Zayas</v>
          </cell>
        </row>
        <row r="5568">
          <cell r="I5568" t="str">
            <v>Volpe</v>
          </cell>
        </row>
        <row r="5569">
          <cell r="I5569" t="str">
            <v>Treece</v>
          </cell>
        </row>
        <row r="5570">
          <cell r="I5570" t="str">
            <v>Toombs</v>
          </cell>
        </row>
        <row r="5571">
          <cell r="I5571" t="str">
            <v>Thom</v>
          </cell>
        </row>
        <row r="5572">
          <cell r="I5572" t="str">
            <v>Terrazas</v>
          </cell>
        </row>
        <row r="5573">
          <cell r="I5573" t="str">
            <v>Swinney</v>
          </cell>
        </row>
        <row r="5574">
          <cell r="I5574" t="str">
            <v>Skiles</v>
          </cell>
        </row>
        <row r="5575">
          <cell r="I5575" t="str">
            <v>Silveira</v>
          </cell>
        </row>
        <row r="5576">
          <cell r="I5576" t="str">
            <v>Shouse</v>
          </cell>
        </row>
        <row r="5577">
          <cell r="I5577" t="str">
            <v>Senn</v>
          </cell>
        </row>
        <row r="5578">
          <cell r="I5578" t="str">
            <v>Rambo</v>
          </cell>
        </row>
        <row r="5579">
          <cell r="I5579" t="str">
            <v>Ramage</v>
          </cell>
        </row>
        <row r="5580">
          <cell r="I5580" t="str">
            <v>Nez</v>
          </cell>
        </row>
        <row r="5581">
          <cell r="I5581" t="str">
            <v>Moua</v>
          </cell>
        </row>
        <row r="5582">
          <cell r="I5582" t="str">
            <v>Marlin</v>
          </cell>
        </row>
        <row r="5583">
          <cell r="I5583" t="str">
            <v>Malik</v>
          </cell>
        </row>
        <row r="5584">
          <cell r="I5584" t="str">
            <v>Langham</v>
          </cell>
        </row>
        <row r="5585">
          <cell r="I5585" t="str">
            <v>Kyles</v>
          </cell>
        </row>
        <row r="5586">
          <cell r="I5586" t="str">
            <v>Holston</v>
          </cell>
        </row>
        <row r="5587">
          <cell r="I5587" t="str">
            <v>Hoagland</v>
          </cell>
        </row>
        <row r="5588">
          <cell r="I5588" t="str">
            <v>Herd</v>
          </cell>
        </row>
        <row r="5589">
          <cell r="I5589" t="str">
            <v>Hector</v>
          </cell>
        </row>
        <row r="5590">
          <cell r="I5590" t="str">
            <v>Feller</v>
          </cell>
        </row>
        <row r="5591">
          <cell r="I5591" t="str">
            <v>Emory</v>
          </cell>
        </row>
        <row r="5592">
          <cell r="I5592" t="str">
            <v>Denison</v>
          </cell>
        </row>
        <row r="5593">
          <cell r="I5593" t="str">
            <v>Corliss</v>
          </cell>
        </row>
        <row r="5594">
          <cell r="I5594" t="str">
            <v>Carraway</v>
          </cell>
        </row>
        <row r="5595">
          <cell r="I5595" t="str">
            <v>Burford</v>
          </cell>
        </row>
        <row r="5596">
          <cell r="I5596" t="str">
            <v>Bickel</v>
          </cell>
        </row>
        <row r="5597">
          <cell r="I5597" t="str">
            <v>Ambriz</v>
          </cell>
        </row>
        <row r="5598">
          <cell r="I5598" t="str">
            <v>Abercrombie</v>
          </cell>
        </row>
        <row r="5599">
          <cell r="I5599" t="str">
            <v>Yamada</v>
          </cell>
        </row>
        <row r="5600">
          <cell r="I5600" t="str">
            <v>Winner</v>
          </cell>
        </row>
        <row r="5601">
          <cell r="I5601" t="str">
            <v>Weidner</v>
          </cell>
        </row>
        <row r="5602">
          <cell r="I5602" t="str">
            <v>Waddle</v>
          </cell>
        </row>
        <row r="5603">
          <cell r="I5603" t="str">
            <v>Verduzco</v>
          </cell>
        </row>
        <row r="5604">
          <cell r="I5604" t="str">
            <v>Thurmond</v>
          </cell>
        </row>
        <row r="5605">
          <cell r="I5605" t="str">
            <v>Swindle</v>
          </cell>
        </row>
        <row r="5606">
          <cell r="I5606" t="str">
            <v>Schrock</v>
          </cell>
        </row>
        <row r="5607">
          <cell r="I5607" t="str">
            <v>Sanabria</v>
          </cell>
        </row>
        <row r="5608">
          <cell r="I5608" t="str">
            <v>Rosenberger</v>
          </cell>
        </row>
        <row r="5609">
          <cell r="I5609" t="str">
            <v>Probst</v>
          </cell>
        </row>
        <row r="5610">
          <cell r="I5610" t="str">
            <v>Peabody</v>
          </cell>
        </row>
        <row r="5611">
          <cell r="I5611" t="str">
            <v>Olinger</v>
          </cell>
        </row>
        <row r="5612">
          <cell r="I5612" t="str">
            <v>Neighbors</v>
          </cell>
        </row>
        <row r="5613">
          <cell r="I5613" t="str">
            <v>Nazario</v>
          </cell>
        </row>
        <row r="5614">
          <cell r="I5614" t="str">
            <v>Mccafferty</v>
          </cell>
        </row>
        <row r="5615">
          <cell r="I5615" t="str">
            <v>Mcbroom</v>
          </cell>
        </row>
        <row r="5616">
          <cell r="I5616" t="str">
            <v>Mcabee</v>
          </cell>
        </row>
        <row r="5617">
          <cell r="I5617" t="str">
            <v>Mazur</v>
          </cell>
        </row>
        <row r="5618">
          <cell r="I5618" t="str">
            <v>Matherne</v>
          </cell>
        </row>
        <row r="5619">
          <cell r="I5619" t="str">
            <v>Mapes</v>
          </cell>
        </row>
        <row r="5620">
          <cell r="I5620" t="str">
            <v>Leverett</v>
          </cell>
        </row>
        <row r="5621">
          <cell r="I5621" t="str">
            <v>Killingsworth</v>
          </cell>
        </row>
        <row r="5622">
          <cell r="I5622" t="str">
            <v>Heisler</v>
          </cell>
        </row>
        <row r="5623">
          <cell r="I5623" t="str">
            <v>Griego</v>
          </cell>
        </row>
        <row r="5624">
          <cell r="I5624" t="str">
            <v>Grande</v>
          </cell>
        </row>
        <row r="5625">
          <cell r="I5625" t="str">
            <v>Gosnell</v>
          </cell>
        </row>
        <row r="5626">
          <cell r="I5626" t="str">
            <v>Frankel</v>
          </cell>
        </row>
        <row r="5627">
          <cell r="I5627" t="str">
            <v>Franke</v>
          </cell>
        </row>
        <row r="5628">
          <cell r="I5628" t="str">
            <v>Ferrante</v>
          </cell>
        </row>
        <row r="5629">
          <cell r="I5629" t="str">
            <v>Fenn</v>
          </cell>
        </row>
        <row r="5630">
          <cell r="I5630" t="str">
            <v>Elmer</v>
          </cell>
        </row>
        <row r="5631">
          <cell r="I5631" t="str">
            <v>Ehrlich</v>
          </cell>
        </row>
        <row r="5632">
          <cell r="I5632" t="str">
            <v>Christopherso</v>
          </cell>
        </row>
        <row r="5633">
          <cell r="I5633" t="str">
            <v>Chick</v>
          </cell>
        </row>
        <row r="5634">
          <cell r="I5634" t="str">
            <v>Chasse</v>
          </cell>
        </row>
        <row r="5635">
          <cell r="I5635" t="str">
            <v>Chancellor</v>
          </cell>
        </row>
        <row r="5636">
          <cell r="I5636" t="str">
            <v>Caton</v>
          </cell>
        </row>
        <row r="5637">
          <cell r="I5637" t="str">
            <v>Brunelle</v>
          </cell>
        </row>
        <row r="5638">
          <cell r="I5638" t="str">
            <v>Bly</v>
          </cell>
        </row>
        <row r="5639">
          <cell r="I5639" t="str">
            <v>Bloomfield</v>
          </cell>
        </row>
        <row r="5640">
          <cell r="I5640" t="str">
            <v>Babbitt</v>
          </cell>
        </row>
        <row r="5641">
          <cell r="I5641" t="str">
            <v>Azevedo</v>
          </cell>
        </row>
        <row r="5642">
          <cell r="I5642" t="str">
            <v>Abramson</v>
          </cell>
        </row>
        <row r="5643">
          <cell r="I5643" t="str">
            <v>Ables</v>
          </cell>
        </row>
        <row r="5644">
          <cell r="I5644" t="str">
            <v>Abeyta</v>
          </cell>
        </row>
        <row r="5645">
          <cell r="I5645" t="str">
            <v>Youmans</v>
          </cell>
        </row>
        <row r="5646">
          <cell r="I5646" t="str">
            <v>Wozniak</v>
          </cell>
        </row>
        <row r="5647">
          <cell r="I5647" t="str">
            <v>Wainwright</v>
          </cell>
        </row>
        <row r="5648">
          <cell r="I5648" t="str">
            <v>Summer</v>
          </cell>
        </row>
        <row r="5649">
          <cell r="I5649" t="str">
            <v>Stowell</v>
          </cell>
        </row>
        <row r="5650">
          <cell r="I5650" t="str">
            <v>Smitherman</v>
          </cell>
        </row>
        <row r="5651">
          <cell r="I5651" t="str">
            <v>Sites</v>
          </cell>
        </row>
        <row r="5652">
          <cell r="I5652" t="str">
            <v>Samuelson</v>
          </cell>
        </row>
        <row r="5653">
          <cell r="I5653" t="str">
            <v>Runge</v>
          </cell>
        </row>
        <row r="5654">
          <cell r="I5654" t="str">
            <v>Rule</v>
          </cell>
        </row>
        <row r="5655">
          <cell r="I5655" t="str">
            <v>Rothman</v>
          </cell>
        </row>
        <row r="5656">
          <cell r="I5656" t="str">
            <v>Rosenfeld</v>
          </cell>
        </row>
        <row r="5657">
          <cell r="I5657" t="str">
            <v>Quan</v>
          </cell>
        </row>
        <row r="5658">
          <cell r="I5658" t="str">
            <v>Peake</v>
          </cell>
        </row>
        <row r="5659">
          <cell r="I5659" t="str">
            <v>Oxford</v>
          </cell>
        </row>
        <row r="5660">
          <cell r="I5660" t="str">
            <v>Owings</v>
          </cell>
        </row>
        <row r="5661">
          <cell r="I5661" t="str">
            <v>Olmos</v>
          </cell>
        </row>
        <row r="5662">
          <cell r="I5662" t="str">
            <v>Munro</v>
          </cell>
        </row>
        <row r="5663">
          <cell r="I5663" t="str">
            <v>Moreira</v>
          </cell>
        </row>
        <row r="5664">
          <cell r="I5664" t="str">
            <v>Leatherwood</v>
          </cell>
        </row>
        <row r="5665">
          <cell r="I5665" t="str">
            <v>Larkins</v>
          </cell>
        </row>
        <row r="5666">
          <cell r="I5666" t="str">
            <v>Krantz</v>
          </cell>
        </row>
        <row r="5667">
          <cell r="I5667" t="str">
            <v>Kovacs</v>
          </cell>
        </row>
        <row r="5668">
          <cell r="I5668" t="str">
            <v>Kizer</v>
          </cell>
        </row>
        <row r="5669">
          <cell r="I5669" t="str">
            <v>Kindred</v>
          </cell>
        </row>
        <row r="5670">
          <cell r="I5670" t="str">
            <v>Karnes</v>
          </cell>
        </row>
        <row r="5671">
          <cell r="I5671" t="str">
            <v>Jaffe</v>
          </cell>
        </row>
        <row r="5672">
          <cell r="I5672" t="str">
            <v>Hubbell</v>
          </cell>
        </row>
        <row r="5673">
          <cell r="I5673" t="str">
            <v>Hosey</v>
          </cell>
        </row>
        <row r="5674">
          <cell r="I5674" t="str">
            <v>Hauck</v>
          </cell>
        </row>
        <row r="5675">
          <cell r="I5675" t="str">
            <v>Harold</v>
          </cell>
        </row>
        <row r="5676">
          <cell r="I5676" t="str">
            <v>Goodell</v>
          </cell>
        </row>
        <row r="5677">
          <cell r="I5677" t="str">
            <v>Favors</v>
          </cell>
        </row>
        <row r="5678">
          <cell r="I5678" t="str">
            <v>Erdman</v>
          </cell>
        </row>
        <row r="5679">
          <cell r="I5679" t="str">
            <v>Dvorak</v>
          </cell>
        </row>
        <row r="5680">
          <cell r="I5680" t="str">
            <v>Doane</v>
          </cell>
        </row>
        <row r="5681">
          <cell r="I5681" t="str">
            <v>Cureton</v>
          </cell>
        </row>
        <row r="5682">
          <cell r="I5682" t="str">
            <v>Cofer</v>
          </cell>
        </row>
        <row r="5683">
          <cell r="I5683" t="str">
            <v>Buehler</v>
          </cell>
        </row>
        <row r="5684">
          <cell r="I5684" t="str">
            <v>Bierman</v>
          </cell>
        </row>
        <row r="5685">
          <cell r="I5685" t="str">
            <v>Berndt</v>
          </cell>
        </row>
        <row r="5686">
          <cell r="I5686" t="str">
            <v>Banta</v>
          </cell>
        </row>
        <row r="5687">
          <cell r="I5687" t="str">
            <v>Annis</v>
          </cell>
        </row>
        <row r="5688">
          <cell r="I5688" t="str">
            <v>Abram</v>
          </cell>
        </row>
        <row r="5689">
          <cell r="I5689" t="str">
            <v>Abdullah</v>
          </cell>
        </row>
        <row r="5690">
          <cell r="I5690" t="str">
            <v>Warwick</v>
          </cell>
        </row>
        <row r="5691">
          <cell r="I5691" t="str">
            <v>Waltz</v>
          </cell>
        </row>
        <row r="5692">
          <cell r="I5692" t="str">
            <v>Turcotte</v>
          </cell>
        </row>
        <row r="5693">
          <cell r="I5693" t="str">
            <v>Trinh</v>
          </cell>
        </row>
        <row r="5694">
          <cell r="I5694" t="str">
            <v>Torrey</v>
          </cell>
        </row>
        <row r="5695">
          <cell r="I5695" t="str">
            <v>Stith</v>
          </cell>
        </row>
        <row r="5696">
          <cell r="I5696" t="str">
            <v>Seger</v>
          </cell>
        </row>
        <row r="5697">
          <cell r="I5697" t="str">
            <v>Sachs</v>
          </cell>
        </row>
        <row r="5698">
          <cell r="I5698" t="str">
            <v>Quesada</v>
          </cell>
        </row>
        <row r="5699">
          <cell r="I5699" t="str">
            <v>Pinder</v>
          </cell>
        </row>
        <row r="5700">
          <cell r="I5700" t="str">
            <v>Peppers</v>
          </cell>
        </row>
        <row r="5701">
          <cell r="I5701" t="str">
            <v>Pascual</v>
          </cell>
        </row>
        <row r="5702">
          <cell r="I5702" t="str">
            <v>Paschall</v>
          </cell>
        </row>
        <row r="5703">
          <cell r="I5703" t="str">
            <v>Parkhurst</v>
          </cell>
        </row>
        <row r="5704">
          <cell r="I5704" t="str">
            <v>Ozuna</v>
          </cell>
        </row>
        <row r="5705">
          <cell r="I5705" t="str">
            <v>Oster</v>
          </cell>
        </row>
        <row r="5706">
          <cell r="I5706" t="str">
            <v>Nicholls</v>
          </cell>
        </row>
        <row r="5707">
          <cell r="I5707" t="str">
            <v>Mortimer</v>
          </cell>
        </row>
        <row r="5708">
          <cell r="I5708" t="str">
            <v>Lheureux</v>
          </cell>
        </row>
        <row r="5709">
          <cell r="I5709" t="str">
            <v>Lavalley</v>
          </cell>
        </row>
        <row r="5710">
          <cell r="I5710" t="str">
            <v>Kimura</v>
          </cell>
        </row>
        <row r="5711">
          <cell r="I5711" t="str">
            <v>Jablonski</v>
          </cell>
        </row>
        <row r="5712">
          <cell r="I5712" t="str">
            <v>Haun</v>
          </cell>
        </row>
        <row r="5713">
          <cell r="I5713" t="str">
            <v>Gourley</v>
          </cell>
        </row>
        <row r="5714">
          <cell r="I5714" t="str">
            <v>Gilligan</v>
          </cell>
        </row>
        <row r="5715">
          <cell r="I5715" t="str">
            <v>Fix</v>
          </cell>
        </row>
        <row r="5716">
          <cell r="I5716" t="str">
            <v>Derby</v>
          </cell>
        </row>
        <row r="5717">
          <cell r="I5717" t="str">
            <v>Croy</v>
          </cell>
        </row>
        <row r="5718">
          <cell r="I5718" t="str">
            <v>Cotto</v>
          </cell>
        </row>
        <row r="5719">
          <cell r="I5719" t="str">
            <v>Cargill</v>
          </cell>
        </row>
        <row r="5720">
          <cell r="I5720" t="str">
            <v>Burwell</v>
          </cell>
        </row>
        <row r="5721">
          <cell r="I5721" t="str">
            <v>Burgett</v>
          </cell>
        </row>
        <row r="5722">
          <cell r="I5722" t="str">
            <v>Buckman</v>
          </cell>
        </row>
        <row r="5723">
          <cell r="I5723" t="str">
            <v>Brett</v>
          </cell>
        </row>
        <row r="5724">
          <cell r="I5724" t="str">
            <v>Booher</v>
          </cell>
        </row>
        <row r="5725">
          <cell r="I5725" t="str">
            <v>Adorno</v>
          </cell>
        </row>
        <row r="5726">
          <cell r="I5726" t="str">
            <v>Wrenn</v>
          </cell>
        </row>
        <row r="5727">
          <cell r="I5727" t="str">
            <v>Whittemore</v>
          </cell>
        </row>
        <row r="5728">
          <cell r="I5728" t="str">
            <v>Urias</v>
          </cell>
        </row>
        <row r="5729">
          <cell r="I5729" t="str">
            <v>Szabo</v>
          </cell>
        </row>
        <row r="5730">
          <cell r="I5730" t="str">
            <v>Sayles</v>
          </cell>
        </row>
        <row r="5731">
          <cell r="I5731" t="str">
            <v>Saiz</v>
          </cell>
        </row>
        <row r="5732">
          <cell r="I5732" t="str">
            <v>Rutland</v>
          </cell>
        </row>
        <row r="5733">
          <cell r="I5733" t="str">
            <v>Rael</v>
          </cell>
        </row>
        <row r="5734">
          <cell r="I5734" t="str">
            <v>Plant</v>
          </cell>
        </row>
        <row r="5735">
          <cell r="I5735" t="str">
            <v>Pharr</v>
          </cell>
        </row>
        <row r="5736">
          <cell r="I5736" t="str">
            <v>Penney</v>
          </cell>
        </row>
        <row r="5737">
          <cell r="I5737" t="str">
            <v>Pelkey</v>
          </cell>
        </row>
        <row r="5738">
          <cell r="I5738" t="str">
            <v>Ogrady</v>
          </cell>
        </row>
        <row r="5739">
          <cell r="I5739" t="str">
            <v>Nickell</v>
          </cell>
        </row>
        <row r="5740">
          <cell r="I5740" t="str">
            <v>Musick</v>
          </cell>
        </row>
        <row r="5741">
          <cell r="I5741" t="str">
            <v>Moats</v>
          </cell>
        </row>
        <row r="5742">
          <cell r="I5742" t="str">
            <v>Mather</v>
          </cell>
        </row>
        <row r="5743">
          <cell r="I5743" t="str">
            <v>Massa</v>
          </cell>
        </row>
        <row r="5744">
          <cell r="I5744" t="str">
            <v>Laurent</v>
          </cell>
        </row>
        <row r="5745">
          <cell r="I5745" t="str">
            <v>Kirschner</v>
          </cell>
        </row>
        <row r="5746">
          <cell r="I5746" t="str">
            <v>Kieffer</v>
          </cell>
        </row>
        <row r="5747">
          <cell r="I5747" t="str">
            <v>Kellar</v>
          </cell>
        </row>
        <row r="5748">
          <cell r="I5748" t="str">
            <v>Hendershot</v>
          </cell>
        </row>
        <row r="5749">
          <cell r="I5749" t="str">
            <v>Gott</v>
          </cell>
        </row>
        <row r="5750">
          <cell r="I5750" t="str">
            <v>Godoy</v>
          </cell>
        </row>
        <row r="5751">
          <cell r="I5751" t="str">
            <v>Gadson</v>
          </cell>
        </row>
        <row r="5752">
          <cell r="I5752" t="str">
            <v>Furtado</v>
          </cell>
        </row>
        <row r="5753">
          <cell r="I5753" t="str">
            <v>Fiedler</v>
          </cell>
        </row>
        <row r="5754">
          <cell r="I5754" t="str">
            <v>Erskine</v>
          </cell>
        </row>
        <row r="5755">
          <cell r="I5755" t="str">
            <v>Edison</v>
          </cell>
        </row>
        <row r="5756">
          <cell r="I5756" t="str">
            <v>Dutcher</v>
          </cell>
        </row>
        <row r="5757">
          <cell r="I5757" t="str">
            <v>Dever</v>
          </cell>
        </row>
        <row r="5758">
          <cell r="I5758" t="str">
            <v>Daggett</v>
          </cell>
        </row>
        <row r="5759">
          <cell r="I5759" t="str">
            <v>Chevalier</v>
          </cell>
        </row>
        <row r="5760">
          <cell r="I5760" t="str">
            <v>Chao</v>
          </cell>
        </row>
        <row r="5761">
          <cell r="I5761" t="str">
            <v>Brake</v>
          </cell>
        </row>
        <row r="5762">
          <cell r="I5762" t="str">
            <v>Ballesteros</v>
          </cell>
        </row>
        <row r="5763">
          <cell r="I5763" t="str">
            <v>Amerson</v>
          </cell>
        </row>
        <row r="5764">
          <cell r="I5764" t="str">
            <v>Alejandro</v>
          </cell>
        </row>
        <row r="5765">
          <cell r="I5765" t="str">
            <v>Wingo</v>
          </cell>
        </row>
        <row r="5766">
          <cell r="I5766" t="str">
            <v>Waldon</v>
          </cell>
        </row>
        <row r="5767">
          <cell r="I5767" t="str">
            <v>Trott</v>
          </cell>
        </row>
        <row r="5768">
          <cell r="I5768" t="str">
            <v>Spikes</v>
          </cell>
        </row>
        <row r="5769">
          <cell r="I5769" t="str">
            <v>Silvey</v>
          </cell>
        </row>
        <row r="5770">
          <cell r="I5770" t="str">
            <v>Showers</v>
          </cell>
        </row>
        <row r="5771">
          <cell r="I5771" t="str">
            <v>Schlegel</v>
          </cell>
        </row>
        <row r="5772">
          <cell r="I5772" t="str">
            <v>Rue</v>
          </cell>
        </row>
        <row r="5773">
          <cell r="I5773" t="str">
            <v>Ritz</v>
          </cell>
        </row>
        <row r="5774">
          <cell r="I5774" t="str">
            <v>Pepin</v>
          </cell>
        </row>
        <row r="5775">
          <cell r="I5775" t="str">
            <v>Pelayo</v>
          </cell>
        </row>
        <row r="5776">
          <cell r="I5776" t="str">
            <v>Parsley</v>
          </cell>
        </row>
        <row r="5777">
          <cell r="I5777" t="str">
            <v>Palermo</v>
          </cell>
        </row>
        <row r="5778">
          <cell r="I5778" t="str">
            <v>Moorehead</v>
          </cell>
        </row>
        <row r="5779">
          <cell r="I5779" t="str">
            <v>Mchale</v>
          </cell>
        </row>
        <row r="5780">
          <cell r="I5780" t="str">
            <v>Lett</v>
          </cell>
        </row>
        <row r="5781">
          <cell r="I5781" t="str">
            <v>Kocher</v>
          </cell>
        </row>
        <row r="5782">
          <cell r="I5782" t="str">
            <v>Kilburn</v>
          </cell>
        </row>
        <row r="5783">
          <cell r="I5783" t="str">
            <v>Iglesias</v>
          </cell>
        </row>
        <row r="5784">
          <cell r="I5784" t="str">
            <v>Humble</v>
          </cell>
        </row>
        <row r="5785">
          <cell r="I5785" t="str">
            <v>Hulbert</v>
          </cell>
        </row>
        <row r="5786">
          <cell r="I5786" t="str">
            <v>Huckaby</v>
          </cell>
        </row>
        <row r="5787">
          <cell r="I5787" t="str">
            <v>Hix</v>
          </cell>
        </row>
        <row r="5788">
          <cell r="I5788" t="str">
            <v>Haven</v>
          </cell>
        </row>
        <row r="5789">
          <cell r="I5789" t="str">
            <v>Hartford</v>
          </cell>
        </row>
        <row r="5790">
          <cell r="I5790" t="str">
            <v>Hardiman</v>
          </cell>
        </row>
        <row r="5791">
          <cell r="I5791" t="str">
            <v>Gurney</v>
          </cell>
        </row>
        <row r="5792">
          <cell r="I5792" t="str">
            <v>Grigg</v>
          </cell>
        </row>
        <row r="5793">
          <cell r="I5793" t="str">
            <v>Grasso</v>
          </cell>
        </row>
        <row r="5794">
          <cell r="I5794" t="str">
            <v>Goings</v>
          </cell>
        </row>
        <row r="5795">
          <cell r="I5795" t="str">
            <v>Fillmore</v>
          </cell>
        </row>
        <row r="5796">
          <cell r="I5796" t="str">
            <v>Farber</v>
          </cell>
        </row>
        <row r="5797">
          <cell r="I5797" t="str">
            <v>Depew</v>
          </cell>
        </row>
        <row r="5798">
          <cell r="I5798" t="str">
            <v>Dandrea</v>
          </cell>
        </row>
        <row r="5799">
          <cell r="I5799" t="str">
            <v>Dame</v>
          </cell>
        </row>
        <row r="5800">
          <cell r="I5800" t="str">
            <v>Cowen</v>
          </cell>
        </row>
        <row r="5801">
          <cell r="I5801" t="str">
            <v>Covarrubias</v>
          </cell>
        </row>
        <row r="5802">
          <cell r="I5802" t="str">
            <v>Cory</v>
          </cell>
        </row>
        <row r="5803">
          <cell r="I5803" t="str">
            <v>Burrus</v>
          </cell>
        </row>
        <row r="5804">
          <cell r="I5804" t="str">
            <v>Bracy</v>
          </cell>
        </row>
        <row r="5805">
          <cell r="I5805" t="str">
            <v>Ardoin</v>
          </cell>
        </row>
        <row r="5806">
          <cell r="I5806" t="str">
            <v>Thompkins</v>
          </cell>
        </row>
        <row r="5807">
          <cell r="I5807" t="str">
            <v>Suzuki</v>
          </cell>
        </row>
        <row r="5808">
          <cell r="I5808" t="str">
            <v>Standley</v>
          </cell>
        </row>
        <row r="5809">
          <cell r="I5809" t="str">
            <v>Russel</v>
          </cell>
        </row>
        <row r="5810">
          <cell r="I5810" t="str">
            <v>Radcliffe</v>
          </cell>
        </row>
        <row r="5811">
          <cell r="I5811" t="str">
            <v>Pohl</v>
          </cell>
        </row>
        <row r="5812">
          <cell r="I5812" t="str">
            <v>Persaud</v>
          </cell>
        </row>
        <row r="5813">
          <cell r="I5813" t="str">
            <v>Percy</v>
          </cell>
        </row>
        <row r="5814">
          <cell r="I5814" t="str">
            <v>Parenteau</v>
          </cell>
        </row>
        <row r="5815">
          <cell r="I5815" t="str">
            <v>Pabon</v>
          </cell>
        </row>
        <row r="5816">
          <cell r="I5816" t="str">
            <v>Newson</v>
          </cell>
        </row>
        <row r="5817">
          <cell r="I5817" t="str">
            <v>Newhouse</v>
          </cell>
        </row>
        <row r="5818">
          <cell r="I5818" t="str">
            <v>Napolitano</v>
          </cell>
        </row>
        <row r="5819">
          <cell r="I5819" t="str">
            <v>Mulcahy</v>
          </cell>
        </row>
        <row r="5820">
          <cell r="I5820" t="str">
            <v>Maya</v>
          </cell>
        </row>
        <row r="5821">
          <cell r="I5821" t="str">
            <v>Malave</v>
          </cell>
        </row>
        <row r="5822">
          <cell r="I5822" t="str">
            <v>Keim</v>
          </cell>
        </row>
        <row r="5823">
          <cell r="I5823" t="str">
            <v>Hooten</v>
          </cell>
        </row>
        <row r="5824">
          <cell r="I5824" t="str">
            <v>Hernandes</v>
          </cell>
        </row>
        <row r="5825">
          <cell r="I5825" t="str">
            <v>Heffernan</v>
          </cell>
        </row>
        <row r="5826">
          <cell r="I5826" t="str">
            <v>Hearne</v>
          </cell>
        </row>
        <row r="5827">
          <cell r="I5827" t="str">
            <v>Greenleaf</v>
          </cell>
        </row>
        <row r="5828">
          <cell r="I5828" t="str">
            <v>Glick</v>
          </cell>
        </row>
        <row r="5829">
          <cell r="I5829" t="str">
            <v>Fuhrman</v>
          </cell>
        </row>
        <row r="5830">
          <cell r="I5830" t="str">
            <v>Fetter</v>
          </cell>
        </row>
        <row r="5831">
          <cell r="I5831" t="str">
            <v>Faria</v>
          </cell>
        </row>
        <row r="5832">
          <cell r="I5832" t="str">
            <v>Dishman</v>
          </cell>
        </row>
        <row r="5833">
          <cell r="I5833" t="str">
            <v>Dickenson</v>
          </cell>
        </row>
        <row r="5834">
          <cell r="I5834" t="str">
            <v>Crites</v>
          </cell>
        </row>
        <row r="5835">
          <cell r="I5835" t="str">
            <v>Criss</v>
          </cell>
        </row>
        <row r="5836">
          <cell r="I5836" t="str">
            <v>Clapper</v>
          </cell>
        </row>
        <row r="5837">
          <cell r="I5837" t="str">
            <v>Chenault</v>
          </cell>
        </row>
        <row r="5838">
          <cell r="I5838" t="str">
            <v>Castor</v>
          </cell>
        </row>
        <row r="5839">
          <cell r="I5839" t="str">
            <v>Casto</v>
          </cell>
        </row>
        <row r="5840">
          <cell r="I5840" t="str">
            <v>Bugg</v>
          </cell>
        </row>
        <row r="5841">
          <cell r="I5841" t="str">
            <v>Bove</v>
          </cell>
        </row>
        <row r="5842">
          <cell r="I5842" t="str">
            <v>Bonney</v>
          </cell>
        </row>
        <row r="5843">
          <cell r="I5843" t="str">
            <v>Blessing</v>
          </cell>
        </row>
        <row r="5844">
          <cell r="I5844" t="str">
            <v>Ard</v>
          </cell>
        </row>
        <row r="5845">
          <cell r="I5845" t="str">
            <v>Anderton</v>
          </cell>
        </row>
        <row r="5846">
          <cell r="I5846" t="str">
            <v>Allgood</v>
          </cell>
        </row>
        <row r="5847">
          <cell r="I5847" t="str">
            <v>Alderson</v>
          </cell>
        </row>
        <row r="5848">
          <cell r="I5848" t="str">
            <v>Woodman</v>
          </cell>
        </row>
        <row r="5849">
          <cell r="I5849" t="str">
            <v>Wisdom</v>
          </cell>
        </row>
        <row r="5850">
          <cell r="I5850" t="str">
            <v>Warrick</v>
          </cell>
        </row>
        <row r="5851">
          <cell r="I5851" t="str">
            <v>Toomey</v>
          </cell>
        </row>
        <row r="5852">
          <cell r="I5852" t="str">
            <v>Tooley</v>
          </cell>
        </row>
        <row r="5853">
          <cell r="I5853" t="str">
            <v>Tarrant</v>
          </cell>
        </row>
        <row r="5854">
          <cell r="I5854" t="str">
            <v>Summerville</v>
          </cell>
        </row>
        <row r="5855">
          <cell r="I5855" t="str">
            <v>Stebbins</v>
          </cell>
        </row>
        <row r="5856">
          <cell r="I5856" t="str">
            <v>Sokol</v>
          </cell>
        </row>
        <row r="5857">
          <cell r="I5857" t="str">
            <v>Sink</v>
          </cell>
        </row>
        <row r="5858">
          <cell r="I5858" t="str">
            <v>Searles</v>
          </cell>
        </row>
        <row r="5859">
          <cell r="I5859" t="str">
            <v>Schutz</v>
          </cell>
        </row>
        <row r="5860">
          <cell r="I5860" t="str">
            <v>Schumann</v>
          </cell>
        </row>
        <row r="5861">
          <cell r="I5861" t="str">
            <v>Scheer</v>
          </cell>
        </row>
        <row r="5862">
          <cell r="I5862" t="str">
            <v>Remillard</v>
          </cell>
        </row>
        <row r="5863">
          <cell r="I5863" t="str">
            <v>Raper</v>
          </cell>
        </row>
        <row r="5864">
          <cell r="I5864" t="str">
            <v>Proulx</v>
          </cell>
        </row>
        <row r="5865">
          <cell r="I5865" t="str">
            <v>Palmore</v>
          </cell>
        </row>
        <row r="5866">
          <cell r="I5866" t="str">
            <v>Monroy</v>
          </cell>
        </row>
        <row r="5867">
          <cell r="I5867" t="str">
            <v>Miguel</v>
          </cell>
        </row>
        <row r="5868">
          <cell r="I5868" t="str">
            <v>Messier</v>
          </cell>
        </row>
        <row r="5869">
          <cell r="I5869" t="str">
            <v>Melo</v>
          </cell>
        </row>
        <row r="5870">
          <cell r="I5870" t="str">
            <v>Melanson</v>
          </cell>
        </row>
        <row r="5871">
          <cell r="I5871" t="str">
            <v>Mashburn</v>
          </cell>
        </row>
        <row r="5872">
          <cell r="I5872" t="str">
            <v>Manzano</v>
          </cell>
        </row>
        <row r="5873">
          <cell r="I5873" t="str">
            <v>Lussier</v>
          </cell>
        </row>
        <row r="5874">
          <cell r="I5874" t="str">
            <v>Lovely</v>
          </cell>
        </row>
        <row r="5875">
          <cell r="I5875" t="str">
            <v>Lien</v>
          </cell>
        </row>
        <row r="5876">
          <cell r="I5876" t="str">
            <v>Jenks</v>
          </cell>
        </row>
        <row r="5877">
          <cell r="I5877" t="str">
            <v>Huneycutt</v>
          </cell>
        </row>
        <row r="5878">
          <cell r="I5878" t="str">
            <v>Hartwig</v>
          </cell>
        </row>
        <row r="5879">
          <cell r="I5879" t="str">
            <v>Grimsley</v>
          </cell>
        </row>
        <row r="5880">
          <cell r="I5880" t="str">
            <v>Fulk</v>
          </cell>
        </row>
        <row r="5881">
          <cell r="I5881" t="str">
            <v>Fielding</v>
          </cell>
        </row>
        <row r="5882">
          <cell r="I5882" t="str">
            <v>Fidler</v>
          </cell>
        </row>
        <row r="5883">
          <cell r="I5883" t="str">
            <v>Engstrom</v>
          </cell>
        </row>
        <row r="5884">
          <cell r="I5884" t="str">
            <v>Eldred</v>
          </cell>
        </row>
        <row r="5885">
          <cell r="I5885" t="str">
            <v>Dantzler</v>
          </cell>
        </row>
        <row r="5886">
          <cell r="I5886" t="str">
            <v>Crandell</v>
          </cell>
        </row>
        <row r="5887">
          <cell r="I5887" t="str">
            <v>Ching</v>
          </cell>
        </row>
        <row r="5888">
          <cell r="I5888" t="str">
            <v>Calder</v>
          </cell>
        </row>
        <row r="5889">
          <cell r="I5889" t="str">
            <v>Brumley</v>
          </cell>
        </row>
        <row r="5890">
          <cell r="I5890" t="str">
            <v>Breton</v>
          </cell>
        </row>
        <row r="5891">
          <cell r="I5891" t="str">
            <v>Brann</v>
          </cell>
        </row>
        <row r="5892">
          <cell r="I5892" t="str">
            <v>Bramlett</v>
          </cell>
        </row>
        <row r="5893">
          <cell r="I5893" t="str">
            <v>Boykins</v>
          </cell>
        </row>
        <row r="5894">
          <cell r="I5894" t="str">
            <v>Bianco</v>
          </cell>
        </row>
        <row r="5895">
          <cell r="I5895" t="str">
            <v>Bancroft</v>
          </cell>
        </row>
        <row r="5896">
          <cell r="I5896" t="str">
            <v>Almaraz</v>
          </cell>
        </row>
        <row r="5897">
          <cell r="I5897" t="str">
            <v>Alcantar</v>
          </cell>
        </row>
        <row r="5898">
          <cell r="I5898" t="str">
            <v>Whitmer</v>
          </cell>
        </row>
        <row r="5899">
          <cell r="I5899" t="str">
            <v>Whitener</v>
          </cell>
        </row>
        <row r="5900">
          <cell r="I5900" t="str">
            <v>Welton</v>
          </cell>
        </row>
        <row r="5901">
          <cell r="I5901" t="str">
            <v>Vineyard</v>
          </cell>
        </row>
        <row r="5902">
          <cell r="I5902" t="str">
            <v>Su</v>
          </cell>
        </row>
        <row r="5903">
          <cell r="I5903" t="str">
            <v>Rahn</v>
          </cell>
        </row>
        <row r="5904">
          <cell r="I5904" t="str">
            <v>Paquin</v>
          </cell>
        </row>
        <row r="5905">
          <cell r="I5905" t="str">
            <v>Mizell</v>
          </cell>
        </row>
        <row r="5906">
          <cell r="I5906" t="str">
            <v>Mix</v>
          </cell>
        </row>
        <row r="5907">
          <cell r="I5907" t="str">
            <v>Mcmillin</v>
          </cell>
        </row>
        <row r="5908">
          <cell r="I5908" t="str">
            <v>Mckean</v>
          </cell>
        </row>
        <row r="5909">
          <cell r="I5909" t="str">
            <v>Marston</v>
          </cell>
        </row>
        <row r="5910">
          <cell r="I5910" t="str">
            <v>Maciel</v>
          </cell>
        </row>
        <row r="5911">
          <cell r="I5911" t="str">
            <v>Lundquist</v>
          </cell>
        </row>
        <row r="5912">
          <cell r="I5912" t="str">
            <v>Louie</v>
          </cell>
        </row>
        <row r="5913">
          <cell r="I5913" t="str">
            <v>Liggins</v>
          </cell>
        </row>
        <row r="5914">
          <cell r="I5914" t="str">
            <v>Lampkin</v>
          </cell>
        </row>
        <row r="5915">
          <cell r="I5915" t="str">
            <v>Kranz</v>
          </cell>
        </row>
        <row r="5916">
          <cell r="I5916" t="str">
            <v>Koski</v>
          </cell>
        </row>
        <row r="5917">
          <cell r="I5917" t="str">
            <v>Kirkham</v>
          </cell>
        </row>
        <row r="5918">
          <cell r="I5918" t="str">
            <v>Jiminez</v>
          </cell>
        </row>
        <row r="5919">
          <cell r="I5919" t="str">
            <v>Hazzard</v>
          </cell>
        </row>
        <row r="5920">
          <cell r="I5920" t="str">
            <v>Harrod</v>
          </cell>
        </row>
        <row r="5921">
          <cell r="I5921" t="str">
            <v>Graziano</v>
          </cell>
        </row>
        <row r="5922">
          <cell r="I5922" t="str">
            <v>Grammer</v>
          </cell>
        </row>
        <row r="5923">
          <cell r="I5923" t="str">
            <v>Gendron</v>
          </cell>
        </row>
        <row r="5924">
          <cell r="I5924" t="str">
            <v>Garrido</v>
          </cell>
        </row>
        <row r="5925">
          <cell r="I5925" t="str">
            <v>Fordham</v>
          </cell>
        </row>
        <row r="5926">
          <cell r="I5926" t="str">
            <v>Englert</v>
          </cell>
        </row>
        <row r="5927">
          <cell r="I5927" t="str">
            <v>Elwood</v>
          </cell>
        </row>
        <row r="5928">
          <cell r="I5928" t="str">
            <v>Dryden</v>
          </cell>
        </row>
        <row r="5929">
          <cell r="I5929" t="str">
            <v>Demoss</v>
          </cell>
        </row>
        <row r="5930">
          <cell r="I5930" t="str">
            <v>Deluna</v>
          </cell>
        </row>
        <row r="5931">
          <cell r="I5931" t="str">
            <v>Crabb</v>
          </cell>
        </row>
        <row r="5932">
          <cell r="I5932" t="str">
            <v>Comeau</v>
          </cell>
        </row>
        <row r="5933">
          <cell r="I5933" t="str">
            <v>Claudio</v>
          </cell>
        </row>
        <row r="5934">
          <cell r="I5934" t="str">
            <v>Brummett</v>
          </cell>
        </row>
        <row r="5935">
          <cell r="I5935" t="str">
            <v>Blume</v>
          </cell>
        </row>
        <row r="5936">
          <cell r="I5936" t="str">
            <v>Benally</v>
          </cell>
        </row>
        <row r="5937">
          <cell r="I5937" t="str">
            <v>Wessel</v>
          </cell>
        </row>
        <row r="5938">
          <cell r="I5938" t="str">
            <v>Vanbuskirk</v>
          </cell>
        </row>
        <row r="5939">
          <cell r="I5939" t="str">
            <v>Thorson</v>
          </cell>
        </row>
        <row r="5940">
          <cell r="I5940" t="str">
            <v>Stumpf</v>
          </cell>
        </row>
        <row r="5941">
          <cell r="I5941" t="str">
            <v>Stockwell</v>
          </cell>
        </row>
        <row r="5942">
          <cell r="I5942" t="str">
            <v>Rocco</v>
          </cell>
        </row>
        <row r="5943">
          <cell r="I5943" t="str">
            <v>Reams</v>
          </cell>
        </row>
        <row r="5944">
          <cell r="I5944" t="str">
            <v>Radtke</v>
          </cell>
        </row>
        <row r="5945">
          <cell r="I5945" t="str">
            <v>Rackley</v>
          </cell>
        </row>
        <row r="5946">
          <cell r="I5946" t="str">
            <v>Pelton</v>
          </cell>
        </row>
        <row r="5947">
          <cell r="I5947" t="str">
            <v>Niemi</v>
          </cell>
        </row>
        <row r="5948">
          <cell r="I5948" t="str">
            <v>Newland</v>
          </cell>
        </row>
        <row r="5949">
          <cell r="I5949" t="str">
            <v>Nelsen</v>
          </cell>
        </row>
        <row r="5950">
          <cell r="I5950" t="str">
            <v>Morrissette</v>
          </cell>
        </row>
        <row r="5951">
          <cell r="I5951" t="str">
            <v>Miramontes</v>
          </cell>
        </row>
        <row r="5952">
          <cell r="I5952" t="str">
            <v>Mcginley</v>
          </cell>
        </row>
        <row r="5953">
          <cell r="I5953" t="str">
            <v>Mccluskey</v>
          </cell>
        </row>
        <row r="5954">
          <cell r="I5954" t="str">
            <v>Marley</v>
          </cell>
        </row>
        <row r="5955">
          <cell r="I5955" t="str">
            <v>Marchant</v>
          </cell>
        </row>
        <row r="5956">
          <cell r="I5956" t="str">
            <v>Luevano</v>
          </cell>
        </row>
        <row r="5957">
          <cell r="I5957" t="str">
            <v>Lampe</v>
          </cell>
        </row>
        <row r="5958">
          <cell r="I5958" t="str">
            <v>Lail</v>
          </cell>
        </row>
        <row r="5959">
          <cell r="I5959" t="str">
            <v>Jeffcoat</v>
          </cell>
        </row>
        <row r="5960">
          <cell r="I5960" t="str">
            <v>Infante</v>
          </cell>
        </row>
        <row r="5961">
          <cell r="I5961" t="str">
            <v>Hu</v>
          </cell>
        </row>
        <row r="5962">
          <cell r="I5962" t="str">
            <v>Hinman</v>
          </cell>
        </row>
        <row r="5963">
          <cell r="I5963" t="str">
            <v>Gaona</v>
          </cell>
        </row>
        <row r="5964">
          <cell r="I5964" t="str">
            <v>Erb</v>
          </cell>
        </row>
        <row r="5965">
          <cell r="I5965" t="str">
            <v>Eady</v>
          </cell>
        </row>
        <row r="5966">
          <cell r="I5966" t="str">
            <v>Desmarais</v>
          </cell>
        </row>
        <row r="5967">
          <cell r="I5967" t="str">
            <v>Decosta</v>
          </cell>
        </row>
        <row r="5968">
          <cell r="I5968" t="str">
            <v>Dansby</v>
          </cell>
        </row>
        <row r="5969">
          <cell r="I5969" t="str">
            <v>Cisco</v>
          </cell>
        </row>
        <row r="5970">
          <cell r="I5970" t="str">
            <v>Choe</v>
          </cell>
        </row>
        <row r="5971">
          <cell r="I5971" t="str">
            <v>Breckenridge</v>
          </cell>
        </row>
        <row r="5972">
          <cell r="I5972" t="str">
            <v>Bostwick</v>
          </cell>
        </row>
        <row r="5973">
          <cell r="I5973" t="str">
            <v>Borg</v>
          </cell>
        </row>
        <row r="5974">
          <cell r="I5974" t="str">
            <v>Bianchi</v>
          </cell>
        </row>
        <row r="5975">
          <cell r="I5975" t="str">
            <v>Beer</v>
          </cell>
        </row>
        <row r="5976">
          <cell r="I5976" t="str">
            <v>Alberts</v>
          </cell>
        </row>
        <row r="5977">
          <cell r="I5977" t="str">
            <v>Adrian</v>
          </cell>
        </row>
        <row r="5978">
          <cell r="I5978" t="str">
            <v>Wilkie</v>
          </cell>
        </row>
        <row r="5979">
          <cell r="I5979" t="str">
            <v>Whorton</v>
          </cell>
        </row>
        <row r="5980">
          <cell r="I5980" t="str">
            <v>Vargo</v>
          </cell>
        </row>
        <row r="5981">
          <cell r="I5981" t="str">
            <v>Tait</v>
          </cell>
        </row>
        <row r="5982">
          <cell r="I5982" t="str">
            <v>Sylvia</v>
          </cell>
        </row>
        <row r="5983">
          <cell r="I5983" t="str">
            <v>Soucy</v>
          </cell>
        </row>
        <row r="5984">
          <cell r="I5984" t="str">
            <v>Schuman</v>
          </cell>
        </row>
        <row r="5985">
          <cell r="I5985" t="str">
            <v>Ousley</v>
          </cell>
        </row>
        <row r="5986">
          <cell r="I5986" t="str">
            <v>Mumford</v>
          </cell>
        </row>
        <row r="5987">
          <cell r="I5987" t="str">
            <v>Lum</v>
          </cell>
        </row>
        <row r="5988">
          <cell r="I5988" t="str">
            <v>Lippert</v>
          </cell>
        </row>
        <row r="5989">
          <cell r="I5989" t="str">
            <v>Leath</v>
          </cell>
        </row>
        <row r="5990">
          <cell r="I5990" t="str">
            <v>Lavergne</v>
          </cell>
        </row>
        <row r="5991">
          <cell r="I5991" t="str">
            <v>Laliberte</v>
          </cell>
        </row>
        <row r="5992">
          <cell r="I5992" t="str">
            <v>Kirksey</v>
          </cell>
        </row>
        <row r="5993">
          <cell r="I5993" t="str">
            <v>Kenner</v>
          </cell>
        </row>
        <row r="5994">
          <cell r="I5994" t="str">
            <v>Johnsen</v>
          </cell>
        </row>
        <row r="5995">
          <cell r="I5995" t="str">
            <v>Izzo</v>
          </cell>
        </row>
        <row r="5996">
          <cell r="I5996" t="str">
            <v>Hiles</v>
          </cell>
        </row>
        <row r="5997">
          <cell r="I5997" t="str">
            <v>Gullett</v>
          </cell>
        </row>
        <row r="5998">
          <cell r="I5998" t="str">
            <v>Greenwell</v>
          </cell>
        </row>
        <row r="5999">
          <cell r="I5999" t="str">
            <v>Gaspar</v>
          </cell>
        </row>
        <row r="6000">
          <cell r="I6000" t="str">
            <v>Galbreath</v>
          </cell>
        </row>
        <row r="6001">
          <cell r="I6001" t="str">
            <v>Gaitan</v>
          </cell>
        </row>
        <row r="6002">
          <cell r="I6002" t="str">
            <v>Ericson</v>
          </cell>
        </row>
        <row r="6003">
          <cell r="I6003" t="str">
            <v>Duck</v>
          </cell>
        </row>
        <row r="6004">
          <cell r="I6004" t="str">
            <v>Delapaz</v>
          </cell>
        </row>
        <row r="6005">
          <cell r="I6005" t="str">
            <v>Croom</v>
          </cell>
        </row>
        <row r="6006">
          <cell r="I6006" t="str">
            <v>Cottingham</v>
          </cell>
        </row>
        <row r="6007">
          <cell r="I6007" t="str">
            <v>Clift</v>
          </cell>
        </row>
        <row r="6008">
          <cell r="I6008" t="str">
            <v>Bushnell</v>
          </cell>
        </row>
        <row r="6009">
          <cell r="I6009" t="str">
            <v>Boozer</v>
          </cell>
        </row>
        <row r="6010">
          <cell r="I6010" t="str">
            <v>Bice</v>
          </cell>
        </row>
        <row r="6011">
          <cell r="I6011" t="str">
            <v>Bernardo</v>
          </cell>
        </row>
        <row r="6012">
          <cell r="I6012" t="str">
            <v>Beason</v>
          </cell>
        </row>
        <row r="6013">
          <cell r="I6013" t="str">
            <v>Arrowood</v>
          </cell>
        </row>
        <row r="6014">
          <cell r="I6014" t="str">
            <v>Waring</v>
          </cell>
        </row>
        <row r="6015">
          <cell r="I6015" t="str">
            <v>Voorhees</v>
          </cell>
        </row>
        <row r="6016">
          <cell r="I6016" t="str">
            <v>Truax</v>
          </cell>
        </row>
        <row r="6017">
          <cell r="I6017" t="str">
            <v>Shreve</v>
          </cell>
        </row>
        <row r="6018">
          <cell r="I6018" t="str">
            <v>Shockey</v>
          </cell>
        </row>
        <row r="6019">
          <cell r="I6019" t="str">
            <v>Schatz</v>
          </cell>
        </row>
        <row r="6020">
          <cell r="I6020" t="str">
            <v>Sandifer</v>
          </cell>
        </row>
        <row r="6021">
          <cell r="I6021" t="str">
            <v>Rubino</v>
          </cell>
        </row>
        <row r="6022">
          <cell r="I6022" t="str">
            <v>Rozier</v>
          </cell>
        </row>
        <row r="6023">
          <cell r="I6023" t="str">
            <v>Roseberry</v>
          </cell>
        </row>
        <row r="6024">
          <cell r="I6024" t="str">
            <v>Roll</v>
          </cell>
        </row>
        <row r="6025">
          <cell r="I6025" t="str">
            <v>Player</v>
          </cell>
        </row>
        <row r="6026">
          <cell r="I6026" t="str">
            <v>Pieper</v>
          </cell>
        </row>
        <row r="6027">
          <cell r="I6027" t="str">
            <v>Peden</v>
          </cell>
        </row>
        <row r="6028">
          <cell r="I6028" t="str">
            <v>Nester</v>
          </cell>
        </row>
        <row r="6029">
          <cell r="I6029" t="str">
            <v>Nave</v>
          </cell>
        </row>
        <row r="6030">
          <cell r="I6030" t="str">
            <v>Murphey</v>
          </cell>
        </row>
        <row r="6031">
          <cell r="I6031" t="str">
            <v>Malinowski</v>
          </cell>
        </row>
        <row r="6032">
          <cell r="I6032" t="str">
            <v>Macgregor</v>
          </cell>
        </row>
        <row r="6033">
          <cell r="I6033" t="str">
            <v>Liang</v>
          </cell>
        </row>
        <row r="6034">
          <cell r="I6034" t="str">
            <v>Lafrance</v>
          </cell>
        </row>
        <row r="6035">
          <cell r="I6035" t="str">
            <v>Kunkle</v>
          </cell>
        </row>
        <row r="6036">
          <cell r="I6036" t="str">
            <v>Kirkman</v>
          </cell>
        </row>
        <row r="6037">
          <cell r="I6037" t="str">
            <v>Jorge</v>
          </cell>
        </row>
        <row r="6038">
          <cell r="I6038" t="str">
            <v>Hipp</v>
          </cell>
        </row>
        <row r="6039">
          <cell r="I6039" t="str">
            <v>Hasty</v>
          </cell>
        </row>
        <row r="6040">
          <cell r="I6040" t="str">
            <v>Haddix</v>
          </cell>
        </row>
        <row r="6041">
          <cell r="I6041" t="str">
            <v>Gervais</v>
          </cell>
        </row>
        <row r="6042">
          <cell r="I6042" t="str">
            <v>Gerdes</v>
          </cell>
        </row>
        <row r="6043">
          <cell r="I6043" t="str">
            <v>Garfield</v>
          </cell>
        </row>
        <row r="6044">
          <cell r="I6044" t="str">
            <v>Gamache</v>
          </cell>
        </row>
        <row r="6045">
          <cell r="I6045" t="str">
            <v>Fouts</v>
          </cell>
        </row>
        <row r="6046">
          <cell r="I6046" t="str">
            <v>Fitzwater</v>
          </cell>
        </row>
        <row r="6047">
          <cell r="I6047" t="str">
            <v>Dillingham</v>
          </cell>
        </row>
        <row r="6048">
          <cell r="I6048" t="str">
            <v>Deming</v>
          </cell>
        </row>
        <row r="6049">
          <cell r="I6049" t="str">
            <v>Deanda</v>
          </cell>
        </row>
        <row r="6050">
          <cell r="I6050" t="str">
            <v>Cedeno</v>
          </cell>
        </row>
        <row r="6051">
          <cell r="I6051" t="str">
            <v>Cannady</v>
          </cell>
        </row>
        <row r="6052">
          <cell r="I6052" t="str">
            <v>Burson</v>
          </cell>
        </row>
        <row r="6053">
          <cell r="I6053" t="str">
            <v>Bouldin</v>
          </cell>
        </row>
        <row r="6054">
          <cell r="I6054" t="str">
            <v>Arceneaux</v>
          </cell>
        </row>
        <row r="6055">
          <cell r="I6055" t="str">
            <v>Woodhouse</v>
          </cell>
        </row>
        <row r="6056">
          <cell r="I6056" t="str">
            <v>Whitford</v>
          </cell>
        </row>
        <row r="6057">
          <cell r="I6057" t="str">
            <v>Wescott</v>
          </cell>
        </row>
        <row r="6058">
          <cell r="I6058" t="str">
            <v>Welty</v>
          </cell>
        </row>
        <row r="6059">
          <cell r="I6059" t="str">
            <v>Weigel</v>
          </cell>
        </row>
        <row r="6060">
          <cell r="I6060" t="str">
            <v>Torgerson</v>
          </cell>
        </row>
        <row r="6061">
          <cell r="I6061" t="str">
            <v>Toms</v>
          </cell>
        </row>
        <row r="6062">
          <cell r="I6062" t="str">
            <v>Surber</v>
          </cell>
        </row>
        <row r="6063">
          <cell r="I6063" t="str">
            <v>Sunderland</v>
          </cell>
        </row>
        <row r="6064">
          <cell r="I6064" t="str">
            <v>Sterner</v>
          </cell>
        </row>
        <row r="6065">
          <cell r="I6065" t="str">
            <v>Setzer</v>
          </cell>
        </row>
        <row r="6066">
          <cell r="I6066" t="str">
            <v>Salvatore</v>
          </cell>
        </row>
        <row r="6067">
          <cell r="I6067" t="str">
            <v>Riojas</v>
          </cell>
        </row>
        <row r="6068">
          <cell r="I6068" t="str">
            <v>Pumphrey</v>
          </cell>
        </row>
        <row r="6069">
          <cell r="I6069" t="str">
            <v>Puga</v>
          </cell>
        </row>
        <row r="6070">
          <cell r="I6070" t="str">
            <v>Pedro</v>
          </cell>
        </row>
        <row r="6071">
          <cell r="I6071" t="str">
            <v>Patch</v>
          </cell>
        </row>
        <row r="6072">
          <cell r="I6072" t="str">
            <v>Metts</v>
          </cell>
        </row>
        <row r="6073">
          <cell r="I6073" t="str">
            <v>Mcgarry</v>
          </cell>
        </row>
        <row r="6074">
          <cell r="I6074" t="str">
            <v>Mccandless</v>
          </cell>
        </row>
        <row r="6075">
          <cell r="I6075" t="str">
            <v>Magill</v>
          </cell>
        </row>
        <row r="6076">
          <cell r="I6076" t="str">
            <v>Lupo</v>
          </cell>
        </row>
        <row r="6077">
          <cell r="I6077" t="str">
            <v>Loveland</v>
          </cell>
        </row>
        <row r="6078">
          <cell r="I6078" t="str">
            <v>Llamas</v>
          </cell>
        </row>
        <row r="6079">
          <cell r="I6079" t="str">
            <v>Leclerc</v>
          </cell>
        </row>
        <row r="6080">
          <cell r="I6080" t="str">
            <v>Koons</v>
          </cell>
        </row>
        <row r="6081">
          <cell r="I6081" t="str">
            <v>Kahler</v>
          </cell>
        </row>
        <row r="6082">
          <cell r="I6082" t="str">
            <v>Huss</v>
          </cell>
        </row>
        <row r="6083">
          <cell r="I6083" t="str">
            <v>Holbert</v>
          </cell>
        </row>
        <row r="6084">
          <cell r="I6084" t="str">
            <v>Heintz</v>
          </cell>
        </row>
        <row r="6085">
          <cell r="I6085" t="str">
            <v>Haupt</v>
          </cell>
        </row>
        <row r="6086">
          <cell r="I6086" t="str">
            <v>Grimmett</v>
          </cell>
        </row>
        <row r="6087">
          <cell r="I6087" t="str">
            <v>Gaskill</v>
          </cell>
        </row>
        <row r="6088">
          <cell r="I6088" t="str">
            <v>Flower</v>
          </cell>
        </row>
        <row r="6089">
          <cell r="I6089" t="str">
            <v>Ellingson</v>
          </cell>
        </row>
        <row r="6090">
          <cell r="I6090" t="str">
            <v>Dorr</v>
          </cell>
        </row>
        <row r="6091">
          <cell r="I6091" t="str">
            <v>Dingess</v>
          </cell>
        </row>
        <row r="6092">
          <cell r="I6092" t="str">
            <v>Deweese</v>
          </cell>
        </row>
        <row r="6093">
          <cell r="I6093" t="str">
            <v>Desilva</v>
          </cell>
        </row>
        <row r="6094">
          <cell r="I6094" t="str">
            <v>Crossley</v>
          </cell>
        </row>
        <row r="6095">
          <cell r="I6095" t="str">
            <v>Cordeiro</v>
          </cell>
        </row>
        <row r="6096">
          <cell r="I6096" t="str">
            <v>Converse</v>
          </cell>
        </row>
        <row r="6097">
          <cell r="I6097" t="str">
            <v>Conde</v>
          </cell>
        </row>
        <row r="6098">
          <cell r="I6098" t="str">
            <v>Cheeks</v>
          </cell>
        </row>
        <row r="6099">
          <cell r="I6099" t="str">
            <v>Caldera</v>
          </cell>
        </row>
        <row r="6100">
          <cell r="I6100" t="str">
            <v>Cairns</v>
          </cell>
        </row>
        <row r="6101">
          <cell r="I6101" t="str">
            <v>Burmeister</v>
          </cell>
        </row>
        <row r="6102">
          <cell r="I6102" t="str">
            <v>Burkhalter</v>
          </cell>
        </row>
        <row r="6103">
          <cell r="I6103" t="str">
            <v>Brawner</v>
          </cell>
        </row>
        <row r="6104">
          <cell r="I6104" t="str">
            <v>Bott</v>
          </cell>
        </row>
        <row r="6105">
          <cell r="I6105" t="str">
            <v>Youngs</v>
          </cell>
        </row>
        <row r="6106">
          <cell r="I6106" t="str">
            <v>Vierra</v>
          </cell>
        </row>
        <row r="6107">
          <cell r="I6107" t="str">
            <v>Valladares</v>
          </cell>
        </row>
        <row r="6108">
          <cell r="I6108" t="str">
            <v>Tiffany</v>
          </cell>
        </row>
        <row r="6109">
          <cell r="I6109" t="str">
            <v>Shrum</v>
          </cell>
        </row>
        <row r="6110">
          <cell r="I6110" t="str">
            <v>Shropshire</v>
          </cell>
        </row>
        <row r="6111">
          <cell r="I6111" t="str">
            <v>Sevilla</v>
          </cell>
        </row>
        <row r="6112">
          <cell r="I6112" t="str">
            <v>Rusk</v>
          </cell>
        </row>
        <row r="6113">
          <cell r="I6113" t="str">
            <v>Roof</v>
          </cell>
        </row>
        <row r="6114">
          <cell r="I6114" t="str">
            <v>Rodarte</v>
          </cell>
        </row>
        <row r="6115">
          <cell r="I6115" t="str">
            <v>Pedraza</v>
          </cell>
        </row>
        <row r="6116">
          <cell r="I6116" t="str">
            <v>Nino</v>
          </cell>
        </row>
        <row r="6117">
          <cell r="I6117" t="str">
            <v>Montana</v>
          </cell>
        </row>
        <row r="6118">
          <cell r="I6118" t="str">
            <v>Merino</v>
          </cell>
        </row>
        <row r="6119">
          <cell r="I6119" t="str">
            <v>Mcminn</v>
          </cell>
        </row>
        <row r="6120">
          <cell r="I6120" t="str">
            <v>Markle</v>
          </cell>
        </row>
        <row r="6121">
          <cell r="I6121" t="str">
            <v>Mapp</v>
          </cell>
        </row>
        <row r="6122">
          <cell r="I6122" t="str">
            <v>Lucia</v>
          </cell>
        </row>
        <row r="6123">
          <cell r="I6123" t="str">
            <v>Lajoie</v>
          </cell>
        </row>
        <row r="6124">
          <cell r="I6124" t="str">
            <v>Koerner</v>
          </cell>
        </row>
        <row r="6125">
          <cell r="I6125" t="str">
            <v>Kittrell</v>
          </cell>
        </row>
        <row r="6126">
          <cell r="I6126" t="str">
            <v>Kato</v>
          </cell>
        </row>
        <row r="6127">
          <cell r="I6127" t="str">
            <v>Hyder</v>
          </cell>
        </row>
        <row r="6128">
          <cell r="I6128" t="str">
            <v>Hollifield</v>
          </cell>
        </row>
        <row r="6129">
          <cell r="I6129" t="str">
            <v>Heiser</v>
          </cell>
        </row>
        <row r="6130">
          <cell r="I6130" t="str">
            <v>Hazlett</v>
          </cell>
        </row>
        <row r="6131">
          <cell r="I6131" t="str">
            <v>Greenwald</v>
          </cell>
        </row>
        <row r="6132">
          <cell r="I6132" t="str">
            <v>Fant</v>
          </cell>
        </row>
        <row r="6133">
          <cell r="I6133" t="str">
            <v>Eldredge</v>
          </cell>
        </row>
        <row r="6134">
          <cell r="I6134" t="str">
            <v>Dreher</v>
          </cell>
        </row>
        <row r="6135">
          <cell r="I6135" t="str">
            <v>Delafuente</v>
          </cell>
        </row>
        <row r="6136">
          <cell r="I6136" t="str">
            <v>Cravens</v>
          </cell>
        </row>
        <row r="6137">
          <cell r="I6137" t="str">
            <v>Claypool</v>
          </cell>
        </row>
        <row r="6138">
          <cell r="I6138" t="str">
            <v>Beecher</v>
          </cell>
        </row>
        <row r="6139">
          <cell r="I6139" t="str">
            <v>Aronson</v>
          </cell>
        </row>
        <row r="6140">
          <cell r="I6140" t="str">
            <v>Alanis</v>
          </cell>
        </row>
        <row r="6141">
          <cell r="I6141" t="str">
            <v>Worthen</v>
          </cell>
        </row>
        <row r="6142">
          <cell r="I6142" t="str">
            <v>Wojcik</v>
          </cell>
        </row>
        <row r="6143">
          <cell r="I6143" t="str">
            <v>Winger</v>
          </cell>
        </row>
        <row r="6144">
          <cell r="I6144" t="str">
            <v>Whitacre</v>
          </cell>
        </row>
        <row r="6145">
          <cell r="I6145" t="str">
            <v>Wellington</v>
          </cell>
        </row>
        <row r="6146">
          <cell r="I6146" t="str">
            <v>Valverde</v>
          </cell>
        </row>
        <row r="6147">
          <cell r="I6147" t="str">
            <v>Valdivia</v>
          </cell>
        </row>
        <row r="6148">
          <cell r="I6148" t="str">
            <v>Troupe</v>
          </cell>
        </row>
        <row r="6149">
          <cell r="I6149" t="str">
            <v>Thrower</v>
          </cell>
        </row>
        <row r="6150">
          <cell r="I6150" t="str">
            <v>Swindell</v>
          </cell>
        </row>
        <row r="6151">
          <cell r="I6151" t="str">
            <v>Suttles</v>
          </cell>
        </row>
        <row r="6152">
          <cell r="I6152" t="str">
            <v>Suh</v>
          </cell>
        </row>
        <row r="6153">
          <cell r="I6153" t="str">
            <v>Stroman</v>
          </cell>
        </row>
        <row r="6154">
          <cell r="I6154" t="str">
            <v>Spires</v>
          </cell>
        </row>
        <row r="6155">
          <cell r="I6155" t="str">
            <v>Slate</v>
          </cell>
        </row>
        <row r="6156">
          <cell r="I6156" t="str">
            <v>Shealy</v>
          </cell>
        </row>
        <row r="6157">
          <cell r="I6157" t="str">
            <v>Sarver</v>
          </cell>
        </row>
        <row r="6158">
          <cell r="I6158" t="str">
            <v>Sartin</v>
          </cell>
        </row>
        <row r="6159">
          <cell r="I6159" t="str">
            <v>Sadowski</v>
          </cell>
        </row>
        <row r="6160">
          <cell r="I6160" t="str">
            <v>Rondeau</v>
          </cell>
        </row>
        <row r="6161">
          <cell r="I6161" t="str">
            <v>Rolon</v>
          </cell>
        </row>
        <row r="6162">
          <cell r="I6162" t="str">
            <v>Rick</v>
          </cell>
        </row>
        <row r="6163">
          <cell r="I6163" t="str">
            <v>Rex</v>
          </cell>
        </row>
        <row r="6164">
          <cell r="I6164" t="str">
            <v>Rascon</v>
          </cell>
        </row>
        <row r="6165">
          <cell r="I6165" t="str">
            <v>Priddy</v>
          </cell>
        </row>
        <row r="6166">
          <cell r="I6166" t="str">
            <v>Pine</v>
          </cell>
        </row>
        <row r="6167">
          <cell r="I6167" t="str">
            <v>Paulino</v>
          </cell>
        </row>
        <row r="6168">
          <cell r="I6168" t="str">
            <v>Nolte</v>
          </cell>
        </row>
        <row r="6169">
          <cell r="I6169" t="str">
            <v>Munroe</v>
          </cell>
        </row>
        <row r="6170">
          <cell r="I6170" t="str">
            <v>Molloy</v>
          </cell>
        </row>
        <row r="6171">
          <cell r="I6171" t="str">
            <v>Mellon</v>
          </cell>
        </row>
        <row r="6172">
          <cell r="I6172" t="str">
            <v>Mciver</v>
          </cell>
        </row>
        <row r="6173">
          <cell r="I6173" t="str">
            <v>Lykins</v>
          </cell>
        </row>
        <row r="6174">
          <cell r="I6174" t="str">
            <v>Loggins</v>
          </cell>
        </row>
        <row r="6175">
          <cell r="I6175" t="str">
            <v>Lillie</v>
          </cell>
        </row>
        <row r="6176">
          <cell r="I6176" t="str">
            <v>Lenoir</v>
          </cell>
        </row>
        <row r="6177">
          <cell r="I6177" t="str">
            <v>Klotz</v>
          </cell>
        </row>
        <row r="6178">
          <cell r="I6178" t="str">
            <v>Kempf</v>
          </cell>
        </row>
        <row r="6179">
          <cell r="I6179" t="str">
            <v>Jone</v>
          </cell>
        </row>
        <row r="6180">
          <cell r="I6180" t="str">
            <v>Hupp</v>
          </cell>
        </row>
        <row r="6181">
          <cell r="I6181" t="str">
            <v>Hollowell</v>
          </cell>
        </row>
        <row r="6182">
          <cell r="I6182" t="str">
            <v>Hollander</v>
          </cell>
        </row>
        <row r="6183">
          <cell r="I6183" t="str">
            <v>Haynie</v>
          </cell>
        </row>
        <row r="6184">
          <cell r="I6184" t="str">
            <v>Hassan</v>
          </cell>
        </row>
        <row r="6185">
          <cell r="I6185" t="str">
            <v>Harkness</v>
          </cell>
        </row>
        <row r="6186">
          <cell r="I6186" t="str">
            <v>Harker</v>
          </cell>
        </row>
        <row r="6187">
          <cell r="I6187" t="str">
            <v>Gottlieb</v>
          </cell>
        </row>
        <row r="6188">
          <cell r="I6188" t="str">
            <v>Frith</v>
          </cell>
        </row>
        <row r="6189">
          <cell r="I6189" t="str">
            <v>Eddins</v>
          </cell>
        </row>
        <row r="6190">
          <cell r="I6190" t="str">
            <v>Driskell</v>
          </cell>
        </row>
        <row r="6191">
          <cell r="I6191" t="str">
            <v>Doggett</v>
          </cell>
        </row>
        <row r="6192">
          <cell r="I6192" t="str">
            <v>Densmore</v>
          </cell>
        </row>
        <row r="6193">
          <cell r="I6193" t="str">
            <v>Charette</v>
          </cell>
        </row>
        <row r="6194">
          <cell r="I6194" t="str">
            <v>Cassady</v>
          </cell>
        </row>
        <row r="6195">
          <cell r="I6195" t="str">
            <v>Carrol</v>
          </cell>
        </row>
        <row r="6196">
          <cell r="I6196" t="str">
            <v>Byrum</v>
          </cell>
        </row>
        <row r="6197">
          <cell r="I6197" t="str">
            <v>Burcham</v>
          </cell>
        </row>
        <row r="6198">
          <cell r="I6198" t="str">
            <v>Buggs</v>
          </cell>
        </row>
        <row r="6199">
          <cell r="I6199" t="str">
            <v>Benn</v>
          </cell>
        </row>
        <row r="6200">
          <cell r="I6200" t="str">
            <v>Whitted</v>
          </cell>
        </row>
        <row r="6201">
          <cell r="I6201" t="str">
            <v>Warrington</v>
          </cell>
        </row>
        <row r="6202">
          <cell r="I6202" t="str">
            <v>Vandusen</v>
          </cell>
        </row>
        <row r="6203">
          <cell r="I6203" t="str">
            <v>Vaillancourt</v>
          </cell>
        </row>
        <row r="6204">
          <cell r="I6204" t="str">
            <v>Steger</v>
          </cell>
        </row>
        <row r="6205">
          <cell r="I6205" t="str">
            <v>Spell</v>
          </cell>
        </row>
        <row r="6206">
          <cell r="I6206" t="str">
            <v>Siebert</v>
          </cell>
        </row>
        <row r="6207">
          <cell r="I6207" t="str">
            <v>Scofield</v>
          </cell>
        </row>
        <row r="6208">
          <cell r="I6208" t="str">
            <v>Quirk</v>
          </cell>
        </row>
        <row r="6209">
          <cell r="I6209" t="str">
            <v>Purser</v>
          </cell>
        </row>
        <row r="6210">
          <cell r="I6210" t="str">
            <v>Plumb</v>
          </cell>
        </row>
        <row r="6211">
          <cell r="I6211" t="str">
            <v>Orcutt</v>
          </cell>
        </row>
        <row r="6212">
          <cell r="I6212" t="str">
            <v>Northern</v>
          </cell>
        </row>
        <row r="6213">
          <cell r="I6213" t="str">
            <v>Nordstrom</v>
          </cell>
        </row>
        <row r="6214">
          <cell r="I6214" t="str">
            <v>Mosely</v>
          </cell>
        </row>
        <row r="6215">
          <cell r="I6215" t="str">
            <v>Michalski</v>
          </cell>
        </row>
        <row r="6216">
          <cell r="I6216" t="str">
            <v>Mcphail</v>
          </cell>
        </row>
        <row r="6217">
          <cell r="I6217" t="str">
            <v>Mcdavid</v>
          </cell>
        </row>
        <row r="6218">
          <cell r="I6218" t="str">
            <v>Mccraw</v>
          </cell>
        </row>
        <row r="6219">
          <cell r="I6219" t="str">
            <v>Martini</v>
          </cell>
        </row>
        <row r="6220">
          <cell r="I6220" t="str">
            <v>Marchese</v>
          </cell>
        </row>
        <row r="6221">
          <cell r="I6221" t="str">
            <v>Mannino</v>
          </cell>
        </row>
        <row r="6222">
          <cell r="I6222" t="str">
            <v>Leo</v>
          </cell>
        </row>
        <row r="6223">
          <cell r="I6223" t="str">
            <v>Lefevre</v>
          </cell>
        </row>
        <row r="6224">
          <cell r="I6224" t="str">
            <v>Largent</v>
          </cell>
        </row>
        <row r="6225">
          <cell r="I6225" t="str">
            <v>Lanza</v>
          </cell>
        </row>
        <row r="6226">
          <cell r="I6226" t="str">
            <v>Kress</v>
          </cell>
        </row>
        <row r="6227">
          <cell r="I6227" t="str">
            <v>Isham</v>
          </cell>
        </row>
        <row r="6228">
          <cell r="I6228" t="str">
            <v>Hunsaker</v>
          </cell>
        </row>
        <row r="6229">
          <cell r="I6229" t="str">
            <v>Hoch</v>
          </cell>
        </row>
        <row r="6230">
          <cell r="I6230" t="str">
            <v>Hildebrandt</v>
          </cell>
        </row>
        <row r="6231">
          <cell r="I6231" t="str">
            <v>Guarino</v>
          </cell>
        </row>
        <row r="6232">
          <cell r="I6232" t="str">
            <v>Grijalva</v>
          </cell>
        </row>
        <row r="6233">
          <cell r="I6233" t="str">
            <v>Graybill</v>
          </cell>
        </row>
        <row r="6234">
          <cell r="I6234" t="str">
            <v>Fick</v>
          </cell>
        </row>
        <row r="6235">
          <cell r="I6235" t="str">
            <v>Ewell</v>
          </cell>
        </row>
        <row r="6236">
          <cell r="I6236" t="str">
            <v>Ewald</v>
          </cell>
        </row>
        <row r="6237">
          <cell r="I6237" t="str">
            <v>Deangelo</v>
          </cell>
        </row>
        <row r="6238">
          <cell r="I6238" t="str">
            <v>Cusick</v>
          </cell>
        </row>
        <row r="6239">
          <cell r="I6239" t="str">
            <v>Crumley</v>
          </cell>
        </row>
        <row r="6240">
          <cell r="I6240" t="str">
            <v>Coston</v>
          </cell>
        </row>
        <row r="6241">
          <cell r="I6241" t="str">
            <v>Cathcart</v>
          </cell>
        </row>
        <row r="6242">
          <cell r="I6242" t="str">
            <v>Carruthers</v>
          </cell>
        </row>
        <row r="6243">
          <cell r="I6243" t="str">
            <v>Bullington</v>
          </cell>
        </row>
        <row r="6244">
          <cell r="I6244" t="str">
            <v>Brian</v>
          </cell>
        </row>
        <row r="6245">
          <cell r="I6245" t="str">
            <v>Bowes</v>
          </cell>
        </row>
        <row r="6246">
          <cell r="I6246" t="str">
            <v>Blain</v>
          </cell>
        </row>
        <row r="6247">
          <cell r="I6247" t="str">
            <v>Blackford</v>
          </cell>
        </row>
        <row r="6248">
          <cell r="I6248" t="str">
            <v>Barboza</v>
          </cell>
        </row>
        <row r="6249">
          <cell r="I6249" t="str">
            <v>Yingling</v>
          </cell>
        </row>
        <row r="6250">
          <cell r="I6250" t="str">
            <v>Woodland</v>
          </cell>
        </row>
        <row r="6251">
          <cell r="I6251" t="str">
            <v>Wert</v>
          </cell>
        </row>
        <row r="6252">
          <cell r="I6252" t="str">
            <v>Weiland</v>
          </cell>
        </row>
        <row r="6253">
          <cell r="I6253" t="str">
            <v>Varga</v>
          </cell>
        </row>
        <row r="6254">
          <cell r="I6254" t="str">
            <v>Silverstein</v>
          </cell>
        </row>
        <row r="6255">
          <cell r="I6255" t="str">
            <v>Sievers</v>
          </cell>
        </row>
        <row r="6256">
          <cell r="I6256" t="str">
            <v>Shuster</v>
          </cell>
        </row>
        <row r="6257">
          <cell r="I6257" t="str">
            <v>Shumway</v>
          </cell>
        </row>
        <row r="6258">
          <cell r="I6258" t="str">
            <v>Scudder</v>
          </cell>
        </row>
        <row r="6259">
          <cell r="I6259" t="str">
            <v>Runnels</v>
          </cell>
        </row>
        <row r="6260">
          <cell r="I6260" t="str">
            <v>Rumsey</v>
          </cell>
        </row>
        <row r="6261">
          <cell r="I6261" t="str">
            <v>Renfroe</v>
          </cell>
        </row>
        <row r="6262">
          <cell r="I6262" t="str">
            <v>Provencher</v>
          </cell>
        </row>
        <row r="6263">
          <cell r="I6263" t="str">
            <v>Polley</v>
          </cell>
        </row>
        <row r="6264">
          <cell r="I6264" t="str">
            <v>Mohler</v>
          </cell>
        </row>
        <row r="6265">
          <cell r="I6265" t="str">
            <v>Middlebrooks</v>
          </cell>
        </row>
        <row r="6266">
          <cell r="I6266" t="str">
            <v>Kutz</v>
          </cell>
        </row>
        <row r="6267">
          <cell r="I6267" t="str">
            <v>Koster</v>
          </cell>
        </row>
        <row r="6268">
          <cell r="I6268" t="str">
            <v>Korn</v>
          </cell>
        </row>
        <row r="6269">
          <cell r="I6269" t="str">
            <v>Grow</v>
          </cell>
        </row>
        <row r="6270">
          <cell r="I6270" t="str">
            <v>Groth</v>
          </cell>
        </row>
        <row r="6271">
          <cell r="I6271" t="str">
            <v>Glidden</v>
          </cell>
        </row>
        <row r="6272">
          <cell r="I6272" t="str">
            <v>Fazio</v>
          </cell>
        </row>
        <row r="6273">
          <cell r="I6273" t="str">
            <v>Deen</v>
          </cell>
        </row>
        <row r="6274">
          <cell r="I6274" t="str">
            <v>Corn</v>
          </cell>
        </row>
        <row r="6275">
          <cell r="I6275" t="str">
            <v>Copper</v>
          </cell>
        </row>
        <row r="6276">
          <cell r="I6276" t="str">
            <v>Chipman</v>
          </cell>
        </row>
        <row r="6277">
          <cell r="I6277" t="str">
            <v>Chenoweth</v>
          </cell>
        </row>
        <row r="6278">
          <cell r="I6278" t="str">
            <v>Champlin</v>
          </cell>
        </row>
        <row r="6279">
          <cell r="I6279" t="str">
            <v>Cedillo</v>
          </cell>
        </row>
        <row r="6280">
          <cell r="I6280" t="str">
            <v>Carrero</v>
          </cell>
        </row>
        <row r="6281">
          <cell r="I6281" t="str">
            <v>Carmody</v>
          </cell>
        </row>
        <row r="6282">
          <cell r="I6282" t="str">
            <v>Buckles</v>
          </cell>
        </row>
        <row r="6283">
          <cell r="I6283" t="str">
            <v>Brien</v>
          </cell>
        </row>
        <row r="6284">
          <cell r="I6284" t="str">
            <v>Boutin</v>
          </cell>
        </row>
        <row r="6285">
          <cell r="I6285" t="str">
            <v>Bosch</v>
          </cell>
        </row>
        <row r="6286">
          <cell r="I6286" t="str">
            <v>Bill</v>
          </cell>
        </row>
        <row r="6287">
          <cell r="I6287" t="str">
            <v>Berkowitz</v>
          </cell>
        </row>
        <row r="6288">
          <cell r="I6288" t="str">
            <v>Altamirano</v>
          </cell>
        </row>
        <row r="6289">
          <cell r="I6289" t="str">
            <v>Wilfong</v>
          </cell>
        </row>
        <row r="6290">
          <cell r="I6290" t="str">
            <v>Wiegand</v>
          </cell>
        </row>
        <row r="6291">
          <cell r="I6291" t="str">
            <v>Waites</v>
          </cell>
        </row>
        <row r="6292">
          <cell r="I6292" t="str">
            <v>Truesdale</v>
          </cell>
        </row>
        <row r="6293">
          <cell r="I6293" t="str">
            <v>Toussaint</v>
          </cell>
        </row>
        <row r="6294">
          <cell r="I6294" t="str">
            <v>Tobey</v>
          </cell>
        </row>
        <row r="6295">
          <cell r="I6295" t="str">
            <v>Tedder</v>
          </cell>
        </row>
        <row r="6296">
          <cell r="I6296" t="str">
            <v>Steelman</v>
          </cell>
        </row>
        <row r="6297">
          <cell r="I6297" t="str">
            <v>Sirois</v>
          </cell>
        </row>
        <row r="6298">
          <cell r="I6298" t="str">
            <v>Schnell</v>
          </cell>
        </row>
        <row r="6299">
          <cell r="I6299" t="str">
            <v>Robichaud</v>
          </cell>
        </row>
        <row r="6300">
          <cell r="I6300" t="str">
            <v>Ridge</v>
          </cell>
        </row>
        <row r="6301">
          <cell r="I6301" t="str">
            <v>Richburg</v>
          </cell>
        </row>
        <row r="6302">
          <cell r="I6302" t="str">
            <v>Pray</v>
          </cell>
        </row>
        <row r="6303">
          <cell r="I6303" t="str">
            <v>Plumley</v>
          </cell>
        </row>
        <row r="6304">
          <cell r="I6304" t="str">
            <v>Pizarro</v>
          </cell>
        </row>
        <row r="6305">
          <cell r="I6305" t="str">
            <v>Piercy</v>
          </cell>
        </row>
        <row r="6306">
          <cell r="I6306" t="str">
            <v>Ortego</v>
          </cell>
        </row>
        <row r="6307">
          <cell r="I6307" t="str">
            <v>Oberg</v>
          </cell>
        </row>
        <row r="6308">
          <cell r="I6308" t="str">
            <v>Neace</v>
          </cell>
        </row>
        <row r="6309">
          <cell r="I6309" t="str">
            <v>Music</v>
          </cell>
        </row>
        <row r="6310">
          <cell r="I6310" t="str">
            <v>Mickey</v>
          </cell>
        </row>
        <row r="6311">
          <cell r="I6311" t="str">
            <v>Mertz</v>
          </cell>
        </row>
        <row r="6312">
          <cell r="I6312" t="str">
            <v>Mcnew</v>
          </cell>
        </row>
        <row r="6313">
          <cell r="I6313" t="str">
            <v>Matta</v>
          </cell>
        </row>
        <row r="6314">
          <cell r="I6314" t="str">
            <v>Lawyer</v>
          </cell>
        </row>
        <row r="6315">
          <cell r="I6315" t="str">
            <v>Lapp</v>
          </cell>
        </row>
        <row r="6316">
          <cell r="I6316" t="str">
            <v>Lair</v>
          </cell>
        </row>
        <row r="6317">
          <cell r="I6317" t="str">
            <v>Kibler</v>
          </cell>
        </row>
        <row r="6318">
          <cell r="I6318" t="str">
            <v>Jessie</v>
          </cell>
        </row>
        <row r="6319">
          <cell r="I6319" t="str">
            <v>Howlett</v>
          </cell>
        </row>
        <row r="6320">
          <cell r="I6320" t="str">
            <v>Hollister</v>
          </cell>
        </row>
        <row r="6321">
          <cell r="I6321" t="str">
            <v>Hofer</v>
          </cell>
        </row>
        <row r="6322">
          <cell r="I6322" t="str">
            <v>Hatten</v>
          </cell>
        </row>
        <row r="6323">
          <cell r="I6323" t="str">
            <v>Hagler</v>
          </cell>
        </row>
        <row r="6324">
          <cell r="I6324" t="str">
            <v>Germany</v>
          </cell>
        </row>
        <row r="6325">
          <cell r="I6325" t="str">
            <v>Falgoust</v>
          </cell>
        </row>
        <row r="6326">
          <cell r="I6326" t="str">
            <v>Engelhardt</v>
          </cell>
        </row>
        <row r="6327">
          <cell r="I6327" t="str">
            <v>Eberle</v>
          </cell>
        </row>
        <row r="6328">
          <cell r="I6328" t="str">
            <v>Eastwood</v>
          </cell>
        </row>
        <row r="6329">
          <cell r="I6329" t="str">
            <v>Dombrowski</v>
          </cell>
        </row>
        <row r="6330">
          <cell r="I6330" t="str">
            <v>Dinsmore</v>
          </cell>
        </row>
        <row r="6331">
          <cell r="I6331" t="str">
            <v>Daye</v>
          </cell>
        </row>
        <row r="6332">
          <cell r="I6332" t="str">
            <v>Cool</v>
          </cell>
        </row>
        <row r="6333">
          <cell r="I6333" t="str">
            <v>Casares</v>
          </cell>
        </row>
        <row r="6334">
          <cell r="I6334" t="str">
            <v>Capone</v>
          </cell>
        </row>
        <row r="6335">
          <cell r="I6335" t="str">
            <v>Braud</v>
          </cell>
        </row>
        <row r="6336">
          <cell r="I6336" t="str">
            <v>Balch</v>
          </cell>
        </row>
        <row r="6337">
          <cell r="I6337" t="str">
            <v>Autrey</v>
          </cell>
        </row>
        <row r="6338">
          <cell r="I6338" t="str">
            <v>Wendel</v>
          </cell>
        </row>
        <row r="6339">
          <cell r="I6339" t="str">
            <v>Tyndall</v>
          </cell>
        </row>
        <row r="6340">
          <cell r="I6340" t="str">
            <v>Toy</v>
          </cell>
        </row>
        <row r="6341">
          <cell r="I6341" t="str">
            <v>Strobel</v>
          </cell>
        </row>
        <row r="6342">
          <cell r="I6342" t="str">
            <v>Stoltz</v>
          </cell>
        </row>
        <row r="6343">
          <cell r="I6343" t="str">
            <v>Spinelli</v>
          </cell>
        </row>
        <row r="6344">
          <cell r="I6344" t="str">
            <v>Serrato</v>
          </cell>
        </row>
        <row r="6345">
          <cell r="I6345" t="str">
            <v>Rochester</v>
          </cell>
        </row>
        <row r="6346">
          <cell r="I6346" t="str">
            <v>Reber</v>
          </cell>
        </row>
        <row r="6347">
          <cell r="I6347" t="str">
            <v>Real</v>
          </cell>
        </row>
        <row r="6348">
          <cell r="I6348" t="str">
            <v>Rathbone</v>
          </cell>
        </row>
        <row r="6349">
          <cell r="I6349" t="str">
            <v>Palomino</v>
          </cell>
        </row>
        <row r="6350">
          <cell r="I6350" t="str">
            <v>Noah</v>
          </cell>
        </row>
        <row r="6351">
          <cell r="I6351" t="str">
            <v>Nickels</v>
          </cell>
        </row>
        <row r="6352">
          <cell r="I6352" t="str">
            <v>Mayle</v>
          </cell>
        </row>
        <row r="6353">
          <cell r="I6353" t="str">
            <v>Mathers</v>
          </cell>
        </row>
        <row r="6354">
          <cell r="I6354" t="str">
            <v>Mach</v>
          </cell>
        </row>
        <row r="6355">
          <cell r="I6355" t="str">
            <v>Loeffler</v>
          </cell>
        </row>
        <row r="6356">
          <cell r="I6356" t="str">
            <v>Littrell</v>
          </cell>
        </row>
        <row r="6357">
          <cell r="I6357" t="str">
            <v>Levinson</v>
          </cell>
        </row>
        <row r="6358">
          <cell r="I6358" t="str">
            <v>Leong</v>
          </cell>
        </row>
        <row r="6359">
          <cell r="I6359" t="str">
            <v>Lemire</v>
          </cell>
        </row>
        <row r="6360">
          <cell r="I6360" t="str">
            <v>Lejeune</v>
          </cell>
        </row>
        <row r="6361">
          <cell r="I6361" t="str">
            <v>Lazo</v>
          </cell>
        </row>
        <row r="6362">
          <cell r="I6362" t="str">
            <v>Lasley</v>
          </cell>
        </row>
        <row r="6363">
          <cell r="I6363" t="str">
            <v>Koller</v>
          </cell>
        </row>
        <row r="6364">
          <cell r="I6364" t="str">
            <v>Kennard</v>
          </cell>
        </row>
        <row r="6365">
          <cell r="I6365" t="str">
            <v>Jester</v>
          </cell>
        </row>
        <row r="6366">
          <cell r="I6366" t="str">
            <v>Hoelscher</v>
          </cell>
        </row>
        <row r="6367">
          <cell r="I6367" t="str">
            <v>Hintz</v>
          </cell>
        </row>
        <row r="6368">
          <cell r="I6368" t="str">
            <v>Hagerman</v>
          </cell>
        </row>
        <row r="6369">
          <cell r="I6369" t="str">
            <v>Greaves</v>
          </cell>
        </row>
        <row r="6370">
          <cell r="I6370" t="str">
            <v>Fore</v>
          </cell>
        </row>
        <row r="6371">
          <cell r="I6371" t="str">
            <v>Eudy</v>
          </cell>
        </row>
        <row r="6372">
          <cell r="I6372" t="str">
            <v>Engler</v>
          </cell>
        </row>
        <row r="6373">
          <cell r="I6373" t="str">
            <v>Corrales</v>
          </cell>
        </row>
        <row r="6374">
          <cell r="I6374" t="str">
            <v>Cordes</v>
          </cell>
        </row>
        <row r="6375">
          <cell r="I6375" t="str">
            <v>Brunet</v>
          </cell>
        </row>
        <row r="6376">
          <cell r="I6376" t="str">
            <v>Bidwell</v>
          </cell>
        </row>
        <row r="6377">
          <cell r="I6377" t="str">
            <v>Bennet</v>
          </cell>
        </row>
        <row r="6378">
          <cell r="I6378" t="str">
            <v>Bare</v>
          </cell>
        </row>
        <row r="6379">
          <cell r="I6379" t="str">
            <v>Tyrrell</v>
          </cell>
        </row>
        <row r="6380">
          <cell r="I6380" t="str">
            <v>Tharpe</v>
          </cell>
        </row>
        <row r="6381">
          <cell r="I6381" t="str">
            <v>Swinton</v>
          </cell>
        </row>
        <row r="6382">
          <cell r="I6382" t="str">
            <v>Stribling</v>
          </cell>
        </row>
        <row r="6383">
          <cell r="I6383" t="str">
            <v>Steven</v>
          </cell>
        </row>
        <row r="6384">
          <cell r="I6384" t="str">
            <v>Southworth</v>
          </cell>
        </row>
        <row r="6385">
          <cell r="I6385" t="str">
            <v>Sisneros</v>
          </cell>
        </row>
        <row r="6386">
          <cell r="I6386" t="str">
            <v>Shane</v>
          </cell>
        </row>
        <row r="6387">
          <cell r="I6387" t="str">
            <v>Savoie</v>
          </cell>
        </row>
        <row r="6388">
          <cell r="I6388" t="str">
            <v>Samons</v>
          </cell>
        </row>
        <row r="6389">
          <cell r="I6389" t="str">
            <v>Ruvalcaba</v>
          </cell>
        </row>
        <row r="6390">
          <cell r="I6390" t="str">
            <v>Roscoe</v>
          </cell>
        </row>
        <row r="6391">
          <cell r="I6391" t="str">
            <v>Ries</v>
          </cell>
        </row>
        <row r="6392">
          <cell r="I6392" t="str">
            <v>Ramer</v>
          </cell>
        </row>
        <row r="6393">
          <cell r="I6393" t="str">
            <v>Omara</v>
          </cell>
        </row>
        <row r="6394">
          <cell r="I6394" t="str">
            <v>Mosqueda</v>
          </cell>
        </row>
        <row r="6395">
          <cell r="I6395" t="str">
            <v>Millar</v>
          </cell>
        </row>
        <row r="6396">
          <cell r="I6396" t="str">
            <v>Mcpeak</v>
          </cell>
        </row>
        <row r="6397">
          <cell r="I6397" t="str">
            <v>Macomber</v>
          </cell>
        </row>
        <row r="6398">
          <cell r="I6398" t="str">
            <v>Luckey</v>
          </cell>
        </row>
        <row r="6399">
          <cell r="I6399" t="str">
            <v>Litton</v>
          </cell>
        </row>
        <row r="6400">
          <cell r="I6400" t="str">
            <v>Lehr</v>
          </cell>
        </row>
        <row r="6401">
          <cell r="I6401" t="str">
            <v>Lavin</v>
          </cell>
        </row>
        <row r="6402">
          <cell r="I6402" t="str">
            <v>Hubbs</v>
          </cell>
        </row>
        <row r="6403">
          <cell r="I6403" t="str">
            <v>Hoard</v>
          </cell>
        </row>
        <row r="6404">
          <cell r="I6404" t="str">
            <v>Hibbs</v>
          </cell>
        </row>
        <row r="6405">
          <cell r="I6405" t="str">
            <v>Hagans</v>
          </cell>
        </row>
        <row r="6406">
          <cell r="I6406" t="str">
            <v>Futrell</v>
          </cell>
        </row>
        <row r="6407">
          <cell r="I6407" t="str">
            <v>Exum</v>
          </cell>
        </row>
        <row r="6408">
          <cell r="I6408" t="str">
            <v>Evenson</v>
          </cell>
        </row>
        <row r="6409">
          <cell r="I6409" t="str">
            <v>Dicks</v>
          </cell>
        </row>
        <row r="6410">
          <cell r="I6410" t="str">
            <v>Culler</v>
          </cell>
        </row>
        <row r="6411">
          <cell r="I6411" t="str">
            <v>Chou</v>
          </cell>
        </row>
        <row r="6412">
          <cell r="I6412" t="str">
            <v>Carbaugh</v>
          </cell>
        </row>
        <row r="6413">
          <cell r="I6413" t="str">
            <v>Callen</v>
          </cell>
        </row>
        <row r="6414">
          <cell r="I6414" t="str">
            <v>Brashear</v>
          </cell>
        </row>
        <row r="6415">
          <cell r="I6415" t="str">
            <v>Bloomer</v>
          </cell>
        </row>
        <row r="6416">
          <cell r="I6416" t="str">
            <v>Blakeney</v>
          </cell>
        </row>
        <row r="6417">
          <cell r="I6417" t="str">
            <v>Bigler</v>
          </cell>
        </row>
        <row r="6418">
          <cell r="I6418" t="str">
            <v>Addington</v>
          </cell>
        </row>
        <row r="6419">
          <cell r="I6419" t="str">
            <v>Woodford</v>
          </cell>
        </row>
        <row r="6420">
          <cell r="I6420" t="str">
            <v>Witter</v>
          </cell>
        </row>
        <row r="6421">
          <cell r="I6421" t="str">
            <v>Unruh</v>
          </cell>
        </row>
        <row r="6422">
          <cell r="I6422" t="str">
            <v>Tolentino</v>
          </cell>
        </row>
        <row r="6423">
          <cell r="I6423" t="str">
            <v>Sumrall</v>
          </cell>
        </row>
        <row r="6424">
          <cell r="I6424" t="str">
            <v>Stgermain</v>
          </cell>
        </row>
        <row r="6425">
          <cell r="I6425" t="str">
            <v>Smock</v>
          </cell>
        </row>
        <row r="6426">
          <cell r="I6426" t="str">
            <v>Sherer</v>
          </cell>
        </row>
        <row r="6427">
          <cell r="I6427" t="str">
            <v>Salem</v>
          </cell>
        </row>
        <row r="6428">
          <cell r="I6428" t="str">
            <v>Rochelle</v>
          </cell>
        </row>
        <row r="6429">
          <cell r="I6429" t="str">
            <v>Rayner</v>
          </cell>
        </row>
        <row r="6430">
          <cell r="I6430" t="str">
            <v>Pooler</v>
          </cell>
        </row>
        <row r="6431">
          <cell r="I6431" t="str">
            <v>Oquinn</v>
          </cell>
        </row>
        <row r="6432">
          <cell r="I6432" t="str">
            <v>Nero</v>
          </cell>
        </row>
        <row r="6433">
          <cell r="I6433" t="str">
            <v>Milano</v>
          </cell>
        </row>
        <row r="6434">
          <cell r="I6434" t="str">
            <v>Mcglothlin</v>
          </cell>
        </row>
        <row r="6435">
          <cell r="I6435" t="str">
            <v>Mars</v>
          </cell>
        </row>
        <row r="6436">
          <cell r="I6436" t="str">
            <v>Linden</v>
          </cell>
        </row>
        <row r="6437">
          <cell r="I6437" t="str">
            <v>Kowal</v>
          </cell>
        </row>
        <row r="6438">
          <cell r="I6438" t="str">
            <v>Kerrigan</v>
          </cell>
        </row>
        <row r="6439">
          <cell r="I6439" t="str">
            <v>Ibrahim</v>
          </cell>
        </row>
        <row r="6440">
          <cell r="I6440" t="str">
            <v>Harvell</v>
          </cell>
        </row>
        <row r="6441">
          <cell r="I6441" t="str">
            <v>Hanrahan</v>
          </cell>
        </row>
        <row r="6442">
          <cell r="I6442" t="str">
            <v>Goodall</v>
          </cell>
        </row>
        <row r="6443">
          <cell r="I6443" t="str">
            <v>Geist</v>
          </cell>
        </row>
        <row r="6444">
          <cell r="I6444" t="str">
            <v>Fussell</v>
          </cell>
        </row>
        <row r="6445">
          <cell r="I6445" t="str">
            <v>Fung</v>
          </cell>
        </row>
        <row r="6446">
          <cell r="I6446" t="str">
            <v>Ferebee</v>
          </cell>
        </row>
        <row r="6447">
          <cell r="I6447" t="str">
            <v>Federico</v>
          </cell>
        </row>
        <row r="6448">
          <cell r="I6448" t="str">
            <v>Eley</v>
          </cell>
        </row>
        <row r="6449">
          <cell r="I6449" t="str">
            <v>Eggert</v>
          </cell>
        </row>
        <row r="6450">
          <cell r="I6450" t="str">
            <v>Dorsett</v>
          </cell>
        </row>
        <row r="6451">
          <cell r="I6451" t="str">
            <v>Dingman</v>
          </cell>
        </row>
        <row r="6452">
          <cell r="I6452" t="str">
            <v>Destefano</v>
          </cell>
        </row>
        <row r="6453">
          <cell r="I6453" t="str">
            <v>Colucci</v>
          </cell>
        </row>
        <row r="6454">
          <cell r="I6454" t="str">
            <v>Clemmer</v>
          </cell>
        </row>
        <row r="6455">
          <cell r="I6455" t="str">
            <v>Caesar</v>
          </cell>
        </row>
        <row r="6456">
          <cell r="I6456" t="str">
            <v>Burnell</v>
          </cell>
        </row>
        <row r="6457">
          <cell r="I6457" t="str">
            <v>Brumbaugh</v>
          </cell>
        </row>
        <row r="6458">
          <cell r="I6458" t="str">
            <v>Boddie</v>
          </cell>
        </row>
        <row r="6459">
          <cell r="I6459" t="str">
            <v>Berryhill</v>
          </cell>
        </row>
        <row r="6460">
          <cell r="I6460" t="str">
            <v>Avelar</v>
          </cell>
        </row>
        <row r="6461">
          <cell r="I6461" t="str">
            <v>Alcantara</v>
          </cell>
        </row>
        <row r="6462">
          <cell r="I6462" t="str">
            <v>Abbey</v>
          </cell>
        </row>
        <row r="6463">
          <cell r="I6463" t="str">
            <v>Winder</v>
          </cell>
        </row>
        <row r="6464">
          <cell r="I6464" t="str">
            <v>Winchell</v>
          </cell>
        </row>
        <row r="6465">
          <cell r="I6465" t="str">
            <v>Vandenberg</v>
          </cell>
        </row>
        <row r="6466">
          <cell r="I6466" t="str">
            <v>Trotman</v>
          </cell>
        </row>
        <row r="6467">
          <cell r="I6467" t="str">
            <v>Thurber</v>
          </cell>
        </row>
        <row r="6468">
          <cell r="I6468" t="str">
            <v>Thibeault</v>
          </cell>
        </row>
        <row r="6469">
          <cell r="I6469" t="str">
            <v>Stlouis</v>
          </cell>
        </row>
        <row r="6470">
          <cell r="I6470" t="str">
            <v>Stilwell</v>
          </cell>
        </row>
        <row r="6471">
          <cell r="I6471" t="str">
            <v>Sperling</v>
          </cell>
        </row>
        <row r="6472">
          <cell r="I6472" t="str">
            <v>Shattuck</v>
          </cell>
        </row>
        <row r="6473">
          <cell r="I6473" t="str">
            <v>Sarmiento</v>
          </cell>
        </row>
        <row r="6474">
          <cell r="I6474" t="str">
            <v>Ruppert</v>
          </cell>
        </row>
        <row r="6475">
          <cell r="I6475" t="str">
            <v>Rumph</v>
          </cell>
        </row>
        <row r="6476">
          <cell r="I6476" t="str">
            <v>Renaud</v>
          </cell>
        </row>
        <row r="6477">
          <cell r="I6477" t="str">
            <v>Randazzo</v>
          </cell>
        </row>
        <row r="6478">
          <cell r="I6478" t="str">
            <v>Rademacher</v>
          </cell>
        </row>
        <row r="6479">
          <cell r="I6479" t="str">
            <v>Quiles</v>
          </cell>
        </row>
        <row r="6480">
          <cell r="I6480" t="str">
            <v>Pearman</v>
          </cell>
        </row>
        <row r="6481">
          <cell r="I6481" t="str">
            <v>Palomo</v>
          </cell>
        </row>
        <row r="6482">
          <cell r="I6482" t="str">
            <v>Mercurio</v>
          </cell>
        </row>
        <row r="6483">
          <cell r="I6483" t="str">
            <v>Lowrey</v>
          </cell>
        </row>
        <row r="6484">
          <cell r="I6484" t="str">
            <v>Lindeman</v>
          </cell>
        </row>
        <row r="6485">
          <cell r="I6485" t="str">
            <v>Lawlor</v>
          </cell>
        </row>
        <row r="6486">
          <cell r="I6486" t="str">
            <v>Larosa</v>
          </cell>
        </row>
        <row r="6487">
          <cell r="I6487" t="str">
            <v>Lander</v>
          </cell>
        </row>
        <row r="6488">
          <cell r="I6488" t="str">
            <v>Labrecque</v>
          </cell>
        </row>
        <row r="6489">
          <cell r="I6489" t="str">
            <v>Kimber</v>
          </cell>
        </row>
        <row r="6490">
          <cell r="I6490" t="str">
            <v>Hovis</v>
          </cell>
        </row>
        <row r="6491">
          <cell r="I6491" t="str">
            <v>Holifield</v>
          </cell>
        </row>
        <row r="6492">
          <cell r="I6492" t="str">
            <v>Henninger</v>
          </cell>
        </row>
        <row r="6493">
          <cell r="I6493" t="str">
            <v>Hawkes</v>
          </cell>
        </row>
        <row r="6494">
          <cell r="I6494" t="str">
            <v>Hartfield</v>
          </cell>
        </row>
        <row r="6495">
          <cell r="I6495" t="str">
            <v>Hann</v>
          </cell>
        </row>
        <row r="6496">
          <cell r="I6496" t="str">
            <v>Hague</v>
          </cell>
        </row>
        <row r="6497">
          <cell r="I6497" t="str">
            <v>Genovese</v>
          </cell>
        </row>
        <row r="6498">
          <cell r="I6498" t="str">
            <v>Garrick</v>
          </cell>
        </row>
        <row r="6499">
          <cell r="I6499" t="str">
            <v>Fudge</v>
          </cell>
        </row>
        <row r="6500">
          <cell r="I6500" t="str">
            <v>Frink</v>
          </cell>
        </row>
        <row r="6501">
          <cell r="I6501" t="str">
            <v>Eddings</v>
          </cell>
        </row>
        <row r="6502">
          <cell r="I6502" t="str">
            <v>Dinh</v>
          </cell>
        </row>
        <row r="6503">
          <cell r="I6503" t="str">
            <v>Dear</v>
          </cell>
        </row>
        <row r="6504">
          <cell r="I6504" t="str">
            <v>Cutter</v>
          </cell>
        </row>
        <row r="6505">
          <cell r="I6505" t="str">
            <v>Cribbs</v>
          </cell>
        </row>
        <row r="6506">
          <cell r="I6506" t="str">
            <v>Constant</v>
          </cell>
        </row>
        <row r="6507">
          <cell r="I6507" t="str">
            <v>Calvillo</v>
          </cell>
        </row>
        <row r="6508">
          <cell r="I6508" t="str">
            <v>Bunton</v>
          </cell>
        </row>
        <row r="6509">
          <cell r="I6509" t="str">
            <v>Brodeur</v>
          </cell>
        </row>
        <row r="6510">
          <cell r="I6510" t="str">
            <v>Bolding</v>
          </cell>
        </row>
        <row r="6511">
          <cell r="I6511" t="str">
            <v>Blanding</v>
          </cell>
        </row>
        <row r="6512">
          <cell r="I6512" t="str">
            <v>Agosto</v>
          </cell>
        </row>
        <row r="6513">
          <cell r="I6513" t="str">
            <v>Zahn</v>
          </cell>
        </row>
        <row r="6514">
          <cell r="I6514" t="str">
            <v>Wiener</v>
          </cell>
        </row>
        <row r="6515">
          <cell r="I6515" t="str">
            <v>Trussell</v>
          </cell>
        </row>
        <row r="6516">
          <cell r="I6516" t="str">
            <v>Tew</v>
          </cell>
        </row>
        <row r="6517">
          <cell r="I6517" t="str">
            <v>Tello</v>
          </cell>
        </row>
        <row r="6518">
          <cell r="I6518" t="str">
            <v>Teixeira</v>
          </cell>
        </row>
        <row r="6519">
          <cell r="I6519" t="str">
            <v>Stephan</v>
          </cell>
        </row>
        <row r="6520">
          <cell r="I6520" t="str">
            <v>Speck</v>
          </cell>
        </row>
        <row r="6521">
          <cell r="I6521" t="str">
            <v>Sharma</v>
          </cell>
        </row>
        <row r="6522">
          <cell r="I6522" t="str">
            <v>Shanklin</v>
          </cell>
        </row>
        <row r="6523">
          <cell r="I6523" t="str">
            <v>Sealy</v>
          </cell>
        </row>
        <row r="6524">
          <cell r="I6524" t="str">
            <v>Scanlan</v>
          </cell>
        </row>
        <row r="6525">
          <cell r="I6525" t="str">
            <v>Santamaria</v>
          </cell>
        </row>
        <row r="6526">
          <cell r="I6526" t="str">
            <v>Roundy</v>
          </cell>
        </row>
        <row r="6527">
          <cell r="I6527" t="str">
            <v>Robichaux</v>
          </cell>
        </row>
        <row r="6528">
          <cell r="I6528" t="str">
            <v>Ringer</v>
          </cell>
        </row>
        <row r="6529">
          <cell r="I6529" t="str">
            <v>Rigney</v>
          </cell>
        </row>
        <row r="6530">
          <cell r="I6530" t="str">
            <v>Prevost</v>
          </cell>
        </row>
        <row r="6531">
          <cell r="I6531" t="str">
            <v>Polson</v>
          </cell>
        </row>
        <row r="6532">
          <cell r="I6532" t="str">
            <v>Philip</v>
          </cell>
        </row>
        <row r="6533">
          <cell r="I6533" t="str">
            <v>Pass</v>
          </cell>
        </row>
        <row r="6534">
          <cell r="I6534" t="str">
            <v>Nord</v>
          </cell>
        </row>
        <row r="6535">
          <cell r="I6535" t="str">
            <v>Moxley</v>
          </cell>
        </row>
        <row r="6536">
          <cell r="I6536" t="str">
            <v>Mohammed</v>
          </cell>
        </row>
        <row r="6537">
          <cell r="I6537" t="str">
            <v>Medford</v>
          </cell>
        </row>
        <row r="6538">
          <cell r="I6538" t="str">
            <v>Mccaslin</v>
          </cell>
        </row>
        <row r="6539">
          <cell r="I6539" t="str">
            <v>Mcardle</v>
          </cell>
        </row>
        <row r="6540">
          <cell r="I6540" t="str">
            <v>Macarthur</v>
          </cell>
        </row>
        <row r="6541">
          <cell r="I6541" t="str">
            <v>Lewin</v>
          </cell>
        </row>
        <row r="6542">
          <cell r="I6542" t="str">
            <v>Lasher</v>
          </cell>
        </row>
        <row r="6543">
          <cell r="I6543" t="str">
            <v>Ketcham</v>
          </cell>
        </row>
        <row r="6544">
          <cell r="I6544" t="str">
            <v>Keiser</v>
          </cell>
        </row>
        <row r="6545">
          <cell r="I6545" t="str">
            <v>Heine</v>
          </cell>
        </row>
        <row r="6546">
          <cell r="I6546" t="str">
            <v>Hackworth</v>
          </cell>
        </row>
        <row r="6547">
          <cell r="I6547" t="str">
            <v>Grose</v>
          </cell>
        </row>
        <row r="6548">
          <cell r="I6548" t="str">
            <v>Grizzle</v>
          </cell>
        </row>
        <row r="6549">
          <cell r="I6549" t="str">
            <v>Grass</v>
          </cell>
        </row>
        <row r="6550">
          <cell r="I6550" t="str">
            <v>Gillman</v>
          </cell>
        </row>
        <row r="6551">
          <cell r="I6551" t="str">
            <v>Gartner</v>
          </cell>
        </row>
        <row r="6552">
          <cell r="I6552" t="str">
            <v>Garth</v>
          </cell>
        </row>
        <row r="6553">
          <cell r="I6553" t="str">
            <v>Frazee</v>
          </cell>
        </row>
        <row r="6554">
          <cell r="I6554" t="str">
            <v>Fleury</v>
          </cell>
        </row>
        <row r="6555">
          <cell r="I6555" t="str">
            <v>Fast</v>
          </cell>
        </row>
        <row r="6556">
          <cell r="I6556" t="str">
            <v>Edson</v>
          </cell>
        </row>
        <row r="6557">
          <cell r="I6557" t="str">
            <v>Edmonson</v>
          </cell>
        </row>
        <row r="6558">
          <cell r="I6558" t="str">
            <v>Derry</v>
          </cell>
        </row>
        <row r="6559">
          <cell r="I6559" t="str">
            <v>Deck</v>
          </cell>
        </row>
        <row r="6560">
          <cell r="I6560" t="str">
            <v>Cronk</v>
          </cell>
        </row>
        <row r="6561">
          <cell r="I6561" t="str">
            <v>Conant</v>
          </cell>
        </row>
        <row r="6562">
          <cell r="I6562" t="str">
            <v>Burress</v>
          </cell>
        </row>
        <row r="6563">
          <cell r="I6563" t="str">
            <v>Burgin</v>
          </cell>
        </row>
        <row r="6564">
          <cell r="I6564" t="str">
            <v>Broom</v>
          </cell>
        </row>
        <row r="6565">
          <cell r="I6565" t="str">
            <v>Brockington</v>
          </cell>
        </row>
        <row r="6566">
          <cell r="I6566" t="str">
            <v>Bolick</v>
          </cell>
        </row>
        <row r="6567">
          <cell r="I6567" t="str">
            <v>Boger</v>
          </cell>
        </row>
        <row r="6568">
          <cell r="I6568" t="str">
            <v>Birchfield</v>
          </cell>
        </row>
        <row r="6569">
          <cell r="I6569" t="str">
            <v>Billington</v>
          </cell>
        </row>
        <row r="6570">
          <cell r="I6570" t="str">
            <v>Baily</v>
          </cell>
        </row>
        <row r="6571">
          <cell r="I6571" t="str">
            <v>Bahena</v>
          </cell>
        </row>
        <row r="6572">
          <cell r="I6572" t="str">
            <v>Armbruster</v>
          </cell>
        </row>
        <row r="6573">
          <cell r="I6573" t="str">
            <v>Anson</v>
          </cell>
        </row>
        <row r="6574">
          <cell r="I6574" t="str">
            <v>Yoho</v>
          </cell>
        </row>
        <row r="6575">
          <cell r="I6575" t="str">
            <v>Wilcher</v>
          </cell>
        </row>
        <row r="6576">
          <cell r="I6576" t="str">
            <v>Tinney</v>
          </cell>
        </row>
        <row r="6577">
          <cell r="I6577" t="str">
            <v>Timberlake</v>
          </cell>
        </row>
        <row r="6578">
          <cell r="I6578" t="str">
            <v>Thoma</v>
          </cell>
        </row>
        <row r="6579">
          <cell r="I6579" t="str">
            <v>Thielen</v>
          </cell>
        </row>
        <row r="6580">
          <cell r="I6580" t="str">
            <v>Sutphin</v>
          </cell>
        </row>
        <row r="6581">
          <cell r="I6581" t="str">
            <v>Stultz</v>
          </cell>
        </row>
        <row r="6582">
          <cell r="I6582" t="str">
            <v>Sikora</v>
          </cell>
        </row>
        <row r="6583">
          <cell r="I6583" t="str">
            <v>Serra</v>
          </cell>
        </row>
        <row r="6584">
          <cell r="I6584" t="str">
            <v>Schulman</v>
          </cell>
        </row>
        <row r="6585">
          <cell r="I6585" t="str">
            <v>Scheffler</v>
          </cell>
        </row>
        <row r="6586">
          <cell r="I6586" t="str">
            <v>Santillan</v>
          </cell>
        </row>
        <row r="6587">
          <cell r="I6587" t="str">
            <v>Robin</v>
          </cell>
        </row>
        <row r="6588">
          <cell r="I6588" t="str">
            <v>Rego</v>
          </cell>
        </row>
        <row r="6589">
          <cell r="I6589" t="str">
            <v>Preciado</v>
          </cell>
        </row>
        <row r="6590">
          <cell r="I6590" t="str">
            <v>Pinkham</v>
          </cell>
        </row>
        <row r="6591">
          <cell r="I6591" t="str">
            <v>Monday</v>
          </cell>
        </row>
        <row r="6592">
          <cell r="I6592" t="str">
            <v>Mickle</v>
          </cell>
        </row>
        <row r="6593">
          <cell r="I6593" t="str">
            <v>Luu</v>
          </cell>
        </row>
        <row r="6594">
          <cell r="I6594" t="str">
            <v>Lomas</v>
          </cell>
        </row>
        <row r="6595">
          <cell r="I6595" t="str">
            <v>Lizotte</v>
          </cell>
        </row>
        <row r="6596">
          <cell r="I6596" t="str">
            <v>Lent</v>
          </cell>
        </row>
        <row r="6597">
          <cell r="I6597" t="str">
            <v>Lenard</v>
          </cell>
        </row>
        <row r="6598">
          <cell r="I6598" t="str">
            <v>Kellerman</v>
          </cell>
        </row>
        <row r="6599">
          <cell r="I6599" t="str">
            <v>Keil</v>
          </cell>
        </row>
        <row r="6600">
          <cell r="I6600" t="str">
            <v>Juan</v>
          </cell>
        </row>
        <row r="6601">
          <cell r="I6601" t="str">
            <v>Johanson</v>
          </cell>
        </row>
        <row r="6602">
          <cell r="I6602" t="str">
            <v>Hernadez</v>
          </cell>
        </row>
        <row r="6603">
          <cell r="I6603" t="str">
            <v>Hartsfield</v>
          </cell>
        </row>
        <row r="6604">
          <cell r="I6604" t="str">
            <v>Hang</v>
          </cell>
        </row>
        <row r="6605">
          <cell r="I6605" t="str">
            <v>Haber</v>
          </cell>
        </row>
        <row r="6606">
          <cell r="I6606" t="str">
            <v>Gorski</v>
          </cell>
        </row>
        <row r="6607">
          <cell r="I6607" t="str">
            <v>Farkas</v>
          </cell>
        </row>
        <row r="6608">
          <cell r="I6608" t="str">
            <v>Eberhardt</v>
          </cell>
        </row>
        <row r="6609">
          <cell r="I6609" t="str">
            <v>Duquette</v>
          </cell>
        </row>
        <row r="6610">
          <cell r="I6610" t="str">
            <v>Delano</v>
          </cell>
        </row>
        <row r="6611">
          <cell r="I6611" t="str">
            <v>Cropper</v>
          </cell>
        </row>
        <row r="6612">
          <cell r="I6612" t="str">
            <v>Cozart</v>
          </cell>
        </row>
        <row r="6613">
          <cell r="I6613" t="str">
            <v>Cockerham</v>
          </cell>
        </row>
        <row r="6614">
          <cell r="I6614" t="str">
            <v>Chamblee</v>
          </cell>
        </row>
        <row r="6615">
          <cell r="I6615" t="str">
            <v>Cartagena</v>
          </cell>
        </row>
        <row r="6616">
          <cell r="I6616" t="str">
            <v>Cahoon</v>
          </cell>
        </row>
        <row r="6617">
          <cell r="I6617" t="str">
            <v>Buzzell</v>
          </cell>
        </row>
        <row r="6618">
          <cell r="I6618" t="str">
            <v>Brister</v>
          </cell>
        </row>
        <row r="6619">
          <cell r="I6619" t="str">
            <v>Brewton</v>
          </cell>
        </row>
        <row r="6620">
          <cell r="I6620" t="str">
            <v>Blackshear</v>
          </cell>
        </row>
        <row r="6621">
          <cell r="I6621" t="str">
            <v>Benfield</v>
          </cell>
        </row>
        <row r="6622">
          <cell r="I6622" t="str">
            <v>Aston</v>
          </cell>
        </row>
        <row r="6623">
          <cell r="I6623" t="str">
            <v>Ashburn</v>
          </cell>
        </row>
        <row r="6624">
          <cell r="I6624" t="str">
            <v>Arruda</v>
          </cell>
        </row>
        <row r="6625">
          <cell r="I6625" t="str">
            <v>Wetmore</v>
          </cell>
        </row>
        <row r="6626">
          <cell r="I6626" t="str">
            <v>Weise</v>
          </cell>
        </row>
        <row r="6627">
          <cell r="I6627" t="str">
            <v>Vaccaro</v>
          </cell>
        </row>
        <row r="6628">
          <cell r="I6628" t="str">
            <v>Tucci</v>
          </cell>
        </row>
        <row r="6629">
          <cell r="I6629" t="str">
            <v>Sudduth</v>
          </cell>
        </row>
        <row r="6630">
          <cell r="I6630" t="str">
            <v>Stromberg</v>
          </cell>
        </row>
        <row r="6631">
          <cell r="I6631" t="str">
            <v>Stoops</v>
          </cell>
        </row>
        <row r="6632">
          <cell r="I6632" t="str">
            <v>Showalter</v>
          </cell>
        </row>
        <row r="6633">
          <cell r="I6633" t="str">
            <v>Shears</v>
          </cell>
        </row>
        <row r="6634">
          <cell r="I6634" t="str">
            <v>Runion</v>
          </cell>
        </row>
        <row r="6635">
          <cell r="I6635" t="str">
            <v>Rowden</v>
          </cell>
        </row>
        <row r="6636">
          <cell r="I6636" t="str">
            <v>Rosenblum</v>
          </cell>
        </row>
        <row r="6637">
          <cell r="I6637" t="str">
            <v>Riffle</v>
          </cell>
        </row>
        <row r="6638">
          <cell r="I6638" t="str">
            <v>Renfrow</v>
          </cell>
        </row>
        <row r="6639">
          <cell r="I6639" t="str">
            <v>Peres</v>
          </cell>
        </row>
        <row r="6640">
          <cell r="I6640" t="str">
            <v>Obryant</v>
          </cell>
        </row>
        <row r="6641">
          <cell r="I6641" t="str">
            <v>Nicolas</v>
          </cell>
        </row>
        <row r="6642">
          <cell r="I6642" t="str">
            <v>Leftwich</v>
          </cell>
        </row>
        <row r="6643">
          <cell r="I6643" t="str">
            <v>Lark</v>
          </cell>
        </row>
        <row r="6644">
          <cell r="I6644" t="str">
            <v>Landeros</v>
          </cell>
        </row>
        <row r="6645">
          <cell r="I6645" t="str">
            <v>Kistler</v>
          </cell>
        </row>
        <row r="6646">
          <cell r="I6646" t="str">
            <v>Killough</v>
          </cell>
        </row>
        <row r="6647">
          <cell r="I6647" t="str">
            <v>Kerley</v>
          </cell>
        </row>
        <row r="6648">
          <cell r="I6648" t="str">
            <v>Kastner</v>
          </cell>
        </row>
        <row r="6649">
          <cell r="I6649" t="str">
            <v>Hoggard</v>
          </cell>
        </row>
        <row r="6650">
          <cell r="I6650" t="str">
            <v>Hartung</v>
          </cell>
        </row>
        <row r="6651">
          <cell r="I6651" t="str">
            <v>Guertin</v>
          </cell>
        </row>
        <row r="6652">
          <cell r="I6652" t="str">
            <v>Govan</v>
          </cell>
        </row>
        <row r="6653">
          <cell r="I6653" t="str">
            <v>Gatling</v>
          </cell>
        </row>
        <row r="6654">
          <cell r="I6654" t="str">
            <v>Gailey</v>
          </cell>
        </row>
        <row r="6655">
          <cell r="I6655" t="str">
            <v>Fullmer</v>
          </cell>
        </row>
        <row r="6656">
          <cell r="I6656" t="str">
            <v>Fulford</v>
          </cell>
        </row>
        <row r="6657">
          <cell r="I6657" t="str">
            <v>Flatt</v>
          </cell>
        </row>
        <row r="6658">
          <cell r="I6658" t="str">
            <v>Esquibel</v>
          </cell>
        </row>
        <row r="6659">
          <cell r="I6659" t="str">
            <v>Endicott</v>
          </cell>
        </row>
        <row r="6660">
          <cell r="I6660" t="str">
            <v>Edmiston</v>
          </cell>
        </row>
        <row r="6661">
          <cell r="I6661" t="str">
            <v>Edelstein</v>
          </cell>
        </row>
        <row r="6662">
          <cell r="I6662" t="str">
            <v>Dufresne</v>
          </cell>
        </row>
        <row r="6663">
          <cell r="I6663" t="str">
            <v>Dressler</v>
          </cell>
        </row>
        <row r="6664">
          <cell r="I6664" t="str">
            <v>Dickman</v>
          </cell>
        </row>
        <row r="6665">
          <cell r="I6665" t="str">
            <v>Chee</v>
          </cell>
        </row>
        <row r="6666">
          <cell r="I6666" t="str">
            <v>Busse</v>
          </cell>
        </row>
        <row r="6667">
          <cell r="I6667" t="str">
            <v>Bonnett</v>
          </cell>
        </row>
        <row r="6668">
          <cell r="I6668" t="str">
            <v>Bogart</v>
          </cell>
        </row>
        <row r="6669">
          <cell r="I6669" t="str">
            <v>Berard</v>
          </cell>
        </row>
        <row r="6670">
          <cell r="I6670" t="str">
            <v>Barrington</v>
          </cell>
        </row>
        <row r="6671">
          <cell r="I6671" t="str">
            <v>Arena</v>
          </cell>
        </row>
        <row r="6672">
          <cell r="I6672" t="str">
            <v>Anton</v>
          </cell>
        </row>
        <row r="6673">
          <cell r="I6673" t="str">
            <v>Yoshida</v>
          </cell>
        </row>
        <row r="6674">
          <cell r="I6674" t="str">
            <v>Velarde</v>
          </cell>
        </row>
        <row r="6675">
          <cell r="I6675" t="str">
            <v>Veach</v>
          </cell>
        </row>
        <row r="6676">
          <cell r="I6676" t="str">
            <v>Vanhouten</v>
          </cell>
        </row>
        <row r="6677">
          <cell r="I6677" t="str">
            <v>Vachon</v>
          </cell>
        </row>
        <row r="6678">
          <cell r="I6678" t="str">
            <v>Tolson</v>
          </cell>
        </row>
        <row r="6679">
          <cell r="I6679" t="str">
            <v>Tolman</v>
          </cell>
        </row>
        <row r="6680">
          <cell r="I6680" t="str">
            <v>Tennyson</v>
          </cell>
        </row>
        <row r="6681">
          <cell r="I6681" t="str">
            <v>Stites</v>
          </cell>
        </row>
        <row r="6682">
          <cell r="I6682" t="str">
            <v>Soler</v>
          </cell>
        </row>
        <row r="6683">
          <cell r="I6683" t="str">
            <v>Shutt</v>
          </cell>
        </row>
        <row r="6684">
          <cell r="I6684" t="str">
            <v>Ruggles</v>
          </cell>
        </row>
        <row r="6685">
          <cell r="I6685" t="str">
            <v>Rhone</v>
          </cell>
        </row>
        <row r="6686">
          <cell r="I6686" t="str">
            <v>Pegues</v>
          </cell>
        </row>
        <row r="6687">
          <cell r="I6687" t="str">
            <v>Ong</v>
          </cell>
        </row>
        <row r="6688">
          <cell r="I6688" t="str">
            <v>Neese</v>
          </cell>
        </row>
        <row r="6689">
          <cell r="I6689" t="str">
            <v>Muro</v>
          </cell>
        </row>
        <row r="6690">
          <cell r="I6690" t="str">
            <v>Moncrief</v>
          </cell>
        </row>
        <row r="6691">
          <cell r="I6691" t="str">
            <v>Mefford</v>
          </cell>
        </row>
        <row r="6692">
          <cell r="I6692" t="str">
            <v>Mcphee</v>
          </cell>
        </row>
        <row r="6693">
          <cell r="I6693" t="str">
            <v>Mcmorris</v>
          </cell>
        </row>
        <row r="6694">
          <cell r="I6694" t="str">
            <v>Mceachern</v>
          </cell>
        </row>
        <row r="6695">
          <cell r="I6695" t="str">
            <v>Mcclurg</v>
          </cell>
        </row>
        <row r="6696">
          <cell r="I6696" t="str">
            <v>Mansour</v>
          </cell>
        </row>
        <row r="6697">
          <cell r="I6697" t="str">
            <v>Mai</v>
          </cell>
        </row>
        <row r="6698">
          <cell r="I6698" t="str">
            <v>Mader</v>
          </cell>
        </row>
        <row r="6699">
          <cell r="I6699" t="str">
            <v>Leija</v>
          </cell>
        </row>
        <row r="6700">
          <cell r="I6700" t="str">
            <v>Lecompte</v>
          </cell>
        </row>
        <row r="6701">
          <cell r="I6701" t="str">
            <v>Lafountain</v>
          </cell>
        </row>
        <row r="6702">
          <cell r="I6702" t="str">
            <v>Labrie</v>
          </cell>
        </row>
        <row r="6703">
          <cell r="I6703" t="str">
            <v>Jaquez</v>
          </cell>
        </row>
        <row r="6704">
          <cell r="I6704" t="str">
            <v>Heald</v>
          </cell>
        </row>
        <row r="6705">
          <cell r="I6705" t="str">
            <v>Hash</v>
          </cell>
        </row>
        <row r="6706">
          <cell r="I6706" t="str">
            <v>Hartle</v>
          </cell>
        </row>
        <row r="6707">
          <cell r="I6707" t="str">
            <v>Gainer</v>
          </cell>
        </row>
        <row r="6708">
          <cell r="I6708" t="str">
            <v>Frisby</v>
          </cell>
        </row>
        <row r="6709">
          <cell r="I6709" t="str">
            <v>Farina</v>
          </cell>
        </row>
        <row r="6710">
          <cell r="I6710" t="str">
            <v>Eidson</v>
          </cell>
        </row>
        <row r="6711">
          <cell r="I6711" t="str">
            <v>Edgerton</v>
          </cell>
        </row>
        <row r="6712">
          <cell r="I6712" t="str">
            <v>Dyke</v>
          </cell>
        </row>
        <row r="6713">
          <cell r="I6713" t="str">
            <v>Durrett</v>
          </cell>
        </row>
        <row r="6714">
          <cell r="I6714" t="str">
            <v>Duhon</v>
          </cell>
        </row>
        <row r="6715">
          <cell r="I6715" t="str">
            <v>Cuomo</v>
          </cell>
        </row>
        <row r="6716">
          <cell r="I6716" t="str">
            <v>Cobos</v>
          </cell>
        </row>
        <row r="6717">
          <cell r="I6717" t="str">
            <v>Cervantez</v>
          </cell>
        </row>
        <row r="6718">
          <cell r="I6718" t="str">
            <v>Bybee</v>
          </cell>
        </row>
        <row r="6719">
          <cell r="I6719" t="str">
            <v>Brockway</v>
          </cell>
        </row>
        <row r="6720">
          <cell r="I6720" t="str">
            <v>Borowski</v>
          </cell>
        </row>
        <row r="6721">
          <cell r="I6721" t="str">
            <v>Binion</v>
          </cell>
        </row>
        <row r="6722">
          <cell r="I6722" t="str">
            <v>Beery</v>
          </cell>
        </row>
        <row r="6723">
          <cell r="I6723" t="str">
            <v>Arguello</v>
          </cell>
        </row>
        <row r="6724">
          <cell r="I6724" t="str">
            <v>Amaro</v>
          </cell>
        </row>
        <row r="6725">
          <cell r="I6725" t="str">
            <v>Acton</v>
          </cell>
        </row>
        <row r="6726">
          <cell r="I6726" t="str">
            <v>Yuen</v>
          </cell>
        </row>
        <row r="6727">
          <cell r="I6727" t="str">
            <v>Winton</v>
          </cell>
        </row>
        <row r="6728">
          <cell r="I6728" t="str">
            <v>Wigfall</v>
          </cell>
        </row>
        <row r="6729">
          <cell r="I6729" t="str">
            <v>Weekley</v>
          </cell>
        </row>
        <row r="6730">
          <cell r="I6730" t="str">
            <v>Vidrine</v>
          </cell>
        </row>
        <row r="6731">
          <cell r="I6731" t="str">
            <v>Vannoy</v>
          </cell>
        </row>
        <row r="6732">
          <cell r="I6732" t="str">
            <v>Tardiff</v>
          </cell>
        </row>
        <row r="6733">
          <cell r="I6733" t="str">
            <v>Shoop</v>
          </cell>
        </row>
        <row r="6734">
          <cell r="I6734" t="str">
            <v>Shilling</v>
          </cell>
        </row>
        <row r="6735">
          <cell r="I6735" t="str">
            <v>Schick</v>
          </cell>
        </row>
        <row r="6736">
          <cell r="I6736" t="str">
            <v>Sand</v>
          </cell>
        </row>
        <row r="6737">
          <cell r="I6737" t="str">
            <v>Safford</v>
          </cell>
        </row>
        <row r="6738">
          <cell r="I6738" t="str">
            <v>Prendergast</v>
          </cell>
        </row>
        <row r="6739">
          <cell r="I6739" t="str">
            <v>Pilgrim</v>
          </cell>
        </row>
        <row r="6740">
          <cell r="I6740" t="str">
            <v>Pellerin</v>
          </cell>
        </row>
        <row r="6741">
          <cell r="I6741" t="str">
            <v>Osuna</v>
          </cell>
        </row>
        <row r="6742">
          <cell r="I6742" t="str">
            <v>Nissen</v>
          </cell>
        </row>
        <row r="6743">
          <cell r="I6743" t="str">
            <v>Nalley</v>
          </cell>
        </row>
        <row r="6744">
          <cell r="I6744" t="str">
            <v>Moritz</v>
          </cell>
        </row>
        <row r="6745">
          <cell r="I6745" t="str">
            <v>Moller</v>
          </cell>
        </row>
        <row r="6746">
          <cell r="I6746" t="str">
            <v>Messner</v>
          </cell>
        </row>
        <row r="6747">
          <cell r="I6747" t="str">
            <v>Messick</v>
          </cell>
        </row>
        <row r="6748">
          <cell r="I6748" t="str">
            <v>Merry</v>
          </cell>
        </row>
        <row r="6749">
          <cell r="I6749" t="str">
            <v>Merrifield</v>
          </cell>
        </row>
        <row r="6750">
          <cell r="I6750" t="str">
            <v>Mcguinness</v>
          </cell>
        </row>
        <row r="6751">
          <cell r="I6751" t="str">
            <v>Matherly</v>
          </cell>
        </row>
        <row r="6752">
          <cell r="I6752" t="str">
            <v>Marcano</v>
          </cell>
        </row>
        <row r="6753">
          <cell r="I6753" t="str">
            <v>Mahone</v>
          </cell>
        </row>
        <row r="6754">
          <cell r="I6754" t="str">
            <v>Lemos</v>
          </cell>
        </row>
        <row r="6755">
          <cell r="I6755" t="str">
            <v>Lebrun</v>
          </cell>
        </row>
        <row r="6756">
          <cell r="I6756" t="str">
            <v>Jara</v>
          </cell>
        </row>
        <row r="6757">
          <cell r="I6757" t="str">
            <v>Hoffer</v>
          </cell>
        </row>
        <row r="6758">
          <cell r="I6758" t="str">
            <v>Hewlett</v>
          </cell>
        </row>
        <row r="6759">
          <cell r="I6759" t="str">
            <v>Herren</v>
          </cell>
        </row>
        <row r="6760">
          <cell r="I6760" t="str">
            <v>Hecker</v>
          </cell>
        </row>
        <row r="6761">
          <cell r="I6761" t="str">
            <v>Haws</v>
          </cell>
        </row>
        <row r="6762">
          <cell r="I6762" t="str">
            <v>Haug</v>
          </cell>
        </row>
        <row r="6763">
          <cell r="I6763" t="str">
            <v>Hack</v>
          </cell>
        </row>
        <row r="6764">
          <cell r="I6764" t="str">
            <v>Gwin</v>
          </cell>
        </row>
        <row r="6765">
          <cell r="I6765" t="str">
            <v>Gober</v>
          </cell>
        </row>
        <row r="6766">
          <cell r="I6766" t="str">
            <v>Gilliard</v>
          </cell>
        </row>
        <row r="6767">
          <cell r="I6767" t="str">
            <v>Fredette</v>
          </cell>
        </row>
        <row r="6768">
          <cell r="I6768" t="str">
            <v>Favela</v>
          </cell>
        </row>
        <row r="6769">
          <cell r="I6769" t="str">
            <v>Echeverria</v>
          </cell>
        </row>
        <row r="6770">
          <cell r="I6770" t="str">
            <v>Downer</v>
          </cell>
        </row>
        <row r="6771">
          <cell r="I6771" t="str">
            <v>Donofrio</v>
          </cell>
        </row>
        <row r="6772">
          <cell r="I6772" t="str">
            <v>Desrochers</v>
          </cell>
        </row>
        <row r="6773">
          <cell r="I6773" t="str">
            <v>Dee</v>
          </cell>
        </row>
        <row r="6774">
          <cell r="I6774" t="str">
            <v>Crozier</v>
          </cell>
        </row>
        <row r="6775">
          <cell r="I6775" t="str">
            <v>Corson</v>
          </cell>
        </row>
        <row r="6776">
          <cell r="I6776" t="str">
            <v>Clyde</v>
          </cell>
        </row>
        <row r="6777">
          <cell r="I6777" t="str">
            <v>Bechtold</v>
          </cell>
        </row>
        <row r="6778">
          <cell r="I6778" t="str">
            <v>Argueta</v>
          </cell>
        </row>
        <row r="6779">
          <cell r="I6779" t="str">
            <v>Aparicio</v>
          </cell>
        </row>
        <row r="6780">
          <cell r="I6780" t="str">
            <v>Zamudio</v>
          </cell>
        </row>
        <row r="6781">
          <cell r="I6781" t="str">
            <v>Willette</v>
          </cell>
        </row>
        <row r="6782">
          <cell r="I6782" t="str">
            <v>Westover</v>
          </cell>
        </row>
        <row r="6783">
          <cell r="I6783" t="str">
            <v>Westerman</v>
          </cell>
        </row>
        <row r="6784">
          <cell r="I6784" t="str">
            <v>Utter</v>
          </cell>
        </row>
        <row r="6785">
          <cell r="I6785" t="str">
            <v>Troyer</v>
          </cell>
        </row>
        <row r="6786">
          <cell r="I6786" t="str">
            <v>Thies</v>
          </cell>
        </row>
        <row r="6787">
          <cell r="I6787" t="str">
            <v>Tapley</v>
          </cell>
        </row>
        <row r="6788">
          <cell r="I6788" t="str">
            <v>Slavin</v>
          </cell>
        </row>
        <row r="6789">
          <cell r="I6789" t="str">
            <v>Shirk</v>
          </cell>
        </row>
        <row r="6790">
          <cell r="I6790" t="str">
            <v>Sandler</v>
          </cell>
        </row>
        <row r="6791">
          <cell r="I6791" t="str">
            <v>Roop</v>
          </cell>
        </row>
        <row r="6792">
          <cell r="I6792" t="str">
            <v>Rimmer</v>
          </cell>
        </row>
        <row r="6793">
          <cell r="I6793" t="str">
            <v>Raymer</v>
          </cell>
        </row>
        <row r="6794">
          <cell r="I6794" t="str">
            <v>Range</v>
          </cell>
        </row>
        <row r="6795">
          <cell r="I6795" t="str">
            <v>Radcliff</v>
          </cell>
        </row>
        <row r="6796">
          <cell r="I6796" t="str">
            <v>Otten</v>
          </cell>
        </row>
        <row r="6797">
          <cell r="I6797" t="str">
            <v>Moorer</v>
          </cell>
        </row>
        <row r="6798">
          <cell r="I6798" t="str">
            <v>Millet</v>
          </cell>
        </row>
        <row r="6799">
          <cell r="I6799" t="str">
            <v>Mckibben</v>
          </cell>
        </row>
        <row r="6800">
          <cell r="I6800" t="str">
            <v>Mccutchen</v>
          </cell>
        </row>
        <row r="6801">
          <cell r="I6801" t="str">
            <v>Mcavoy</v>
          </cell>
        </row>
        <row r="6802">
          <cell r="I6802" t="str">
            <v>Mcadoo</v>
          </cell>
        </row>
        <row r="6803">
          <cell r="I6803" t="str">
            <v>Mayorga</v>
          </cell>
        </row>
        <row r="6804">
          <cell r="I6804" t="str">
            <v>Mastin</v>
          </cell>
        </row>
        <row r="6805">
          <cell r="I6805" t="str">
            <v>Martineau</v>
          </cell>
        </row>
        <row r="6806">
          <cell r="I6806" t="str">
            <v>Marek</v>
          </cell>
        </row>
        <row r="6807">
          <cell r="I6807" t="str">
            <v>Madore</v>
          </cell>
        </row>
        <row r="6808">
          <cell r="I6808" t="str">
            <v>Leflore</v>
          </cell>
        </row>
        <row r="6809">
          <cell r="I6809" t="str">
            <v>Kroeger</v>
          </cell>
        </row>
        <row r="6810">
          <cell r="I6810" t="str">
            <v>Kennon</v>
          </cell>
        </row>
        <row r="6811">
          <cell r="I6811" t="str">
            <v>Jimerson</v>
          </cell>
        </row>
        <row r="6812">
          <cell r="I6812" t="str">
            <v>Javier</v>
          </cell>
        </row>
        <row r="6813">
          <cell r="I6813" t="str">
            <v>Hostetter</v>
          </cell>
        </row>
        <row r="6814">
          <cell r="I6814" t="str">
            <v>Hornback</v>
          </cell>
        </row>
        <row r="6815">
          <cell r="I6815" t="str">
            <v>Hendley</v>
          </cell>
        </row>
        <row r="6816">
          <cell r="I6816" t="str">
            <v>Hance</v>
          </cell>
        </row>
        <row r="6817">
          <cell r="I6817" t="str">
            <v>Guardado</v>
          </cell>
        </row>
        <row r="6818">
          <cell r="I6818" t="str">
            <v>Granado</v>
          </cell>
        </row>
        <row r="6819">
          <cell r="I6819" t="str">
            <v>Gowen</v>
          </cell>
        </row>
        <row r="6820">
          <cell r="I6820" t="str">
            <v>Goodale</v>
          </cell>
        </row>
        <row r="6821">
          <cell r="I6821" t="str">
            <v>Flinn</v>
          </cell>
        </row>
        <row r="6822">
          <cell r="I6822" t="str">
            <v>Fleetwood</v>
          </cell>
        </row>
        <row r="6823">
          <cell r="I6823" t="str">
            <v>Fitz</v>
          </cell>
        </row>
        <row r="6824">
          <cell r="I6824" t="str">
            <v>Durkee</v>
          </cell>
        </row>
        <row r="6825">
          <cell r="I6825" t="str">
            <v>Duprey</v>
          </cell>
        </row>
        <row r="6826">
          <cell r="I6826" t="str">
            <v>Dipietro</v>
          </cell>
        </row>
        <row r="6827">
          <cell r="I6827" t="str">
            <v>Dilley</v>
          </cell>
        </row>
        <row r="6828">
          <cell r="I6828" t="str">
            <v>Clyburn</v>
          </cell>
        </row>
        <row r="6829">
          <cell r="I6829" t="str">
            <v>Brawley</v>
          </cell>
        </row>
        <row r="6830">
          <cell r="I6830" t="str">
            <v>Beckley</v>
          </cell>
        </row>
        <row r="6831">
          <cell r="I6831" t="str">
            <v>Arana</v>
          </cell>
        </row>
        <row r="6832">
          <cell r="I6832" t="str">
            <v>Weatherby</v>
          </cell>
        </row>
        <row r="6833">
          <cell r="I6833" t="str">
            <v>Vollmer</v>
          </cell>
        </row>
        <row r="6834">
          <cell r="I6834" t="str">
            <v>Victoria</v>
          </cell>
        </row>
        <row r="6835">
          <cell r="I6835" t="str">
            <v>Vestal</v>
          </cell>
        </row>
        <row r="6836">
          <cell r="I6836" t="str">
            <v>Tunnell</v>
          </cell>
        </row>
        <row r="6837">
          <cell r="I6837" t="str">
            <v>Trigg</v>
          </cell>
        </row>
        <row r="6838">
          <cell r="I6838" t="str">
            <v>Tingle</v>
          </cell>
        </row>
        <row r="6839">
          <cell r="I6839" t="str">
            <v>Takahashi</v>
          </cell>
        </row>
        <row r="6840">
          <cell r="I6840" t="str">
            <v>Sweatt</v>
          </cell>
        </row>
        <row r="6841">
          <cell r="I6841" t="str">
            <v>Storer</v>
          </cell>
        </row>
        <row r="6842">
          <cell r="I6842" t="str">
            <v>Snapp</v>
          </cell>
        </row>
        <row r="6843">
          <cell r="I6843" t="str">
            <v>Shiver</v>
          </cell>
        </row>
        <row r="6844">
          <cell r="I6844" t="str">
            <v>Rooker</v>
          </cell>
        </row>
        <row r="6845">
          <cell r="I6845" t="str">
            <v>Red</v>
          </cell>
        </row>
        <row r="6846">
          <cell r="I6846" t="str">
            <v>Rathbun</v>
          </cell>
        </row>
        <row r="6847">
          <cell r="I6847" t="str">
            <v>Poisson</v>
          </cell>
        </row>
        <row r="6848">
          <cell r="I6848" t="str">
            <v>Perrine</v>
          </cell>
        </row>
        <row r="6849">
          <cell r="I6849" t="str">
            <v>Perri</v>
          </cell>
        </row>
        <row r="6850">
          <cell r="I6850" t="str">
            <v>Pastor</v>
          </cell>
        </row>
        <row r="6851">
          <cell r="I6851" t="str">
            <v>Parmer</v>
          </cell>
        </row>
        <row r="6852">
          <cell r="I6852" t="str">
            <v>Parke</v>
          </cell>
        </row>
        <row r="6853">
          <cell r="I6853" t="str">
            <v>Pare</v>
          </cell>
        </row>
        <row r="6854">
          <cell r="I6854" t="str">
            <v>Papa</v>
          </cell>
        </row>
        <row r="6855">
          <cell r="I6855" t="str">
            <v>Palmieri</v>
          </cell>
        </row>
        <row r="6856">
          <cell r="I6856" t="str">
            <v>Nottingham</v>
          </cell>
        </row>
        <row r="6857">
          <cell r="I6857" t="str">
            <v>Midkiff</v>
          </cell>
        </row>
        <row r="6858">
          <cell r="I6858" t="str">
            <v>Mecham</v>
          </cell>
        </row>
        <row r="6859">
          <cell r="I6859" t="str">
            <v>Mccomas</v>
          </cell>
        </row>
        <row r="6860">
          <cell r="I6860" t="str">
            <v>Mcalpine</v>
          </cell>
        </row>
        <row r="6861">
          <cell r="I6861" t="str">
            <v>Lovelady</v>
          </cell>
        </row>
        <row r="6862">
          <cell r="I6862" t="str">
            <v>Lillard</v>
          </cell>
        </row>
        <row r="6863">
          <cell r="I6863" t="str">
            <v>Lally</v>
          </cell>
        </row>
        <row r="6864">
          <cell r="I6864" t="str">
            <v>Knopp</v>
          </cell>
        </row>
        <row r="6865">
          <cell r="I6865" t="str">
            <v>Kile</v>
          </cell>
        </row>
        <row r="6866">
          <cell r="I6866" t="str">
            <v>Kiger</v>
          </cell>
        </row>
        <row r="6867">
          <cell r="I6867" t="str">
            <v>Haile</v>
          </cell>
        </row>
        <row r="6868">
          <cell r="I6868" t="str">
            <v>Gupta</v>
          </cell>
        </row>
        <row r="6869">
          <cell r="I6869" t="str">
            <v>Goldsberry</v>
          </cell>
        </row>
        <row r="6870">
          <cell r="I6870" t="str">
            <v>Gilreath</v>
          </cell>
        </row>
        <row r="6871">
          <cell r="I6871" t="str">
            <v>Fulks</v>
          </cell>
        </row>
        <row r="6872">
          <cell r="I6872" t="str">
            <v>Friesen</v>
          </cell>
        </row>
        <row r="6873">
          <cell r="I6873" t="str">
            <v>Franzen</v>
          </cell>
        </row>
        <row r="6874">
          <cell r="I6874" t="str">
            <v>Flack</v>
          </cell>
        </row>
        <row r="6875">
          <cell r="I6875" t="str">
            <v>Findlay</v>
          </cell>
        </row>
        <row r="6876">
          <cell r="I6876" t="str">
            <v>Ferland</v>
          </cell>
        </row>
        <row r="6877">
          <cell r="I6877" t="str">
            <v>Dreyer</v>
          </cell>
        </row>
        <row r="6878">
          <cell r="I6878" t="str">
            <v>Dore</v>
          </cell>
        </row>
        <row r="6879">
          <cell r="I6879" t="str">
            <v>Dennard</v>
          </cell>
        </row>
        <row r="6880">
          <cell r="I6880" t="str">
            <v>Deckard</v>
          </cell>
        </row>
        <row r="6881">
          <cell r="I6881" t="str">
            <v>Debose</v>
          </cell>
        </row>
        <row r="6882">
          <cell r="I6882" t="str">
            <v>Crim</v>
          </cell>
        </row>
        <row r="6883">
          <cell r="I6883" t="str">
            <v>Coulombe</v>
          </cell>
        </row>
        <row r="6884">
          <cell r="I6884" t="str">
            <v>Cork</v>
          </cell>
        </row>
        <row r="6885">
          <cell r="I6885" t="str">
            <v>Chancey</v>
          </cell>
        </row>
        <row r="6886">
          <cell r="I6886" t="str">
            <v>Cantor</v>
          </cell>
        </row>
        <row r="6887">
          <cell r="I6887" t="str">
            <v>Branton</v>
          </cell>
        </row>
        <row r="6888">
          <cell r="I6888" t="str">
            <v>Bissell</v>
          </cell>
        </row>
        <row r="6889">
          <cell r="I6889" t="str">
            <v>Barns</v>
          </cell>
        </row>
        <row r="6890">
          <cell r="I6890" t="str">
            <v>Woolard</v>
          </cell>
        </row>
        <row r="6891">
          <cell r="I6891" t="str">
            <v>Witham</v>
          </cell>
        </row>
        <row r="6892">
          <cell r="I6892" t="str">
            <v>Wasserman</v>
          </cell>
        </row>
        <row r="6893">
          <cell r="I6893" t="str">
            <v>Waldo</v>
          </cell>
        </row>
        <row r="6894">
          <cell r="I6894" t="str">
            <v>Spiegel</v>
          </cell>
        </row>
        <row r="6895">
          <cell r="I6895" t="str">
            <v>Shoffner</v>
          </cell>
        </row>
        <row r="6896">
          <cell r="I6896" t="str">
            <v>Scholz</v>
          </cell>
        </row>
        <row r="6897">
          <cell r="I6897" t="str">
            <v>Ruch</v>
          </cell>
        </row>
        <row r="6898">
          <cell r="I6898" t="str">
            <v>Rossman</v>
          </cell>
        </row>
        <row r="6899">
          <cell r="I6899" t="str">
            <v>Ready</v>
          </cell>
        </row>
        <row r="6900">
          <cell r="I6900" t="str">
            <v>Petry</v>
          </cell>
        </row>
        <row r="6901">
          <cell r="I6901" t="str">
            <v>Palacio</v>
          </cell>
        </row>
        <row r="6902">
          <cell r="I6902" t="str">
            <v>Paez</v>
          </cell>
        </row>
        <row r="6903">
          <cell r="I6903" t="str">
            <v>Neary</v>
          </cell>
        </row>
        <row r="6904">
          <cell r="I6904" t="str">
            <v>Mortenson</v>
          </cell>
        </row>
        <row r="6905">
          <cell r="I6905" t="str">
            <v>Millsap</v>
          </cell>
        </row>
        <row r="6906">
          <cell r="I6906" t="str">
            <v>Miele</v>
          </cell>
        </row>
        <row r="6907">
          <cell r="I6907" t="str">
            <v>Mick</v>
          </cell>
        </row>
        <row r="6908">
          <cell r="I6908" t="str">
            <v>Menke</v>
          </cell>
        </row>
        <row r="6909">
          <cell r="I6909" t="str">
            <v>Mckim</v>
          </cell>
        </row>
        <row r="6910">
          <cell r="I6910" t="str">
            <v>Mcanally</v>
          </cell>
        </row>
        <row r="6911">
          <cell r="I6911" t="str">
            <v>Martines</v>
          </cell>
        </row>
        <row r="6912">
          <cell r="I6912" t="str">
            <v>Manor</v>
          </cell>
        </row>
        <row r="6913">
          <cell r="I6913" t="str">
            <v>Malcom</v>
          </cell>
        </row>
        <row r="6914">
          <cell r="I6914" t="str">
            <v>Lemley</v>
          </cell>
        </row>
        <row r="6915">
          <cell r="I6915" t="str">
            <v>Larochelle</v>
          </cell>
        </row>
        <row r="6916">
          <cell r="I6916" t="str">
            <v>Klaus</v>
          </cell>
        </row>
        <row r="6917">
          <cell r="I6917" t="str">
            <v>Klatt</v>
          </cell>
        </row>
        <row r="6918">
          <cell r="I6918" t="str">
            <v>Kaufmann</v>
          </cell>
        </row>
        <row r="6919">
          <cell r="I6919" t="str">
            <v>Kapp</v>
          </cell>
        </row>
        <row r="6920">
          <cell r="I6920" t="str">
            <v>Helmer</v>
          </cell>
        </row>
        <row r="6921">
          <cell r="I6921" t="str">
            <v>Hedge</v>
          </cell>
        </row>
        <row r="6922">
          <cell r="I6922" t="str">
            <v>Halloran</v>
          </cell>
        </row>
        <row r="6923">
          <cell r="I6923" t="str">
            <v>Glisson</v>
          </cell>
        </row>
        <row r="6924">
          <cell r="I6924" t="str">
            <v>Frechette</v>
          </cell>
        </row>
        <row r="6925">
          <cell r="I6925" t="str">
            <v>Fontana</v>
          </cell>
        </row>
        <row r="6926">
          <cell r="I6926" t="str">
            <v>Enoch</v>
          </cell>
        </row>
        <row r="6927">
          <cell r="I6927" t="str">
            <v>Eagan</v>
          </cell>
        </row>
        <row r="6928">
          <cell r="I6928" t="str">
            <v>Drum</v>
          </cell>
        </row>
        <row r="6929">
          <cell r="I6929" t="str">
            <v>Distefano</v>
          </cell>
        </row>
        <row r="6930">
          <cell r="I6930" t="str">
            <v>Danley</v>
          </cell>
        </row>
        <row r="6931">
          <cell r="I6931" t="str">
            <v>Creekmore</v>
          </cell>
        </row>
        <row r="6932">
          <cell r="I6932" t="str">
            <v>Chartier</v>
          </cell>
        </row>
        <row r="6933">
          <cell r="I6933" t="str">
            <v>Chaffee</v>
          </cell>
        </row>
        <row r="6934">
          <cell r="I6934" t="str">
            <v>Carillo</v>
          </cell>
        </row>
        <row r="6935">
          <cell r="I6935" t="str">
            <v>Burg</v>
          </cell>
        </row>
        <row r="6936">
          <cell r="I6936" t="str">
            <v>Bolinger</v>
          </cell>
        </row>
        <row r="6937">
          <cell r="I6937" t="str">
            <v>Berkley</v>
          </cell>
        </row>
        <row r="6938">
          <cell r="I6938" t="str">
            <v>Benz</v>
          </cell>
        </row>
        <row r="6939">
          <cell r="I6939" t="str">
            <v>Basso</v>
          </cell>
        </row>
        <row r="6940">
          <cell r="I6940" t="str">
            <v>Bash</v>
          </cell>
        </row>
        <row r="6941">
          <cell r="I6941" t="str">
            <v>Barrier</v>
          </cell>
        </row>
        <row r="6942">
          <cell r="I6942" t="str">
            <v>Zelaya</v>
          </cell>
        </row>
        <row r="6943">
          <cell r="I6943" t="str">
            <v>Woodring</v>
          </cell>
        </row>
        <row r="6944">
          <cell r="I6944" t="str">
            <v>Witkowski</v>
          </cell>
        </row>
        <row r="6945">
          <cell r="I6945" t="str">
            <v>Wilmot</v>
          </cell>
        </row>
        <row r="6946">
          <cell r="I6946" t="str">
            <v>Wilkens</v>
          </cell>
        </row>
        <row r="6947">
          <cell r="I6947" t="str">
            <v>Wieland</v>
          </cell>
        </row>
        <row r="6948">
          <cell r="I6948" t="str">
            <v>Virgil</v>
          </cell>
        </row>
        <row r="6949">
          <cell r="I6949" t="str">
            <v>Verdugo</v>
          </cell>
        </row>
        <row r="6950">
          <cell r="I6950" t="str">
            <v>Urquhart</v>
          </cell>
        </row>
        <row r="6951">
          <cell r="I6951" t="str">
            <v>Tsai</v>
          </cell>
        </row>
        <row r="6952">
          <cell r="I6952" t="str">
            <v>Timms</v>
          </cell>
        </row>
        <row r="6953">
          <cell r="I6953" t="str">
            <v>Swiger</v>
          </cell>
        </row>
        <row r="6954">
          <cell r="I6954" t="str">
            <v>Swaim</v>
          </cell>
        </row>
        <row r="6955">
          <cell r="I6955" t="str">
            <v>Sussman</v>
          </cell>
        </row>
        <row r="6956">
          <cell r="I6956" t="str">
            <v>Scarlett</v>
          </cell>
        </row>
        <row r="6957">
          <cell r="I6957" t="str">
            <v>Pires</v>
          </cell>
        </row>
        <row r="6958">
          <cell r="I6958" t="str">
            <v>Molnar</v>
          </cell>
        </row>
        <row r="6959">
          <cell r="I6959" t="str">
            <v>Mcatee</v>
          </cell>
        </row>
        <row r="6960">
          <cell r="I6960" t="str">
            <v>Maurice</v>
          </cell>
        </row>
        <row r="6961">
          <cell r="I6961" t="str">
            <v>Lowder</v>
          </cell>
        </row>
        <row r="6962">
          <cell r="I6962" t="str">
            <v>Loos</v>
          </cell>
        </row>
        <row r="6963">
          <cell r="I6963" t="str">
            <v>Linker</v>
          </cell>
        </row>
        <row r="6964">
          <cell r="I6964" t="str">
            <v>Landes</v>
          </cell>
        </row>
        <row r="6965">
          <cell r="I6965" t="str">
            <v>Kingery</v>
          </cell>
        </row>
        <row r="6966">
          <cell r="I6966" t="str">
            <v>Keeley</v>
          </cell>
        </row>
        <row r="6967">
          <cell r="I6967" t="str">
            <v>Hufford</v>
          </cell>
        </row>
        <row r="6968">
          <cell r="I6968" t="str">
            <v>Higa</v>
          </cell>
        </row>
        <row r="6969">
          <cell r="I6969" t="str">
            <v>Hendren</v>
          </cell>
        </row>
        <row r="6970">
          <cell r="I6970" t="str">
            <v>Hammack</v>
          </cell>
        </row>
        <row r="6971">
          <cell r="I6971" t="str">
            <v>Hamann</v>
          </cell>
        </row>
        <row r="6972">
          <cell r="I6972" t="str">
            <v>Gillam</v>
          </cell>
        </row>
        <row r="6973">
          <cell r="I6973" t="str">
            <v>Gerhardt</v>
          </cell>
        </row>
        <row r="6974">
          <cell r="I6974" t="str">
            <v>Fell</v>
          </cell>
        </row>
        <row r="6975">
          <cell r="I6975" t="str">
            <v>Eugene</v>
          </cell>
        </row>
        <row r="6976">
          <cell r="I6976" t="str">
            <v>Edelman</v>
          </cell>
        </row>
        <row r="6977">
          <cell r="I6977" t="str">
            <v>Eby</v>
          </cell>
        </row>
        <row r="6978">
          <cell r="I6978" t="str">
            <v>Delk</v>
          </cell>
        </row>
        <row r="6979">
          <cell r="I6979" t="str">
            <v>Deans</v>
          </cell>
        </row>
        <row r="6980">
          <cell r="I6980" t="str">
            <v>Curl</v>
          </cell>
        </row>
        <row r="6981">
          <cell r="I6981" t="str">
            <v>Constantine</v>
          </cell>
        </row>
        <row r="6982">
          <cell r="I6982" t="str">
            <v>Cleaver</v>
          </cell>
        </row>
        <row r="6983">
          <cell r="I6983" t="str">
            <v>Claar</v>
          </cell>
        </row>
        <row r="6984">
          <cell r="I6984" t="str">
            <v>Casiano</v>
          </cell>
        </row>
        <row r="6985">
          <cell r="I6985" t="str">
            <v>Carruth</v>
          </cell>
        </row>
        <row r="6986">
          <cell r="I6986" t="str">
            <v>Carlyle</v>
          </cell>
        </row>
        <row r="6987">
          <cell r="I6987" t="str">
            <v>Bump</v>
          </cell>
        </row>
        <row r="6988">
          <cell r="I6988" t="str">
            <v>Brophy</v>
          </cell>
        </row>
        <row r="6989">
          <cell r="I6989" t="str">
            <v>Bolanos</v>
          </cell>
        </row>
        <row r="6990">
          <cell r="I6990" t="str">
            <v>Bibbs</v>
          </cell>
        </row>
        <row r="6991">
          <cell r="I6991" t="str">
            <v>Bessette</v>
          </cell>
        </row>
        <row r="6992">
          <cell r="I6992" t="str">
            <v>Beggs</v>
          </cell>
        </row>
        <row r="6993">
          <cell r="I6993" t="str">
            <v>Baugher</v>
          </cell>
        </row>
        <row r="6994">
          <cell r="I6994" t="str">
            <v>Bartel</v>
          </cell>
        </row>
        <row r="6995">
          <cell r="I6995" t="str">
            <v>Averill</v>
          </cell>
        </row>
        <row r="6996">
          <cell r="I6996" t="str">
            <v>Andresen</v>
          </cell>
        </row>
        <row r="6997">
          <cell r="I6997" t="str">
            <v>Amin</v>
          </cell>
        </row>
        <row r="6998">
          <cell r="I6998" t="str">
            <v>Alden</v>
          </cell>
        </row>
        <row r="6999">
          <cell r="I6999" t="str">
            <v>Adames</v>
          </cell>
        </row>
        <row r="7000">
          <cell r="I7000" t="str">
            <v>Wildman</v>
          </cell>
        </row>
        <row r="7001">
          <cell r="I7001" t="str">
            <v>Via</v>
          </cell>
        </row>
        <row r="7002">
          <cell r="I7002" t="str">
            <v>Valente</v>
          </cell>
        </row>
        <row r="7003">
          <cell r="I7003" t="str">
            <v>Turnbow</v>
          </cell>
        </row>
        <row r="7004">
          <cell r="I7004" t="str">
            <v>Tse</v>
          </cell>
        </row>
        <row r="7005">
          <cell r="I7005" t="str">
            <v>Swink</v>
          </cell>
        </row>
        <row r="7006">
          <cell r="I7006" t="str">
            <v>Sublett</v>
          </cell>
        </row>
        <row r="7007">
          <cell r="I7007" t="str">
            <v>Stroh</v>
          </cell>
        </row>
        <row r="7008">
          <cell r="I7008" t="str">
            <v>Stringfellow</v>
          </cell>
        </row>
        <row r="7009">
          <cell r="I7009" t="str">
            <v>Ridgway</v>
          </cell>
        </row>
        <row r="7010">
          <cell r="I7010" t="str">
            <v>Pugliese</v>
          </cell>
        </row>
        <row r="7011">
          <cell r="I7011" t="str">
            <v>Poteat</v>
          </cell>
        </row>
        <row r="7012">
          <cell r="I7012" t="str">
            <v>Pang</v>
          </cell>
        </row>
        <row r="7013">
          <cell r="I7013" t="str">
            <v>Ohare</v>
          </cell>
        </row>
        <row r="7014">
          <cell r="I7014" t="str">
            <v>Neubauer</v>
          </cell>
        </row>
        <row r="7015">
          <cell r="I7015" t="str">
            <v>Murchison</v>
          </cell>
        </row>
        <row r="7016">
          <cell r="I7016" t="str">
            <v>Mohamed</v>
          </cell>
        </row>
        <row r="7017">
          <cell r="I7017" t="str">
            <v>Mingo</v>
          </cell>
        </row>
        <row r="7018">
          <cell r="I7018" t="str">
            <v>Lucky</v>
          </cell>
        </row>
        <row r="7019">
          <cell r="I7019" t="str">
            <v>Lemmons</v>
          </cell>
        </row>
        <row r="7020">
          <cell r="I7020" t="str">
            <v>Kwon</v>
          </cell>
        </row>
        <row r="7021">
          <cell r="I7021" t="str">
            <v>Kellam</v>
          </cell>
        </row>
        <row r="7022">
          <cell r="I7022" t="str">
            <v>Kean</v>
          </cell>
        </row>
        <row r="7023">
          <cell r="I7023" t="str">
            <v>Jarmon</v>
          </cell>
        </row>
        <row r="7024">
          <cell r="I7024" t="str">
            <v>Hyden</v>
          </cell>
        </row>
        <row r="7025">
          <cell r="I7025" t="str">
            <v>Hudak</v>
          </cell>
        </row>
        <row r="7026">
          <cell r="I7026" t="str">
            <v>Hollinger</v>
          </cell>
        </row>
        <row r="7027">
          <cell r="I7027" t="str">
            <v>Henkel</v>
          </cell>
        </row>
        <row r="7028">
          <cell r="I7028" t="str">
            <v>Hemingway</v>
          </cell>
        </row>
        <row r="7029">
          <cell r="I7029" t="str">
            <v>Hasson</v>
          </cell>
        </row>
        <row r="7030">
          <cell r="I7030" t="str">
            <v>Hansel</v>
          </cell>
        </row>
        <row r="7031">
          <cell r="I7031" t="str">
            <v>Halter</v>
          </cell>
        </row>
        <row r="7032">
          <cell r="I7032" t="str">
            <v>Haire</v>
          </cell>
        </row>
        <row r="7033">
          <cell r="I7033" t="str">
            <v>Goodnight</v>
          </cell>
        </row>
        <row r="7034">
          <cell r="I7034" t="str">
            <v>Ginsberg</v>
          </cell>
        </row>
        <row r="7035">
          <cell r="I7035" t="str">
            <v>Gillispie</v>
          </cell>
        </row>
        <row r="7036">
          <cell r="I7036" t="str">
            <v>Fogel</v>
          </cell>
        </row>
        <row r="7037">
          <cell r="I7037" t="str">
            <v>Flory</v>
          </cell>
        </row>
        <row r="7038">
          <cell r="I7038" t="str">
            <v>Etter</v>
          </cell>
        </row>
        <row r="7039">
          <cell r="I7039" t="str">
            <v>Elledge</v>
          </cell>
        </row>
        <row r="7040">
          <cell r="I7040" t="str">
            <v>Eckman</v>
          </cell>
        </row>
        <row r="7041">
          <cell r="I7041" t="str">
            <v>Deas</v>
          </cell>
        </row>
        <row r="7042">
          <cell r="I7042" t="str">
            <v>Currin</v>
          </cell>
        </row>
        <row r="7043">
          <cell r="I7043" t="str">
            <v>Crafton</v>
          </cell>
        </row>
        <row r="7044">
          <cell r="I7044" t="str">
            <v>Coomer</v>
          </cell>
        </row>
        <row r="7045">
          <cell r="I7045" t="str">
            <v>Colter</v>
          </cell>
        </row>
        <row r="7046">
          <cell r="I7046" t="str">
            <v>Claxton</v>
          </cell>
        </row>
        <row r="7047">
          <cell r="I7047" t="str">
            <v>Bulter</v>
          </cell>
        </row>
        <row r="7048">
          <cell r="I7048" t="str">
            <v>Braddock</v>
          </cell>
        </row>
        <row r="7049">
          <cell r="I7049" t="str">
            <v>Bowyer</v>
          </cell>
        </row>
        <row r="7050">
          <cell r="I7050" t="str">
            <v>Blizzard</v>
          </cell>
        </row>
        <row r="7051">
          <cell r="I7051" t="str">
            <v>Binns</v>
          </cell>
        </row>
        <row r="7052">
          <cell r="I7052" t="str">
            <v>Bing</v>
          </cell>
        </row>
        <row r="7053">
          <cell r="I7053" t="str">
            <v>Bellows</v>
          </cell>
        </row>
        <row r="7054">
          <cell r="I7054" t="str">
            <v>Baskerville</v>
          </cell>
        </row>
        <row r="7055">
          <cell r="I7055" t="str">
            <v>Barros</v>
          </cell>
        </row>
        <row r="7056">
          <cell r="I7056" t="str">
            <v>Ansley</v>
          </cell>
        </row>
        <row r="7057">
          <cell r="I7057" t="str">
            <v>Woolf</v>
          </cell>
        </row>
        <row r="7058">
          <cell r="I7058" t="str">
            <v>Wight</v>
          </cell>
        </row>
        <row r="7059">
          <cell r="I7059" t="str">
            <v>Waldman</v>
          </cell>
        </row>
        <row r="7060">
          <cell r="I7060" t="str">
            <v>Wadley</v>
          </cell>
        </row>
        <row r="7061">
          <cell r="I7061" t="str">
            <v>Tull</v>
          </cell>
        </row>
        <row r="7062">
          <cell r="I7062" t="str">
            <v>Trull</v>
          </cell>
        </row>
        <row r="7063">
          <cell r="I7063" t="str">
            <v>Tesch</v>
          </cell>
        </row>
        <row r="7064">
          <cell r="I7064" t="str">
            <v>Struck</v>
          </cell>
        </row>
        <row r="7065">
          <cell r="I7065" t="str">
            <v>Stouffer</v>
          </cell>
        </row>
        <row r="7066">
          <cell r="I7066" t="str">
            <v>Stadler</v>
          </cell>
        </row>
        <row r="7067">
          <cell r="I7067" t="str">
            <v>Slay</v>
          </cell>
        </row>
        <row r="7068">
          <cell r="I7068" t="str">
            <v>Shubert</v>
          </cell>
        </row>
        <row r="7069">
          <cell r="I7069" t="str">
            <v>Sedillo</v>
          </cell>
        </row>
        <row r="7070">
          <cell r="I7070" t="str">
            <v>Santacruz</v>
          </cell>
        </row>
        <row r="7071">
          <cell r="I7071" t="str">
            <v>Reinke</v>
          </cell>
        </row>
        <row r="7072">
          <cell r="I7072" t="str">
            <v>Raleigh</v>
          </cell>
        </row>
        <row r="7073">
          <cell r="I7073" t="str">
            <v>Poynter</v>
          </cell>
        </row>
        <row r="7074">
          <cell r="I7074" t="str">
            <v>Neri</v>
          </cell>
        </row>
        <row r="7075">
          <cell r="I7075" t="str">
            <v>Neale</v>
          </cell>
        </row>
        <row r="7076">
          <cell r="I7076" t="str">
            <v>Natividad</v>
          </cell>
        </row>
        <row r="7077">
          <cell r="I7077" t="str">
            <v>Mowry</v>
          </cell>
        </row>
        <row r="7078">
          <cell r="I7078" t="str">
            <v>Moralez</v>
          </cell>
        </row>
        <row r="7079">
          <cell r="I7079" t="str">
            <v>Monger</v>
          </cell>
        </row>
        <row r="7080">
          <cell r="I7080" t="str">
            <v>Mitchum</v>
          </cell>
        </row>
        <row r="7081">
          <cell r="I7081" t="str">
            <v>Merryman</v>
          </cell>
        </row>
        <row r="7082">
          <cell r="I7082" t="str">
            <v>Manion</v>
          </cell>
        </row>
        <row r="7083">
          <cell r="I7083" t="str">
            <v>Macdougall</v>
          </cell>
        </row>
        <row r="7084">
          <cell r="I7084" t="str">
            <v>Lux</v>
          </cell>
        </row>
        <row r="7085">
          <cell r="I7085" t="str">
            <v>Litchfield</v>
          </cell>
        </row>
        <row r="7086">
          <cell r="I7086" t="str">
            <v>Ley</v>
          </cell>
        </row>
        <row r="7087">
          <cell r="I7087" t="str">
            <v>Levitt</v>
          </cell>
        </row>
        <row r="7088">
          <cell r="I7088" t="str">
            <v>Lepage</v>
          </cell>
        </row>
        <row r="7089">
          <cell r="I7089" t="str">
            <v>Lasalle</v>
          </cell>
        </row>
        <row r="7090">
          <cell r="I7090" t="str">
            <v>Laine</v>
          </cell>
        </row>
        <row r="7091">
          <cell r="I7091" t="str">
            <v>Khoury</v>
          </cell>
        </row>
        <row r="7092">
          <cell r="I7092" t="str">
            <v>Kavanagh</v>
          </cell>
        </row>
        <row r="7093">
          <cell r="I7093" t="str">
            <v>Karns</v>
          </cell>
        </row>
        <row r="7094">
          <cell r="I7094" t="str">
            <v>Ivie</v>
          </cell>
        </row>
        <row r="7095">
          <cell r="I7095" t="str">
            <v>Huebner</v>
          </cell>
        </row>
        <row r="7096">
          <cell r="I7096" t="str">
            <v>Hodgkins</v>
          </cell>
        </row>
        <row r="7097">
          <cell r="I7097" t="str">
            <v>Halpin</v>
          </cell>
        </row>
        <row r="7098">
          <cell r="I7098" t="str">
            <v>Garica</v>
          </cell>
        </row>
        <row r="7099">
          <cell r="I7099" t="str">
            <v>Eversole</v>
          </cell>
        </row>
        <row r="7100">
          <cell r="I7100" t="str">
            <v>Dutra</v>
          </cell>
        </row>
        <row r="7101">
          <cell r="I7101" t="str">
            <v>Dunagan</v>
          </cell>
        </row>
        <row r="7102">
          <cell r="I7102" t="str">
            <v>Duffey</v>
          </cell>
        </row>
        <row r="7103">
          <cell r="I7103" t="str">
            <v>Dillman</v>
          </cell>
        </row>
        <row r="7104">
          <cell r="I7104" t="str">
            <v>Dillion</v>
          </cell>
        </row>
        <row r="7105">
          <cell r="I7105" t="str">
            <v>Deville</v>
          </cell>
        </row>
        <row r="7106">
          <cell r="I7106" t="str">
            <v>Dearborn</v>
          </cell>
        </row>
        <row r="7107">
          <cell r="I7107" t="str">
            <v>Damato</v>
          </cell>
        </row>
        <row r="7108">
          <cell r="I7108" t="str">
            <v>Courson</v>
          </cell>
        </row>
        <row r="7109">
          <cell r="I7109" t="str">
            <v>Coulson</v>
          </cell>
        </row>
        <row r="7110">
          <cell r="I7110" t="str">
            <v>Burdine</v>
          </cell>
        </row>
        <row r="7111">
          <cell r="I7111" t="str">
            <v>Bryce</v>
          </cell>
        </row>
        <row r="7112">
          <cell r="I7112" t="str">
            <v>Bousquet</v>
          </cell>
        </row>
        <row r="7113">
          <cell r="I7113" t="str">
            <v>Bonin</v>
          </cell>
        </row>
        <row r="7114">
          <cell r="I7114" t="str">
            <v>Bish</v>
          </cell>
        </row>
        <row r="7115">
          <cell r="I7115" t="str">
            <v>Atencio</v>
          </cell>
        </row>
        <row r="7116">
          <cell r="I7116" t="str">
            <v>Westbrooks</v>
          </cell>
        </row>
        <row r="7117">
          <cell r="I7117" t="str">
            <v>Wages</v>
          </cell>
        </row>
        <row r="7118">
          <cell r="I7118" t="str">
            <v>Vaca</v>
          </cell>
        </row>
        <row r="7119">
          <cell r="I7119" t="str">
            <v>Tye</v>
          </cell>
        </row>
        <row r="7120">
          <cell r="I7120" t="str">
            <v>Toner</v>
          </cell>
        </row>
        <row r="7121">
          <cell r="I7121" t="str">
            <v>Tomas</v>
          </cell>
        </row>
        <row r="7122">
          <cell r="I7122" t="str">
            <v>Tillis</v>
          </cell>
        </row>
        <row r="7123">
          <cell r="I7123" t="str">
            <v>Swett</v>
          </cell>
        </row>
        <row r="7124">
          <cell r="I7124" t="str">
            <v>Surface</v>
          </cell>
        </row>
        <row r="7125">
          <cell r="I7125" t="str">
            <v>Struble</v>
          </cell>
        </row>
        <row r="7126">
          <cell r="I7126" t="str">
            <v>Stanfill</v>
          </cell>
        </row>
        <row r="7127">
          <cell r="I7127" t="str">
            <v>Son</v>
          </cell>
        </row>
        <row r="7128">
          <cell r="I7128" t="str">
            <v>Solorzano</v>
          </cell>
        </row>
        <row r="7129">
          <cell r="I7129" t="str">
            <v>Slusher</v>
          </cell>
        </row>
        <row r="7130">
          <cell r="I7130" t="str">
            <v>Sipple</v>
          </cell>
        </row>
        <row r="7131">
          <cell r="I7131" t="str">
            <v>Sim</v>
          </cell>
        </row>
        <row r="7132">
          <cell r="I7132" t="str">
            <v>Silvas</v>
          </cell>
        </row>
        <row r="7133">
          <cell r="I7133" t="str">
            <v>Shults</v>
          </cell>
        </row>
        <row r="7134">
          <cell r="I7134" t="str">
            <v>Schexnayder</v>
          </cell>
        </row>
        <row r="7135">
          <cell r="I7135" t="str">
            <v>Saez</v>
          </cell>
        </row>
        <row r="7136">
          <cell r="I7136" t="str">
            <v>Rodas</v>
          </cell>
        </row>
        <row r="7137">
          <cell r="I7137" t="str">
            <v>Rager</v>
          </cell>
        </row>
        <row r="7138">
          <cell r="I7138" t="str">
            <v>Pulver</v>
          </cell>
        </row>
        <row r="7139">
          <cell r="I7139" t="str">
            <v>Plaza</v>
          </cell>
        </row>
        <row r="7140">
          <cell r="I7140" t="str">
            <v>Penton</v>
          </cell>
        </row>
        <row r="7141">
          <cell r="I7141" t="str">
            <v>Paniagua</v>
          </cell>
        </row>
        <row r="7142">
          <cell r="I7142" t="str">
            <v>Meneses</v>
          </cell>
        </row>
        <row r="7143">
          <cell r="I7143" t="str">
            <v>Mcfarlin</v>
          </cell>
        </row>
        <row r="7144">
          <cell r="I7144" t="str">
            <v>Mcauley</v>
          </cell>
        </row>
        <row r="7145">
          <cell r="I7145" t="str">
            <v>Matz</v>
          </cell>
        </row>
        <row r="7146">
          <cell r="I7146" t="str">
            <v>Maloy</v>
          </cell>
        </row>
        <row r="7147">
          <cell r="I7147" t="str">
            <v>Magruder</v>
          </cell>
        </row>
        <row r="7148">
          <cell r="I7148" t="str">
            <v>Lohman</v>
          </cell>
        </row>
        <row r="7149">
          <cell r="I7149" t="str">
            <v>Landa</v>
          </cell>
        </row>
        <row r="7150">
          <cell r="I7150" t="str">
            <v>Lacombe</v>
          </cell>
        </row>
        <row r="7151">
          <cell r="I7151" t="str">
            <v>Jaimes</v>
          </cell>
        </row>
        <row r="7152">
          <cell r="I7152" t="str">
            <v>Hom</v>
          </cell>
        </row>
        <row r="7153">
          <cell r="I7153" t="str">
            <v>Holzer</v>
          </cell>
        </row>
        <row r="7154">
          <cell r="I7154" t="str">
            <v>Holst</v>
          </cell>
        </row>
        <row r="7155">
          <cell r="I7155" t="str">
            <v>Heil</v>
          </cell>
        </row>
        <row r="7156">
          <cell r="I7156" t="str">
            <v>Hackler</v>
          </cell>
        </row>
        <row r="7157">
          <cell r="I7157" t="str">
            <v>Grundy</v>
          </cell>
        </row>
        <row r="7158">
          <cell r="I7158" t="str">
            <v>Gregor</v>
          </cell>
        </row>
        <row r="7159">
          <cell r="I7159" t="str">
            <v>Gilkey</v>
          </cell>
        </row>
        <row r="7160">
          <cell r="I7160" t="str">
            <v>Farnham</v>
          </cell>
        </row>
        <row r="7161">
          <cell r="I7161" t="str">
            <v>Durfee</v>
          </cell>
        </row>
        <row r="7162">
          <cell r="I7162" t="str">
            <v>Dunton</v>
          </cell>
        </row>
        <row r="7163">
          <cell r="I7163" t="str">
            <v>Dunston</v>
          </cell>
        </row>
        <row r="7164">
          <cell r="I7164" t="str">
            <v>Duda</v>
          </cell>
        </row>
        <row r="7165">
          <cell r="I7165" t="str">
            <v>Dews</v>
          </cell>
        </row>
        <row r="7166">
          <cell r="I7166" t="str">
            <v>Dana</v>
          </cell>
        </row>
        <row r="7167">
          <cell r="I7167" t="str">
            <v>Craver</v>
          </cell>
        </row>
        <row r="7168">
          <cell r="I7168" t="str">
            <v>Corriveau</v>
          </cell>
        </row>
        <row r="7169">
          <cell r="I7169" t="str">
            <v>Conwell</v>
          </cell>
        </row>
        <row r="7170">
          <cell r="I7170" t="str">
            <v>Colella</v>
          </cell>
        </row>
        <row r="7171">
          <cell r="I7171" t="str">
            <v>Chambless</v>
          </cell>
        </row>
        <row r="7172">
          <cell r="I7172" t="str">
            <v>Bremer</v>
          </cell>
        </row>
        <row r="7173">
          <cell r="I7173" t="str">
            <v>Boutte</v>
          </cell>
        </row>
        <row r="7174">
          <cell r="I7174" t="str">
            <v>Bourassa</v>
          </cell>
        </row>
        <row r="7175">
          <cell r="I7175" t="str">
            <v>Blaisdell</v>
          </cell>
        </row>
        <row r="7176">
          <cell r="I7176" t="str">
            <v>Backman</v>
          </cell>
        </row>
        <row r="7177">
          <cell r="I7177" t="str">
            <v>Babineaux</v>
          </cell>
        </row>
        <row r="7178">
          <cell r="I7178" t="str">
            <v>Audette</v>
          </cell>
        </row>
        <row r="7179">
          <cell r="I7179" t="str">
            <v>Alleman</v>
          </cell>
        </row>
        <row r="7180">
          <cell r="I7180" t="str">
            <v>Towner</v>
          </cell>
        </row>
        <row r="7181">
          <cell r="I7181" t="str">
            <v>Taveras</v>
          </cell>
        </row>
        <row r="7182">
          <cell r="I7182" t="str">
            <v>Tarango</v>
          </cell>
        </row>
        <row r="7183">
          <cell r="I7183" t="str">
            <v>Sullins</v>
          </cell>
        </row>
        <row r="7184">
          <cell r="I7184" t="str">
            <v>Suiter</v>
          </cell>
        </row>
        <row r="7185">
          <cell r="I7185" t="str">
            <v>Stallard</v>
          </cell>
        </row>
        <row r="7186">
          <cell r="I7186" t="str">
            <v>Solberg</v>
          </cell>
        </row>
        <row r="7187">
          <cell r="I7187" t="str">
            <v>Schlueter</v>
          </cell>
        </row>
        <row r="7188">
          <cell r="I7188" t="str">
            <v>Poulos</v>
          </cell>
        </row>
        <row r="7189">
          <cell r="I7189" t="str">
            <v>Pimental</v>
          </cell>
        </row>
        <row r="7190">
          <cell r="I7190" t="str">
            <v>Owsley</v>
          </cell>
        </row>
        <row r="7191">
          <cell r="I7191" t="str">
            <v>Olivier</v>
          </cell>
        </row>
        <row r="7192">
          <cell r="I7192" t="str">
            <v>Okelley</v>
          </cell>
        </row>
        <row r="7193">
          <cell r="I7193" t="str">
            <v>Nations</v>
          </cell>
        </row>
        <row r="7194">
          <cell r="I7194" t="str">
            <v>Moffatt</v>
          </cell>
        </row>
        <row r="7195">
          <cell r="I7195" t="str">
            <v>Metcalfe</v>
          </cell>
        </row>
        <row r="7196">
          <cell r="I7196" t="str">
            <v>Meekins</v>
          </cell>
        </row>
        <row r="7197">
          <cell r="I7197" t="str">
            <v>Medellin</v>
          </cell>
        </row>
        <row r="7198">
          <cell r="I7198" t="str">
            <v>Mcglynn</v>
          </cell>
        </row>
        <row r="7199">
          <cell r="I7199" t="str">
            <v>Mccowan</v>
          </cell>
        </row>
        <row r="7200">
          <cell r="I7200" t="str">
            <v>Marriott</v>
          </cell>
        </row>
        <row r="7201">
          <cell r="I7201" t="str">
            <v>Marable</v>
          </cell>
        </row>
        <row r="7202">
          <cell r="I7202" t="str">
            <v>Lennox</v>
          </cell>
        </row>
        <row r="7203">
          <cell r="I7203" t="str">
            <v>Lamoureux</v>
          </cell>
        </row>
        <row r="7204">
          <cell r="I7204" t="str">
            <v>Koss</v>
          </cell>
        </row>
        <row r="7205">
          <cell r="I7205" t="str">
            <v>Kerby</v>
          </cell>
        </row>
        <row r="7206">
          <cell r="I7206" t="str">
            <v>Karp</v>
          </cell>
        </row>
        <row r="7207">
          <cell r="I7207" t="str">
            <v>Jason</v>
          </cell>
        </row>
        <row r="7208">
          <cell r="I7208" t="str">
            <v>Isenberg</v>
          </cell>
        </row>
        <row r="7209">
          <cell r="I7209" t="str">
            <v>Howze</v>
          </cell>
        </row>
        <row r="7210">
          <cell r="I7210" t="str">
            <v>Hockenberry</v>
          </cell>
        </row>
        <row r="7211">
          <cell r="I7211" t="str">
            <v>Highsmith</v>
          </cell>
        </row>
        <row r="7212">
          <cell r="I7212" t="str">
            <v>Harbour</v>
          </cell>
        </row>
        <row r="7213">
          <cell r="I7213" t="str">
            <v>Hallmark</v>
          </cell>
        </row>
        <row r="7214">
          <cell r="I7214" t="str">
            <v>Gusman</v>
          </cell>
        </row>
        <row r="7215">
          <cell r="I7215" t="str">
            <v>Greeley</v>
          </cell>
        </row>
        <row r="7216">
          <cell r="I7216" t="str">
            <v>Giddings</v>
          </cell>
        </row>
        <row r="7217">
          <cell r="I7217" t="str">
            <v>Gaudet</v>
          </cell>
        </row>
        <row r="7218">
          <cell r="I7218" t="str">
            <v>Gallup</v>
          </cell>
        </row>
        <row r="7219">
          <cell r="I7219" t="str">
            <v>Fleenor</v>
          </cell>
        </row>
        <row r="7220">
          <cell r="I7220" t="str">
            <v>Eicher</v>
          </cell>
        </row>
        <row r="7221">
          <cell r="I7221" t="str">
            <v>Edington</v>
          </cell>
        </row>
        <row r="7222">
          <cell r="I7222" t="str">
            <v>Dimaggio</v>
          </cell>
        </row>
        <row r="7223">
          <cell r="I7223" t="str">
            <v>Dement</v>
          </cell>
        </row>
        <row r="7224">
          <cell r="I7224" t="str">
            <v>Demello</v>
          </cell>
        </row>
        <row r="7225">
          <cell r="I7225" t="str">
            <v>Decastro</v>
          </cell>
        </row>
        <row r="7226">
          <cell r="I7226" t="str">
            <v>Cruise</v>
          </cell>
        </row>
        <row r="7227">
          <cell r="I7227" t="str">
            <v>Bushman</v>
          </cell>
        </row>
        <row r="7228">
          <cell r="I7228" t="str">
            <v>Brundage</v>
          </cell>
        </row>
        <row r="7229">
          <cell r="I7229" t="str">
            <v>Brooker</v>
          </cell>
        </row>
        <row r="7230">
          <cell r="I7230" t="str">
            <v>Brooke</v>
          </cell>
        </row>
        <row r="7231">
          <cell r="I7231" t="str">
            <v>Bourg</v>
          </cell>
        </row>
        <row r="7232">
          <cell r="I7232" t="str">
            <v>Board</v>
          </cell>
        </row>
        <row r="7233">
          <cell r="I7233" t="str">
            <v>Blackstock</v>
          </cell>
        </row>
        <row r="7234">
          <cell r="I7234" t="str">
            <v>Bergmann</v>
          </cell>
        </row>
        <row r="7235">
          <cell r="I7235" t="str">
            <v>Beaton</v>
          </cell>
        </row>
        <row r="7236">
          <cell r="I7236" t="str">
            <v>Banister</v>
          </cell>
        </row>
        <row r="7237">
          <cell r="I7237" t="str">
            <v>Argo</v>
          </cell>
        </row>
        <row r="7238">
          <cell r="I7238" t="str">
            <v>Appling</v>
          </cell>
        </row>
        <row r="7239">
          <cell r="I7239" t="str">
            <v>Wortman</v>
          </cell>
        </row>
        <row r="7240">
          <cell r="I7240" t="str">
            <v>Watterson</v>
          </cell>
        </row>
        <row r="7241">
          <cell r="I7241" t="str">
            <v>Villalpando</v>
          </cell>
        </row>
        <row r="7242">
          <cell r="I7242" t="str">
            <v>Tillotson</v>
          </cell>
        </row>
        <row r="7243">
          <cell r="I7243" t="str">
            <v>Tighe</v>
          </cell>
        </row>
        <row r="7244">
          <cell r="I7244" t="str">
            <v>Sundberg</v>
          </cell>
        </row>
        <row r="7245">
          <cell r="I7245" t="str">
            <v>Sternberg</v>
          </cell>
        </row>
        <row r="7246">
          <cell r="I7246" t="str">
            <v>Stamey</v>
          </cell>
        </row>
        <row r="7247">
          <cell r="I7247" t="str">
            <v>Speaks</v>
          </cell>
        </row>
        <row r="7248">
          <cell r="I7248" t="str">
            <v>Shipe</v>
          </cell>
        </row>
        <row r="7249">
          <cell r="I7249" t="str">
            <v>Seeger</v>
          </cell>
        </row>
        <row r="7250">
          <cell r="I7250" t="str">
            <v>Scarberry</v>
          </cell>
        </row>
        <row r="7251">
          <cell r="I7251" t="str">
            <v>Sattler</v>
          </cell>
        </row>
        <row r="7252">
          <cell r="I7252" t="str">
            <v>Sain</v>
          </cell>
        </row>
        <row r="7253">
          <cell r="I7253" t="str">
            <v>Rothstein</v>
          </cell>
        </row>
        <row r="7254">
          <cell r="I7254" t="str">
            <v>Poteet</v>
          </cell>
        </row>
        <row r="7255">
          <cell r="I7255" t="str">
            <v>Plowman</v>
          </cell>
        </row>
        <row r="7256">
          <cell r="I7256" t="str">
            <v>Pettiford</v>
          </cell>
        </row>
        <row r="7257">
          <cell r="I7257" t="str">
            <v>Penland</v>
          </cell>
        </row>
        <row r="7258">
          <cell r="I7258" t="str">
            <v>Peach</v>
          </cell>
        </row>
        <row r="7259">
          <cell r="I7259" t="str">
            <v>Partain</v>
          </cell>
        </row>
        <row r="7260">
          <cell r="I7260" t="str">
            <v>Pankey</v>
          </cell>
        </row>
        <row r="7261">
          <cell r="I7261" t="str">
            <v>Oyler</v>
          </cell>
        </row>
        <row r="7262">
          <cell r="I7262" t="str">
            <v>Ogletree</v>
          </cell>
        </row>
        <row r="7263">
          <cell r="I7263" t="str">
            <v>Ogburn</v>
          </cell>
        </row>
        <row r="7264">
          <cell r="I7264" t="str">
            <v>Moton</v>
          </cell>
        </row>
        <row r="7265">
          <cell r="I7265" t="str">
            <v>Million</v>
          </cell>
        </row>
        <row r="7266">
          <cell r="I7266" t="str">
            <v>Merkel</v>
          </cell>
        </row>
        <row r="7267">
          <cell r="I7267" t="str">
            <v>Mask</v>
          </cell>
        </row>
        <row r="7268">
          <cell r="I7268" t="str">
            <v>Markus</v>
          </cell>
        </row>
        <row r="7269">
          <cell r="I7269" t="str">
            <v>Lucier</v>
          </cell>
        </row>
        <row r="7270">
          <cell r="I7270" t="str">
            <v>Lazarus</v>
          </cell>
        </row>
        <row r="7271">
          <cell r="I7271" t="str">
            <v>Lavelle</v>
          </cell>
        </row>
        <row r="7272">
          <cell r="I7272" t="str">
            <v>Lakey</v>
          </cell>
        </row>
        <row r="7273">
          <cell r="I7273" t="str">
            <v>Kratz</v>
          </cell>
        </row>
        <row r="7274">
          <cell r="I7274" t="str">
            <v>Kinser</v>
          </cell>
        </row>
        <row r="7275">
          <cell r="I7275" t="str">
            <v>Kershaw</v>
          </cell>
        </row>
        <row r="7276">
          <cell r="I7276" t="str">
            <v>Josephson</v>
          </cell>
        </row>
        <row r="7277">
          <cell r="I7277" t="str">
            <v>Jesse</v>
          </cell>
        </row>
        <row r="7278">
          <cell r="I7278" t="str">
            <v>Imhoff</v>
          </cell>
        </row>
        <row r="7279">
          <cell r="I7279" t="str">
            <v>Ibanez</v>
          </cell>
        </row>
        <row r="7280">
          <cell r="I7280" t="str">
            <v>Hendry</v>
          </cell>
        </row>
        <row r="7281">
          <cell r="I7281" t="str">
            <v>Hammon</v>
          </cell>
        </row>
        <row r="7282">
          <cell r="I7282" t="str">
            <v>Frisbie</v>
          </cell>
        </row>
        <row r="7283">
          <cell r="I7283" t="str">
            <v>Friedrich</v>
          </cell>
        </row>
        <row r="7284">
          <cell r="I7284" t="str">
            <v>Frawley</v>
          </cell>
        </row>
        <row r="7285">
          <cell r="I7285" t="str">
            <v>Fraga</v>
          </cell>
        </row>
        <row r="7286">
          <cell r="I7286" t="str">
            <v>Forester</v>
          </cell>
        </row>
        <row r="7287">
          <cell r="I7287" t="str">
            <v>Eskew</v>
          </cell>
        </row>
        <row r="7288">
          <cell r="I7288" t="str">
            <v>Emmert</v>
          </cell>
        </row>
        <row r="7289">
          <cell r="I7289" t="str">
            <v>Drennan</v>
          </cell>
        </row>
        <row r="7290">
          <cell r="I7290" t="str">
            <v>Doyon</v>
          </cell>
        </row>
        <row r="7291">
          <cell r="I7291" t="str">
            <v>Dominick</v>
          </cell>
        </row>
        <row r="7292">
          <cell r="I7292" t="str">
            <v>Dandridge</v>
          </cell>
        </row>
        <row r="7293">
          <cell r="I7293" t="str">
            <v>Cumming</v>
          </cell>
        </row>
        <row r="7294">
          <cell r="I7294" t="str">
            <v>Cawley</v>
          </cell>
        </row>
        <row r="7295">
          <cell r="I7295" t="str">
            <v>Carvajal</v>
          </cell>
        </row>
        <row r="7296">
          <cell r="I7296" t="str">
            <v>Bracey</v>
          </cell>
        </row>
        <row r="7297">
          <cell r="I7297" t="str">
            <v>Belisle</v>
          </cell>
        </row>
        <row r="7298">
          <cell r="I7298" t="str">
            <v>Batey</v>
          </cell>
        </row>
        <row r="7299">
          <cell r="I7299" t="str">
            <v>Ahner</v>
          </cell>
        </row>
        <row r="7300">
          <cell r="I7300" t="str">
            <v>Wysocki</v>
          </cell>
        </row>
        <row r="7301">
          <cell r="I7301" t="str">
            <v>Weiser</v>
          </cell>
        </row>
        <row r="7302">
          <cell r="I7302" t="str">
            <v>Veliz</v>
          </cell>
        </row>
        <row r="7303">
          <cell r="I7303" t="str">
            <v>Tincher</v>
          </cell>
        </row>
        <row r="7304">
          <cell r="I7304" t="str">
            <v>Sherlock</v>
          </cell>
        </row>
        <row r="7305">
          <cell r="I7305" t="str">
            <v>Santo</v>
          </cell>
        </row>
        <row r="7306">
          <cell r="I7306" t="str">
            <v>Sansone</v>
          </cell>
        </row>
        <row r="7307">
          <cell r="I7307" t="str">
            <v>Sankey</v>
          </cell>
        </row>
        <row r="7308">
          <cell r="I7308" t="str">
            <v>Sandstrom</v>
          </cell>
        </row>
        <row r="7309">
          <cell r="I7309" t="str">
            <v>Sale</v>
          </cell>
        </row>
        <row r="7310">
          <cell r="I7310" t="str">
            <v>Rohrer</v>
          </cell>
        </row>
        <row r="7311">
          <cell r="I7311" t="str">
            <v>Risner</v>
          </cell>
        </row>
        <row r="7312">
          <cell r="I7312" t="str">
            <v>Pridemore</v>
          </cell>
        </row>
        <row r="7313">
          <cell r="I7313" t="str">
            <v>Pfeffer</v>
          </cell>
        </row>
        <row r="7314">
          <cell r="I7314" t="str">
            <v>Persinger</v>
          </cell>
        </row>
        <row r="7315">
          <cell r="I7315" t="str">
            <v>Peery</v>
          </cell>
        </row>
        <row r="7316">
          <cell r="I7316" t="str">
            <v>Oubre</v>
          </cell>
        </row>
        <row r="7317">
          <cell r="I7317" t="str">
            <v>Orange</v>
          </cell>
        </row>
        <row r="7318">
          <cell r="I7318" t="str">
            <v>Nowicki</v>
          </cell>
        </row>
        <row r="7319">
          <cell r="I7319" t="str">
            <v>Musgrave</v>
          </cell>
        </row>
        <row r="7320">
          <cell r="I7320" t="str">
            <v>Murdoch</v>
          </cell>
        </row>
        <row r="7321">
          <cell r="I7321" t="str">
            <v>Mullinax</v>
          </cell>
        </row>
        <row r="7322">
          <cell r="I7322" t="str">
            <v>Mccary</v>
          </cell>
        </row>
        <row r="7323">
          <cell r="I7323" t="str">
            <v>Mathieu</v>
          </cell>
        </row>
        <row r="7324">
          <cell r="I7324" t="str">
            <v>Livengood</v>
          </cell>
        </row>
        <row r="7325">
          <cell r="I7325" t="str">
            <v>Leonardo</v>
          </cell>
        </row>
        <row r="7326">
          <cell r="I7326" t="str">
            <v>Kyser</v>
          </cell>
        </row>
        <row r="7327">
          <cell r="I7327" t="str">
            <v>Klink</v>
          </cell>
        </row>
        <row r="7328">
          <cell r="I7328" t="str">
            <v>Kimes</v>
          </cell>
        </row>
        <row r="7329">
          <cell r="I7329" t="str">
            <v>Kellner</v>
          </cell>
        </row>
        <row r="7330">
          <cell r="I7330" t="str">
            <v>Kavanaugh</v>
          </cell>
        </row>
        <row r="7331">
          <cell r="I7331" t="str">
            <v>Kasten</v>
          </cell>
        </row>
        <row r="7332">
          <cell r="I7332" t="str">
            <v>Imes</v>
          </cell>
        </row>
        <row r="7333">
          <cell r="I7333" t="str">
            <v>Hoey</v>
          </cell>
        </row>
        <row r="7334">
          <cell r="I7334" t="str">
            <v>Hinshaw</v>
          </cell>
        </row>
        <row r="7335">
          <cell r="I7335" t="str">
            <v>Halley</v>
          </cell>
        </row>
        <row r="7336">
          <cell r="I7336" t="str">
            <v>Hake</v>
          </cell>
        </row>
        <row r="7337">
          <cell r="I7337" t="str">
            <v>Gurule</v>
          </cell>
        </row>
        <row r="7338">
          <cell r="I7338" t="str">
            <v>Grube</v>
          </cell>
        </row>
        <row r="7339">
          <cell r="I7339" t="str">
            <v>Grillo</v>
          </cell>
        </row>
        <row r="7340">
          <cell r="I7340" t="str">
            <v>Geter</v>
          </cell>
        </row>
        <row r="7341">
          <cell r="I7341" t="str">
            <v>Gatto</v>
          </cell>
        </row>
        <row r="7342">
          <cell r="I7342" t="str">
            <v>Garver</v>
          </cell>
        </row>
        <row r="7343">
          <cell r="I7343" t="str">
            <v>Garretson</v>
          </cell>
        </row>
        <row r="7344">
          <cell r="I7344" t="str">
            <v>Farwell</v>
          </cell>
        </row>
        <row r="7345">
          <cell r="I7345" t="str">
            <v>Eiland</v>
          </cell>
        </row>
        <row r="7346">
          <cell r="I7346" t="str">
            <v>Dunford</v>
          </cell>
        </row>
        <row r="7347">
          <cell r="I7347" t="str">
            <v>Decarlo</v>
          </cell>
        </row>
        <row r="7348">
          <cell r="I7348" t="str">
            <v>Corso</v>
          </cell>
        </row>
        <row r="7349">
          <cell r="I7349" t="str">
            <v>Core</v>
          </cell>
        </row>
        <row r="7350">
          <cell r="I7350" t="str">
            <v>Colman</v>
          </cell>
        </row>
        <row r="7351">
          <cell r="I7351" t="str">
            <v>Collard</v>
          </cell>
        </row>
        <row r="7352">
          <cell r="I7352" t="str">
            <v>Cleghorn</v>
          </cell>
        </row>
        <row r="7353">
          <cell r="I7353" t="str">
            <v>Chasteen</v>
          </cell>
        </row>
        <row r="7354">
          <cell r="I7354" t="str">
            <v>Cavender</v>
          </cell>
        </row>
        <row r="7355">
          <cell r="I7355" t="str">
            <v>Carlile</v>
          </cell>
        </row>
        <row r="7356">
          <cell r="I7356" t="str">
            <v>Calvo</v>
          </cell>
        </row>
        <row r="7357">
          <cell r="I7357" t="str">
            <v>Byerly</v>
          </cell>
        </row>
        <row r="7358">
          <cell r="I7358" t="str">
            <v>Brogdon</v>
          </cell>
        </row>
        <row r="7359">
          <cell r="I7359" t="str">
            <v>Broadwater</v>
          </cell>
        </row>
        <row r="7360">
          <cell r="I7360" t="str">
            <v>Breault</v>
          </cell>
        </row>
        <row r="7361">
          <cell r="I7361" t="str">
            <v>Bono</v>
          </cell>
        </row>
        <row r="7362">
          <cell r="I7362" t="str">
            <v>Bergin</v>
          </cell>
        </row>
        <row r="7363">
          <cell r="I7363" t="str">
            <v>Behr</v>
          </cell>
        </row>
        <row r="7364">
          <cell r="I7364" t="str">
            <v>Ballenger</v>
          </cell>
        </row>
        <row r="7365">
          <cell r="I7365" t="str">
            <v>Amick</v>
          </cell>
        </row>
        <row r="7366">
          <cell r="I7366" t="str">
            <v>Yan</v>
          </cell>
        </row>
        <row r="7367">
          <cell r="I7367" t="str">
            <v>Vice</v>
          </cell>
        </row>
        <row r="7368">
          <cell r="I7368" t="str">
            <v>Tamez</v>
          </cell>
        </row>
        <row r="7369">
          <cell r="I7369" t="str">
            <v>Stiffler</v>
          </cell>
        </row>
        <row r="7370">
          <cell r="I7370" t="str">
            <v>Steinke</v>
          </cell>
        </row>
        <row r="7371">
          <cell r="I7371" t="str">
            <v>Simmon</v>
          </cell>
        </row>
        <row r="7372">
          <cell r="I7372" t="str">
            <v>Shankle</v>
          </cell>
        </row>
        <row r="7373">
          <cell r="I7373" t="str">
            <v>Schaller</v>
          </cell>
        </row>
        <row r="7374">
          <cell r="I7374" t="str">
            <v>Salmons</v>
          </cell>
        </row>
        <row r="7375">
          <cell r="I7375" t="str">
            <v>Sackett</v>
          </cell>
        </row>
        <row r="7376">
          <cell r="I7376" t="str">
            <v>Saad</v>
          </cell>
        </row>
        <row r="7377">
          <cell r="I7377" t="str">
            <v>Rideout</v>
          </cell>
        </row>
        <row r="7378">
          <cell r="I7378" t="str">
            <v>Reader</v>
          </cell>
        </row>
        <row r="7379">
          <cell r="I7379" t="str">
            <v>Ratcliffe</v>
          </cell>
        </row>
        <row r="7380">
          <cell r="I7380" t="str">
            <v>Rao</v>
          </cell>
        </row>
        <row r="7381">
          <cell r="I7381" t="str">
            <v>Ranson</v>
          </cell>
        </row>
        <row r="7382">
          <cell r="I7382" t="str">
            <v>Randell</v>
          </cell>
        </row>
        <row r="7383">
          <cell r="I7383" t="str">
            <v>Plascencia</v>
          </cell>
        </row>
        <row r="7384">
          <cell r="I7384" t="str">
            <v>Petterson</v>
          </cell>
        </row>
        <row r="7385">
          <cell r="I7385" t="str">
            <v>Olszewski</v>
          </cell>
        </row>
        <row r="7386">
          <cell r="I7386" t="str">
            <v>Olney</v>
          </cell>
        </row>
        <row r="7387">
          <cell r="I7387" t="str">
            <v>Olguin</v>
          </cell>
        </row>
        <row r="7388">
          <cell r="I7388" t="str">
            <v>Nilsson</v>
          </cell>
        </row>
        <row r="7389">
          <cell r="I7389" t="str">
            <v>Nevels</v>
          </cell>
        </row>
        <row r="7390">
          <cell r="I7390" t="str">
            <v>Morelli</v>
          </cell>
        </row>
        <row r="7391">
          <cell r="I7391" t="str">
            <v>Montiel</v>
          </cell>
        </row>
        <row r="7392">
          <cell r="I7392" t="str">
            <v>Monge</v>
          </cell>
        </row>
        <row r="7393">
          <cell r="I7393" t="str">
            <v>Michell</v>
          </cell>
        </row>
        <row r="7394">
          <cell r="I7394" t="str">
            <v>Michaelson</v>
          </cell>
        </row>
        <row r="7395">
          <cell r="I7395" t="str">
            <v>Mertens</v>
          </cell>
        </row>
        <row r="7396">
          <cell r="I7396" t="str">
            <v>Mcchesney</v>
          </cell>
        </row>
        <row r="7397">
          <cell r="I7397" t="str">
            <v>Mcalpin</v>
          </cell>
        </row>
        <row r="7398">
          <cell r="I7398" t="str">
            <v>Mathewson</v>
          </cell>
        </row>
        <row r="7399">
          <cell r="I7399" t="str">
            <v>Lower</v>
          </cell>
        </row>
        <row r="7400">
          <cell r="I7400" t="str">
            <v>Loudermilk</v>
          </cell>
        </row>
        <row r="7401">
          <cell r="I7401" t="str">
            <v>Lineberry</v>
          </cell>
        </row>
        <row r="7402">
          <cell r="I7402" t="str">
            <v>Liggett</v>
          </cell>
        </row>
        <row r="7403">
          <cell r="I7403" t="str">
            <v>Lamp</v>
          </cell>
        </row>
        <row r="7404">
          <cell r="I7404" t="str">
            <v>Kinlaw</v>
          </cell>
        </row>
        <row r="7405">
          <cell r="I7405" t="str">
            <v>Kight</v>
          </cell>
        </row>
        <row r="7406">
          <cell r="I7406" t="str">
            <v>Just</v>
          </cell>
        </row>
        <row r="7407">
          <cell r="I7407" t="str">
            <v>Jost</v>
          </cell>
        </row>
        <row r="7408">
          <cell r="I7408" t="str">
            <v>Hereford</v>
          </cell>
        </row>
        <row r="7409">
          <cell r="I7409" t="str">
            <v>Hardeman</v>
          </cell>
        </row>
        <row r="7410">
          <cell r="I7410" t="str">
            <v>Halpern</v>
          </cell>
        </row>
        <row r="7411">
          <cell r="I7411" t="str">
            <v>Halliday</v>
          </cell>
        </row>
        <row r="7412">
          <cell r="I7412" t="str">
            <v>Hafer</v>
          </cell>
        </row>
        <row r="7413">
          <cell r="I7413" t="str">
            <v>Gaul</v>
          </cell>
        </row>
        <row r="7414">
          <cell r="I7414" t="str">
            <v>Friel</v>
          </cell>
        </row>
        <row r="7415">
          <cell r="I7415" t="str">
            <v>Freitag</v>
          </cell>
        </row>
        <row r="7416">
          <cell r="I7416" t="str">
            <v>Frances</v>
          </cell>
        </row>
        <row r="7417">
          <cell r="I7417" t="str">
            <v>Forsberg</v>
          </cell>
        </row>
        <row r="7418">
          <cell r="I7418" t="str">
            <v>Evangelista</v>
          </cell>
        </row>
        <row r="7419">
          <cell r="I7419" t="str">
            <v>Doering</v>
          </cell>
        </row>
        <row r="7420">
          <cell r="I7420" t="str">
            <v>Dicarlo</v>
          </cell>
        </row>
        <row r="7421">
          <cell r="I7421" t="str">
            <v>Dendy</v>
          </cell>
        </row>
        <row r="7422">
          <cell r="I7422" t="str">
            <v>Delp</v>
          </cell>
        </row>
        <row r="7423">
          <cell r="I7423" t="str">
            <v>Deguzman</v>
          </cell>
        </row>
        <row r="7424">
          <cell r="I7424" t="str">
            <v>Dameron</v>
          </cell>
        </row>
        <row r="7425">
          <cell r="I7425" t="str">
            <v>Curtiss</v>
          </cell>
        </row>
        <row r="7426">
          <cell r="I7426" t="str">
            <v>Cousin</v>
          </cell>
        </row>
        <row r="7427">
          <cell r="I7427" t="str">
            <v>Cosper</v>
          </cell>
        </row>
        <row r="7428">
          <cell r="I7428" t="str">
            <v>Charley</v>
          </cell>
        </row>
        <row r="7429">
          <cell r="I7429" t="str">
            <v>Cauthen</v>
          </cell>
        </row>
        <row r="7430">
          <cell r="I7430" t="str">
            <v>Cao</v>
          </cell>
        </row>
        <row r="7431">
          <cell r="I7431" t="str">
            <v>Camper</v>
          </cell>
        </row>
        <row r="7432">
          <cell r="I7432" t="str">
            <v>Bradberry</v>
          </cell>
        </row>
        <row r="7433">
          <cell r="I7433" t="str">
            <v>Bouton</v>
          </cell>
        </row>
        <row r="7434">
          <cell r="I7434" t="str">
            <v>Bonnell</v>
          </cell>
        </row>
        <row r="7435">
          <cell r="I7435" t="str">
            <v>Bixby</v>
          </cell>
        </row>
        <row r="7436">
          <cell r="I7436" t="str">
            <v>Bieber</v>
          </cell>
        </row>
        <row r="7437">
          <cell r="I7437" t="str">
            <v>Beveridge</v>
          </cell>
        </row>
        <row r="7438">
          <cell r="I7438" t="str">
            <v>Belle</v>
          </cell>
        </row>
        <row r="7439">
          <cell r="I7439" t="str">
            <v>Bedwell</v>
          </cell>
        </row>
        <row r="7440">
          <cell r="I7440" t="str">
            <v>Barhorst</v>
          </cell>
        </row>
        <row r="7441">
          <cell r="I7441" t="str">
            <v>Bannon</v>
          </cell>
        </row>
        <row r="7442">
          <cell r="I7442" t="str">
            <v>Baltazar</v>
          </cell>
        </row>
        <row r="7443">
          <cell r="I7443" t="str">
            <v>Baier</v>
          </cell>
        </row>
        <row r="7444">
          <cell r="I7444" t="str">
            <v>Ayotte</v>
          </cell>
        </row>
        <row r="7445">
          <cell r="I7445" t="str">
            <v>Attaway</v>
          </cell>
        </row>
        <row r="7446">
          <cell r="I7446" t="str">
            <v>Arenas</v>
          </cell>
        </row>
        <row r="7447">
          <cell r="I7447" t="str">
            <v>Alex</v>
          </cell>
        </row>
        <row r="7448">
          <cell r="I7448" t="str">
            <v>Abrego</v>
          </cell>
        </row>
        <row r="7449">
          <cell r="I7449" t="str">
            <v>Watford</v>
          </cell>
        </row>
        <row r="7450">
          <cell r="I7450" t="str">
            <v>Valley</v>
          </cell>
        </row>
        <row r="7451">
          <cell r="I7451" t="str">
            <v>Turgeon</v>
          </cell>
        </row>
        <row r="7452">
          <cell r="I7452" t="str">
            <v>Tunstall</v>
          </cell>
        </row>
        <row r="7453">
          <cell r="I7453" t="str">
            <v>Thaxton</v>
          </cell>
        </row>
        <row r="7454">
          <cell r="I7454" t="str">
            <v>Thai</v>
          </cell>
        </row>
        <row r="7455">
          <cell r="I7455" t="str">
            <v>Tenorio</v>
          </cell>
        </row>
        <row r="7456">
          <cell r="I7456" t="str">
            <v>Stotts</v>
          </cell>
        </row>
        <row r="7457">
          <cell r="I7457" t="str">
            <v>Sthilaire</v>
          </cell>
        </row>
        <row r="7458">
          <cell r="I7458" t="str">
            <v>Spiker</v>
          </cell>
        </row>
        <row r="7459">
          <cell r="I7459" t="str">
            <v>Shedd</v>
          </cell>
        </row>
        <row r="7460">
          <cell r="I7460" t="str">
            <v>Seng</v>
          </cell>
        </row>
        <row r="7461">
          <cell r="I7461" t="str">
            <v>Seabolt</v>
          </cell>
        </row>
        <row r="7462">
          <cell r="I7462" t="str">
            <v>Scalf</v>
          </cell>
        </row>
        <row r="7463">
          <cell r="I7463" t="str">
            <v>Salyers</v>
          </cell>
        </row>
        <row r="7464">
          <cell r="I7464" t="str">
            <v>Ruhl</v>
          </cell>
        </row>
        <row r="7465">
          <cell r="I7465" t="str">
            <v>Rowlett</v>
          </cell>
        </row>
        <row r="7466">
          <cell r="I7466" t="str">
            <v>Robinett</v>
          </cell>
        </row>
        <row r="7467">
          <cell r="I7467" t="str">
            <v>Pfister</v>
          </cell>
        </row>
        <row r="7468">
          <cell r="I7468" t="str">
            <v>Perlman</v>
          </cell>
        </row>
        <row r="7469">
          <cell r="I7469" t="str">
            <v>Pepe</v>
          </cell>
        </row>
        <row r="7470">
          <cell r="I7470" t="str">
            <v>Parkman</v>
          </cell>
        </row>
        <row r="7471">
          <cell r="I7471" t="str">
            <v>Paradise</v>
          </cell>
        </row>
        <row r="7472">
          <cell r="I7472" t="str">
            <v>Olin</v>
          </cell>
        </row>
        <row r="7473">
          <cell r="I7473" t="str">
            <v>Nunnally</v>
          </cell>
        </row>
        <row r="7474">
          <cell r="I7474" t="str">
            <v>Norvell</v>
          </cell>
        </row>
        <row r="7475">
          <cell r="I7475" t="str">
            <v>Napper</v>
          </cell>
        </row>
        <row r="7476">
          <cell r="I7476" t="str">
            <v>Modlin</v>
          </cell>
        </row>
        <row r="7477">
          <cell r="I7477" t="str">
            <v>Mckellar</v>
          </cell>
        </row>
        <row r="7478">
          <cell r="I7478" t="str">
            <v>Mcclean</v>
          </cell>
        </row>
        <row r="7479">
          <cell r="I7479" t="str">
            <v>Mascarenas</v>
          </cell>
        </row>
        <row r="7480">
          <cell r="I7480" t="str">
            <v>Manchester</v>
          </cell>
        </row>
        <row r="7481">
          <cell r="I7481" t="str">
            <v>Leibowitz</v>
          </cell>
        </row>
        <row r="7482">
          <cell r="I7482" t="str">
            <v>Ledezma</v>
          </cell>
        </row>
        <row r="7483">
          <cell r="I7483" t="str">
            <v>Kuhlman</v>
          </cell>
        </row>
        <row r="7484">
          <cell r="I7484" t="str">
            <v>Kobayashi</v>
          </cell>
        </row>
        <row r="7485">
          <cell r="I7485" t="str">
            <v>Hunley</v>
          </cell>
        </row>
        <row r="7486">
          <cell r="I7486" t="str">
            <v>Holmquist</v>
          </cell>
        </row>
        <row r="7487">
          <cell r="I7487" t="str">
            <v>Hinkley</v>
          </cell>
        </row>
        <row r="7488">
          <cell r="I7488" t="str">
            <v>Hazard</v>
          </cell>
        </row>
        <row r="7489">
          <cell r="I7489" t="str">
            <v>Hartsell</v>
          </cell>
        </row>
        <row r="7490">
          <cell r="I7490" t="str">
            <v>Gribble</v>
          </cell>
        </row>
        <row r="7491">
          <cell r="I7491" t="str">
            <v>Gravely</v>
          </cell>
        </row>
        <row r="7492">
          <cell r="I7492" t="str">
            <v>Fifield</v>
          </cell>
        </row>
        <row r="7493">
          <cell r="I7493" t="str">
            <v>Eliason</v>
          </cell>
        </row>
        <row r="7494">
          <cell r="I7494" t="str">
            <v>Doctor</v>
          </cell>
        </row>
        <row r="7495">
          <cell r="I7495" t="str">
            <v>Doak</v>
          </cell>
        </row>
        <row r="7496">
          <cell r="I7496" t="str">
            <v>Crossland</v>
          </cell>
        </row>
        <row r="7497">
          <cell r="I7497" t="str">
            <v>Cover</v>
          </cell>
        </row>
        <row r="7498">
          <cell r="I7498" t="str">
            <v>Clair</v>
          </cell>
        </row>
        <row r="7499">
          <cell r="I7499" t="str">
            <v>Carleton</v>
          </cell>
        </row>
        <row r="7500">
          <cell r="I7500" t="str">
            <v>Butters</v>
          </cell>
        </row>
        <row r="7501">
          <cell r="I7501" t="str">
            <v>Bridgeman</v>
          </cell>
        </row>
        <row r="7502">
          <cell r="I7502" t="str">
            <v>Bojorquez</v>
          </cell>
        </row>
        <row r="7503">
          <cell r="I7503" t="str">
            <v>Boggess</v>
          </cell>
        </row>
        <row r="7504">
          <cell r="I7504" t="str">
            <v>Banker</v>
          </cell>
        </row>
        <row r="7505">
          <cell r="I7505" t="str">
            <v>Auten</v>
          </cell>
        </row>
        <row r="7506">
          <cell r="I7506" t="str">
            <v>Woosley</v>
          </cell>
        </row>
        <row r="7507">
          <cell r="I7507" t="str">
            <v>Wine</v>
          </cell>
        </row>
        <row r="7508">
          <cell r="I7508" t="str">
            <v>Whiteley</v>
          </cell>
        </row>
        <row r="7509">
          <cell r="I7509" t="str">
            <v>Wexler</v>
          </cell>
        </row>
        <row r="7510">
          <cell r="I7510" t="str">
            <v>Twomey</v>
          </cell>
        </row>
        <row r="7511">
          <cell r="I7511" t="str">
            <v>Tullis</v>
          </cell>
        </row>
        <row r="7512">
          <cell r="I7512" t="str">
            <v>Townley</v>
          </cell>
        </row>
        <row r="7513">
          <cell r="I7513" t="str">
            <v>To</v>
          </cell>
        </row>
        <row r="7514">
          <cell r="I7514" t="str">
            <v>Standridge</v>
          </cell>
        </row>
        <row r="7515">
          <cell r="I7515" t="str">
            <v>Stamp</v>
          </cell>
        </row>
        <row r="7516">
          <cell r="I7516" t="str">
            <v>Springs</v>
          </cell>
        </row>
        <row r="7517">
          <cell r="I7517" t="str">
            <v>Santoyo</v>
          </cell>
        </row>
        <row r="7518">
          <cell r="I7518" t="str">
            <v>Rueda</v>
          </cell>
        </row>
        <row r="7519">
          <cell r="I7519" t="str">
            <v>Riendeau</v>
          </cell>
        </row>
        <row r="7520">
          <cell r="I7520" t="str">
            <v>Revell</v>
          </cell>
        </row>
        <row r="7521">
          <cell r="I7521" t="str">
            <v>Pless</v>
          </cell>
        </row>
        <row r="7522">
          <cell r="I7522" t="str">
            <v>Ottinger</v>
          </cell>
        </row>
        <row r="7523">
          <cell r="I7523" t="str">
            <v>Nigro</v>
          </cell>
        </row>
        <row r="7524">
          <cell r="I7524" t="str">
            <v>Nickles</v>
          </cell>
        </row>
        <row r="7525">
          <cell r="I7525" t="str">
            <v>Mulvey</v>
          </cell>
        </row>
        <row r="7526">
          <cell r="I7526" t="str">
            <v>Menefee</v>
          </cell>
        </row>
        <row r="7527">
          <cell r="I7527" t="str">
            <v>Mcshane</v>
          </cell>
        </row>
        <row r="7528">
          <cell r="I7528" t="str">
            <v>Mcloughlin</v>
          </cell>
        </row>
        <row r="7529">
          <cell r="I7529" t="str">
            <v>Mckinzie</v>
          </cell>
        </row>
        <row r="7530">
          <cell r="I7530" t="str">
            <v>Marrow</v>
          </cell>
        </row>
        <row r="7531">
          <cell r="I7531" t="str">
            <v>Markey</v>
          </cell>
        </row>
        <row r="7532">
          <cell r="I7532" t="str">
            <v>Mariano</v>
          </cell>
        </row>
        <row r="7533">
          <cell r="I7533" t="str">
            <v>Lockridge</v>
          </cell>
        </row>
        <row r="7534">
          <cell r="I7534" t="str">
            <v>Lipsey</v>
          </cell>
        </row>
        <row r="7535">
          <cell r="I7535" t="str">
            <v>Knisley</v>
          </cell>
        </row>
        <row r="7536">
          <cell r="I7536" t="str">
            <v>Knepper</v>
          </cell>
        </row>
        <row r="7537">
          <cell r="I7537" t="str">
            <v>Kitts</v>
          </cell>
        </row>
        <row r="7538">
          <cell r="I7538" t="str">
            <v>Kiel</v>
          </cell>
        </row>
        <row r="7539">
          <cell r="I7539" t="str">
            <v>Jinks</v>
          </cell>
        </row>
        <row r="7540">
          <cell r="I7540" t="str">
            <v>Hathcock</v>
          </cell>
        </row>
        <row r="7541">
          <cell r="I7541" t="str">
            <v>Godin</v>
          </cell>
        </row>
        <row r="7542">
          <cell r="I7542" t="str">
            <v>Gallego</v>
          </cell>
        </row>
        <row r="7543">
          <cell r="I7543" t="str">
            <v>Fikes</v>
          </cell>
        </row>
        <row r="7544">
          <cell r="I7544" t="str">
            <v>Fecteau</v>
          </cell>
        </row>
        <row r="7545">
          <cell r="I7545" t="str">
            <v>Estabrook</v>
          </cell>
        </row>
        <row r="7546">
          <cell r="I7546" t="str">
            <v>Ellinger</v>
          </cell>
        </row>
        <row r="7547">
          <cell r="I7547" t="str">
            <v>Dustin</v>
          </cell>
        </row>
        <row r="7548">
          <cell r="I7548" t="str">
            <v>Dunlop</v>
          </cell>
        </row>
        <row r="7549">
          <cell r="I7549" t="str">
            <v>Dudek</v>
          </cell>
        </row>
        <row r="7550">
          <cell r="I7550" t="str">
            <v>Diego</v>
          </cell>
        </row>
        <row r="7551">
          <cell r="I7551" t="str">
            <v>Countryman</v>
          </cell>
        </row>
        <row r="7552">
          <cell r="I7552" t="str">
            <v>Chauvin</v>
          </cell>
        </row>
        <row r="7553">
          <cell r="I7553" t="str">
            <v>Chatham</v>
          </cell>
        </row>
        <row r="7554">
          <cell r="I7554" t="str">
            <v>Bullins</v>
          </cell>
        </row>
        <row r="7555">
          <cell r="I7555" t="str">
            <v>Brownfield</v>
          </cell>
        </row>
        <row r="7556">
          <cell r="I7556" t="str">
            <v>Boughton</v>
          </cell>
        </row>
        <row r="7557">
          <cell r="I7557" t="str">
            <v>Bloodworth</v>
          </cell>
        </row>
        <row r="7558">
          <cell r="I7558" t="str">
            <v>Bibb</v>
          </cell>
        </row>
        <row r="7559">
          <cell r="I7559" t="str">
            <v>Baucom</v>
          </cell>
        </row>
        <row r="7560">
          <cell r="I7560" t="str">
            <v>Barbieri</v>
          </cell>
        </row>
        <row r="7561">
          <cell r="I7561" t="str">
            <v>Aubin</v>
          </cell>
        </row>
        <row r="7562">
          <cell r="I7562" t="str">
            <v>Armitage</v>
          </cell>
        </row>
        <row r="7563">
          <cell r="I7563" t="str">
            <v>Alessi</v>
          </cell>
        </row>
        <row r="7564">
          <cell r="I7564" t="str">
            <v>Absher</v>
          </cell>
        </row>
        <row r="7565">
          <cell r="I7565" t="str">
            <v>Abbate</v>
          </cell>
        </row>
        <row r="7566">
          <cell r="I7566" t="str">
            <v>Zito</v>
          </cell>
        </row>
        <row r="7567">
          <cell r="I7567" t="str">
            <v>Woolery</v>
          </cell>
        </row>
        <row r="7568">
          <cell r="I7568" t="str">
            <v>Wiggs</v>
          </cell>
        </row>
        <row r="7569">
          <cell r="I7569" t="str">
            <v>Wacker</v>
          </cell>
        </row>
        <row r="7570">
          <cell r="I7570" t="str">
            <v>Violette</v>
          </cell>
        </row>
        <row r="7571">
          <cell r="I7571" t="str">
            <v>Tynes</v>
          </cell>
        </row>
        <row r="7572">
          <cell r="I7572" t="str">
            <v>Tolle</v>
          </cell>
        </row>
        <row r="7573">
          <cell r="I7573" t="str">
            <v>Telles</v>
          </cell>
        </row>
        <row r="7574">
          <cell r="I7574" t="str">
            <v>Tarter</v>
          </cell>
        </row>
        <row r="7575">
          <cell r="I7575" t="str">
            <v>Swarey</v>
          </cell>
        </row>
        <row r="7576">
          <cell r="I7576" t="str">
            <v>Strode</v>
          </cell>
        </row>
        <row r="7577">
          <cell r="I7577" t="str">
            <v>Stockdale</v>
          </cell>
        </row>
        <row r="7578">
          <cell r="I7578" t="str">
            <v>Stella</v>
          </cell>
        </row>
        <row r="7579">
          <cell r="I7579" t="str">
            <v>Stalnaker</v>
          </cell>
        </row>
        <row r="7580">
          <cell r="I7580" t="str">
            <v>Spina</v>
          </cell>
        </row>
        <row r="7581">
          <cell r="I7581" t="str">
            <v>Schiff</v>
          </cell>
        </row>
        <row r="7582">
          <cell r="I7582" t="str">
            <v>Saari</v>
          </cell>
        </row>
        <row r="7583">
          <cell r="I7583" t="str">
            <v>Risley</v>
          </cell>
        </row>
        <row r="7584">
          <cell r="I7584" t="str">
            <v>Reading</v>
          </cell>
        </row>
        <row r="7585">
          <cell r="I7585" t="str">
            <v>Rameriz</v>
          </cell>
        </row>
        <row r="7586">
          <cell r="I7586" t="str">
            <v>Rakes</v>
          </cell>
        </row>
        <row r="7587">
          <cell r="I7587" t="str">
            <v>Pettaway</v>
          </cell>
        </row>
        <row r="7588">
          <cell r="I7588" t="str">
            <v>Penner</v>
          </cell>
        </row>
        <row r="7589">
          <cell r="I7589" t="str">
            <v>Paulus</v>
          </cell>
        </row>
        <row r="7590">
          <cell r="I7590" t="str">
            <v>Palladino</v>
          </cell>
        </row>
        <row r="7591">
          <cell r="I7591" t="str">
            <v>Omeara</v>
          </cell>
        </row>
        <row r="7592">
          <cell r="I7592" t="str">
            <v>Montelongo</v>
          </cell>
        </row>
        <row r="7593">
          <cell r="I7593" t="str">
            <v>Melnick</v>
          </cell>
        </row>
        <row r="7594">
          <cell r="I7594" t="str">
            <v>Mehta</v>
          </cell>
        </row>
        <row r="7595">
          <cell r="I7595" t="str">
            <v>Mcgary</v>
          </cell>
        </row>
        <row r="7596">
          <cell r="I7596" t="str">
            <v>Mccourt</v>
          </cell>
        </row>
        <row r="7597">
          <cell r="I7597" t="str">
            <v>Mccollough</v>
          </cell>
        </row>
        <row r="7598">
          <cell r="I7598" t="str">
            <v>Marchetti</v>
          </cell>
        </row>
        <row r="7599">
          <cell r="I7599" t="str">
            <v>Manzanares</v>
          </cell>
        </row>
        <row r="7600">
          <cell r="I7600" t="str">
            <v>Lowther</v>
          </cell>
        </row>
        <row r="7601">
          <cell r="I7601" t="str">
            <v>Leiva</v>
          </cell>
        </row>
        <row r="7602">
          <cell r="I7602" t="str">
            <v>Lauderdale</v>
          </cell>
        </row>
        <row r="7603">
          <cell r="I7603" t="str">
            <v>Lafontaine</v>
          </cell>
        </row>
        <row r="7604">
          <cell r="I7604" t="str">
            <v>Kowalczyk</v>
          </cell>
        </row>
        <row r="7605">
          <cell r="I7605" t="str">
            <v>Knighton</v>
          </cell>
        </row>
        <row r="7606">
          <cell r="I7606" t="str">
            <v>Joubert</v>
          </cell>
        </row>
        <row r="7607">
          <cell r="I7607" t="str">
            <v>Jaworski</v>
          </cell>
        </row>
        <row r="7608">
          <cell r="I7608" t="str">
            <v>Ide</v>
          </cell>
        </row>
        <row r="7609">
          <cell r="I7609" t="str">
            <v>Huth</v>
          </cell>
        </row>
        <row r="7610">
          <cell r="I7610" t="str">
            <v>Hurdle</v>
          </cell>
        </row>
        <row r="7611">
          <cell r="I7611" t="str">
            <v>Hung</v>
          </cell>
        </row>
        <row r="7612">
          <cell r="I7612" t="str">
            <v>Housley</v>
          </cell>
        </row>
        <row r="7613">
          <cell r="I7613" t="str">
            <v>Hackman</v>
          </cell>
        </row>
        <row r="7614">
          <cell r="I7614" t="str">
            <v>Gulick</v>
          </cell>
        </row>
        <row r="7615">
          <cell r="I7615" t="str">
            <v>Gordy</v>
          </cell>
        </row>
        <row r="7616">
          <cell r="I7616" t="str">
            <v>Gilstrap</v>
          </cell>
        </row>
        <row r="7617">
          <cell r="I7617" t="str">
            <v>Gehrke</v>
          </cell>
        </row>
        <row r="7618">
          <cell r="I7618" t="str">
            <v>Gebhart</v>
          </cell>
        </row>
        <row r="7619">
          <cell r="I7619" t="str">
            <v>Gaudette</v>
          </cell>
        </row>
        <row r="7620">
          <cell r="I7620" t="str">
            <v>Foxworth</v>
          </cell>
        </row>
        <row r="7621">
          <cell r="I7621" t="str">
            <v>Finger</v>
          </cell>
        </row>
        <row r="7622">
          <cell r="I7622" t="str">
            <v>Essex</v>
          </cell>
        </row>
        <row r="7623">
          <cell r="I7623" t="str">
            <v>Endres</v>
          </cell>
        </row>
        <row r="7624">
          <cell r="I7624" t="str">
            <v>Dunkle</v>
          </cell>
        </row>
        <row r="7625">
          <cell r="I7625" t="str">
            <v>Clare</v>
          </cell>
        </row>
        <row r="7626">
          <cell r="I7626" t="str">
            <v>Cimino</v>
          </cell>
        </row>
        <row r="7627">
          <cell r="I7627" t="str">
            <v>Cardinal</v>
          </cell>
        </row>
        <row r="7628">
          <cell r="I7628" t="str">
            <v>Caddell</v>
          </cell>
        </row>
        <row r="7629">
          <cell r="I7629" t="str">
            <v>Brauer</v>
          </cell>
        </row>
        <row r="7630">
          <cell r="I7630" t="str">
            <v>Braley</v>
          </cell>
        </row>
        <row r="7631">
          <cell r="I7631" t="str">
            <v>Bodine</v>
          </cell>
        </row>
        <row r="7632">
          <cell r="I7632" t="str">
            <v>Blackmore</v>
          </cell>
        </row>
        <row r="7633">
          <cell r="I7633" t="str">
            <v>Belden</v>
          </cell>
        </row>
        <row r="7634">
          <cell r="I7634" t="str">
            <v>Backer</v>
          </cell>
        </row>
        <row r="7635">
          <cell r="I7635" t="str">
            <v>Ayer</v>
          </cell>
        </row>
        <row r="7636">
          <cell r="I7636" t="str">
            <v>Andress</v>
          </cell>
        </row>
        <row r="7637">
          <cell r="I7637" t="str">
            <v>Alva</v>
          </cell>
        </row>
        <row r="7638">
          <cell r="I7638" t="str">
            <v>Wisner</v>
          </cell>
        </row>
        <row r="7639">
          <cell r="I7639" t="str">
            <v>Walk</v>
          </cell>
        </row>
        <row r="7640">
          <cell r="I7640" t="str">
            <v>Vuong</v>
          </cell>
        </row>
        <row r="7641">
          <cell r="I7641" t="str">
            <v>Valliere</v>
          </cell>
        </row>
        <row r="7642">
          <cell r="I7642" t="str">
            <v>Twigg</v>
          </cell>
        </row>
        <row r="7643">
          <cell r="I7643" t="str">
            <v>Tso</v>
          </cell>
        </row>
        <row r="7644">
          <cell r="I7644" t="str">
            <v>Tavarez</v>
          </cell>
        </row>
        <row r="7645">
          <cell r="I7645" t="str">
            <v>Strahan</v>
          </cell>
        </row>
        <row r="7646">
          <cell r="I7646" t="str">
            <v>Steib</v>
          </cell>
        </row>
        <row r="7647">
          <cell r="I7647" t="str">
            <v>Staub</v>
          </cell>
        </row>
        <row r="7648">
          <cell r="I7648" t="str">
            <v>Sowder</v>
          </cell>
        </row>
        <row r="7649">
          <cell r="I7649" t="str">
            <v>Shoulders</v>
          </cell>
        </row>
        <row r="7650">
          <cell r="I7650" t="str">
            <v>Seiber</v>
          </cell>
        </row>
        <row r="7651">
          <cell r="I7651" t="str">
            <v>Schutt</v>
          </cell>
        </row>
        <row r="7652">
          <cell r="I7652" t="str">
            <v>Scharf</v>
          </cell>
        </row>
        <row r="7653">
          <cell r="I7653" t="str">
            <v>Schade</v>
          </cell>
        </row>
        <row r="7654">
          <cell r="I7654" t="str">
            <v>Rodriques</v>
          </cell>
        </row>
        <row r="7655">
          <cell r="I7655" t="str">
            <v>Risinger</v>
          </cell>
        </row>
        <row r="7656">
          <cell r="I7656" t="str">
            <v>Renshaw</v>
          </cell>
        </row>
        <row r="7657">
          <cell r="I7657" t="str">
            <v>Rath</v>
          </cell>
        </row>
        <row r="7658">
          <cell r="I7658" t="str">
            <v>Rahman</v>
          </cell>
        </row>
        <row r="7659">
          <cell r="I7659" t="str">
            <v>Presnell</v>
          </cell>
        </row>
        <row r="7660">
          <cell r="I7660" t="str">
            <v>Pillow</v>
          </cell>
        </row>
        <row r="7661">
          <cell r="I7661" t="str">
            <v>Piatt</v>
          </cell>
        </row>
        <row r="7662">
          <cell r="I7662" t="str">
            <v>Pasquale</v>
          </cell>
        </row>
        <row r="7663">
          <cell r="I7663" t="str">
            <v>Nieman</v>
          </cell>
        </row>
        <row r="7664">
          <cell r="I7664" t="str">
            <v>Nicol</v>
          </cell>
        </row>
        <row r="7665">
          <cell r="I7665" t="str">
            <v>Nevins</v>
          </cell>
        </row>
        <row r="7666">
          <cell r="I7666" t="str">
            <v>Milford</v>
          </cell>
        </row>
        <row r="7667">
          <cell r="I7667" t="str">
            <v>Mcilwain</v>
          </cell>
        </row>
        <row r="7668">
          <cell r="I7668" t="str">
            <v>Mcgaha</v>
          </cell>
        </row>
        <row r="7669">
          <cell r="I7669" t="str">
            <v>Mccully</v>
          </cell>
        </row>
        <row r="7670">
          <cell r="I7670" t="str">
            <v>Mccomb</v>
          </cell>
        </row>
        <row r="7671">
          <cell r="I7671" t="str">
            <v>Maye</v>
          </cell>
        </row>
        <row r="7672">
          <cell r="I7672" t="str">
            <v>Massengale</v>
          </cell>
        </row>
        <row r="7673">
          <cell r="I7673" t="str">
            <v>Macedo</v>
          </cell>
        </row>
        <row r="7674">
          <cell r="I7674" t="str">
            <v>Lines</v>
          </cell>
        </row>
        <row r="7675">
          <cell r="I7675" t="str">
            <v>Lesher</v>
          </cell>
        </row>
        <row r="7676">
          <cell r="I7676" t="str">
            <v>Leland</v>
          </cell>
        </row>
        <row r="7677">
          <cell r="I7677" t="str">
            <v>Kearse</v>
          </cell>
        </row>
        <row r="7678">
          <cell r="I7678" t="str">
            <v>Jauregui</v>
          </cell>
        </row>
        <row r="7679">
          <cell r="I7679" t="str">
            <v>Husted</v>
          </cell>
        </row>
        <row r="7680">
          <cell r="I7680" t="str">
            <v>Hudnall</v>
          </cell>
        </row>
        <row r="7681">
          <cell r="I7681" t="str">
            <v>Holmberg</v>
          </cell>
        </row>
        <row r="7682">
          <cell r="I7682" t="str">
            <v>Hertel</v>
          </cell>
        </row>
        <row r="7683">
          <cell r="I7683" t="str">
            <v>Hershey</v>
          </cell>
        </row>
        <row r="7684">
          <cell r="I7684" t="str">
            <v>Hardie</v>
          </cell>
        </row>
        <row r="7685">
          <cell r="I7685" t="str">
            <v>Glidewell</v>
          </cell>
        </row>
        <row r="7686">
          <cell r="I7686" t="str">
            <v>Frausto</v>
          </cell>
        </row>
        <row r="7687">
          <cell r="I7687" t="str">
            <v>Fassett</v>
          </cell>
        </row>
        <row r="7688">
          <cell r="I7688" t="str">
            <v>Dash</v>
          </cell>
        </row>
        <row r="7689">
          <cell r="I7689" t="str">
            <v>Dalessandro</v>
          </cell>
        </row>
        <row r="7690">
          <cell r="I7690" t="str">
            <v>Dahlgren</v>
          </cell>
        </row>
        <row r="7691">
          <cell r="I7691" t="str">
            <v>Corum</v>
          </cell>
        </row>
        <row r="7692">
          <cell r="I7692" t="str">
            <v>Constantino</v>
          </cell>
        </row>
        <row r="7693">
          <cell r="I7693" t="str">
            <v>Conlin</v>
          </cell>
        </row>
        <row r="7694">
          <cell r="I7694" t="str">
            <v>Colquitt</v>
          </cell>
        </row>
        <row r="7695">
          <cell r="I7695" t="str">
            <v>Colombo</v>
          </cell>
        </row>
        <row r="7696">
          <cell r="I7696" t="str">
            <v>Claycomb</v>
          </cell>
        </row>
        <row r="7697">
          <cell r="I7697" t="str">
            <v>Carley</v>
          </cell>
        </row>
        <row r="7698">
          <cell r="I7698" t="str">
            <v>Cardin</v>
          </cell>
        </row>
        <row r="7699">
          <cell r="I7699" t="str">
            <v>Cancel</v>
          </cell>
        </row>
        <row r="7700">
          <cell r="I7700" t="str">
            <v>Buller</v>
          </cell>
        </row>
        <row r="7701">
          <cell r="I7701" t="str">
            <v>Boring</v>
          </cell>
        </row>
        <row r="7702">
          <cell r="I7702" t="str">
            <v>Boney</v>
          </cell>
        </row>
        <row r="7703">
          <cell r="I7703" t="str">
            <v>Bocanegra</v>
          </cell>
        </row>
        <row r="7704">
          <cell r="I7704" t="str">
            <v>Blazer</v>
          </cell>
        </row>
        <row r="7705">
          <cell r="I7705" t="str">
            <v>Biggers</v>
          </cell>
        </row>
        <row r="7706">
          <cell r="I7706" t="str">
            <v>Benedetto</v>
          </cell>
        </row>
        <row r="7707">
          <cell r="I7707" t="str">
            <v>Araiza</v>
          </cell>
        </row>
        <row r="7708">
          <cell r="I7708" t="str">
            <v>Andino</v>
          </cell>
        </row>
        <row r="7709">
          <cell r="I7709" t="str">
            <v>Albin</v>
          </cell>
        </row>
        <row r="7710">
          <cell r="I7710" t="str">
            <v>Zorn</v>
          </cell>
        </row>
        <row r="7711">
          <cell r="I7711" t="str">
            <v>Werth</v>
          </cell>
        </row>
        <row r="7712">
          <cell r="I7712" t="str">
            <v>Weisman</v>
          </cell>
        </row>
        <row r="7713">
          <cell r="I7713" t="str">
            <v>Walley</v>
          </cell>
        </row>
        <row r="7714">
          <cell r="I7714" t="str">
            <v>Vanegas</v>
          </cell>
        </row>
        <row r="7715">
          <cell r="I7715" t="str">
            <v>Ulibarri</v>
          </cell>
        </row>
        <row r="7716">
          <cell r="I7716" t="str">
            <v>Towers</v>
          </cell>
        </row>
        <row r="7717">
          <cell r="I7717" t="str">
            <v>Towe</v>
          </cell>
        </row>
        <row r="7718">
          <cell r="I7718" t="str">
            <v>Tedford</v>
          </cell>
        </row>
        <row r="7719">
          <cell r="I7719" t="str">
            <v>Teasley</v>
          </cell>
        </row>
        <row r="7720">
          <cell r="I7720" t="str">
            <v>Suttle</v>
          </cell>
        </row>
        <row r="7721">
          <cell r="I7721" t="str">
            <v>Steffens</v>
          </cell>
        </row>
        <row r="7722">
          <cell r="I7722" t="str">
            <v>Stcyr</v>
          </cell>
        </row>
        <row r="7723">
          <cell r="I7723" t="str">
            <v>Squire</v>
          </cell>
        </row>
        <row r="7724">
          <cell r="I7724" t="str">
            <v>Smythe</v>
          </cell>
        </row>
        <row r="7725">
          <cell r="I7725" t="str">
            <v>Singley</v>
          </cell>
        </row>
        <row r="7726">
          <cell r="I7726" t="str">
            <v>Sifuentes</v>
          </cell>
        </row>
        <row r="7727">
          <cell r="I7727" t="str">
            <v>Shuck</v>
          </cell>
        </row>
        <row r="7728">
          <cell r="I7728" t="str">
            <v>Session</v>
          </cell>
        </row>
        <row r="7729">
          <cell r="I7729" t="str">
            <v>Schram</v>
          </cell>
        </row>
        <row r="7730">
          <cell r="I7730" t="str">
            <v>Sass</v>
          </cell>
        </row>
        <row r="7731">
          <cell r="I7731" t="str">
            <v>Rieger</v>
          </cell>
        </row>
        <row r="7732">
          <cell r="I7732" t="str">
            <v>Ridenhour</v>
          </cell>
        </row>
        <row r="7733">
          <cell r="I7733" t="str">
            <v>Rickert</v>
          </cell>
        </row>
        <row r="7734">
          <cell r="I7734" t="str">
            <v>Richerson</v>
          </cell>
        </row>
        <row r="7735">
          <cell r="I7735" t="str">
            <v>Rayborn</v>
          </cell>
        </row>
        <row r="7736">
          <cell r="I7736" t="str">
            <v>Rabe</v>
          </cell>
        </row>
        <row r="7737">
          <cell r="I7737" t="str">
            <v>Raab</v>
          </cell>
        </row>
        <row r="7738">
          <cell r="I7738" t="str">
            <v>Pendley</v>
          </cell>
        </row>
        <row r="7739">
          <cell r="I7739" t="str">
            <v>Pastore</v>
          </cell>
        </row>
        <row r="7740">
          <cell r="I7740" t="str">
            <v>Ordway</v>
          </cell>
        </row>
        <row r="7741">
          <cell r="I7741" t="str">
            <v>Moynihan</v>
          </cell>
        </row>
        <row r="7742">
          <cell r="I7742" t="str">
            <v>Mellott</v>
          </cell>
        </row>
        <row r="7743">
          <cell r="I7743" t="str">
            <v>Mckissick</v>
          </cell>
        </row>
        <row r="7744">
          <cell r="I7744" t="str">
            <v>Mcgann</v>
          </cell>
        </row>
        <row r="7745">
          <cell r="I7745" t="str">
            <v>Mccready</v>
          </cell>
        </row>
        <row r="7746">
          <cell r="I7746" t="str">
            <v>Mauney</v>
          </cell>
        </row>
        <row r="7747">
          <cell r="I7747" t="str">
            <v>Marrufo</v>
          </cell>
        </row>
        <row r="7748">
          <cell r="I7748" t="str">
            <v>List</v>
          </cell>
        </row>
        <row r="7749">
          <cell r="I7749" t="str">
            <v>Lenhart</v>
          </cell>
        </row>
        <row r="7750">
          <cell r="I7750" t="str">
            <v>Lazar</v>
          </cell>
        </row>
        <row r="7751">
          <cell r="I7751" t="str">
            <v>Lafave</v>
          </cell>
        </row>
        <row r="7752">
          <cell r="I7752" t="str">
            <v>Keele</v>
          </cell>
        </row>
        <row r="7753">
          <cell r="I7753" t="str">
            <v>Kautz</v>
          </cell>
        </row>
        <row r="7754">
          <cell r="I7754" t="str">
            <v>Jardine</v>
          </cell>
        </row>
        <row r="7755">
          <cell r="I7755" t="str">
            <v>Jahnke</v>
          </cell>
        </row>
        <row r="7756">
          <cell r="I7756" t="str">
            <v>Jacobo</v>
          </cell>
        </row>
        <row r="7757">
          <cell r="I7757" t="str">
            <v>Hord</v>
          </cell>
        </row>
        <row r="7758">
          <cell r="I7758" t="str">
            <v>Hardcastle</v>
          </cell>
        </row>
        <row r="7759">
          <cell r="I7759" t="str">
            <v>Hageman</v>
          </cell>
        </row>
        <row r="7760">
          <cell r="I7760" t="str">
            <v>Griffey</v>
          </cell>
        </row>
        <row r="7761">
          <cell r="I7761" t="str">
            <v>Giglio</v>
          </cell>
        </row>
        <row r="7762">
          <cell r="I7762" t="str">
            <v>Gehring</v>
          </cell>
        </row>
        <row r="7763">
          <cell r="I7763" t="str">
            <v>Fortson</v>
          </cell>
        </row>
        <row r="7764">
          <cell r="I7764" t="str">
            <v>Duque</v>
          </cell>
        </row>
        <row r="7765">
          <cell r="I7765" t="str">
            <v>Duplessis</v>
          </cell>
        </row>
        <row r="7766">
          <cell r="I7766" t="str">
            <v>Donner</v>
          </cell>
        </row>
        <row r="7767">
          <cell r="I7767" t="str">
            <v>Dicken</v>
          </cell>
        </row>
        <row r="7768">
          <cell r="I7768" t="str">
            <v>Derosier</v>
          </cell>
        </row>
        <row r="7769">
          <cell r="I7769" t="str">
            <v>Deitz</v>
          </cell>
        </row>
        <row r="7770">
          <cell r="I7770" t="str">
            <v>Dalessio</v>
          </cell>
        </row>
        <row r="7771">
          <cell r="I7771" t="str">
            <v>Cyrus</v>
          </cell>
        </row>
        <row r="7772">
          <cell r="I7772" t="str">
            <v>Cram</v>
          </cell>
        </row>
        <row r="7773">
          <cell r="I7773" t="str">
            <v>Chi</v>
          </cell>
        </row>
        <row r="7774">
          <cell r="I7774" t="str">
            <v>Center</v>
          </cell>
        </row>
        <row r="7775">
          <cell r="I7775" t="str">
            <v>Castleman</v>
          </cell>
        </row>
        <row r="7776">
          <cell r="I7776" t="str">
            <v>Candelario</v>
          </cell>
        </row>
        <row r="7777">
          <cell r="I7777" t="str">
            <v>Callison</v>
          </cell>
        </row>
        <row r="7778">
          <cell r="I7778" t="str">
            <v>Caceres</v>
          </cell>
        </row>
        <row r="7779">
          <cell r="I7779" t="str">
            <v>Bozarth</v>
          </cell>
        </row>
        <row r="7780">
          <cell r="I7780" t="str">
            <v>Biles</v>
          </cell>
        </row>
        <row r="7781">
          <cell r="I7781" t="str">
            <v>Bejarano</v>
          </cell>
        </row>
        <row r="7782">
          <cell r="I7782" t="str">
            <v>Beech</v>
          </cell>
        </row>
        <row r="7783">
          <cell r="I7783" t="str">
            <v>Bashaw</v>
          </cell>
        </row>
        <row r="7784">
          <cell r="I7784" t="str">
            <v>Avina</v>
          </cell>
        </row>
        <row r="7785">
          <cell r="I7785" t="str">
            <v>Armentrout</v>
          </cell>
        </row>
        <row r="7786">
          <cell r="I7786" t="str">
            <v>Angus</v>
          </cell>
        </row>
        <row r="7787">
          <cell r="I7787" t="str">
            <v>Alverez</v>
          </cell>
        </row>
        <row r="7788">
          <cell r="I7788" t="str">
            <v>Acord</v>
          </cell>
        </row>
        <row r="7789">
          <cell r="I7789" t="str">
            <v>Zack</v>
          </cell>
        </row>
        <row r="7790">
          <cell r="I7790" t="str">
            <v>Waterhouse</v>
          </cell>
        </row>
        <row r="7791">
          <cell r="I7791" t="str">
            <v>Vereen</v>
          </cell>
        </row>
        <row r="7792">
          <cell r="I7792" t="str">
            <v>Vanlandingham</v>
          </cell>
        </row>
        <row r="7793">
          <cell r="I7793" t="str">
            <v>Uhl</v>
          </cell>
        </row>
        <row r="7794">
          <cell r="I7794" t="str">
            <v>Strawser</v>
          </cell>
        </row>
        <row r="7795">
          <cell r="I7795" t="str">
            <v>Shotwell</v>
          </cell>
        </row>
        <row r="7796">
          <cell r="I7796" t="str">
            <v>Severance</v>
          </cell>
        </row>
        <row r="7797">
          <cell r="I7797" t="str">
            <v>Seltzer</v>
          </cell>
        </row>
        <row r="7798">
          <cell r="I7798" t="str">
            <v>Schoonmaker</v>
          </cell>
        </row>
        <row r="7799">
          <cell r="I7799" t="str">
            <v>Schock</v>
          </cell>
        </row>
        <row r="7800">
          <cell r="I7800" t="str">
            <v>Schaub</v>
          </cell>
        </row>
        <row r="7801">
          <cell r="I7801" t="str">
            <v>Schaffner</v>
          </cell>
        </row>
        <row r="7802">
          <cell r="I7802" t="str">
            <v>Roeder</v>
          </cell>
        </row>
        <row r="7803">
          <cell r="I7803" t="str">
            <v>Rodrigez</v>
          </cell>
        </row>
        <row r="7804">
          <cell r="I7804" t="str">
            <v>Riffe</v>
          </cell>
        </row>
        <row r="7805">
          <cell r="I7805" t="str">
            <v>Rhine</v>
          </cell>
        </row>
        <row r="7806">
          <cell r="I7806" t="str">
            <v>Rasberry</v>
          </cell>
        </row>
        <row r="7807">
          <cell r="I7807" t="str">
            <v>Rancourt</v>
          </cell>
        </row>
        <row r="7808">
          <cell r="I7808" t="str">
            <v>Railey</v>
          </cell>
        </row>
        <row r="7809">
          <cell r="I7809" t="str">
            <v>Quade</v>
          </cell>
        </row>
        <row r="7810">
          <cell r="I7810" t="str">
            <v>Pursley</v>
          </cell>
        </row>
        <row r="7811">
          <cell r="I7811" t="str">
            <v>Prouty</v>
          </cell>
        </row>
        <row r="7812">
          <cell r="I7812" t="str">
            <v>Perdomo</v>
          </cell>
        </row>
        <row r="7813">
          <cell r="I7813" t="str">
            <v>Oxley</v>
          </cell>
        </row>
        <row r="7814">
          <cell r="I7814" t="str">
            <v>Osterman</v>
          </cell>
        </row>
        <row r="7815">
          <cell r="I7815" t="str">
            <v>Nickens</v>
          </cell>
        </row>
        <row r="7816">
          <cell r="I7816" t="str">
            <v>Murphree</v>
          </cell>
        </row>
        <row r="7817">
          <cell r="I7817" t="str">
            <v>Mounts</v>
          </cell>
        </row>
        <row r="7818">
          <cell r="I7818" t="str">
            <v>Monte</v>
          </cell>
        </row>
        <row r="7819">
          <cell r="I7819" t="str">
            <v>Merida</v>
          </cell>
        </row>
        <row r="7820">
          <cell r="I7820" t="str">
            <v>Maus</v>
          </cell>
        </row>
        <row r="7821">
          <cell r="I7821" t="str">
            <v>Mattern</v>
          </cell>
        </row>
        <row r="7822">
          <cell r="I7822" t="str">
            <v>Masse</v>
          </cell>
        </row>
        <row r="7823">
          <cell r="I7823" t="str">
            <v>Martinelli</v>
          </cell>
        </row>
        <row r="7824">
          <cell r="I7824" t="str">
            <v>Mangan</v>
          </cell>
        </row>
        <row r="7825">
          <cell r="I7825" t="str">
            <v>Lutes</v>
          </cell>
        </row>
        <row r="7826">
          <cell r="I7826" t="str">
            <v>Ludwick</v>
          </cell>
        </row>
        <row r="7827">
          <cell r="I7827" t="str">
            <v>Loney</v>
          </cell>
        </row>
        <row r="7828">
          <cell r="I7828" t="str">
            <v>Laureano</v>
          </cell>
        </row>
        <row r="7829">
          <cell r="I7829" t="str">
            <v>Lasater</v>
          </cell>
        </row>
        <row r="7830">
          <cell r="I7830" t="str">
            <v>Knighten</v>
          </cell>
        </row>
        <row r="7831">
          <cell r="I7831" t="str">
            <v>Kissinger</v>
          </cell>
        </row>
        <row r="7832">
          <cell r="I7832" t="str">
            <v>Kimsey</v>
          </cell>
        </row>
        <row r="7833">
          <cell r="I7833" t="str">
            <v>Kessinger</v>
          </cell>
        </row>
        <row r="7834">
          <cell r="I7834" t="str">
            <v>Honea</v>
          </cell>
        </row>
        <row r="7835">
          <cell r="I7835" t="str">
            <v>Hollingshead</v>
          </cell>
        </row>
        <row r="7836">
          <cell r="I7836" t="str">
            <v>Hockett</v>
          </cell>
        </row>
        <row r="7837">
          <cell r="I7837" t="str">
            <v>Heyer</v>
          </cell>
        </row>
        <row r="7838">
          <cell r="I7838" t="str">
            <v>Heron</v>
          </cell>
        </row>
        <row r="7839">
          <cell r="I7839" t="str">
            <v>Gurrola</v>
          </cell>
        </row>
        <row r="7840">
          <cell r="I7840" t="str">
            <v>Gove</v>
          </cell>
        </row>
        <row r="7841">
          <cell r="I7841" t="str">
            <v>Glasscock</v>
          </cell>
        </row>
        <row r="7842">
          <cell r="I7842" t="str">
            <v>Gillett</v>
          </cell>
        </row>
        <row r="7843">
          <cell r="I7843" t="str">
            <v>Galan</v>
          </cell>
        </row>
        <row r="7844">
          <cell r="I7844" t="str">
            <v>Featherstone</v>
          </cell>
        </row>
        <row r="7845">
          <cell r="I7845" t="str">
            <v>Eckhardt</v>
          </cell>
        </row>
        <row r="7846">
          <cell r="I7846" t="str">
            <v>Duron</v>
          </cell>
        </row>
        <row r="7847">
          <cell r="I7847" t="str">
            <v>Dunson</v>
          </cell>
        </row>
        <row r="7848">
          <cell r="I7848" t="str">
            <v>Dasher</v>
          </cell>
        </row>
        <row r="7849">
          <cell r="I7849" t="str">
            <v>Culbreth</v>
          </cell>
        </row>
        <row r="7850">
          <cell r="I7850" t="str">
            <v>Cowden</v>
          </cell>
        </row>
        <row r="7851">
          <cell r="I7851" t="str">
            <v>Cowans</v>
          </cell>
        </row>
        <row r="7852">
          <cell r="I7852" t="str">
            <v>Claypoole</v>
          </cell>
        </row>
        <row r="7853">
          <cell r="I7853" t="str">
            <v>Churchwell</v>
          </cell>
        </row>
        <row r="7854">
          <cell r="I7854" t="str">
            <v>Chabot</v>
          </cell>
        </row>
        <row r="7855">
          <cell r="I7855" t="str">
            <v>Caviness</v>
          </cell>
        </row>
        <row r="7856">
          <cell r="I7856" t="str">
            <v>Cater</v>
          </cell>
        </row>
        <row r="7857">
          <cell r="I7857" t="str">
            <v>Caston</v>
          </cell>
        </row>
        <row r="7858">
          <cell r="I7858" t="str">
            <v>Callan</v>
          </cell>
        </row>
        <row r="7859">
          <cell r="I7859" t="str">
            <v>Byington</v>
          </cell>
        </row>
        <row r="7860">
          <cell r="I7860" t="str">
            <v>Burkey</v>
          </cell>
        </row>
        <row r="7861">
          <cell r="I7861" t="str">
            <v>Boden</v>
          </cell>
        </row>
        <row r="7862">
          <cell r="I7862" t="str">
            <v>Beckford</v>
          </cell>
        </row>
        <row r="7863">
          <cell r="I7863" t="str">
            <v>Atwater</v>
          </cell>
        </row>
        <row r="7864">
          <cell r="I7864" t="str">
            <v>Arms</v>
          </cell>
        </row>
        <row r="7865">
          <cell r="I7865" t="str">
            <v>Archambault</v>
          </cell>
        </row>
        <row r="7866">
          <cell r="I7866" t="str">
            <v>Alvey</v>
          </cell>
        </row>
        <row r="7867">
          <cell r="I7867" t="str">
            <v>Alsup</v>
          </cell>
        </row>
        <row r="7868">
          <cell r="I7868" t="str">
            <v>Yon</v>
          </cell>
        </row>
        <row r="7869">
          <cell r="I7869" t="str">
            <v>Whisenant</v>
          </cell>
        </row>
        <row r="7870">
          <cell r="I7870" t="str">
            <v>Weese</v>
          </cell>
        </row>
        <row r="7871">
          <cell r="I7871" t="str">
            <v>Voyles</v>
          </cell>
        </row>
        <row r="7872">
          <cell r="I7872" t="str">
            <v>Verret</v>
          </cell>
        </row>
        <row r="7873">
          <cell r="I7873" t="str">
            <v>Tsang</v>
          </cell>
        </row>
        <row r="7874">
          <cell r="I7874" t="str">
            <v>Tessier</v>
          </cell>
        </row>
        <row r="7875">
          <cell r="I7875" t="str">
            <v>Sweitzer</v>
          </cell>
        </row>
        <row r="7876">
          <cell r="I7876" t="str">
            <v>Sherwin</v>
          </cell>
        </row>
        <row r="7877">
          <cell r="I7877" t="str">
            <v>Shaughnessy</v>
          </cell>
        </row>
        <row r="7878">
          <cell r="I7878" t="str">
            <v>Revis</v>
          </cell>
        </row>
        <row r="7879">
          <cell r="I7879" t="str">
            <v>Remy</v>
          </cell>
        </row>
        <row r="7880">
          <cell r="I7880" t="str">
            <v>Prine</v>
          </cell>
        </row>
        <row r="7881">
          <cell r="I7881" t="str">
            <v>Philpott</v>
          </cell>
        </row>
        <row r="7882">
          <cell r="I7882" t="str">
            <v>Peavy</v>
          </cell>
        </row>
        <row r="7883">
          <cell r="I7883" t="str">
            <v>Paynter</v>
          </cell>
        </row>
        <row r="7884">
          <cell r="I7884" t="str">
            <v>Parmenter</v>
          </cell>
        </row>
        <row r="7885">
          <cell r="I7885" t="str">
            <v>Ovalle</v>
          </cell>
        </row>
        <row r="7886">
          <cell r="I7886" t="str">
            <v>Offutt</v>
          </cell>
        </row>
        <row r="7887">
          <cell r="I7887" t="str">
            <v>Nightingale</v>
          </cell>
        </row>
        <row r="7888">
          <cell r="I7888" t="str">
            <v>Newlin</v>
          </cell>
        </row>
        <row r="7889">
          <cell r="I7889" t="str">
            <v>Nakano</v>
          </cell>
        </row>
        <row r="7890">
          <cell r="I7890" t="str">
            <v>Myatt</v>
          </cell>
        </row>
        <row r="7891">
          <cell r="I7891" t="str">
            <v>Muth</v>
          </cell>
        </row>
        <row r="7892">
          <cell r="I7892" t="str">
            <v>Mohan</v>
          </cell>
        </row>
        <row r="7893">
          <cell r="I7893" t="str">
            <v>Mcmillon</v>
          </cell>
        </row>
        <row r="7894">
          <cell r="I7894" t="str">
            <v>Mccarley</v>
          </cell>
        </row>
        <row r="7895">
          <cell r="I7895" t="str">
            <v>Mccaleb</v>
          </cell>
        </row>
        <row r="7896">
          <cell r="I7896" t="str">
            <v>Maxson</v>
          </cell>
        </row>
        <row r="7897">
          <cell r="I7897" t="str">
            <v>Marinelli</v>
          </cell>
        </row>
        <row r="7898">
          <cell r="I7898" t="str">
            <v>Maley</v>
          </cell>
        </row>
        <row r="7899">
          <cell r="I7899" t="str">
            <v>Macy</v>
          </cell>
        </row>
        <row r="7900">
          <cell r="I7900" t="str">
            <v>Liston</v>
          </cell>
        </row>
        <row r="7901">
          <cell r="I7901" t="str">
            <v>Letendre</v>
          </cell>
        </row>
        <row r="7902">
          <cell r="I7902" t="str">
            <v>Kain</v>
          </cell>
        </row>
        <row r="7903">
          <cell r="I7903" t="str">
            <v>Huntsman</v>
          </cell>
        </row>
        <row r="7904">
          <cell r="I7904" t="str">
            <v>Hirst</v>
          </cell>
        </row>
        <row r="7905">
          <cell r="I7905" t="str">
            <v>Hagerty</v>
          </cell>
        </row>
        <row r="7906">
          <cell r="I7906" t="str">
            <v>Gulledge</v>
          </cell>
        </row>
        <row r="7907">
          <cell r="I7907" t="str">
            <v>Greenway</v>
          </cell>
        </row>
        <row r="7908">
          <cell r="I7908" t="str">
            <v>Grajeda</v>
          </cell>
        </row>
        <row r="7909">
          <cell r="I7909" t="str">
            <v>Gorton</v>
          </cell>
        </row>
        <row r="7910">
          <cell r="I7910" t="str">
            <v>Goines</v>
          </cell>
        </row>
        <row r="7911">
          <cell r="I7911" t="str">
            <v>Gittens</v>
          </cell>
        </row>
        <row r="7912">
          <cell r="I7912" t="str">
            <v>Frederickson</v>
          </cell>
        </row>
        <row r="7913">
          <cell r="I7913" t="str">
            <v>Fanelli</v>
          </cell>
        </row>
        <row r="7914">
          <cell r="I7914" t="str">
            <v>Embree</v>
          </cell>
        </row>
        <row r="7915">
          <cell r="I7915" t="str">
            <v>Eichelberger</v>
          </cell>
        </row>
        <row r="7916">
          <cell r="I7916" t="str">
            <v>Dunkin</v>
          </cell>
        </row>
        <row r="7917">
          <cell r="I7917" t="str">
            <v>Dull</v>
          </cell>
        </row>
        <row r="7918">
          <cell r="I7918" t="str">
            <v>Dixson</v>
          </cell>
        </row>
        <row r="7919">
          <cell r="I7919" t="str">
            <v>Dillow</v>
          </cell>
        </row>
        <row r="7920">
          <cell r="I7920" t="str">
            <v>Defelice</v>
          </cell>
        </row>
        <row r="7921">
          <cell r="I7921" t="str">
            <v>Chumley</v>
          </cell>
        </row>
        <row r="7922">
          <cell r="I7922" t="str">
            <v>Burleigh</v>
          </cell>
        </row>
        <row r="7923">
          <cell r="I7923" t="str">
            <v>Borkowski</v>
          </cell>
        </row>
        <row r="7924">
          <cell r="I7924" t="str">
            <v>Binette</v>
          </cell>
        </row>
        <row r="7925">
          <cell r="I7925" t="str">
            <v>Biggerstaff</v>
          </cell>
        </row>
        <row r="7926">
          <cell r="I7926" t="str">
            <v>Berglund</v>
          </cell>
        </row>
        <row r="7927">
          <cell r="I7927" t="str">
            <v>Beller</v>
          </cell>
        </row>
        <row r="7928">
          <cell r="I7928" t="str">
            <v>Audet</v>
          </cell>
        </row>
        <row r="7929">
          <cell r="I7929" t="str">
            <v>Arbuckle</v>
          </cell>
        </row>
        <row r="7930">
          <cell r="I7930" t="str">
            <v>Allain</v>
          </cell>
        </row>
        <row r="7931">
          <cell r="I7931" t="str">
            <v>Alfano</v>
          </cell>
        </row>
        <row r="7932">
          <cell r="I7932" t="str">
            <v>Zander</v>
          </cell>
        </row>
        <row r="7933">
          <cell r="I7933" t="str">
            <v>Youngman</v>
          </cell>
        </row>
        <row r="7934">
          <cell r="I7934" t="str">
            <v>Wittman</v>
          </cell>
        </row>
        <row r="7935">
          <cell r="I7935" t="str">
            <v>Weintraub</v>
          </cell>
        </row>
        <row r="7936">
          <cell r="I7936" t="str">
            <v>Vanzant</v>
          </cell>
        </row>
        <row r="7937">
          <cell r="I7937" t="str">
            <v>Vaden</v>
          </cell>
        </row>
        <row r="7938">
          <cell r="I7938" t="str">
            <v>Twitty</v>
          </cell>
        </row>
        <row r="7939">
          <cell r="I7939" t="str">
            <v>Trader</v>
          </cell>
        </row>
        <row r="7940">
          <cell r="I7940" t="str">
            <v>Toon</v>
          </cell>
        </row>
        <row r="7941">
          <cell r="I7941" t="str">
            <v>Till</v>
          </cell>
        </row>
        <row r="7942">
          <cell r="I7942" t="str">
            <v>Stollings</v>
          </cell>
        </row>
        <row r="7943">
          <cell r="I7943" t="str">
            <v>Standifer</v>
          </cell>
        </row>
        <row r="7944">
          <cell r="I7944" t="str">
            <v>Spinner</v>
          </cell>
        </row>
        <row r="7945">
          <cell r="I7945" t="str">
            <v>Sines</v>
          </cell>
        </row>
        <row r="7946">
          <cell r="I7946" t="str">
            <v>Shope</v>
          </cell>
        </row>
        <row r="7947">
          <cell r="I7947" t="str">
            <v>Scalise</v>
          </cell>
        </row>
        <row r="7948">
          <cell r="I7948" t="str">
            <v>Saville</v>
          </cell>
        </row>
        <row r="7949">
          <cell r="I7949" t="str">
            <v>Romans</v>
          </cell>
        </row>
        <row r="7950">
          <cell r="I7950" t="str">
            <v>Posada</v>
          </cell>
        </row>
        <row r="7951">
          <cell r="I7951" t="str">
            <v>Pisano</v>
          </cell>
        </row>
        <row r="7952">
          <cell r="I7952" t="str">
            <v>Otte</v>
          </cell>
        </row>
        <row r="7953">
          <cell r="I7953" t="str">
            <v>Nolasco</v>
          </cell>
        </row>
        <row r="7954">
          <cell r="I7954" t="str">
            <v>Napoli</v>
          </cell>
        </row>
        <row r="7955">
          <cell r="I7955" t="str">
            <v>Mier</v>
          </cell>
        </row>
        <row r="7956">
          <cell r="I7956" t="str">
            <v>Merkle</v>
          </cell>
        </row>
        <row r="7957">
          <cell r="I7957" t="str">
            <v>Mendiola</v>
          </cell>
        </row>
        <row r="7958">
          <cell r="I7958" t="str">
            <v>Melcher</v>
          </cell>
        </row>
        <row r="7959">
          <cell r="I7959" t="str">
            <v>Mejias</v>
          </cell>
        </row>
        <row r="7960">
          <cell r="I7960" t="str">
            <v>Mcmurry</v>
          </cell>
        </row>
        <row r="7961">
          <cell r="I7961" t="str">
            <v>Mccalla</v>
          </cell>
        </row>
        <row r="7962">
          <cell r="I7962" t="str">
            <v>Markowitz</v>
          </cell>
        </row>
        <row r="7963">
          <cell r="I7963" t="str">
            <v>Marine</v>
          </cell>
        </row>
        <row r="7964">
          <cell r="I7964" t="str">
            <v>Manis</v>
          </cell>
        </row>
        <row r="7965">
          <cell r="I7965" t="str">
            <v>Mallette</v>
          </cell>
        </row>
        <row r="7966">
          <cell r="I7966" t="str">
            <v>Macfarlane</v>
          </cell>
        </row>
        <row r="7967">
          <cell r="I7967" t="str">
            <v>Lough</v>
          </cell>
        </row>
        <row r="7968">
          <cell r="I7968" t="str">
            <v>Looper</v>
          </cell>
        </row>
        <row r="7969">
          <cell r="I7969" t="str">
            <v>Landin</v>
          </cell>
        </row>
        <row r="7970">
          <cell r="I7970" t="str">
            <v>Kittle</v>
          </cell>
        </row>
        <row r="7971">
          <cell r="I7971" t="str">
            <v>Kinsella</v>
          </cell>
        </row>
        <row r="7972">
          <cell r="I7972" t="str">
            <v>Kinnard</v>
          </cell>
        </row>
        <row r="7973">
          <cell r="I7973" t="str">
            <v>Hobart</v>
          </cell>
        </row>
        <row r="7974">
          <cell r="I7974" t="str">
            <v>Herald</v>
          </cell>
        </row>
        <row r="7975">
          <cell r="I7975" t="str">
            <v>Helman</v>
          </cell>
        </row>
        <row r="7976">
          <cell r="I7976" t="str">
            <v>Hellman</v>
          </cell>
        </row>
        <row r="7977">
          <cell r="I7977" t="str">
            <v>Hartsock</v>
          </cell>
        </row>
        <row r="7978">
          <cell r="I7978" t="str">
            <v>Halford</v>
          </cell>
        </row>
        <row r="7979">
          <cell r="I7979" t="str">
            <v>Hage</v>
          </cell>
        </row>
        <row r="7980">
          <cell r="I7980" t="str">
            <v>Gordan</v>
          </cell>
        </row>
        <row r="7981">
          <cell r="I7981" t="str">
            <v>Glasser</v>
          </cell>
        </row>
        <row r="7982">
          <cell r="I7982" t="str">
            <v>Gayton</v>
          </cell>
        </row>
        <row r="7983">
          <cell r="I7983" t="str">
            <v>Gattis</v>
          </cell>
        </row>
        <row r="7984">
          <cell r="I7984" t="str">
            <v>Gastelum</v>
          </cell>
        </row>
        <row r="7985">
          <cell r="I7985" t="str">
            <v>Gaspard</v>
          </cell>
        </row>
        <row r="7986">
          <cell r="I7986" t="str">
            <v>Frisch</v>
          </cell>
        </row>
        <row r="7987">
          <cell r="I7987" t="str">
            <v>Force</v>
          </cell>
        </row>
        <row r="7988">
          <cell r="I7988" t="str">
            <v>Fitzhugh</v>
          </cell>
        </row>
        <row r="7989">
          <cell r="I7989" t="str">
            <v>Eckstein</v>
          </cell>
        </row>
        <row r="7990">
          <cell r="I7990" t="str">
            <v>Eberly</v>
          </cell>
        </row>
        <row r="7991">
          <cell r="I7991" t="str">
            <v>Dowden</v>
          </cell>
        </row>
        <row r="7992">
          <cell r="I7992" t="str">
            <v>Despain</v>
          </cell>
        </row>
        <row r="7993">
          <cell r="I7993" t="str">
            <v>Crumpler</v>
          </cell>
        </row>
        <row r="7994">
          <cell r="I7994" t="str">
            <v>Crotty</v>
          </cell>
        </row>
        <row r="7995">
          <cell r="I7995" t="str">
            <v>Cornelison</v>
          </cell>
        </row>
        <row r="7996">
          <cell r="I7996" t="str">
            <v>Collin</v>
          </cell>
        </row>
        <row r="7997">
          <cell r="I7997" t="str">
            <v>Colin</v>
          </cell>
        </row>
        <row r="7998">
          <cell r="I7998" t="str">
            <v>Chouinard</v>
          </cell>
        </row>
        <row r="7999">
          <cell r="I7999" t="str">
            <v>Chamness</v>
          </cell>
        </row>
        <row r="8000">
          <cell r="I8000" t="str">
            <v>Catlin</v>
          </cell>
        </row>
        <row r="8001">
          <cell r="I8001" t="str">
            <v>Cann</v>
          </cell>
        </row>
        <row r="8002">
          <cell r="I8002" t="str">
            <v>Bumgardner</v>
          </cell>
        </row>
        <row r="8003">
          <cell r="I8003" t="str">
            <v>Budde</v>
          </cell>
        </row>
        <row r="8004">
          <cell r="I8004" t="str">
            <v>Branum</v>
          </cell>
        </row>
        <row r="8005">
          <cell r="I8005" t="str">
            <v>Bradfield</v>
          </cell>
        </row>
        <row r="8006">
          <cell r="I8006" t="str">
            <v>Braddy</v>
          </cell>
        </row>
        <row r="8007">
          <cell r="I8007" t="str">
            <v>Borst</v>
          </cell>
        </row>
        <row r="8008">
          <cell r="I8008" t="str">
            <v>Birdwell</v>
          </cell>
        </row>
        <row r="8009">
          <cell r="I8009" t="str">
            <v>Bent</v>
          </cell>
        </row>
        <row r="8010">
          <cell r="I8010" t="str">
            <v>Bazan</v>
          </cell>
        </row>
        <row r="8011">
          <cell r="I8011" t="str">
            <v>Bank</v>
          </cell>
        </row>
        <row r="8012">
          <cell r="I8012" t="str">
            <v>Banas</v>
          </cell>
        </row>
        <row r="8013">
          <cell r="I8013" t="str">
            <v>Bade</v>
          </cell>
        </row>
        <row r="8014">
          <cell r="I8014" t="str">
            <v>Aubrey</v>
          </cell>
        </row>
        <row r="8015">
          <cell r="I8015" t="str">
            <v>Arango</v>
          </cell>
        </row>
        <row r="8016">
          <cell r="I8016" t="str">
            <v>Ahearn</v>
          </cell>
        </row>
        <row r="8017">
          <cell r="I8017" t="str">
            <v>Addis</v>
          </cell>
        </row>
        <row r="8018">
          <cell r="I8018" t="str">
            <v>Zumwalt</v>
          </cell>
        </row>
        <row r="8019">
          <cell r="I8019" t="str">
            <v>Wurth</v>
          </cell>
        </row>
        <row r="8020">
          <cell r="I8020" t="str">
            <v>Wilk</v>
          </cell>
        </row>
        <row r="8021">
          <cell r="I8021" t="str">
            <v>Widener</v>
          </cell>
        </row>
        <row r="8022">
          <cell r="I8022" t="str">
            <v>Wagstaff</v>
          </cell>
        </row>
        <row r="8023">
          <cell r="I8023" t="str">
            <v>Vella</v>
          </cell>
        </row>
        <row r="8024">
          <cell r="I8024" t="str">
            <v>Urrutia</v>
          </cell>
        </row>
        <row r="8025">
          <cell r="I8025" t="str">
            <v>Terwilliger</v>
          </cell>
        </row>
        <row r="8026">
          <cell r="I8026" t="str">
            <v>Tart</v>
          </cell>
        </row>
        <row r="8027">
          <cell r="I8027" t="str">
            <v>Steinman</v>
          </cell>
        </row>
        <row r="8028">
          <cell r="I8028" t="str">
            <v>Staats</v>
          </cell>
        </row>
        <row r="8029">
          <cell r="I8029" t="str">
            <v>Sloat</v>
          </cell>
        </row>
        <row r="8030">
          <cell r="I8030" t="str">
            <v>Rives</v>
          </cell>
        </row>
        <row r="8031">
          <cell r="I8031" t="str">
            <v>Riggle</v>
          </cell>
        </row>
        <row r="8032">
          <cell r="I8032" t="str">
            <v>Revels</v>
          </cell>
        </row>
        <row r="8033">
          <cell r="I8033" t="str">
            <v>Reichard</v>
          </cell>
        </row>
        <row r="8034">
          <cell r="I8034" t="str">
            <v>Prickett</v>
          </cell>
        </row>
        <row r="8035">
          <cell r="I8035" t="str">
            <v>Poff</v>
          </cell>
        </row>
        <row r="8036">
          <cell r="I8036" t="str">
            <v>Pitzer</v>
          </cell>
        </row>
        <row r="8037">
          <cell r="I8037" t="str">
            <v>Petro</v>
          </cell>
        </row>
        <row r="8038">
          <cell r="I8038" t="str">
            <v>Pell</v>
          </cell>
        </row>
        <row r="8039">
          <cell r="I8039" t="str">
            <v>Northrup</v>
          </cell>
        </row>
        <row r="8040">
          <cell r="I8040" t="str">
            <v>Nicks</v>
          </cell>
        </row>
        <row r="8041">
          <cell r="I8041" t="str">
            <v>Moline</v>
          </cell>
        </row>
        <row r="8042">
          <cell r="I8042" t="str">
            <v>Mielke</v>
          </cell>
        </row>
        <row r="8043">
          <cell r="I8043" t="str">
            <v>Maynor</v>
          </cell>
        </row>
        <row r="8044">
          <cell r="I8044" t="str">
            <v>Mallon</v>
          </cell>
        </row>
        <row r="8045">
          <cell r="I8045" t="str">
            <v>Magness</v>
          </cell>
        </row>
        <row r="8046">
          <cell r="I8046" t="str">
            <v>Lingle</v>
          </cell>
        </row>
        <row r="8047">
          <cell r="I8047" t="str">
            <v>Lindell</v>
          </cell>
        </row>
        <row r="8048">
          <cell r="I8048" t="str">
            <v>Lieb</v>
          </cell>
        </row>
        <row r="8049">
          <cell r="I8049" t="str">
            <v>Lesko</v>
          </cell>
        </row>
        <row r="8050">
          <cell r="I8050" t="str">
            <v>Lebeau</v>
          </cell>
        </row>
        <row r="8051">
          <cell r="I8051" t="str">
            <v>Lammers</v>
          </cell>
        </row>
        <row r="8052">
          <cell r="I8052" t="str">
            <v>Lafond</v>
          </cell>
        </row>
        <row r="8053">
          <cell r="I8053" t="str">
            <v>Kiernan</v>
          </cell>
        </row>
        <row r="8054">
          <cell r="I8054" t="str">
            <v>Ketron</v>
          </cell>
        </row>
        <row r="8055">
          <cell r="I8055" t="str">
            <v>Jurado</v>
          </cell>
        </row>
        <row r="8056">
          <cell r="I8056" t="str">
            <v>Holmgren</v>
          </cell>
        </row>
        <row r="8057">
          <cell r="I8057" t="str">
            <v>Hilburn</v>
          </cell>
        </row>
        <row r="8058">
          <cell r="I8058" t="str">
            <v>Hayashi</v>
          </cell>
        </row>
        <row r="8059">
          <cell r="I8059" t="str">
            <v>Hashimoto</v>
          </cell>
        </row>
        <row r="8060">
          <cell r="I8060" t="str">
            <v>Harbaugh</v>
          </cell>
        </row>
        <row r="8061">
          <cell r="I8061" t="str">
            <v>Hans</v>
          </cell>
        </row>
        <row r="8062">
          <cell r="I8062" t="str">
            <v>Guillot</v>
          </cell>
        </row>
        <row r="8063">
          <cell r="I8063" t="str">
            <v>Gard</v>
          </cell>
        </row>
        <row r="8064">
          <cell r="I8064" t="str">
            <v>Froehlich</v>
          </cell>
        </row>
        <row r="8065">
          <cell r="I8065" t="str">
            <v>Felipe</v>
          </cell>
        </row>
        <row r="8066">
          <cell r="I8066" t="str">
            <v>Feinberg</v>
          </cell>
        </row>
        <row r="8067">
          <cell r="I8067" t="str">
            <v>Falco</v>
          </cell>
        </row>
        <row r="8068">
          <cell r="I8068" t="str">
            <v>Dufour</v>
          </cell>
        </row>
        <row r="8069">
          <cell r="I8069" t="str">
            <v>Drees</v>
          </cell>
        </row>
        <row r="8070">
          <cell r="I8070" t="str">
            <v>Doney</v>
          </cell>
        </row>
        <row r="8071">
          <cell r="I8071" t="str">
            <v>Diep</v>
          </cell>
        </row>
        <row r="8072">
          <cell r="I8072" t="str">
            <v>Delao</v>
          </cell>
        </row>
        <row r="8073">
          <cell r="I8073" t="str">
            <v>Daves</v>
          </cell>
        </row>
        <row r="8074">
          <cell r="I8074" t="str">
            <v>Dail</v>
          </cell>
        </row>
        <row r="8075">
          <cell r="I8075" t="str">
            <v>Cutting</v>
          </cell>
        </row>
        <row r="8076">
          <cell r="I8076" t="str">
            <v>Crowson</v>
          </cell>
        </row>
        <row r="8077">
          <cell r="I8077" t="str">
            <v>Coss</v>
          </cell>
        </row>
        <row r="8078">
          <cell r="I8078" t="str">
            <v>Congdon</v>
          </cell>
        </row>
        <row r="8079">
          <cell r="I8079" t="str">
            <v>Carner</v>
          </cell>
        </row>
        <row r="8080">
          <cell r="I8080" t="str">
            <v>Camarena</v>
          </cell>
        </row>
        <row r="8081">
          <cell r="I8081" t="str">
            <v>Butterworth</v>
          </cell>
        </row>
        <row r="8082">
          <cell r="I8082" t="str">
            <v>Burlingame</v>
          </cell>
        </row>
        <row r="8083">
          <cell r="I8083" t="str">
            <v>Bouffard</v>
          </cell>
        </row>
        <row r="8084">
          <cell r="I8084" t="str">
            <v>Bloch</v>
          </cell>
        </row>
        <row r="8085">
          <cell r="I8085" t="str">
            <v>Bilyeu</v>
          </cell>
        </row>
        <row r="8086">
          <cell r="I8086" t="str">
            <v>Barta</v>
          </cell>
        </row>
        <row r="8087">
          <cell r="I8087" t="str">
            <v>Bakke</v>
          </cell>
        </row>
        <row r="8088">
          <cell r="I8088" t="str">
            <v>Baillargeon</v>
          </cell>
        </row>
        <row r="8089">
          <cell r="I8089" t="str">
            <v>Avent</v>
          </cell>
        </row>
        <row r="8090">
          <cell r="I8090" t="str">
            <v>Aquilar</v>
          </cell>
        </row>
        <row r="8091">
          <cell r="I8091" t="str">
            <v>Ake</v>
          </cell>
        </row>
        <row r="8092">
          <cell r="I8092" t="str">
            <v>Aho</v>
          </cell>
        </row>
        <row r="8093">
          <cell r="I8093" t="str">
            <v>Zeringue</v>
          </cell>
        </row>
        <row r="8094">
          <cell r="I8094" t="str">
            <v>Yeh</v>
          </cell>
        </row>
        <row r="8095">
          <cell r="I8095" t="str">
            <v>Yarber</v>
          </cell>
        </row>
        <row r="8096">
          <cell r="I8096" t="str">
            <v>Wolfson</v>
          </cell>
        </row>
        <row r="8097">
          <cell r="I8097" t="str">
            <v>Wendell</v>
          </cell>
        </row>
        <row r="8098">
          <cell r="I8098" t="str">
            <v>Vogler</v>
          </cell>
        </row>
        <row r="8099">
          <cell r="I8099" t="str">
            <v>Voelker</v>
          </cell>
        </row>
        <row r="8100">
          <cell r="I8100" t="str">
            <v>Truss</v>
          </cell>
        </row>
        <row r="8101">
          <cell r="I8101" t="str">
            <v>Troxell</v>
          </cell>
        </row>
        <row r="8102">
          <cell r="I8102" t="str">
            <v>Thrift</v>
          </cell>
        </row>
        <row r="8103">
          <cell r="I8103" t="str">
            <v>Strouse</v>
          </cell>
        </row>
        <row r="8104">
          <cell r="I8104" t="str">
            <v>Spielman</v>
          </cell>
        </row>
        <row r="8105">
          <cell r="I8105" t="str">
            <v>Sistrunk</v>
          </cell>
        </row>
        <row r="8106">
          <cell r="I8106" t="str">
            <v>Shows</v>
          </cell>
        </row>
        <row r="8107">
          <cell r="I8107" t="str">
            <v>Sevigny</v>
          </cell>
        </row>
        <row r="8108">
          <cell r="I8108" t="str">
            <v>Schuller</v>
          </cell>
        </row>
        <row r="8109">
          <cell r="I8109" t="str">
            <v>Schaaf</v>
          </cell>
        </row>
        <row r="8110">
          <cell r="I8110" t="str">
            <v>Ruffner</v>
          </cell>
        </row>
        <row r="8111">
          <cell r="I8111" t="str">
            <v>Routh</v>
          </cell>
        </row>
        <row r="8112">
          <cell r="I8112" t="str">
            <v>Roseman</v>
          </cell>
        </row>
        <row r="8113">
          <cell r="I8113" t="str">
            <v>Ricciardi</v>
          </cell>
        </row>
        <row r="8114">
          <cell r="I8114" t="str">
            <v>Peraza</v>
          </cell>
        </row>
        <row r="8115">
          <cell r="I8115" t="str">
            <v>Pegram</v>
          </cell>
        </row>
        <row r="8116">
          <cell r="I8116" t="str">
            <v>Overturf</v>
          </cell>
        </row>
        <row r="8117">
          <cell r="I8117" t="str">
            <v>Olander</v>
          </cell>
        </row>
        <row r="8118">
          <cell r="I8118" t="str">
            <v>Odaniel</v>
          </cell>
        </row>
        <row r="8119">
          <cell r="I8119" t="str">
            <v>Neu</v>
          </cell>
        </row>
        <row r="8120">
          <cell r="I8120" t="str">
            <v>Millner</v>
          </cell>
        </row>
        <row r="8121">
          <cell r="I8121" t="str">
            <v>Melchor</v>
          </cell>
        </row>
        <row r="8122">
          <cell r="I8122" t="str">
            <v>Maxie</v>
          </cell>
        </row>
        <row r="8123">
          <cell r="I8123" t="str">
            <v>Marvel</v>
          </cell>
        </row>
        <row r="8124">
          <cell r="I8124" t="str">
            <v>Maroney</v>
          </cell>
        </row>
        <row r="8125">
          <cell r="I8125" t="str">
            <v>Machuca</v>
          </cell>
        </row>
        <row r="8126">
          <cell r="I8126" t="str">
            <v>Macaluso</v>
          </cell>
        </row>
        <row r="8127">
          <cell r="I8127" t="str">
            <v>Livesay</v>
          </cell>
        </row>
        <row r="8128">
          <cell r="I8128" t="str">
            <v>Layfield</v>
          </cell>
        </row>
        <row r="8129">
          <cell r="I8129" t="str">
            <v>Laskowski</v>
          </cell>
        </row>
        <row r="8130">
          <cell r="I8130" t="str">
            <v>Kwiatkowski</v>
          </cell>
        </row>
        <row r="8131">
          <cell r="I8131" t="str">
            <v>Ko</v>
          </cell>
        </row>
        <row r="8132">
          <cell r="I8132" t="str">
            <v>Kiley</v>
          </cell>
        </row>
        <row r="8133">
          <cell r="I8133" t="str">
            <v>Kilby</v>
          </cell>
        </row>
        <row r="8134">
          <cell r="I8134" t="str">
            <v>Julien</v>
          </cell>
        </row>
        <row r="8135">
          <cell r="I8135" t="str">
            <v>Hovey</v>
          </cell>
        </row>
        <row r="8136">
          <cell r="I8136" t="str">
            <v>Heywood</v>
          </cell>
        </row>
        <row r="8137">
          <cell r="I8137" t="str">
            <v>Hayman</v>
          </cell>
        </row>
        <row r="8138">
          <cell r="I8138" t="str">
            <v>Havard</v>
          </cell>
        </row>
        <row r="8139">
          <cell r="I8139" t="str">
            <v>Harville</v>
          </cell>
        </row>
        <row r="8140">
          <cell r="I8140" t="str">
            <v>Haigh</v>
          </cell>
        </row>
        <row r="8141">
          <cell r="I8141" t="str">
            <v>Hagood</v>
          </cell>
        </row>
        <row r="8142">
          <cell r="I8142" t="str">
            <v>Grieco</v>
          </cell>
        </row>
        <row r="8143">
          <cell r="I8143" t="str">
            <v>Glassman</v>
          </cell>
        </row>
        <row r="8144">
          <cell r="I8144" t="str">
            <v>Gebhardt</v>
          </cell>
        </row>
        <row r="8145">
          <cell r="I8145" t="str">
            <v>Garry</v>
          </cell>
        </row>
        <row r="8146">
          <cell r="I8146" t="str">
            <v>Freeze</v>
          </cell>
        </row>
        <row r="8147">
          <cell r="I8147" t="str">
            <v>Fleischer</v>
          </cell>
        </row>
        <row r="8148">
          <cell r="I8148" t="str">
            <v>Fann</v>
          </cell>
        </row>
        <row r="8149">
          <cell r="I8149" t="str">
            <v>Elson</v>
          </cell>
        </row>
        <row r="8150">
          <cell r="I8150" t="str">
            <v>Eccles</v>
          </cell>
        </row>
        <row r="8151">
          <cell r="I8151" t="str">
            <v>Cunha</v>
          </cell>
        </row>
        <row r="8152">
          <cell r="I8152" t="str">
            <v>Crumb</v>
          </cell>
        </row>
        <row r="8153">
          <cell r="I8153" t="str">
            <v>Crew</v>
          </cell>
        </row>
        <row r="8154">
          <cell r="I8154" t="str">
            <v>Blakley</v>
          </cell>
        </row>
        <row r="8155">
          <cell r="I8155" t="str">
            <v>Bardwell</v>
          </cell>
        </row>
        <row r="8156">
          <cell r="I8156" t="str">
            <v>Abshire</v>
          </cell>
        </row>
        <row r="8157">
          <cell r="I8157" t="str">
            <v>Woodham</v>
          </cell>
        </row>
        <row r="8158">
          <cell r="I8158" t="str">
            <v>Wines</v>
          </cell>
        </row>
        <row r="8159">
          <cell r="I8159" t="str">
            <v>Welter</v>
          </cell>
        </row>
        <row r="8160">
          <cell r="I8160" t="str">
            <v>Wargo</v>
          </cell>
        </row>
        <row r="8161">
          <cell r="I8161" t="str">
            <v>Varnado</v>
          </cell>
        </row>
        <row r="8162">
          <cell r="I8162" t="str">
            <v>Tutt</v>
          </cell>
        </row>
        <row r="8163">
          <cell r="I8163" t="str">
            <v>Traynor</v>
          </cell>
        </row>
        <row r="8164">
          <cell r="I8164" t="str">
            <v>Swaney</v>
          </cell>
        </row>
        <row r="8165">
          <cell r="I8165" t="str">
            <v>Svoboda</v>
          </cell>
        </row>
        <row r="8166">
          <cell r="I8166" t="str">
            <v>Stricker</v>
          </cell>
        </row>
        <row r="8167">
          <cell r="I8167" t="str">
            <v>Stoffel</v>
          </cell>
        </row>
        <row r="8168">
          <cell r="I8168" t="str">
            <v>Stambaugh</v>
          </cell>
        </row>
        <row r="8169">
          <cell r="I8169" t="str">
            <v>Sickler</v>
          </cell>
        </row>
        <row r="8170">
          <cell r="I8170" t="str">
            <v>Shackleford</v>
          </cell>
        </row>
        <row r="8171">
          <cell r="I8171" t="str">
            <v>Selman</v>
          </cell>
        </row>
        <row r="8172">
          <cell r="I8172" t="str">
            <v>Seaver</v>
          </cell>
        </row>
        <row r="8173">
          <cell r="I8173" t="str">
            <v>Sansom</v>
          </cell>
        </row>
        <row r="8174">
          <cell r="I8174" t="str">
            <v>Sanmiguel</v>
          </cell>
        </row>
        <row r="8175">
          <cell r="I8175" t="str">
            <v>Royston</v>
          </cell>
        </row>
        <row r="8176">
          <cell r="I8176" t="str">
            <v>Rourke</v>
          </cell>
        </row>
        <row r="8177">
          <cell r="I8177" t="str">
            <v>Rockett</v>
          </cell>
        </row>
        <row r="8178">
          <cell r="I8178" t="str">
            <v>Rioux</v>
          </cell>
        </row>
        <row r="8179">
          <cell r="I8179" t="str">
            <v>Puleo</v>
          </cell>
        </row>
        <row r="8180">
          <cell r="I8180" t="str">
            <v>Pitchford</v>
          </cell>
        </row>
        <row r="8181">
          <cell r="I8181" t="str">
            <v>Persons</v>
          </cell>
        </row>
        <row r="8182">
          <cell r="I8182" t="str">
            <v>Normand</v>
          </cell>
        </row>
        <row r="8183">
          <cell r="I8183" t="str">
            <v>Nardi</v>
          </cell>
        </row>
        <row r="8184">
          <cell r="I8184" t="str">
            <v>Mulvaney</v>
          </cell>
        </row>
        <row r="8185">
          <cell r="I8185" t="str">
            <v>Middaugh</v>
          </cell>
        </row>
        <row r="8186">
          <cell r="I8186" t="str">
            <v>Manners</v>
          </cell>
        </row>
        <row r="8187">
          <cell r="I8187" t="str">
            <v>Malek</v>
          </cell>
        </row>
        <row r="8188">
          <cell r="I8188" t="str">
            <v>Lodge</v>
          </cell>
        </row>
        <row r="8189">
          <cell r="I8189" t="str">
            <v>Leos</v>
          </cell>
        </row>
        <row r="8190">
          <cell r="I8190" t="str">
            <v>Lathan</v>
          </cell>
        </row>
        <row r="8191">
          <cell r="I8191" t="str">
            <v>Kujawa</v>
          </cell>
        </row>
        <row r="8192">
          <cell r="I8192" t="str">
            <v>Kimbro</v>
          </cell>
        </row>
        <row r="8193">
          <cell r="I8193" t="str">
            <v>Killebrew</v>
          </cell>
        </row>
        <row r="8194">
          <cell r="I8194" t="str">
            <v>Joshua</v>
          </cell>
        </row>
        <row r="8195">
          <cell r="I8195" t="str">
            <v>Houlihan</v>
          </cell>
        </row>
        <row r="8196">
          <cell r="I8196" t="str">
            <v>Hobby</v>
          </cell>
        </row>
        <row r="8197">
          <cell r="I8197" t="str">
            <v>Hinckley</v>
          </cell>
        </row>
        <row r="8198">
          <cell r="I8198" t="str">
            <v>Herod</v>
          </cell>
        </row>
        <row r="8199">
          <cell r="I8199" t="str">
            <v>Hepler</v>
          </cell>
        </row>
        <row r="8200">
          <cell r="I8200" t="str">
            <v>Hamner</v>
          </cell>
        </row>
        <row r="8201">
          <cell r="I8201" t="str">
            <v>Hammel</v>
          </cell>
        </row>
        <row r="8202">
          <cell r="I8202" t="str">
            <v>Hallowell</v>
          </cell>
        </row>
        <row r="8203">
          <cell r="I8203" t="str">
            <v>Gonsalez</v>
          </cell>
        </row>
        <row r="8204">
          <cell r="I8204" t="str">
            <v>Gingerich</v>
          </cell>
        </row>
        <row r="8205">
          <cell r="I8205" t="str">
            <v>Gambill</v>
          </cell>
        </row>
        <row r="8206">
          <cell r="I8206" t="str">
            <v>Funkhouser</v>
          </cell>
        </row>
        <row r="8207">
          <cell r="I8207" t="str">
            <v>Fricke</v>
          </cell>
        </row>
        <row r="8208">
          <cell r="I8208" t="str">
            <v>Fewell</v>
          </cell>
        </row>
        <row r="8209">
          <cell r="I8209" t="str">
            <v>Falkner</v>
          </cell>
        </row>
        <row r="8210">
          <cell r="I8210" t="str">
            <v>Endsley</v>
          </cell>
        </row>
        <row r="8211">
          <cell r="I8211" t="str">
            <v>Dulin</v>
          </cell>
        </row>
        <row r="8212">
          <cell r="I8212" t="str">
            <v>Drennen</v>
          </cell>
        </row>
        <row r="8213">
          <cell r="I8213" t="str">
            <v>Deaver</v>
          </cell>
        </row>
        <row r="8214">
          <cell r="I8214" t="str">
            <v>Dambrosio</v>
          </cell>
        </row>
        <row r="8215">
          <cell r="I8215" t="str">
            <v>Clover</v>
          </cell>
        </row>
        <row r="8216">
          <cell r="I8216" t="str">
            <v>Chadwell</v>
          </cell>
        </row>
        <row r="8217">
          <cell r="I8217" t="str">
            <v>Ceasar</v>
          </cell>
        </row>
        <row r="8218">
          <cell r="I8218" t="str">
            <v>Castanon</v>
          </cell>
        </row>
        <row r="8219">
          <cell r="I8219" t="str">
            <v>Canon</v>
          </cell>
        </row>
        <row r="8220">
          <cell r="I8220" t="str">
            <v>Burkes</v>
          </cell>
        </row>
        <row r="8221">
          <cell r="I8221" t="str">
            <v>Brune</v>
          </cell>
        </row>
        <row r="8222">
          <cell r="I8222" t="str">
            <v>Brisco</v>
          </cell>
        </row>
        <row r="8223">
          <cell r="I8223" t="str">
            <v>Brinker</v>
          </cell>
        </row>
        <row r="8224">
          <cell r="I8224" t="str">
            <v>Bowker</v>
          </cell>
        </row>
        <row r="8225">
          <cell r="I8225" t="str">
            <v>Boldt</v>
          </cell>
        </row>
        <row r="8226">
          <cell r="I8226" t="str">
            <v>Berner</v>
          </cell>
        </row>
        <row r="8227">
          <cell r="I8227" t="str">
            <v>Bee</v>
          </cell>
        </row>
        <row r="8228">
          <cell r="I8228" t="str">
            <v>Beaumont</v>
          </cell>
        </row>
        <row r="8229">
          <cell r="I8229" t="str">
            <v>Beaird</v>
          </cell>
        </row>
        <row r="8230">
          <cell r="I8230" t="str">
            <v>Bazemore</v>
          </cell>
        </row>
        <row r="8231">
          <cell r="I8231" t="str">
            <v>Barrick</v>
          </cell>
        </row>
        <row r="8232">
          <cell r="I8232" t="str">
            <v>Arnette</v>
          </cell>
        </row>
        <row r="8233">
          <cell r="I8233" t="str">
            <v>Albano</v>
          </cell>
        </row>
        <row r="8234">
          <cell r="I8234" t="str">
            <v>Younts</v>
          </cell>
        </row>
        <row r="8235">
          <cell r="I8235" t="str">
            <v>Wunderlich</v>
          </cell>
        </row>
        <row r="8236">
          <cell r="I8236" t="str">
            <v>Weidman</v>
          </cell>
        </row>
        <row r="8237">
          <cell r="I8237" t="str">
            <v>Vanness</v>
          </cell>
        </row>
        <row r="8238">
          <cell r="I8238" t="str">
            <v>Tu</v>
          </cell>
        </row>
        <row r="8239">
          <cell r="I8239" t="str">
            <v>Toland</v>
          </cell>
        </row>
        <row r="8240">
          <cell r="I8240" t="str">
            <v>Theobald</v>
          </cell>
        </row>
        <row r="8241">
          <cell r="I8241" t="str">
            <v>Stickler</v>
          </cell>
        </row>
        <row r="8242">
          <cell r="I8242" t="str">
            <v>Steiger</v>
          </cell>
        </row>
        <row r="8243">
          <cell r="I8243" t="str">
            <v>Stanger</v>
          </cell>
        </row>
        <row r="8244">
          <cell r="I8244" t="str">
            <v>Spies</v>
          </cell>
        </row>
        <row r="8245">
          <cell r="I8245" t="str">
            <v>Spector</v>
          </cell>
        </row>
        <row r="8246">
          <cell r="I8246" t="str">
            <v>Sollars</v>
          </cell>
        </row>
        <row r="8247">
          <cell r="I8247" t="str">
            <v>Smedley</v>
          </cell>
        </row>
        <row r="8248">
          <cell r="I8248" t="str">
            <v>Seibel</v>
          </cell>
        </row>
        <row r="8249">
          <cell r="I8249" t="str">
            <v>Scoville</v>
          </cell>
        </row>
        <row r="8250">
          <cell r="I8250" t="str">
            <v>Saito</v>
          </cell>
        </row>
        <row r="8251">
          <cell r="I8251" t="str">
            <v>Rye</v>
          </cell>
        </row>
        <row r="8252">
          <cell r="I8252" t="str">
            <v>Rummel</v>
          </cell>
        </row>
        <row r="8253">
          <cell r="I8253" t="str">
            <v>Rude</v>
          </cell>
        </row>
        <row r="8254">
          <cell r="I8254" t="str">
            <v>Rowles</v>
          </cell>
        </row>
        <row r="8255">
          <cell r="I8255" t="str">
            <v>Rouleau</v>
          </cell>
        </row>
        <row r="8256">
          <cell r="I8256" t="str">
            <v>Roos</v>
          </cell>
        </row>
        <row r="8257">
          <cell r="I8257" t="str">
            <v>Rogan</v>
          </cell>
        </row>
        <row r="8258">
          <cell r="I8258" t="str">
            <v>Roemer</v>
          </cell>
        </row>
        <row r="8259">
          <cell r="I8259" t="str">
            <v>Ream</v>
          </cell>
        </row>
        <row r="8260">
          <cell r="I8260" t="str">
            <v>Raya</v>
          </cell>
        </row>
        <row r="8261">
          <cell r="I8261" t="str">
            <v>Purkey</v>
          </cell>
        </row>
        <row r="8262">
          <cell r="I8262" t="str">
            <v>Priester</v>
          </cell>
        </row>
        <row r="8263">
          <cell r="I8263" t="str">
            <v>Perreira</v>
          </cell>
        </row>
        <row r="8264">
          <cell r="I8264" t="str">
            <v>Penick</v>
          </cell>
        </row>
        <row r="8265">
          <cell r="I8265" t="str">
            <v>Paulin</v>
          </cell>
        </row>
        <row r="8266">
          <cell r="I8266" t="str">
            <v>Parkins</v>
          </cell>
        </row>
        <row r="8267">
          <cell r="I8267" t="str">
            <v>Overcash</v>
          </cell>
        </row>
        <row r="8268">
          <cell r="I8268" t="str">
            <v>Oleson</v>
          </cell>
        </row>
        <row r="8269">
          <cell r="I8269" t="str">
            <v>Nicely</v>
          </cell>
        </row>
        <row r="8270">
          <cell r="I8270" t="str">
            <v>Neves</v>
          </cell>
        </row>
        <row r="8271">
          <cell r="I8271" t="str">
            <v>Muldrow</v>
          </cell>
        </row>
        <row r="8272">
          <cell r="I8272" t="str">
            <v>Minard</v>
          </cell>
        </row>
        <row r="8273">
          <cell r="I8273" t="str">
            <v>Midgett</v>
          </cell>
        </row>
        <row r="8274">
          <cell r="I8274" t="str">
            <v>Michalak</v>
          </cell>
        </row>
        <row r="8275">
          <cell r="I8275" t="str">
            <v>Melgar</v>
          </cell>
        </row>
        <row r="8276">
          <cell r="I8276" t="str">
            <v>Mcentire</v>
          </cell>
        </row>
        <row r="8277">
          <cell r="I8277" t="str">
            <v>Mcauliffe</v>
          </cell>
        </row>
        <row r="8278">
          <cell r="I8278" t="str">
            <v>Marti</v>
          </cell>
        </row>
        <row r="8279">
          <cell r="I8279" t="str">
            <v>Marte</v>
          </cell>
        </row>
        <row r="8280">
          <cell r="I8280" t="str">
            <v>Lydon</v>
          </cell>
        </row>
        <row r="8281">
          <cell r="I8281" t="str">
            <v>Lindholm</v>
          </cell>
        </row>
        <row r="8282">
          <cell r="I8282" t="str">
            <v>Leyba</v>
          </cell>
        </row>
        <row r="8283">
          <cell r="I8283" t="str">
            <v>Leader</v>
          </cell>
        </row>
        <row r="8284">
          <cell r="I8284" t="str">
            <v>Langevin</v>
          </cell>
        </row>
        <row r="8285">
          <cell r="I8285" t="str">
            <v>Lagasse</v>
          </cell>
        </row>
        <row r="8286">
          <cell r="I8286" t="str">
            <v>Lafayette</v>
          </cell>
        </row>
        <row r="8287">
          <cell r="I8287" t="str">
            <v>Kesler</v>
          </cell>
        </row>
        <row r="8288">
          <cell r="I8288" t="str">
            <v>Kelton</v>
          </cell>
        </row>
        <row r="8289">
          <cell r="I8289" t="str">
            <v>Kao</v>
          </cell>
        </row>
        <row r="8290">
          <cell r="I8290" t="str">
            <v>Kaminsky</v>
          </cell>
        </row>
        <row r="8291">
          <cell r="I8291" t="str">
            <v>Jump</v>
          </cell>
        </row>
        <row r="8292">
          <cell r="I8292" t="str">
            <v>Jaggers</v>
          </cell>
        </row>
        <row r="8293">
          <cell r="I8293" t="str">
            <v>Humbert</v>
          </cell>
        </row>
        <row r="8294">
          <cell r="I8294" t="str">
            <v>Huck</v>
          </cell>
        </row>
        <row r="8295">
          <cell r="I8295" t="str">
            <v>Howarth</v>
          </cell>
        </row>
        <row r="8296">
          <cell r="I8296" t="str">
            <v>Hinrichs</v>
          </cell>
        </row>
        <row r="8297">
          <cell r="I8297" t="str">
            <v>Higley</v>
          </cell>
        </row>
        <row r="8298">
          <cell r="I8298" t="str">
            <v>Gupton</v>
          </cell>
        </row>
        <row r="8299">
          <cell r="I8299" t="str">
            <v>Guimond</v>
          </cell>
        </row>
        <row r="8300">
          <cell r="I8300" t="str">
            <v>Gravois</v>
          </cell>
        </row>
        <row r="8301">
          <cell r="I8301" t="str">
            <v>Giguere</v>
          </cell>
        </row>
        <row r="8302">
          <cell r="I8302" t="str">
            <v>Fretwell</v>
          </cell>
        </row>
        <row r="8303">
          <cell r="I8303" t="str">
            <v>Fontes</v>
          </cell>
        </row>
        <row r="8304">
          <cell r="I8304" t="str">
            <v>Feeley</v>
          </cell>
        </row>
        <row r="8305">
          <cell r="I8305" t="str">
            <v>Faucher</v>
          </cell>
        </row>
        <row r="8306">
          <cell r="I8306" t="str">
            <v>Fall</v>
          </cell>
        </row>
        <row r="8307">
          <cell r="I8307" t="str">
            <v>Evan</v>
          </cell>
        </row>
        <row r="8308">
          <cell r="I8308" t="str">
            <v>Eichhorn</v>
          </cell>
        </row>
        <row r="8309">
          <cell r="I8309" t="str">
            <v>Ecker</v>
          </cell>
        </row>
        <row r="8310">
          <cell r="I8310" t="str">
            <v>Earp</v>
          </cell>
        </row>
        <row r="8311">
          <cell r="I8311" t="str">
            <v>Dole</v>
          </cell>
        </row>
        <row r="8312">
          <cell r="I8312" t="str">
            <v>Dinger</v>
          </cell>
        </row>
        <row r="8313">
          <cell r="I8313" t="str">
            <v>Derryberry</v>
          </cell>
        </row>
        <row r="8314">
          <cell r="I8314" t="str">
            <v>Demars</v>
          </cell>
        </row>
        <row r="8315">
          <cell r="I8315" t="str">
            <v>Deel</v>
          </cell>
        </row>
        <row r="8316">
          <cell r="I8316" t="str">
            <v>Copenhaver</v>
          </cell>
        </row>
        <row r="8317">
          <cell r="I8317" t="str">
            <v>Collinsworth</v>
          </cell>
        </row>
        <row r="8318">
          <cell r="I8318" t="str">
            <v>Colangelo</v>
          </cell>
        </row>
        <row r="8319">
          <cell r="I8319" t="str">
            <v>Cloyd</v>
          </cell>
        </row>
        <row r="8320">
          <cell r="I8320" t="str">
            <v>Claiborne</v>
          </cell>
        </row>
        <row r="8321">
          <cell r="I8321" t="str">
            <v>Caulfield</v>
          </cell>
        </row>
        <row r="8322">
          <cell r="I8322" t="str">
            <v>Carlsen</v>
          </cell>
        </row>
        <row r="8323">
          <cell r="I8323" t="str">
            <v>Calzada</v>
          </cell>
        </row>
        <row r="8324">
          <cell r="I8324" t="str">
            <v>Caffey</v>
          </cell>
        </row>
        <row r="8325">
          <cell r="I8325" t="str">
            <v>Broadus</v>
          </cell>
        </row>
        <row r="8326">
          <cell r="I8326" t="str">
            <v>Brenneman</v>
          </cell>
        </row>
        <row r="8327">
          <cell r="I8327" t="str">
            <v>Bouie</v>
          </cell>
        </row>
        <row r="8328">
          <cell r="I8328" t="str">
            <v>Bodnar</v>
          </cell>
        </row>
        <row r="8329">
          <cell r="I8329" t="str">
            <v>Blaney</v>
          </cell>
        </row>
        <row r="8330">
          <cell r="I8330" t="str">
            <v>Blanc</v>
          </cell>
        </row>
        <row r="8331">
          <cell r="I8331" t="str">
            <v>Blades</v>
          </cell>
        </row>
        <row r="8332">
          <cell r="I8332" t="str">
            <v>Beltz</v>
          </cell>
        </row>
        <row r="8333">
          <cell r="I8333" t="str">
            <v>Behling</v>
          </cell>
        </row>
        <row r="8334">
          <cell r="I8334" t="str">
            <v>Begin</v>
          </cell>
        </row>
        <row r="8335">
          <cell r="I8335" t="str">
            <v>Barahona</v>
          </cell>
        </row>
        <row r="8336">
          <cell r="I8336" t="str">
            <v>Yun</v>
          </cell>
        </row>
        <row r="8337">
          <cell r="I8337" t="str">
            <v>Yockey</v>
          </cell>
        </row>
        <row r="8338">
          <cell r="I8338" t="str">
            <v>Winkle</v>
          </cell>
        </row>
        <row r="8339">
          <cell r="I8339" t="str">
            <v>Windom</v>
          </cell>
        </row>
        <row r="8340">
          <cell r="I8340" t="str">
            <v>Wimer</v>
          </cell>
        </row>
        <row r="8341">
          <cell r="I8341" t="str">
            <v>Wilford</v>
          </cell>
        </row>
        <row r="8342">
          <cell r="I8342" t="str">
            <v>Wash</v>
          </cell>
        </row>
        <row r="8343">
          <cell r="I8343" t="str">
            <v>Villatoro</v>
          </cell>
        </row>
        <row r="8344">
          <cell r="I8344" t="str">
            <v>Trexler</v>
          </cell>
        </row>
        <row r="8345">
          <cell r="I8345" t="str">
            <v>Teran</v>
          </cell>
        </row>
        <row r="8346">
          <cell r="I8346" t="str">
            <v>Taliaferro</v>
          </cell>
        </row>
        <row r="8347">
          <cell r="I8347" t="str">
            <v>Sydnor</v>
          </cell>
        </row>
        <row r="8348">
          <cell r="I8348" t="str">
            <v>Swinson</v>
          </cell>
        </row>
        <row r="8349">
          <cell r="I8349" t="str">
            <v>Snelling</v>
          </cell>
        </row>
        <row r="8350">
          <cell r="I8350" t="str">
            <v>Smtih</v>
          </cell>
        </row>
        <row r="8351">
          <cell r="I8351" t="str">
            <v>Siu</v>
          </cell>
        </row>
        <row r="8352">
          <cell r="I8352" t="str">
            <v>Simonton</v>
          </cell>
        </row>
        <row r="8353">
          <cell r="I8353" t="str">
            <v>Simoneaux</v>
          </cell>
        </row>
        <row r="8354">
          <cell r="I8354" t="str">
            <v>Simoneau</v>
          </cell>
        </row>
        <row r="8355">
          <cell r="I8355" t="str">
            <v>Sherrer</v>
          </cell>
        </row>
        <row r="8356">
          <cell r="I8356" t="str">
            <v>Seavey</v>
          </cell>
        </row>
        <row r="8357">
          <cell r="I8357" t="str">
            <v>Scheel</v>
          </cell>
        </row>
        <row r="8358">
          <cell r="I8358" t="str">
            <v>Rushton</v>
          </cell>
        </row>
        <row r="8359">
          <cell r="I8359" t="str">
            <v>Rupe</v>
          </cell>
        </row>
        <row r="8360">
          <cell r="I8360" t="str">
            <v>Ruano</v>
          </cell>
        </row>
        <row r="8361">
          <cell r="I8361" t="str">
            <v>Rodney</v>
          </cell>
        </row>
        <row r="8362">
          <cell r="I8362" t="str">
            <v>Rippy</v>
          </cell>
        </row>
        <row r="8363">
          <cell r="I8363" t="str">
            <v>Reiner</v>
          </cell>
        </row>
        <row r="8364">
          <cell r="I8364" t="str">
            <v>Reiff</v>
          </cell>
        </row>
        <row r="8365">
          <cell r="I8365" t="str">
            <v>Rabinowitz</v>
          </cell>
        </row>
        <row r="8366">
          <cell r="I8366" t="str">
            <v>Quach</v>
          </cell>
        </row>
        <row r="8367">
          <cell r="I8367" t="str">
            <v>Penley</v>
          </cell>
        </row>
        <row r="8368">
          <cell r="I8368" t="str">
            <v>Odle</v>
          </cell>
        </row>
        <row r="8369">
          <cell r="I8369" t="str">
            <v>Nock</v>
          </cell>
        </row>
        <row r="8370">
          <cell r="I8370" t="str">
            <v>Minnich</v>
          </cell>
        </row>
        <row r="8371">
          <cell r="I8371" t="str">
            <v>Mckown</v>
          </cell>
        </row>
        <row r="8372">
          <cell r="I8372" t="str">
            <v>Mccarver</v>
          </cell>
        </row>
        <row r="8373">
          <cell r="I8373" t="str">
            <v>Mcandrew</v>
          </cell>
        </row>
        <row r="8374">
          <cell r="I8374" t="str">
            <v>Longley</v>
          </cell>
        </row>
        <row r="8375">
          <cell r="I8375" t="str">
            <v>Laux</v>
          </cell>
        </row>
        <row r="8376">
          <cell r="I8376" t="str">
            <v>Lamothe</v>
          </cell>
        </row>
        <row r="8377">
          <cell r="I8377" t="str">
            <v>Lafreniere</v>
          </cell>
        </row>
        <row r="8378">
          <cell r="I8378" t="str">
            <v>Kropp</v>
          </cell>
        </row>
        <row r="8379">
          <cell r="I8379" t="str">
            <v>Krick</v>
          </cell>
        </row>
        <row r="8380">
          <cell r="I8380" t="str">
            <v>Kates</v>
          </cell>
        </row>
        <row r="8381">
          <cell r="I8381" t="str">
            <v>Jepson</v>
          </cell>
        </row>
        <row r="8382">
          <cell r="I8382" t="str">
            <v>Huie</v>
          </cell>
        </row>
        <row r="8383">
          <cell r="I8383" t="str">
            <v>Howse</v>
          </cell>
        </row>
        <row r="8384">
          <cell r="I8384" t="str">
            <v>Howie</v>
          </cell>
        </row>
        <row r="8385">
          <cell r="I8385" t="str">
            <v>Henriques</v>
          </cell>
        </row>
        <row r="8386">
          <cell r="I8386" t="str">
            <v>Haydon</v>
          </cell>
        </row>
        <row r="8387">
          <cell r="I8387" t="str">
            <v>Haught</v>
          </cell>
        </row>
        <row r="8388">
          <cell r="I8388" t="str">
            <v>Hatter</v>
          </cell>
        </row>
        <row r="8389">
          <cell r="I8389" t="str">
            <v>Hartzog</v>
          </cell>
        </row>
        <row r="8390">
          <cell r="I8390" t="str">
            <v>Harkey</v>
          </cell>
        </row>
        <row r="8391">
          <cell r="I8391" t="str">
            <v>Grimaldo</v>
          </cell>
        </row>
        <row r="8392">
          <cell r="I8392" t="str">
            <v>Goshorn</v>
          </cell>
        </row>
        <row r="8393">
          <cell r="I8393" t="str">
            <v>Gormley</v>
          </cell>
        </row>
        <row r="8394">
          <cell r="I8394" t="str">
            <v>Gluck</v>
          </cell>
        </row>
        <row r="8395">
          <cell r="I8395" t="str">
            <v>Gilroy</v>
          </cell>
        </row>
        <row r="8396">
          <cell r="I8396" t="str">
            <v>Gillenwater</v>
          </cell>
        </row>
        <row r="8397">
          <cell r="I8397" t="str">
            <v>Giffin</v>
          </cell>
        </row>
        <row r="8398">
          <cell r="I8398" t="str">
            <v>Folks</v>
          </cell>
        </row>
        <row r="8399">
          <cell r="I8399" t="str">
            <v>Fluker</v>
          </cell>
        </row>
        <row r="8400">
          <cell r="I8400" t="str">
            <v>Feder</v>
          </cell>
        </row>
        <row r="8401">
          <cell r="I8401" t="str">
            <v>Eyre</v>
          </cell>
        </row>
        <row r="8402">
          <cell r="I8402" t="str">
            <v>Eshelman</v>
          </cell>
        </row>
        <row r="8403">
          <cell r="I8403" t="str">
            <v>Eakins</v>
          </cell>
        </row>
        <row r="8404">
          <cell r="I8404" t="str">
            <v>Dryer</v>
          </cell>
        </row>
        <row r="8405">
          <cell r="I8405" t="str">
            <v>Disney</v>
          </cell>
        </row>
        <row r="8406">
          <cell r="I8406" t="str">
            <v>Detwiler</v>
          </cell>
        </row>
        <row r="8407">
          <cell r="I8407" t="str">
            <v>Delrosario</v>
          </cell>
        </row>
        <row r="8408">
          <cell r="I8408" t="str">
            <v>Davisson</v>
          </cell>
        </row>
        <row r="8409">
          <cell r="I8409" t="str">
            <v>Celestine</v>
          </cell>
        </row>
        <row r="8410">
          <cell r="I8410" t="str">
            <v>Catalan</v>
          </cell>
        </row>
        <row r="8411">
          <cell r="I8411" t="str">
            <v>Canning</v>
          </cell>
        </row>
        <row r="8412">
          <cell r="I8412" t="str">
            <v>Calton</v>
          </cell>
        </row>
        <row r="8413">
          <cell r="I8413" t="str">
            <v>Buster</v>
          </cell>
        </row>
        <row r="8414">
          <cell r="I8414" t="str">
            <v>Brammer</v>
          </cell>
        </row>
        <row r="8415">
          <cell r="I8415" t="str">
            <v>Botelho</v>
          </cell>
        </row>
        <row r="8416">
          <cell r="I8416" t="str">
            <v>Blakney</v>
          </cell>
        </row>
        <row r="8417">
          <cell r="I8417" t="str">
            <v>Bartell</v>
          </cell>
        </row>
        <row r="8418">
          <cell r="I8418" t="str">
            <v>Averett</v>
          </cell>
        </row>
        <row r="8419">
          <cell r="I8419" t="str">
            <v>Askins</v>
          </cell>
        </row>
        <row r="8420">
          <cell r="I8420" t="str">
            <v>Aker</v>
          </cell>
        </row>
        <row r="8421">
          <cell r="I8421" t="str">
            <v>Zak</v>
          </cell>
        </row>
        <row r="8422">
          <cell r="I8422" t="str">
            <v>Worcester</v>
          </cell>
        </row>
        <row r="8423">
          <cell r="I8423" t="str">
            <v>Witmer</v>
          </cell>
        </row>
        <row r="8424">
          <cell r="I8424" t="str">
            <v>Wiser</v>
          </cell>
        </row>
        <row r="8425">
          <cell r="I8425" t="str">
            <v>Winkelman</v>
          </cell>
        </row>
        <row r="8426">
          <cell r="I8426" t="str">
            <v>Widmer</v>
          </cell>
        </row>
        <row r="8427">
          <cell r="I8427" t="str">
            <v>Whittier</v>
          </cell>
        </row>
        <row r="8428">
          <cell r="I8428" t="str">
            <v>Western</v>
          </cell>
        </row>
        <row r="8429">
          <cell r="I8429" t="str">
            <v>Weitzel</v>
          </cell>
        </row>
        <row r="8430">
          <cell r="I8430" t="str">
            <v>Wardell</v>
          </cell>
        </row>
        <row r="8431">
          <cell r="I8431" t="str">
            <v>Wagers</v>
          </cell>
        </row>
        <row r="8432">
          <cell r="I8432" t="str">
            <v>Ullman</v>
          </cell>
        </row>
        <row r="8433">
          <cell r="I8433" t="str">
            <v>Tupper</v>
          </cell>
        </row>
        <row r="8434">
          <cell r="I8434" t="str">
            <v>Tingley</v>
          </cell>
        </row>
        <row r="8435">
          <cell r="I8435" t="str">
            <v>Tilghman</v>
          </cell>
        </row>
        <row r="8436">
          <cell r="I8436" t="str">
            <v>Talton</v>
          </cell>
        </row>
        <row r="8437">
          <cell r="I8437" t="str">
            <v>Simard</v>
          </cell>
        </row>
        <row r="8438">
          <cell r="I8438" t="str">
            <v>Seda</v>
          </cell>
        </row>
        <row r="8439">
          <cell r="I8439" t="str">
            <v>Scheller</v>
          </cell>
        </row>
        <row r="8440">
          <cell r="I8440" t="str">
            <v>Sala</v>
          </cell>
        </row>
        <row r="8441">
          <cell r="I8441" t="str">
            <v>Rundell</v>
          </cell>
        </row>
        <row r="8442">
          <cell r="I8442" t="str">
            <v>Rost</v>
          </cell>
        </row>
        <row r="8443">
          <cell r="I8443" t="str">
            <v>Roa</v>
          </cell>
        </row>
        <row r="8444">
          <cell r="I8444" t="str">
            <v>Ribeiro</v>
          </cell>
        </row>
        <row r="8445">
          <cell r="I8445" t="str">
            <v>Rabideau</v>
          </cell>
        </row>
        <row r="8446">
          <cell r="I8446" t="str">
            <v>Primm</v>
          </cell>
        </row>
        <row r="8447">
          <cell r="I8447" t="str">
            <v>Porch</v>
          </cell>
        </row>
        <row r="8448">
          <cell r="I8448" t="str">
            <v>Polite</v>
          </cell>
        </row>
        <row r="8449">
          <cell r="I8449" t="str">
            <v>Pinon</v>
          </cell>
        </row>
        <row r="8450">
          <cell r="I8450" t="str">
            <v>Peart</v>
          </cell>
        </row>
        <row r="8451">
          <cell r="I8451" t="str">
            <v>Ostrom</v>
          </cell>
        </row>
        <row r="8452">
          <cell r="I8452" t="str">
            <v>Ober</v>
          </cell>
        </row>
        <row r="8453">
          <cell r="I8453" t="str">
            <v>Nystrom</v>
          </cell>
        </row>
        <row r="8454">
          <cell r="I8454" t="str">
            <v>Nussbaum</v>
          </cell>
        </row>
        <row r="8455">
          <cell r="I8455" t="str">
            <v>Nurse</v>
          </cell>
        </row>
        <row r="8456">
          <cell r="I8456" t="str">
            <v>Naughton</v>
          </cell>
        </row>
        <row r="8457">
          <cell r="I8457" t="str">
            <v>Murr</v>
          </cell>
        </row>
        <row r="8458">
          <cell r="I8458" t="str">
            <v>Moorhead</v>
          </cell>
        </row>
        <row r="8459">
          <cell r="I8459" t="str">
            <v>Monti</v>
          </cell>
        </row>
        <row r="8460">
          <cell r="I8460" t="str">
            <v>Monteiro</v>
          </cell>
        </row>
        <row r="8461">
          <cell r="I8461" t="str">
            <v>Melson</v>
          </cell>
        </row>
        <row r="8462">
          <cell r="I8462" t="str">
            <v>Meissner</v>
          </cell>
        </row>
        <row r="8463">
          <cell r="I8463" t="str">
            <v>Mclin</v>
          </cell>
        </row>
        <row r="8464">
          <cell r="I8464" t="str">
            <v>Mcgruder</v>
          </cell>
        </row>
        <row r="8465">
          <cell r="I8465" t="str">
            <v>Marotta</v>
          </cell>
        </row>
        <row r="8466">
          <cell r="I8466" t="str">
            <v>Makowski</v>
          </cell>
        </row>
        <row r="8467">
          <cell r="I8467" t="str">
            <v>Majewski</v>
          </cell>
        </row>
        <row r="8468">
          <cell r="I8468" t="str">
            <v>Madewell</v>
          </cell>
        </row>
        <row r="8469">
          <cell r="I8469" t="str">
            <v>Lunt</v>
          </cell>
        </row>
        <row r="8470">
          <cell r="I8470" t="str">
            <v>Lukens</v>
          </cell>
        </row>
        <row r="8471">
          <cell r="I8471" t="str">
            <v>Leininger</v>
          </cell>
        </row>
        <row r="8472">
          <cell r="I8472" t="str">
            <v>Lebel</v>
          </cell>
        </row>
        <row r="8473">
          <cell r="I8473" t="str">
            <v>Lakin</v>
          </cell>
        </row>
        <row r="8474">
          <cell r="I8474" t="str">
            <v>Laguna</v>
          </cell>
        </row>
        <row r="8475">
          <cell r="I8475" t="str">
            <v>Kepler</v>
          </cell>
        </row>
        <row r="8476">
          <cell r="I8476" t="str">
            <v>Jaques</v>
          </cell>
        </row>
        <row r="8477">
          <cell r="I8477" t="str">
            <v>Hunnicutt</v>
          </cell>
        </row>
        <row r="8478">
          <cell r="I8478" t="str">
            <v>Hungerford</v>
          </cell>
        </row>
        <row r="8479">
          <cell r="I8479" t="str">
            <v>Hoopes</v>
          </cell>
        </row>
        <row r="8480">
          <cell r="I8480" t="str">
            <v>Hertz</v>
          </cell>
        </row>
        <row r="8481">
          <cell r="I8481" t="str">
            <v>Heins</v>
          </cell>
        </row>
        <row r="8482">
          <cell r="I8482" t="str">
            <v>Hammers</v>
          </cell>
        </row>
        <row r="8483">
          <cell r="I8483" t="str">
            <v>Halliburton</v>
          </cell>
        </row>
        <row r="8484">
          <cell r="I8484" t="str">
            <v>Grosso</v>
          </cell>
        </row>
        <row r="8485">
          <cell r="I8485" t="str">
            <v>Gravitt</v>
          </cell>
        </row>
        <row r="8486">
          <cell r="I8486" t="str">
            <v>Glasper</v>
          </cell>
        </row>
        <row r="8487">
          <cell r="I8487" t="str">
            <v>Gideon</v>
          </cell>
        </row>
        <row r="8488">
          <cell r="I8488" t="str">
            <v>Gallman</v>
          </cell>
        </row>
        <row r="8489">
          <cell r="I8489" t="str">
            <v>Gallaway</v>
          </cell>
        </row>
        <row r="8490">
          <cell r="I8490" t="str">
            <v>Funke</v>
          </cell>
        </row>
        <row r="8491">
          <cell r="I8491" t="str">
            <v>Fulbright</v>
          </cell>
        </row>
        <row r="8492">
          <cell r="I8492" t="str">
            <v>Falgout</v>
          </cell>
        </row>
        <row r="8493">
          <cell r="I8493" t="str">
            <v>Eakin</v>
          </cell>
        </row>
        <row r="8494">
          <cell r="I8494" t="str">
            <v>Dostie</v>
          </cell>
        </row>
        <row r="8495">
          <cell r="I8495" t="str">
            <v>Dorado</v>
          </cell>
        </row>
        <row r="8496">
          <cell r="I8496" t="str">
            <v>Dewberry</v>
          </cell>
        </row>
        <row r="8497">
          <cell r="I8497" t="str">
            <v>Derose</v>
          </cell>
        </row>
        <row r="8498">
          <cell r="I8498" t="str">
            <v>Cutshall</v>
          </cell>
        </row>
        <row r="8499">
          <cell r="I8499" t="str">
            <v>Crampton</v>
          </cell>
        </row>
        <row r="8500">
          <cell r="I8500" t="str">
            <v>Costanzo</v>
          </cell>
        </row>
        <row r="8501">
          <cell r="I8501" t="str">
            <v>Colletti</v>
          </cell>
        </row>
        <row r="8502">
          <cell r="I8502" t="str">
            <v>Cloninger</v>
          </cell>
        </row>
        <row r="8503">
          <cell r="I8503" t="str">
            <v>Claytor</v>
          </cell>
        </row>
        <row r="8504">
          <cell r="I8504" t="str">
            <v>Chiang</v>
          </cell>
        </row>
        <row r="8505">
          <cell r="I8505" t="str">
            <v>Canterbury</v>
          </cell>
        </row>
        <row r="8506">
          <cell r="I8506" t="str">
            <v>Campagna</v>
          </cell>
        </row>
        <row r="8507">
          <cell r="I8507" t="str">
            <v>Burd</v>
          </cell>
        </row>
        <row r="8508">
          <cell r="I8508" t="str">
            <v>Brokaw</v>
          </cell>
        </row>
        <row r="8509">
          <cell r="I8509" t="str">
            <v>Broaddus</v>
          </cell>
        </row>
        <row r="8510">
          <cell r="I8510" t="str">
            <v>Bretz</v>
          </cell>
        </row>
        <row r="8511">
          <cell r="I8511" t="str">
            <v>Brainard</v>
          </cell>
        </row>
        <row r="8512">
          <cell r="I8512" t="str">
            <v>Binford</v>
          </cell>
        </row>
        <row r="8513">
          <cell r="I8513" t="str">
            <v>Bilbrey</v>
          </cell>
        </row>
        <row r="8514">
          <cell r="I8514" t="str">
            <v>Alpert</v>
          </cell>
        </row>
        <row r="8515">
          <cell r="I8515" t="str">
            <v>Aitken</v>
          </cell>
        </row>
        <row r="8516">
          <cell r="I8516" t="str">
            <v>Ahlers</v>
          </cell>
        </row>
        <row r="8517">
          <cell r="I8517" t="str">
            <v>Zajac</v>
          </cell>
        </row>
        <row r="8518">
          <cell r="I8518" t="str">
            <v>Yale</v>
          </cell>
        </row>
        <row r="8519">
          <cell r="I8519" t="str">
            <v>Woolfolk</v>
          </cell>
        </row>
        <row r="8520">
          <cell r="I8520" t="str">
            <v>Witten</v>
          </cell>
        </row>
        <row r="8521">
          <cell r="I8521" t="str">
            <v>Windle</v>
          </cell>
        </row>
        <row r="8522">
          <cell r="I8522" t="str">
            <v>Wayland</v>
          </cell>
        </row>
        <row r="8523">
          <cell r="I8523" t="str">
            <v>Tramel</v>
          </cell>
        </row>
        <row r="8524">
          <cell r="I8524" t="str">
            <v>Tittle</v>
          </cell>
        </row>
        <row r="8525">
          <cell r="I8525" t="str">
            <v>Talavera</v>
          </cell>
        </row>
        <row r="8526">
          <cell r="I8526" t="str">
            <v>Suter</v>
          </cell>
        </row>
        <row r="8527">
          <cell r="I8527" t="str">
            <v>Straley</v>
          </cell>
        </row>
        <row r="8528">
          <cell r="I8528" t="str">
            <v>Stetson</v>
          </cell>
        </row>
        <row r="8529">
          <cell r="I8529" t="str">
            <v>Specht</v>
          </cell>
        </row>
        <row r="8530">
          <cell r="I8530" t="str">
            <v>Sommerville</v>
          </cell>
        </row>
        <row r="8531">
          <cell r="I8531" t="str">
            <v>Soloman</v>
          </cell>
        </row>
        <row r="8532">
          <cell r="I8532" t="str">
            <v>So</v>
          </cell>
        </row>
        <row r="8533">
          <cell r="I8533" t="str">
            <v>Skeens</v>
          </cell>
        </row>
        <row r="8534">
          <cell r="I8534" t="str">
            <v>Sigman</v>
          </cell>
        </row>
        <row r="8535">
          <cell r="I8535" t="str">
            <v>Sibert</v>
          </cell>
        </row>
        <row r="8536">
          <cell r="I8536" t="str">
            <v>Shavers</v>
          </cell>
        </row>
        <row r="8537">
          <cell r="I8537" t="str">
            <v>Schuck</v>
          </cell>
        </row>
        <row r="8538">
          <cell r="I8538" t="str">
            <v>Schmit</v>
          </cell>
        </row>
        <row r="8539">
          <cell r="I8539" t="str">
            <v>Sartain</v>
          </cell>
        </row>
        <row r="8540">
          <cell r="I8540" t="str">
            <v>Sabol</v>
          </cell>
        </row>
        <row r="8541">
          <cell r="I8541" t="str">
            <v>Rosenblatt</v>
          </cell>
        </row>
        <row r="8542">
          <cell r="I8542" t="str">
            <v>Rollo</v>
          </cell>
        </row>
        <row r="8543">
          <cell r="I8543" t="str">
            <v>Rashid</v>
          </cell>
        </row>
        <row r="8544">
          <cell r="I8544" t="str">
            <v>Rabb</v>
          </cell>
        </row>
        <row r="8545">
          <cell r="I8545" t="str">
            <v>Province</v>
          </cell>
        </row>
        <row r="8546">
          <cell r="I8546" t="str">
            <v>Polston</v>
          </cell>
        </row>
        <row r="8547">
          <cell r="I8547" t="str">
            <v>Nyberg</v>
          </cell>
        </row>
        <row r="8548">
          <cell r="I8548" t="str">
            <v>Northrop</v>
          </cell>
        </row>
        <row r="8549">
          <cell r="I8549" t="str">
            <v>Navarra</v>
          </cell>
        </row>
        <row r="8550">
          <cell r="I8550" t="str">
            <v>Muldoon</v>
          </cell>
        </row>
        <row r="8551">
          <cell r="I8551" t="str">
            <v>Mulder</v>
          </cell>
        </row>
        <row r="8552">
          <cell r="I8552" t="str">
            <v>Mikesell</v>
          </cell>
        </row>
        <row r="8553">
          <cell r="I8553" t="str">
            <v>Mcdougald</v>
          </cell>
        </row>
        <row r="8554">
          <cell r="I8554" t="str">
            <v>Mcburney</v>
          </cell>
        </row>
        <row r="8555">
          <cell r="I8555" t="str">
            <v>Mauricio</v>
          </cell>
        </row>
        <row r="8556">
          <cell r="I8556" t="str">
            <v>Mariscal</v>
          </cell>
        </row>
        <row r="8557">
          <cell r="I8557" t="str">
            <v>Lui</v>
          </cell>
        </row>
        <row r="8558">
          <cell r="I8558" t="str">
            <v>Lozier</v>
          </cell>
        </row>
        <row r="8559">
          <cell r="I8559" t="str">
            <v>Lingerfelt</v>
          </cell>
        </row>
        <row r="8560">
          <cell r="I8560" t="str">
            <v>Legere</v>
          </cell>
        </row>
        <row r="8561">
          <cell r="I8561" t="str">
            <v>Latour</v>
          </cell>
        </row>
        <row r="8562">
          <cell r="I8562" t="str">
            <v>Lagunas</v>
          </cell>
        </row>
        <row r="8563">
          <cell r="I8563" t="str">
            <v>Lacour</v>
          </cell>
        </row>
        <row r="8564">
          <cell r="I8564" t="str">
            <v>Kurth</v>
          </cell>
        </row>
        <row r="8565">
          <cell r="I8565" t="str">
            <v>Ku</v>
          </cell>
        </row>
        <row r="8566">
          <cell r="I8566" t="str">
            <v>Killen</v>
          </cell>
        </row>
        <row r="8567">
          <cell r="I8567" t="str">
            <v>Kiely</v>
          </cell>
        </row>
        <row r="8568">
          <cell r="I8568" t="str">
            <v>Kayser</v>
          </cell>
        </row>
        <row r="8569">
          <cell r="I8569" t="str">
            <v>Kahle</v>
          </cell>
        </row>
        <row r="8570">
          <cell r="I8570" t="str">
            <v>Julius</v>
          </cell>
        </row>
        <row r="8571">
          <cell r="I8571" t="str">
            <v>Isley</v>
          </cell>
        </row>
        <row r="8572">
          <cell r="I8572" t="str">
            <v>Huertas</v>
          </cell>
        </row>
        <row r="8573">
          <cell r="I8573" t="str">
            <v>Hower</v>
          </cell>
        </row>
        <row r="8574">
          <cell r="I8574" t="str">
            <v>Hinz</v>
          </cell>
        </row>
        <row r="8575">
          <cell r="I8575" t="str">
            <v>Haugh</v>
          </cell>
        </row>
        <row r="8576">
          <cell r="I8576" t="str">
            <v>Gumm</v>
          </cell>
        </row>
        <row r="8577">
          <cell r="I8577" t="str">
            <v>Given</v>
          </cell>
        </row>
        <row r="8578">
          <cell r="I8578" t="str">
            <v>Galicia</v>
          </cell>
        </row>
        <row r="8579">
          <cell r="I8579" t="str">
            <v>Fortunato</v>
          </cell>
        </row>
        <row r="8580">
          <cell r="I8580" t="str">
            <v>Flake</v>
          </cell>
        </row>
        <row r="8581">
          <cell r="I8581" t="str">
            <v>Dunleavy</v>
          </cell>
        </row>
        <row r="8582">
          <cell r="I8582" t="str">
            <v>Duggins</v>
          </cell>
        </row>
        <row r="8583">
          <cell r="I8583" t="str">
            <v>Doby</v>
          </cell>
        </row>
        <row r="8584">
          <cell r="I8584" t="str">
            <v>Digiovanni</v>
          </cell>
        </row>
        <row r="8585">
          <cell r="I8585" t="str">
            <v>Devaney</v>
          </cell>
        </row>
        <row r="8586">
          <cell r="I8586" t="str">
            <v>Deltoro</v>
          </cell>
        </row>
        <row r="8587">
          <cell r="I8587" t="str">
            <v>Cribb</v>
          </cell>
        </row>
        <row r="8588">
          <cell r="I8588" t="str">
            <v>Crank</v>
          </cell>
        </row>
        <row r="8589">
          <cell r="I8589" t="str">
            <v>Corpuz</v>
          </cell>
        </row>
        <row r="8590">
          <cell r="I8590" t="str">
            <v>Coronel</v>
          </cell>
        </row>
        <row r="8591">
          <cell r="I8591" t="str">
            <v>Comfort</v>
          </cell>
        </row>
        <row r="8592">
          <cell r="I8592" t="str">
            <v>Coen</v>
          </cell>
        </row>
        <row r="8593">
          <cell r="I8593" t="str">
            <v>Charbonneau</v>
          </cell>
        </row>
        <row r="8594">
          <cell r="I8594" t="str">
            <v>Caine</v>
          </cell>
        </row>
        <row r="8595">
          <cell r="I8595" t="str">
            <v>Burchette</v>
          </cell>
        </row>
        <row r="8596">
          <cell r="I8596" t="str">
            <v>Blakey</v>
          </cell>
        </row>
        <row r="8597">
          <cell r="I8597" t="str">
            <v>Blakemore</v>
          </cell>
        </row>
        <row r="8598">
          <cell r="I8598" t="str">
            <v>Bergquist</v>
          </cell>
        </row>
        <row r="8599">
          <cell r="I8599" t="str">
            <v>Beene</v>
          </cell>
        </row>
        <row r="8600">
          <cell r="I8600" t="str">
            <v>Beaudette</v>
          </cell>
        </row>
        <row r="8601">
          <cell r="I8601" t="str">
            <v>Bayles</v>
          </cell>
        </row>
        <row r="8602">
          <cell r="I8602" t="str">
            <v>Ballance</v>
          </cell>
        </row>
        <row r="8603">
          <cell r="I8603" t="str">
            <v>Bakker</v>
          </cell>
        </row>
        <row r="8604">
          <cell r="I8604" t="str">
            <v>Bailes</v>
          </cell>
        </row>
        <row r="8605">
          <cell r="I8605" t="str">
            <v>Asberry</v>
          </cell>
        </row>
        <row r="8606">
          <cell r="I8606" t="str">
            <v>Arwood</v>
          </cell>
        </row>
        <row r="8607">
          <cell r="I8607" t="str">
            <v>Zucker</v>
          </cell>
        </row>
        <row r="8608">
          <cell r="I8608" t="str">
            <v>Willman</v>
          </cell>
        </row>
        <row r="8609">
          <cell r="I8609" t="str">
            <v>Whitesell</v>
          </cell>
        </row>
        <row r="8610">
          <cell r="I8610" t="str">
            <v>Wald</v>
          </cell>
        </row>
        <row r="8611">
          <cell r="I8611" t="str">
            <v>Walcott</v>
          </cell>
        </row>
        <row r="8612">
          <cell r="I8612" t="str">
            <v>Vancleave</v>
          </cell>
        </row>
        <row r="8613">
          <cell r="I8613" t="str">
            <v>Trump</v>
          </cell>
        </row>
        <row r="8614">
          <cell r="I8614" t="str">
            <v>Trail</v>
          </cell>
        </row>
        <row r="8615">
          <cell r="I8615" t="str">
            <v>Strasser</v>
          </cell>
        </row>
        <row r="8616">
          <cell r="I8616" t="str">
            <v>Simas</v>
          </cell>
        </row>
        <row r="8617">
          <cell r="I8617" t="str">
            <v>Shorts</v>
          </cell>
        </row>
        <row r="8618">
          <cell r="I8618" t="str">
            <v>Shick</v>
          </cell>
        </row>
        <row r="8619">
          <cell r="I8619" t="str">
            <v>Schleicher</v>
          </cell>
        </row>
        <row r="8620">
          <cell r="I8620" t="str">
            <v>Schaal</v>
          </cell>
        </row>
        <row r="8621">
          <cell r="I8621" t="str">
            <v>Saleh</v>
          </cell>
        </row>
        <row r="8622">
          <cell r="I8622" t="str">
            <v>Rotz</v>
          </cell>
        </row>
        <row r="8623">
          <cell r="I8623" t="str">
            <v>Resnick</v>
          </cell>
        </row>
        <row r="8624">
          <cell r="I8624" t="str">
            <v>Raphael</v>
          </cell>
        </row>
        <row r="8625">
          <cell r="I8625" t="str">
            <v>Rainer</v>
          </cell>
        </row>
        <row r="8626">
          <cell r="I8626" t="str">
            <v>Partee</v>
          </cell>
        </row>
        <row r="8627">
          <cell r="I8627" t="str">
            <v>Ollis</v>
          </cell>
        </row>
        <row r="8628">
          <cell r="I8628" t="str">
            <v>Oller</v>
          </cell>
        </row>
        <row r="8629">
          <cell r="I8629" t="str">
            <v>Oday</v>
          </cell>
        </row>
        <row r="8630">
          <cell r="I8630" t="str">
            <v>Noles</v>
          </cell>
        </row>
        <row r="8631">
          <cell r="I8631" t="str">
            <v>Munday</v>
          </cell>
        </row>
        <row r="8632">
          <cell r="I8632" t="str">
            <v>Mountain</v>
          </cell>
        </row>
        <row r="8633">
          <cell r="I8633" t="str">
            <v>Mong</v>
          </cell>
        </row>
        <row r="8634">
          <cell r="I8634" t="str">
            <v>Millican</v>
          </cell>
        </row>
        <row r="8635">
          <cell r="I8635" t="str">
            <v>Merwin</v>
          </cell>
        </row>
        <row r="8636">
          <cell r="I8636" t="str">
            <v>Mazzola</v>
          </cell>
        </row>
        <row r="8637">
          <cell r="I8637" t="str">
            <v>Mansell</v>
          </cell>
        </row>
        <row r="8638">
          <cell r="I8638" t="str">
            <v>Magallanes</v>
          </cell>
        </row>
        <row r="8639">
          <cell r="I8639" t="str">
            <v>Llanes</v>
          </cell>
        </row>
        <row r="8640">
          <cell r="I8640" t="str">
            <v>Lewellen</v>
          </cell>
        </row>
        <row r="8641">
          <cell r="I8641" t="str">
            <v>Lepore</v>
          </cell>
        </row>
        <row r="8642">
          <cell r="I8642" t="str">
            <v>Kisner</v>
          </cell>
        </row>
        <row r="8643">
          <cell r="I8643" t="str">
            <v>Keesee</v>
          </cell>
        </row>
        <row r="8644">
          <cell r="I8644" t="str">
            <v>Jim</v>
          </cell>
        </row>
        <row r="8645">
          <cell r="I8645" t="str">
            <v>Jeanlouis</v>
          </cell>
        </row>
        <row r="8646">
          <cell r="I8646" t="str">
            <v>Ingham</v>
          </cell>
        </row>
        <row r="8647">
          <cell r="I8647" t="str">
            <v>Hornbeck</v>
          </cell>
        </row>
        <row r="8648">
          <cell r="I8648" t="str">
            <v>Hermes</v>
          </cell>
        </row>
        <row r="8649">
          <cell r="I8649" t="str">
            <v>Hawn</v>
          </cell>
        </row>
        <row r="8650">
          <cell r="I8650" t="str">
            <v>Hartz</v>
          </cell>
        </row>
        <row r="8651">
          <cell r="I8651" t="str">
            <v>Harber</v>
          </cell>
        </row>
        <row r="8652">
          <cell r="I8652" t="str">
            <v>Haffner</v>
          </cell>
        </row>
        <row r="8653">
          <cell r="I8653" t="str">
            <v>Gutshall</v>
          </cell>
        </row>
        <row r="8654">
          <cell r="I8654" t="str">
            <v>Guth</v>
          </cell>
        </row>
        <row r="8655">
          <cell r="I8655" t="str">
            <v>Grays</v>
          </cell>
        </row>
        <row r="8656">
          <cell r="I8656" t="str">
            <v>Grams</v>
          </cell>
        </row>
        <row r="8657">
          <cell r="I8657" t="str">
            <v>Gowan</v>
          </cell>
        </row>
        <row r="8658">
          <cell r="I8658" t="str">
            <v>Finlay</v>
          </cell>
        </row>
        <row r="8659">
          <cell r="I8659" t="str">
            <v>Finkelstein</v>
          </cell>
        </row>
        <row r="8660">
          <cell r="I8660" t="str">
            <v>Eyler</v>
          </cell>
        </row>
        <row r="8661">
          <cell r="I8661" t="str">
            <v>Enloe</v>
          </cell>
        </row>
        <row r="8662">
          <cell r="I8662" t="str">
            <v>Dungan</v>
          </cell>
        </row>
        <row r="8663">
          <cell r="I8663" t="str">
            <v>Diez</v>
          </cell>
        </row>
        <row r="8664">
          <cell r="I8664" t="str">
            <v>Dearman</v>
          </cell>
        </row>
        <row r="8665">
          <cell r="I8665" t="str">
            <v>Dann</v>
          </cell>
        </row>
        <row r="8666">
          <cell r="I8666" t="str">
            <v>Cull</v>
          </cell>
        </row>
        <row r="8667">
          <cell r="I8667" t="str">
            <v>Crosson</v>
          </cell>
        </row>
        <row r="8668">
          <cell r="I8668" t="str">
            <v>Creek</v>
          </cell>
        </row>
        <row r="8669">
          <cell r="I8669" t="str">
            <v>Chronister</v>
          </cell>
        </row>
        <row r="8670">
          <cell r="I8670" t="str">
            <v>Cassity</v>
          </cell>
        </row>
        <row r="8671">
          <cell r="I8671" t="str">
            <v>Campion</v>
          </cell>
        </row>
        <row r="8672">
          <cell r="I8672" t="str">
            <v>Callihan</v>
          </cell>
        </row>
        <row r="8673">
          <cell r="I8673" t="str">
            <v>Butz</v>
          </cell>
        </row>
        <row r="8674">
          <cell r="I8674" t="str">
            <v>Breazeale</v>
          </cell>
        </row>
        <row r="8675">
          <cell r="I8675" t="str">
            <v>Blumenthal</v>
          </cell>
        </row>
        <row r="8676">
          <cell r="I8676" t="str">
            <v>Billy</v>
          </cell>
        </row>
        <row r="8677">
          <cell r="I8677" t="str">
            <v>Berkey</v>
          </cell>
        </row>
        <row r="8678">
          <cell r="I8678" t="str">
            <v>Batty</v>
          </cell>
        </row>
        <row r="8679">
          <cell r="I8679" t="str">
            <v>Batton</v>
          </cell>
        </row>
        <row r="8680">
          <cell r="I8680" t="str">
            <v>Barge</v>
          </cell>
        </row>
        <row r="8681">
          <cell r="I8681" t="str">
            <v>Arvizu</v>
          </cell>
        </row>
        <row r="8682">
          <cell r="I8682" t="str">
            <v>Alexis</v>
          </cell>
        </row>
        <row r="8683">
          <cell r="I8683" t="str">
            <v>Alderete</v>
          </cell>
        </row>
        <row r="8684">
          <cell r="I8684" t="str">
            <v>Aldana</v>
          </cell>
        </row>
        <row r="8685">
          <cell r="I8685" t="str">
            <v>Albaugh</v>
          </cell>
        </row>
        <row r="8686">
          <cell r="I8686" t="str">
            <v>Abernethy</v>
          </cell>
        </row>
        <row r="8687">
          <cell r="I8687" t="str">
            <v>Work</v>
          </cell>
        </row>
        <row r="8688">
          <cell r="I8688" t="str">
            <v>Wolter</v>
          </cell>
        </row>
        <row r="8689">
          <cell r="I8689" t="str">
            <v>Wille</v>
          </cell>
        </row>
        <row r="8690">
          <cell r="I8690" t="str">
            <v>Tweed</v>
          </cell>
        </row>
        <row r="8691">
          <cell r="I8691" t="str">
            <v>Tollefson</v>
          </cell>
        </row>
        <row r="8692">
          <cell r="I8692" t="str">
            <v>Thomasson</v>
          </cell>
        </row>
        <row r="8693">
          <cell r="I8693" t="str">
            <v>Teter</v>
          </cell>
        </row>
        <row r="8694">
          <cell r="I8694" t="str">
            <v>Testerman</v>
          </cell>
        </row>
        <row r="8695">
          <cell r="I8695" t="str">
            <v>Sproul</v>
          </cell>
        </row>
        <row r="8696">
          <cell r="I8696" t="str">
            <v>Spates</v>
          </cell>
        </row>
        <row r="8697">
          <cell r="I8697" t="str">
            <v>Southwick</v>
          </cell>
        </row>
        <row r="8698">
          <cell r="I8698" t="str">
            <v>Soukup</v>
          </cell>
        </row>
        <row r="8699">
          <cell r="I8699" t="str">
            <v>Skelly</v>
          </cell>
        </row>
        <row r="8700">
          <cell r="I8700" t="str">
            <v>Senter</v>
          </cell>
        </row>
        <row r="8701">
          <cell r="I8701" t="str">
            <v>Sealey</v>
          </cell>
        </row>
        <row r="8702">
          <cell r="I8702" t="str">
            <v>Sawicki</v>
          </cell>
        </row>
        <row r="8703">
          <cell r="I8703" t="str">
            <v>Sargeant</v>
          </cell>
        </row>
        <row r="8704">
          <cell r="I8704" t="str">
            <v>Rossiter</v>
          </cell>
        </row>
        <row r="8705">
          <cell r="I8705" t="str">
            <v>Rosemond</v>
          </cell>
        </row>
        <row r="8706">
          <cell r="I8706" t="str">
            <v>Repp</v>
          </cell>
        </row>
        <row r="8707">
          <cell r="I8707" t="str">
            <v>Pound</v>
          </cell>
        </row>
        <row r="8708">
          <cell r="I8708" t="str">
            <v>Pink</v>
          </cell>
        </row>
        <row r="8709">
          <cell r="I8709" t="str">
            <v>Pifer</v>
          </cell>
        </row>
        <row r="8710">
          <cell r="I8710" t="str">
            <v>Ormsby</v>
          </cell>
        </row>
        <row r="8711">
          <cell r="I8711" t="str">
            <v>Nickelson</v>
          </cell>
        </row>
        <row r="8712">
          <cell r="I8712" t="str">
            <v>Naumann</v>
          </cell>
        </row>
        <row r="8713">
          <cell r="I8713" t="str">
            <v>Morabito</v>
          </cell>
        </row>
        <row r="8714">
          <cell r="I8714" t="str">
            <v>Monzon</v>
          </cell>
        </row>
        <row r="8715">
          <cell r="I8715" t="str">
            <v>Millsaps</v>
          </cell>
        </row>
        <row r="8716">
          <cell r="I8716" t="str">
            <v>Millen</v>
          </cell>
        </row>
        <row r="8717">
          <cell r="I8717" t="str">
            <v>Mcelrath</v>
          </cell>
        </row>
        <row r="8718">
          <cell r="I8718" t="str">
            <v>Marcoux</v>
          </cell>
        </row>
        <row r="8719">
          <cell r="I8719" t="str">
            <v>Mantooth</v>
          </cell>
        </row>
        <row r="8720">
          <cell r="I8720" t="str">
            <v>Madson</v>
          </cell>
        </row>
        <row r="8721">
          <cell r="I8721" t="str">
            <v>Macneil</v>
          </cell>
        </row>
        <row r="8722">
          <cell r="I8722" t="str">
            <v>Mackinnon</v>
          </cell>
        </row>
        <row r="8723">
          <cell r="I8723" t="str">
            <v>Louque</v>
          </cell>
        </row>
        <row r="8724">
          <cell r="I8724" t="str">
            <v>Leister</v>
          </cell>
        </row>
        <row r="8725">
          <cell r="I8725" t="str">
            <v>Lampley</v>
          </cell>
        </row>
        <row r="8726">
          <cell r="I8726" t="str">
            <v>Kushner</v>
          </cell>
        </row>
        <row r="8727">
          <cell r="I8727" t="str">
            <v>Krouse</v>
          </cell>
        </row>
        <row r="8728">
          <cell r="I8728" t="str">
            <v>Kirwan</v>
          </cell>
        </row>
        <row r="8729">
          <cell r="I8729" t="str">
            <v>June</v>
          </cell>
        </row>
        <row r="8730">
          <cell r="I8730" t="str">
            <v>Jessee</v>
          </cell>
        </row>
        <row r="8731">
          <cell r="I8731" t="str">
            <v>Janson</v>
          </cell>
        </row>
        <row r="8732">
          <cell r="I8732" t="str">
            <v>Jahn</v>
          </cell>
        </row>
        <row r="8733">
          <cell r="I8733" t="str">
            <v>Jacquez</v>
          </cell>
        </row>
        <row r="8734">
          <cell r="I8734" t="str">
            <v>Islas</v>
          </cell>
        </row>
        <row r="8735">
          <cell r="I8735" t="str">
            <v>Hutt</v>
          </cell>
        </row>
        <row r="8736">
          <cell r="I8736" t="str">
            <v>Holladay</v>
          </cell>
        </row>
        <row r="8737">
          <cell r="I8737" t="str">
            <v>Hillyer</v>
          </cell>
        </row>
        <row r="8738">
          <cell r="I8738" t="str">
            <v>Hepburn</v>
          </cell>
        </row>
        <row r="8739">
          <cell r="I8739" t="str">
            <v>Hensel</v>
          </cell>
        </row>
        <row r="8740">
          <cell r="I8740" t="str">
            <v>Harrold</v>
          </cell>
        </row>
        <row r="8741">
          <cell r="I8741" t="str">
            <v>Guadalupe</v>
          </cell>
        </row>
        <row r="8742">
          <cell r="I8742" t="str">
            <v>Gingrich</v>
          </cell>
        </row>
        <row r="8743">
          <cell r="I8743" t="str">
            <v>Geis</v>
          </cell>
        </row>
        <row r="8744">
          <cell r="I8744" t="str">
            <v>Gales</v>
          </cell>
        </row>
        <row r="8745">
          <cell r="I8745" t="str">
            <v>Fults</v>
          </cell>
        </row>
        <row r="8746">
          <cell r="I8746" t="str">
            <v>Finnell</v>
          </cell>
        </row>
        <row r="8747">
          <cell r="I8747" t="str">
            <v>Ferri</v>
          </cell>
        </row>
        <row r="8748">
          <cell r="I8748" t="str">
            <v>Featherston</v>
          </cell>
        </row>
        <row r="8749">
          <cell r="I8749" t="str">
            <v>Epley</v>
          </cell>
        </row>
        <row r="8750">
          <cell r="I8750" t="str">
            <v>Ebersole</v>
          </cell>
        </row>
        <row r="8751">
          <cell r="I8751" t="str">
            <v>Eames</v>
          </cell>
        </row>
        <row r="8752">
          <cell r="I8752" t="str">
            <v>Dunigan</v>
          </cell>
        </row>
        <row r="8753">
          <cell r="I8753" t="str">
            <v>Drye</v>
          </cell>
        </row>
        <row r="8754">
          <cell r="I8754" t="str">
            <v>Dismuke</v>
          </cell>
        </row>
        <row r="8755">
          <cell r="I8755" t="str">
            <v>Devaughn</v>
          </cell>
        </row>
        <row r="8756">
          <cell r="I8756" t="str">
            <v>Delorenzo</v>
          </cell>
        </row>
        <row r="8757">
          <cell r="I8757" t="str">
            <v>Damiano</v>
          </cell>
        </row>
        <row r="8758">
          <cell r="I8758" t="str">
            <v>Confer</v>
          </cell>
        </row>
        <row r="8759">
          <cell r="I8759" t="str">
            <v>Collum</v>
          </cell>
        </row>
        <row r="8760">
          <cell r="I8760" t="str">
            <v>Clower</v>
          </cell>
        </row>
        <row r="8761">
          <cell r="I8761" t="str">
            <v>Clow</v>
          </cell>
        </row>
        <row r="8762">
          <cell r="I8762" t="str">
            <v>Claussen</v>
          </cell>
        </row>
        <row r="8763">
          <cell r="I8763" t="str">
            <v>Clack</v>
          </cell>
        </row>
        <row r="8764">
          <cell r="I8764" t="str">
            <v>Caylor</v>
          </cell>
        </row>
        <row r="8765">
          <cell r="I8765" t="str">
            <v>Cawthon</v>
          </cell>
        </row>
        <row r="8766">
          <cell r="I8766" t="str">
            <v>Casias</v>
          </cell>
        </row>
        <row r="8767">
          <cell r="I8767" t="str">
            <v>Carreno</v>
          </cell>
        </row>
        <row r="8768">
          <cell r="I8768" t="str">
            <v>Carlo</v>
          </cell>
        </row>
        <row r="8769">
          <cell r="I8769" t="str">
            <v>Bluhm</v>
          </cell>
        </row>
        <row r="8770">
          <cell r="I8770" t="str">
            <v>Bingaman</v>
          </cell>
        </row>
        <row r="8771">
          <cell r="I8771" t="str">
            <v>Bewley</v>
          </cell>
        </row>
        <row r="8772">
          <cell r="I8772" t="str">
            <v>Belew</v>
          </cell>
        </row>
        <row r="8773">
          <cell r="I8773" t="str">
            <v>Beckner</v>
          </cell>
        </row>
        <row r="8774">
          <cell r="I8774" t="str">
            <v>Beamer</v>
          </cell>
        </row>
        <row r="8775">
          <cell r="I8775" t="str">
            <v>Barefoot</v>
          </cell>
        </row>
        <row r="8776">
          <cell r="I8776" t="str">
            <v>Auld</v>
          </cell>
        </row>
        <row r="8777">
          <cell r="I8777" t="str">
            <v>Amey</v>
          </cell>
        </row>
        <row r="8778">
          <cell r="I8778" t="str">
            <v>Wolfenbarger</v>
          </cell>
        </row>
        <row r="8779">
          <cell r="I8779" t="str">
            <v>Wilkey</v>
          </cell>
        </row>
        <row r="8780">
          <cell r="I8780" t="str">
            <v>Wicklund</v>
          </cell>
        </row>
        <row r="8781">
          <cell r="I8781" t="str">
            <v>Waltman</v>
          </cell>
        </row>
        <row r="8782">
          <cell r="I8782" t="str">
            <v>Villalba</v>
          </cell>
        </row>
        <row r="8783">
          <cell r="I8783" t="str">
            <v>Valero</v>
          </cell>
        </row>
        <row r="8784">
          <cell r="I8784" t="str">
            <v>Valdovinos</v>
          </cell>
        </row>
        <row r="8785">
          <cell r="I8785" t="str">
            <v>Ung</v>
          </cell>
        </row>
        <row r="8786">
          <cell r="I8786" t="str">
            <v>Ullrich</v>
          </cell>
        </row>
        <row r="8787">
          <cell r="I8787" t="str">
            <v>Tyus</v>
          </cell>
        </row>
        <row r="8788">
          <cell r="I8788" t="str">
            <v>Twyman</v>
          </cell>
        </row>
        <row r="8789">
          <cell r="I8789" t="str">
            <v>Trost</v>
          </cell>
        </row>
        <row r="8790">
          <cell r="I8790" t="str">
            <v>Tardif</v>
          </cell>
        </row>
        <row r="8791">
          <cell r="I8791" t="str">
            <v>Tanguay</v>
          </cell>
        </row>
        <row r="8792">
          <cell r="I8792" t="str">
            <v>Stripling</v>
          </cell>
        </row>
        <row r="8793">
          <cell r="I8793" t="str">
            <v>Steinbach</v>
          </cell>
        </row>
        <row r="8794">
          <cell r="I8794" t="str">
            <v>Shumpert</v>
          </cell>
        </row>
        <row r="8795">
          <cell r="I8795" t="str">
            <v>Sasaki</v>
          </cell>
        </row>
        <row r="8796">
          <cell r="I8796" t="str">
            <v>Sappington</v>
          </cell>
        </row>
        <row r="8797">
          <cell r="I8797" t="str">
            <v>Sandusky</v>
          </cell>
        </row>
        <row r="8798">
          <cell r="I8798" t="str">
            <v>Reinhold</v>
          </cell>
        </row>
        <row r="8799">
          <cell r="I8799" t="str">
            <v>Reinert</v>
          </cell>
        </row>
        <row r="8800">
          <cell r="I8800" t="str">
            <v>Quijano</v>
          </cell>
        </row>
        <row r="8801">
          <cell r="I8801" t="str">
            <v>Pye</v>
          </cell>
        </row>
        <row r="8802">
          <cell r="I8802" t="str">
            <v>Poor</v>
          </cell>
        </row>
        <row r="8803">
          <cell r="I8803" t="str">
            <v>Placencia</v>
          </cell>
        </row>
        <row r="8804">
          <cell r="I8804" t="str">
            <v>Pinkard</v>
          </cell>
        </row>
        <row r="8805">
          <cell r="I8805" t="str">
            <v>Phinney</v>
          </cell>
        </row>
        <row r="8806">
          <cell r="I8806" t="str">
            <v>Perrotta</v>
          </cell>
        </row>
        <row r="8807">
          <cell r="I8807" t="str">
            <v>Pernell</v>
          </cell>
        </row>
        <row r="8808">
          <cell r="I8808" t="str">
            <v>Parrett</v>
          </cell>
        </row>
        <row r="8809">
          <cell r="I8809" t="str">
            <v>Oxendine</v>
          </cell>
        </row>
        <row r="8810">
          <cell r="I8810" t="str">
            <v>Owensby</v>
          </cell>
        </row>
        <row r="8811">
          <cell r="I8811" t="str">
            <v>Orman</v>
          </cell>
        </row>
        <row r="8812">
          <cell r="I8812" t="str">
            <v>Nuno</v>
          </cell>
        </row>
        <row r="8813">
          <cell r="I8813" t="str">
            <v>Mori</v>
          </cell>
        </row>
        <row r="8814">
          <cell r="I8814" t="str">
            <v>Mcroberts</v>
          </cell>
        </row>
        <row r="8815">
          <cell r="I8815" t="str">
            <v>Mcneese</v>
          </cell>
        </row>
        <row r="8816">
          <cell r="I8816" t="str">
            <v>Mckamey</v>
          </cell>
        </row>
        <row r="8817">
          <cell r="I8817" t="str">
            <v>Mccullum</v>
          </cell>
        </row>
        <row r="8818">
          <cell r="I8818" t="str">
            <v>Markel</v>
          </cell>
        </row>
        <row r="8819">
          <cell r="I8819" t="str">
            <v>Mardis</v>
          </cell>
        </row>
        <row r="8820">
          <cell r="I8820" t="str">
            <v>Maines</v>
          </cell>
        </row>
        <row r="8821">
          <cell r="I8821" t="str">
            <v>Lueck</v>
          </cell>
        </row>
        <row r="8822">
          <cell r="I8822" t="str">
            <v>Lubin</v>
          </cell>
        </row>
        <row r="8823">
          <cell r="I8823" t="str">
            <v>Lefler</v>
          </cell>
        </row>
        <row r="8824">
          <cell r="I8824" t="str">
            <v>Leffler</v>
          </cell>
        </row>
        <row r="8825">
          <cell r="I8825" t="str">
            <v>Lavery</v>
          </cell>
        </row>
        <row r="8826">
          <cell r="I8826" t="str">
            <v>Larios</v>
          </cell>
        </row>
        <row r="8827">
          <cell r="I8827" t="str">
            <v>Labarbera</v>
          </cell>
        </row>
        <row r="8828">
          <cell r="I8828" t="str">
            <v>Kershner</v>
          </cell>
        </row>
        <row r="8829">
          <cell r="I8829" t="str">
            <v>Josey</v>
          </cell>
        </row>
        <row r="8830">
          <cell r="I8830" t="str">
            <v>Jeanbaptiste</v>
          </cell>
        </row>
        <row r="8831">
          <cell r="I8831" t="str">
            <v>Izaguirre</v>
          </cell>
        </row>
        <row r="8832">
          <cell r="I8832" t="str">
            <v>Hermosillo</v>
          </cell>
        </row>
        <row r="8833">
          <cell r="I8833" t="str">
            <v>Haviland</v>
          </cell>
        </row>
        <row r="8834">
          <cell r="I8834" t="str">
            <v>Hartshorn</v>
          </cell>
        </row>
        <row r="8835">
          <cell r="I8835" t="str">
            <v>Hamlet</v>
          </cell>
        </row>
        <row r="8836">
          <cell r="I8836" t="str">
            <v>Hafner</v>
          </cell>
        </row>
        <row r="8837">
          <cell r="I8837" t="str">
            <v>Ginter</v>
          </cell>
        </row>
        <row r="8838">
          <cell r="I8838" t="str">
            <v>Getty</v>
          </cell>
        </row>
        <row r="8839">
          <cell r="I8839" t="str">
            <v>Franck</v>
          </cell>
        </row>
        <row r="8840">
          <cell r="I8840" t="str">
            <v>Fiske</v>
          </cell>
        </row>
        <row r="8841">
          <cell r="I8841" t="str">
            <v>Emmett</v>
          </cell>
        </row>
        <row r="8842">
          <cell r="I8842" t="str">
            <v>Dufrene</v>
          </cell>
        </row>
        <row r="8843">
          <cell r="I8843" t="str">
            <v>Doody</v>
          </cell>
        </row>
        <row r="8844">
          <cell r="I8844" t="str">
            <v>Davie</v>
          </cell>
        </row>
        <row r="8845">
          <cell r="I8845" t="str">
            <v>Dangerfield</v>
          </cell>
        </row>
        <row r="8846">
          <cell r="I8846" t="str">
            <v>Dahlberg</v>
          </cell>
        </row>
        <row r="8847">
          <cell r="I8847" t="str">
            <v>Cuthbertson</v>
          </cell>
        </row>
        <row r="8848">
          <cell r="I8848" t="str">
            <v>Crone</v>
          </cell>
        </row>
        <row r="8849">
          <cell r="I8849" t="str">
            <v>Coffelt</v>
          </cell>
        </row>
        <row r="8850">
          <cell r="I8850" t="str">
            <v>Claus</v>
          </cell>
        </row>
        <row r="8851">
          <cell r="I8851" t="str">
            <v>Chidester</v>
          </cell>
        </row>
        <row r="8852">
          <cell r="I8852" t="str">
            <v>Chesson</v>
          </cell>
        </row>
        <row r="8853">
          <cell r="I8853" t="str">
            <v>Cauley</v>
          </cell>
        </row>
        <row r="8854">
          <cell r="I8854" t="str">
            <v>Caudell</v>
          </cell>
        </row>
        <row r="8855">
          <cell r="I8855" t="str">
            <v>Cantara</v>
          </cell>
        </row>
        <row r="8856">
          <cell r="I8856" t="str">
            <v>Campo</v>
          </cell>
        </row>
        <row r="8857">
          <cell r="I8857" t="str">
            <v>Caines</v>
          </cell>
        </row>
        <row r="8858">
          <cell r="I8858" t="str">
            <v>Bullis</v>
          </cell>
        </row>
        <row r="8859">
          <cell r="I8859" t="str">
            <v>Bucci</v>
          </cell>
        </row>
        <row r="8860">
          <cell r="I8860" t="str">
            <v>Brochu</v>
          </cell>
        </row>
        <row r="8861">
          <cell r="I8861" t="str">
            <v>Bosco</v>
          </cell>
        </row>
        <row r="8862">
          <cell r="I8862" t="str">
            <v>Bogard</v>
          </cell>
        </row>
        <row r="8863">
          <cell r="I8863" t="str">
            <v>Bickerstaff</v>
          </cell>
        </row>
        <row r="8864">
          <cell r="I8864" t="str">
            <v>Benning</v>
          </cell>
        </row>
        <row r="8865">
          <cell r="I8865" t="str">
            <v>Arzola</v>
          </cell>
        </row>
        <row r="8866">
          <cell r="I8866" t="str">
            <v>Antonelli</v>
          </cell>
        </row>
        <row r="8867">
          <cell r="I8867" t="str">
            <v>Adkinson</v>
          </cell>
        </row>
        <row r="8868">
          <cell r="I8868" t="str">
            <v>Zellers</v>
          </cell>
        </row>
        <row r="8869">
          <cell r="I8869" t="str">
            <v>Wulf</v>
          </cell>
        </row>
        <row r="8870">
          <cell r="I8870" t="str">
            <v>Worsley</v>
          </cell>
        </row>
        <row r="8871">
          <cell r="I8871" t="str">
            <v>Woolridge</v>
          </cell>
        </row>
        <row r="8872">
          <cell r="I8872" t="str">
            <v>Whitton</v>
          </cell>
        </row>
        <row r="8873">
          <cell r="I8873" t="str">
            <v>Westerfield</v>
          </cell>
        </row>
        <row r="8874">
          <cell r="I8874" t="str">
            <v>Walczak</v>
          </cell>
        </row>
        <row r="8875">
          <cell r="I8875" t="str">
            <v>Vassar</v>
          </cell>
        </row>
        <row r="8876">
          <cell r="I8876" t="str">
            <v>Truett</v>
          </cell>
        </row>
        <row r="8877">
          <cell r="I8877" t="str">
            <v>Trueblood</v>
          </cell>
        </row>
        <row r="8878">
          <cell r="I8878" t="str">
            <v>Trawick</v>
          </cell>
        </row>
        <row r="8879">
          <cell r="I8879" t="str">
            <v>Townsley</v>
          </cell>
        </row>
        <row r="8880">
          <cell r="I8880" t="str">
            <v>Topping</v>
          </cell>
        </row>
        <row r="8881">
          <cell r="I8881" t="str">
            <v>Tobar</v>
          </cell>
        </row>
        <row r="8882">
          <cell r="I8882" t="str">
            <v>Telford</v>
          </cell>
        </row>
        <row r="8883">
          <cell r="I8883" t="str">
            <v>Sung</v>
          </cell>
        </row>
        <row r="8884">
          <cell r="I8884" t="str">
            <v>Steverson</v>
          </cell>
        </row>
        <row r="8885">
          <cell r="I8885" t="str">
            <v>Stagg</v>
          </cell>
        </row>
        <row r="8886">
          <cell r="I8886" t="str">
            <v>Sitton</v>
          </cell>
        </row>
        <row r="8887">
          <cell r="I8887" t="str">
            <v>Sill</v>
          </cell>
        </row>
        <row r="8888">
          <cell r="I8888" t="str">
            <v>Sherrell</v>
          </cell>
        </row>
        <row r="8889">
          <cell r="I8889" t="str">
            <v>Sergent</v>
          </cell>
        </row>
        <row r="8890">
          <cell r="I8890" t="str">
            <v>Schoenfeld</v>
          </cell>
        </row>
        <row r="8891">
          <cell r="I8891" t="str">
            <v>Sarabia</v>
          </cell>
        </row>
        <row r="8892">
          <cell r="I8892" t="str">
            <v>Rutkowski</v>
          </cell>
        </row>
        <row r="8893">
          <cell r="I8893" t="str">
            <v>Rubenstein</v>
          </cell>
        </row>
        <row r="8894">
          <cell r="I8894" t="str">
            <v>Rigdon</v>
          </cell>
        </row>
        <row r="8895">
          <cell r="I8895" t="str">
            <v>Prentiss</v>
          </cell>
        </row>
        <row r="8896">
          <cell r="I8896" t="str">
            <v>Pomerleau</v>
          </cell>
        </row>
        <row r="8897">
          <cell r="I8897" t="str">
            <v>Plumlee</v>
          </cell>
        </row>
        <row r="8898">
          <cell r="I8898" t="str">
            <v>Phoenix</v>
          </cell>
        </row>
        <row r="8899">
          <cell r="I8899" t="str">
            <v>Philbrick</v>
          </cell>
        </row>
        <row r="8900">
          <cell r="I8900" t="str">
            <v>Peer</v>
          </cell>
        </row>
        <row r="8901">
          <cell r="I8901" t="str">
            <v>Patty</v>
          </cell>
        </row>
        <row r="8902">
          <cell r="I8902" t="str">
            <v>Patnode</v>
          </cell>
        </row>
        <row r="8903">
          <cell r="I8903" t="str">
            <v>Oloughlin</v>
          </cell>
        </row>
        <row r="8904">
          <cell r="I8904" t="str">
            <v>Obregon</v>
          </cell>
        </row>
        <row r="8905">
          <cell r="I8905" t="str">
            <v>Nuss</v>
          </cell>
        </row>
        <row r="8906">
          <cell r="I8906" t="str">
            <v>Napoleon</v>
          </cell>
        </row>
        <row r="8907">
          <cell r="I8907" t="str">
            <v>Morell</v>
          </cell>
        </row>
        <row r="8908">
          <cell r="I8908" t="str">
            <v>Moose</v>
          </cell>
        </row>
        <row r="8909">
          <cell r="I8909" t="str">
            <v>Mikell</v>
          </cell>
        </row>
        <row r="8910">
          <cell r="I8910" t="str">
            <v>Mele</v>
          </cell>
        </row>
        <row r="8911">
          <cell r="I8911" t="str">
            <v>Mcinerney</v>
          </cell>
        </row>
        <row r="8912">
          <cell r="I8912" t="str">
            <v>Mcguigan</v>
          </cell>
        </row>
        <row r="8913">
          <cell r="I8913" t="str">
            <v>Mcbrayer</v>
          </cell>
        </row>
        <row r="8914">
          <cell r="I8914" t="str">
            <v>Lore</v>
          </cell>
        </row>
        <row r="8915">
          <cell r="I8915" t="str">
            <v>Lor</v>
          </cell>
        </row>
        <row r="8916">
          <cell r="I8916" t="str">
            <v>Look</v>
          </cell>
        </row>
        <row r="8917">
          <cell r="I8917" t="str">
            <v>Lollar</v>
          </cell>
        </row>
        <row r="8918">
          <cell r="I8918" t="str">
            <v>Lakes</v>
          </cell>
        </row>
        <row r="8919">
          <cell r="I8919" t="str">
            <v>Kuehl</v>
          </cell>
        </row>
        <row r="8920">
          <cell r="I8920" t="str">
            <v>Kinzer</v>
          </cell>
        </row>
        <row r="8921">
          <cell r="I8921" t="str">
            <v>Kamp</v>
          </cell>
        </row>
        <row r="8922">
          <cell r="I8922" t="str">
            <v>Joplin</v>
          </cell>
        </row>
        <row r="8923">
          <cell r="I8923" t="str">
            <v>Jacobi</v>
          </cell>
        </row>
        <row r="8924">
          <cell r="I8924" t="str">
            <v>Howells</v>
          </cell>
        </row>
        <row r="8925">
          <cell r="I8925" t="str">
            <v>Holstein</v>
          </cell>
        </row>
        <row r="8926">
          <cell r="I8926" t="str">
            <v>Hedden</v>
          </cell>
        </row>
        <row r="8927">
          <cell r="I8927" t="str">
            <v>Hassler</v>
          </cell>
        </row>
        <row r="8928">
          <cell r="I8928" t="str">
            <v>Harty</v>
          </cell>
        </row>
        <row r="8929">
          <cell r="I8929" t="str">
            <v>Halle</v>
          </cell>
        </row>
        <row r="8930">
          <cell r="I8930" t="str">
            <v>Greig</v>
          </cell>
        </row>
        <row r="8931">
          <cell r="I8931" t="str">
            <v>Granville</v>
          </cell>
        </row>
        <row r="8932">
          <cell r="I8932" t="str">
            <v>Gouge</v>
          </cell>
        </row>
        <row r="8933">
          <cell r="I8933" t="str">
            <v>Goodrum</v>
          </cell>
        </row>
        <row r="8934">
          <cell r="I8934" t="str">
            <v>Gerhart</v>
          </cell>
        </row>
        <row r="8935">
          <cell r="I8935" t="str">
            <v>Geier</v>
          </cell>
        </row>
        <row r="8936">
          <cell r="I8936" t="str">
            <v>Geddes</v>
          </cell>
        </row>
        <row r="8937">
          <cell r="I8937" t="str">
            <v>Gast</v>
          </cell>
        </row>
        <row r="8938">
          <cell r="I8938" t="str">
            <v>Forehand</v>
          </cell>
        </row>
        <row r="8939">
          <cell r="I8939" t="str">
            <v>Ferree</v>
          </cell>
        </row>
        <row r="8940">
          <cell r="I8940" t="str">
            <v>Fendley</v>
          </cell>
        </row>
        <row r="8941">
          <cell r="I8941" t="str">
            <v>Feltner</v>
          </cell>
        </row>
        <row r="8942">
          <cell r="I8942" t="str">
            <v>Fang</v>
          </cell>
        </row>
        <row r="8943">
          <cell r="I8943" t="str">
            <v>Esqueda</v>
          </cell>
        </row>
        <row r="8944">
          <cell r="I8944" t="str">
            <v>Encarnacion</v>
          </cell>
        </row>
        <row r="8945">
          <cell r="I8945" t="str">
            <v>Eichler</v>
          </cell>
        </row>
        <row r="8946">
          <cell r="I8946" t="str">
            <v>Egger</v>
          </cell>
        </row>
        <row r="8947">
          <cell r="I8947" t="str">
            <v>Edmundson</v>
          </cell>
        </row>
        <row r="8948">
          <cell r="I8948" t="str">
            <v>Eatmon</v>
          </cell>
        </row>
        <row r="8949">
          <cell r="I8949" t="str">
            <v>Dragon</v>
          </cell>
        </row>
        <row r="8950">
          <cell r="I8950" t="str">
            <v>Doud</v>
          </cell>
        </row>
        <row r="8951">
          <cell r="I8951" t="str">
            <v>Donohoe</v>
          </cell>
        </row>
        <row r="8952">
          <cell r="I8952" t="str">
            <v>Donelson</v>
          </cell>
        </row>
        <row r="8953">
          <cell r="I8953" t="str">
            <v>Dilorenzo</v>
          </cell>
        </row>
        <row r="8954">
          <cell r="I8954" t="str">
            <v>Digiacomo</v>
          </cell>
        </row>
        <row r="8955">
          <cell r="I8955" t="str">
            <v>Diggins</v>
          </cell>
        </row>
        <row r="8956">
          <cell r="I8956" t="str">
            <v>Delozier</v>
          </cell>
        </row>
        <row r="8957">
          <cell r="I8957" t="str">
            <v>Dejong</v>
          </cell>
        </row>
        <row r="8958">
          <cell r="I8958" t="str">
            <v>Danford</v>
          </cell>
        </row>
        <row r="8959">
          <cell r="I8959" t="str">
            <v>Crippen</v>
          </cell>
        </row>
        <row r="8960">
          <cell r="I8960" t="str">
            <v>Coppage</v>
          </cell>
        </row>
        <row r="8961">
          <cell r="I8961" t="str">
            <v>Cogswell</v>
          </cell>
        </row>
        <row r="8962">
          <cell r="I8962" t="str">
            <v>Clardy</v>
          </cell>
        </row>
        <row r="8963">
          <cell r="I8963" t="str">
            <v>Cioffi</v>
          </cell>
        </row>
        <row r="8964">
          <cell r="I8964" t="str">
            <v>Cabe</v>
          </cell>
        </row>
        <row r="8965">
          <cell r="I8965" t="str">
            <v>Brunette</v>
          </cell>
        </row>
        <row r="8966">
          <cell r="I8966" t="str">
            <v>Bresnahan</v>
          </cell>
        </row>
        <row r="8967">
          <cell r="I8967" t="str">
            <v>Bramble</v>
          </cell>
        </row>
        <row r="8968">
          <cell r="I8968" t="str">
            <v>Blomquist</v>
          </cell>
        </row>
        <row r="8969">
          <cell r="I8969" t="str">
            <v>Blackstone</v>
          </cell>
        </row>
        <row r="8970">
          <cell r="I8970" t="str">
            <v>Biller</v>
          </cell>
        </row>
        <row r="8971">
          <cell r="I8971" t="str">
            <v>Bevis</v>
          </cell>
        </row>
        <row r="8972">
          <cell r="I8972" t="str">
            <v>Bevan</v>
          </cell>
        </row>
        <row r="8973">
          <cell r="I8973" t="str">
            <v>Bethune</v>
          </cell>
        </row>
        <row r="8974">
          <cell r="I8974" t="str">
            <v>Benbow</v>
          </cell>
        </row>
        <row r="8975">
          <cell r="I8975" t="str">
            <v>Baty</v>
          </cell>
        </row>
        <row r="8976">
          <cell r="I8976" t="str">
            <v>Basinger</v>
          </cell>
        </row>
        <row r="8977">
          <cell r="I8977" t="str">
            <v>Balcom</v>
          </cell>
        </row>
        <row r="8978">
          <cell r="I8978" t="str">
            <v>Andes</v>
          </cell>
        </row>
        <row r="8979">
          <cell r="I8979" t="str">
            <v>Aman</v>
          </cell>
        </row>
        <row r="8980">
          <cell r="I8980" t="str">
            <v>Aguero</v>
          </cell>
        </row>
        <row r="8981">
          <cell r="I8981" t="str">
            <v>Adkisson</v>
          </cell>
        </row>
        <row r="8982">
          <cell r="I8982" t="str">
            <v>Yandell</v>
          </cell>
        </row>
        <row r="8983">
          <cell r="I8983" t="str">
            <v>Wilds</v>
          </cell>
        </row>
        <row r="8984">
          <cell r="I8984" t="str">
            <v>Whisenhunt</v>
          </cell>
        </row>
        <row r="8985">
          <cell r="I8985" t="str">
            <v>Weigand</v>
          </cell>
        </row>
        <row r="8986">
          <cell r="I8986" t="str">
            <v>Weeden</v>
          </cell>
        </row>
        <row r="8987">
          <cell r="I8987" t="str">
            <v>Voight</v>
          </cell>
        </row>
        <row r="8988">
          <cell r="I8988" t="str">
            <v>Villar</v>
          </cell>
        </row>
        <row r="8989">
          <cell r="I8989" t="str">
            <v>Trottier</v>
          </cell>
        </row>
        <row r="8990">
          <cell r="I8990" t="str">
            <v>Tillett</v>
          </cell>
        </row>
        <row r="8991">
          <cell r="I8991" t="str">
            <v>Suazo</v>
          </cell>
        </row>
        <row r="8992">
          <cell r="I8992" t="str">
            <v>Setser</v>
          </cell>
        </row>
        <row r="8993">
          <cell r="I8993" t="str">
            <v>Scurry</v>
          </cell>
        </row>
        <row r="8994">
          <cell r="I8994" t="str">
            <v>Schuh</v>
          </cell>
        </row>
        <row r="8995">
          <cell r="I8995" t="str">
            <v>Schreck</v>
          </cell>
        </row>
        <row r="8996">
          <cell r="I8996" t="str">
            <v>Schauer</v>
          </cell>
        </row>
        <row r="8997">
          <cell r="I8997" t="str">
            <v>Samora</v>
          </cell>
        </row>
        <row r="8998">
          <cell r="I8998" t="str">
            <v>Roane</v>
          </cell>
        </row>
        <row r="8999">
          <cell r="I8999" t="str">
            <v>Rinker</v>
          </cell>
        </row>
        <row r="9000">
          <cell r="I9000" t="str">
            <v>Reimers</v>
          </cell>
        </row>
        <row r="9001">
          <cell r="I9001" t="str">
            <v>Reason</v>
          </cell>
        </row>
        <row r="9002">
          <cell r="I9002" t="str">
            <v>Ratchford</v>
          </cell>
        </row>
        <row r="9003">
          <cell r="I9003" t="str">
            <v>Popovich</v>
          </cell>
        </row>
        <row r="9004">
          <cell r="I9004" t="str">
            <v>Parkin</v>
          </cell>
        </row>
        <row r="9005">
          <cell r="I9005" t="str">
            <v>Nichol</v>
          </cell>
        </row>
        <row r="9006">
          <cell r="I9006" t="str">
            <v>Natal</v>
          </cell>
        </row>
        <row r="9007">
          <cell r="I9007" t="str">
            <v>Melville</v>
          </cell>
        </row>
        <row r="9008">
          <cell r="I9008" t="str">
            <v>Mcbryde</v>
          </cell>
        </row>
        <row r="9009">
          <cell r="I9009" t="str">
            <v>Magdaleno</v>
          </cell>
        </row>
        <row r="9010">
          <cell r="I9010" t="str">
            <v>Loehr</v>
          </cell>
        </row>
        <row r="9011">
          <cell r="I9011" t="str">
            <v>Lockman</v>
          </cell>
        </row>
        <row r="9012">
          <cell r="I9012" t="str">
            <v>Lingo</v>
          </cell>
        </row>
        <row r="9013">
          <cell r="I9013" t="str">
            <v>Leduc</v>
          </cell>
        </row>
        <row r="9014">
          <cell r="I9014" t="str">
            <v>Larocca</v>
          </cell>
        </row>
        <row r="9015">
          <cell r="I9015" t="str">
            <v>Lao</v>
          </cell>
        </row>
        <row r="9016">
          <cell r="I9016" t="str">
            <v>Lamere</v>
          </cell>
        </row>
        <row r="9017">
          <cell r="I9017" t="str">
            <v>Laclair</v>
          </cell>
        </row>
        <row r="9018">
          <cell r="I9018" t="str">
            <v>Krall</v>
          </cell>
        </row>
        <row r="9019">
          <cell r="I9019" t="str">
            <v>Korte</v>
          </cell>
        </row>
        <row r="9020">
          <cell r="I9020" t="str">
            <v>Koger</v>
          </cell>
        </row>
        <row r="9021">
          <cell r="I9021" t="str">
            <v>Jumper</v>
          </cell>
        </row>
        <row r="9022">
          <cell r="I9022" t="str">
            <v>Jalbert</v>
          </cell>
        </row>
        <row r="9023">
          <cell r="I9023" t="str">
            <v>Hughs</v>
          </cell>
        </row>
        <row r="9024">
          <cell r="I9024" t="str">
            <v>Higbee</v>
          </cell>
        </row>
        <row r="9025">
          <cell r="I9025" t="str">
            <v>Henton</v>
          </cell>
        </row>
        <row r="9026">
          <cell r="I9026" t="str">
            <v>Heaney</v>
          </cell>
        </row>
        <row r="9027">
          <cell r="I9027" t="str">
            <v>Haith</v>
          </cell>
        </row>
        <row r="9028">
          <cell r="I9028" t="str">
            <v>Gump</v>
          </cell>
        </row>
        <row r="9029">
          <cell r="I9029" t="str">
            <v>Greeson</v>
          </cell>
        </row>
        <row r="9030">
          <cell r="I9030" t="str">
            <v>Goodloe</v>
          </cell>
        </row>
        <row r="9031">
          <cell r="I9031" t="str">
            <v>Gholston</v>
          </cell>
        </row>
        <row r="9032">
          <cell r="I9032" t="str">
            <v>Gasper</v>
          </cell>
        </row>
        <row r="9033">
          <cell r="I9033" t="str">
            <v>Gagliardi</v>
          </cell>
        </row>
        <row r="9034">
          <cell r="I9034" t="str">
            <v>Fregoso</v>
          </cell>
        </row>
        <row r="9035">
          <cell r="I9035" t="str">
            <v>Farthing</v>
          </cell>
        </row>
        <row r="9036">
          <cell r="I9036" t="str">
            <v>Fabrizio</v>
          </cell>
        </row>
        <row r="9037">
          <cell r="I9037" t="str">
            <v>Ensor</v>
          </cell>
        </row>
        <row r="9038">
          <cell r="I9038" t="str">
            <v>Elswick</v>
          </cell>
        </row>
        <row r="9039">
          <cell r="I9039" t="str">
            <v>Elgin</v>
          </cell>
        </row>
        <row r="9040">
          <cell r="I9040" t="str">
            <v>Eklund</v>
          </cell>
        </row>
        <row r="9041">
          <cell r="I9041" t="str">
            <v>Eaddy</v>
          </cell>
        </row>
        <row r="9042">
          <cell r="I9042" t="str">
            <v>Drouin</v>
          </cell>
        </row>
        <row r="9043">
          <cell r="I9043" t="str">
            <v>Dorton</v>
          </cell>
        </row>
        <row r="9044">
          <cell r="I9044" t="str">
            <v>Dizon</v>
          </cell>
        </row>
        <row r="9045">
          <cell r="I9045" t="str">
            <v>Derouen</v>
          </cell>
        </row>
        <row r="9046">
          <cell r="I9046" t="str">
            <v>Delia</v>
          </cell>
        </row>
        <row r="9047">
          <cell r="I9047" t="str">
            <v>Deherrera</v>
          </cell>
        </row>
        <row r="9048">
          <cell r="I9048" t="str">
            <v>Davy</v>
          </cell>
        </row>
        <row r="9049">
          <cell r="I9049" t="str">
            <v>Dark</v>
          </cell>
        </row>
        <row r="9050">
          <cell r="I9050" t="str">
            <v>Dampier</v>
          </cell>
        </row>
        <row r="9051">
          <cell r="I9051" t="str">
            <v>Cullum</v>
          </cell>
        </row>
        <row r="9052">
          <cell r="I9052" t="str">
            <v>Culley</v>
          </cell>
        </row>
        <row r="9053">
          <cell r="I9053" t="str">
            <v>Cowgill</v>
          </cell>
        </row>
        <row r="9054">
          <cell r="I9054" t="str">
            <v>Cardoso</v>
          </cell>
        </row>
        <row r="9055">
          <cell r="I9055" t="str">
            <v>Cardinale</v>
          </cell>
        </row>
        <row r="9056">
          <cell r="I9056" t="str">
            <v>Brodsky</v>
          </cell>
        </row>
        <row r="9057">
          <cell r="I9057" t="str">
            <v>Broadbent</v>
          </cell>
        </row>
        <row r="9058">
          <cell r="I9058" t="str">
            <v>Brimmer</v>
          </cell>
        </row>
        <row r="9059">
          <cell r="I9059" t="str">
            <v>Briceno</v>
          </cell>
        </row>
        <row r="9060">
          <cell r="I9060" t="str">
            <v>Branscum</v>
          </cell>
        </row>
        <row r="9061">
          <cell r="I9061" t="str">
            <v>Bolyard</v>
          </cell>
        </row>
        <row r="9062">
          <cell r="I9062" t="str">
            <v>Boley</v>
          </cell>
        </row>
        <row r="9063">
          <cell r="I9063" t="str">
            <v>Bennington</v>
          </cell>
        </row>
        <row r="9064">
          <cell r="I9064" t="str">
            <v>Beadle</v>
          </cell>
        </row>
        <row r="9065">
          <cell r="I9065" t="str">
            <v>Baur</v>
          </cell>
        </row>
        <row r="9066">
          <cell r="I9066" t="str">
            <v>Ballentine</v>
          </cell>
        </row>
        <row r="9067">
          <cell r="I9067" t="str">
            <v>Azure</v>
          </cell>
        </row>
        <row r="9068">
          <cell r="I9068" t="str">
            <v>Aultman</v>
          </cell>
        </row>
        <row r="9069">
          <cell r="I9069" t="str">
            <v>Augustus</v>
          </cell>
        </row>
        <row r="9070">
          <cell r="I9070" t="str">
            <v>Asuncion</v>
          </cell>
        </row>
        <row r="9071">
          <cell r="I9071" t="str">
            <v>Arciniega</v>
          </cell>
        </row>
        <row r="9072">
          <cell r="I9072" t="str">
            <v>Aguila</v>
          </cell>
        </row>
        <row r="9073">
          <cell r="I9073" t="str">
            <v>Aceves</v>
          </cell>
        </row>
        <row r="9074">
          <cell r="I9074" t="str">
            <v>Yepez</v>
          </cell>
        </row>
        <row r="9075">
          <cell r="I9075" t="str">
            <v>Yap</v>
          </cell>
        </row>
        <row r="9076">
          <cell r="I9076" t="str">
            <v>Woodrum</v>
          </cell>
        </row>
        <row r="9077">
          <cell r="I9077" t="str">
            <v>Wethington</v>
          </cell>
        </row>
        <row r="9078">
          <cell r="I9078" t="str">
            <v>Weissman</v>
          </cell>
        </row>
        <row r="9079">
          <cell r="I9079" t="str">
            <v>Veloz</v>
          </cell>
        </row>
        <row r="9080">
          <cell r="I9080" t="str">
            <v>Trusty</v>
          </cell>
        </row>
        <row r="9081">
          <cell r="I9081" t="str">
            <v>Troup</v>
          </cell>
        </row>
        <row r="9082">
          <cell r="I9082" t="str">
            <v>Trammel</v>
          </cell>
        </row>
        <row r="9083">
          <cell r="I9083" t="str">
            <v>Theodore</v>
          </cell>
        </row>
        <row r="9084">
          <cell r="I9084" t="str">
            <v>Tarpley</v>
          </cell>
        </row>
        <row r="9085">
          <cell r="I9085" t="str">
            <v>Stivers</v>
          </cell>
        </row>
        <row r="9086">
          <cell r="I9086" t="str">
            <v>Steck</v>
          </cell>
        </row>
        <row r="9087">
          <cell r="I9087" t="str">
            <v>Sprayberry</v>
          </cell>
        </row>
        <row r="9088">
          <cell r="I9088" t="str">
            <v>Spraggins</v>
          </cell>
        </row>
        <row r="9089">
          <cell r="I9089" t="str">
            <v>Spitler</v>
          </cell>
        </row>
        <row r="9090">
          <cell r="I9090" t="str">
            <v>Spiers</v>
          </cell>
        </row>
        <row r="9091">
          <cell r="I9091" t="str">
            <v>Sohn</v>
          </cell>
        </row>
        <row r="9092">
          <cell r="I9092" t="str">
            <v>Seagraves</v>
          </cell>
        </row>
        <row r="9093">
          <cell r="I9093" t="str">
            <v>Schiffman</v>
          </cell>
        </row>
        <row r="9094">
          <cell r="I9094" t="str">
            <v>Rudnick</v>
          </cell>
        </row>
        <row r="9095">
          <cell r="I9095" t="str">
            <v>Rizo</v>
          </cell>
        </row>
        <row r="9096">
          <cell r="I9096" t="str">
            <v>Riccio</v>
          </cell>
        </row>
        <row r="9097">
          <cell r="I9097" t="str">
            <v>Rennie</v>
          </cell>
        </row>
        <row r="9098">
          <cell r="I9098" t="str">
            <v>Quinton</v>
          </cell>
        </row>
        <row r="9099">
          <cell r="I9099" t="str">
            <v>Quackenbush</v>
          </cell>
        </row>
        <row r="9100">
          <cell r="I9100" t="str">
            <v>Puma</v>
          </cell>
        </row>
        <row r="9101">
          <cell r="I9101" t="str">
            <v>Plott</v>
          </cell>
        </row>
        <row r="9102">
          <cell r="I9102" t="str">
            <v>Pearcy</v>
          </cell>
        </row>
        <row r="9103">
          <cell r="I9103" t="str">
            <v>Parada</v>
          </cell>
        </row>
        <row r="9104">
          <cell r="I9104" t="str">
            <v>Paiz</v>
          </cell>
        </row>
        <row r="9105">
          <cell r="I9105" t="str">
            <v>Munford</v>
          </cell>
        </row>
        <row r="9106">
          <cell r="I9106" t="str">
            <v>Moskowitz</v>
          </cell>
        </row>
        <row r="9107">
          <cell r="I9107" t="str">
            <v>Mease</v>
          </cell>
        </row>
        <row r="9108">
          <cell r="I9108" t="str">
            <v>Mcnary</v>
          </cell>
        </row>
        <row r="9109">
          <cell r="I9109" t="str">
            <v>Mccusker</v>
          </cell>
        </row>
        <row r="9110">
          <cell r="I9110" t="str">
            <v>Matt</v>
          </cell>
        </row>
        <row r="9111">
          <cell r="I9111" t="str">
            <v>Lozoya</v>
          </cell>
        </row>
        <row r="9112">
          <cell r="I9112" t="str">
            <v>Longmire</v>
          </cell>
        </row>
        <row r="9113">
          <cell r="I9113" t="str">
            <v>Loesch</v>
          </cell>
        </row>
        <row r="9114">
          <cell r="I9114" t="str">
            <v>Lasky</v>
          </cell>
        </row>
        <row r="9115">
          <cell r="I9115" t="str">
            <v>Kuhlmann</v>
          </cell>
        </row>
        <row r="9116">
          <cell r="I9116" t="str">
            <v>Krieg</v>
          </cell>
        </row>
        <row r="9117">
          <cell r="I9117" t="str">
            <v>Koziol</v>
          </cell>
        </row>
        <row r="9118">
          <cell r="I9118" t="str">
            <v>Kowalewski</v>
          </cell>
        </row>
        <row r="9119">
          <cell r="I9119" t="str">
            <v>Konrad</v>
          </cell>
        </row>
        <row r="9120">
          <cell r="I9120" t="str">
            <v>Kindle</v>
          </cell>
        </row>
        <row r="9121">
          <cell r="I9121" t="str">
            <v>Jowers</v>
          </cell>
        </row>
        <row r="9122">
          <cell r="I9122" t="str">
            <v>Jolin</v>
          </cell>
        </row>
        <row r="9123">
          <cell r="I9123" t="str">
            <v>Jaco</v>
          </cell>
        </row>
        <row r="9124">
          <cell r="I9124" t="str">
            <v>Hua</v>
          </cell>
        </row>
        <row r="9125">
          <cell r="I9125" t="str">
            <v>Horgan</v>
          </cell>
        </row>
        <row r="9126">
          <cell r="I9126" t="str">
            <v>Hine</v>
          </cell>
        </row>
        <row r="9127">
          <cell r="I9127" t="str">
            <v>Hileman</v>
          </cell>
        </row>
        <row r="9128">
          <cell r="I9128" t="str">
            <v>Hepner</v>
          </cell>
        </row>
        <row r="9129">
          <cell r="I9129" t="str">
            <v>Heise</v>
          </cell>
        </row>
        <row r="9130">
          <cell r="I9130" t="str">
            <v>Heady</v>
          </cell>
        </row>
        <row r="9131">
          <cell r="I9131" t="str">
            <v>Hawkinson</v>
          </cell>
        </row>
        <row r="9132">
          <cell r="I9132" t="str">
            <v>Hannigan</v>
          </cell>
        </row>
        <row r="9133">
          <cell r="I9133" t="str">
            <v>Haberman</v>
          </cell>
        </row>
        <row r="9134">
          <cell r="I9134" t="str">
            <v>Guilford</v>
          </cell>
        </row>
        <row r="9135">
          <cell r="I9135" t="str">
            <v>Grimaldi</v>
          </cell>
        </row>
        <row r="9136">
          <cell r="I9136" t="str">
            <v>Gilles</v>
          </cell>
        </row>
        <row r="9137">
          <cell r="I9137" t="str">
            <v>Garton</v>
          </cell>
        </row>
        <row r="9138">
          <cell r="I9138" t="str">
            <v>Gagliano</v>
          </cell>
        </row>
        <row r="9139">
          <cell r="I9139" t="str">
            <v>Fruge</v>
          </cell>
        </row>
        <row r="9140">
          <cell r="I9140" t="str">
            <v>Follett</v>
          </cell>
        </row>
        <row r="9141">
          <cell r="I9141" t="str">
            <v>Fiscus</v>
          </cell>
        </row>
        <row r="9142">
          <cell r="I9142" t="str">
            <v>Ferretti</v>
          </cell>
        </row>
        <row r="9143">
          <cell r="I9143" t="str">
            <v>Ebner</v>
          </cell>
        </row>
        <row r="9144">
          <cell r="I9144" t="str">
            <v>Easterday</v>
          </cell>
        </row>
        <row r="9145">
          <cell r="I9145" t="str">
            <v>Eanes</v>
          </cell>
        </row>
        <row r="9146">
          <cell r="I9146" t="str">
            <v>Dirks</v>
          </cell>
        </row>
        <row r="9147">
          <cell r="I9147" t="str">
            <v>Dimarco</v>
          </cell>
        </row>
        <row r="9148">
          <cell r="I9148" t="str">
            <v>Depalma</v>
          </cell>
        </row>
        <row r="9149">
          <cell r="I9149" t="str">
            <v>Deforest</v>
          </cell>
        </row>
        <row r="9150">
          <cell r="I9150" t="str">
            <v>Dance</v>
          </cell>
        </row>
        <row r="9151">
          <cell r="I9151" t="str">
            <v>Cruce</v>
          </cell>
        </row>
        <row r="9152">
          <cell r="I9152" t="str">
            <v>Craighead</v>
          </cell>
        </row>
        <row r="9153">
          <cell r="I9153" t="str">
            <v>Christner</v>
          </cell>
        </row>
        <row r="9154">
          <cell r="I9154" t="str">
            <v>Candler</v>
          </cell>
        </row>
        <row r="9155">
          <cell r="I9155" t="str">
            <v>Cadwell</v>
          </cell>
        </row>
        <row r="9156">
          <cell r="I9156" t="str">
            <v>Burchell</v>
          </cell>
        </row>
        <row r="9157">
          <cell r="I9157" t="str">
            <v>Buettner</v>
          </cell>
        </row>
        <row r="9158">
          <cell r="I9158" t="str">
            <v>Brinton</v>
          </cell>
        </row>
        <row r="9159">
          <cell r="I9159" t="str">
            <v>Breed</v>
          </cell>
        </row>
        <row r="9160">
          <cell r="I9160" t="str">
            <v>Brazier</v>
          </cell>
        </row>
        <row r="9161">
          <cell r="I9161" t="str">
            <v>Brannen</v>
          </cell>
        </row>
        <row r="9162">
          <cell r="I9162" t="str">
            <v>Brame</v>
          </cell>
        </row>
        <row r="9163">
          <cell r="I9163" t="str">
            <v>Bova</v>
          </cell>
        </row>
        <row r="9164">
          <cell r="I9164" t="str">
            <v>Bomar</v>
          </cell>
        </row>
        <row r="9165">
          <cell r="I9165" t="str">
            <v>Blakeslee</v>
          </cell>
        </row>
        <row r="9166">
          <cell r="I9166" t="str">
            <v>Belknap</v>
          </cell>
        </row>
        <row r="9167">
          <cell r="I9167" t="str">
            <v>Bangs</v>
          </cell>
        </row>
        <row r="9168">
          <cell r="I9168" t="str">
            <v>Balzer</v>
          </cell>
        </row>
        <row r="9169">
          <cell r="I9169" t="str">
            <v>Athey</v>
          </cell>
        </row>
        <row r="9170">
          <cell r="I9170" t="str">
            <v>Armes</v>
          </cell>
        </row>
        <row r="9171">
          <cell r="I9171" t="str">
            <v>Alvis</v>
          </cell>
        </row>
        <row r="9172">
          <cell r="I9172" t="str">
            <v>Alverson</v>
          </cell>
        </row>
        <row r="9173">
          <cell r="I9173" t="str">
            <v>Alvardo</v>
          </cell>
        </row>
        <row r="9174">
          <cell r="I9174" t="str">
            <v>Alter</v>
          </cell>
        </row>
        <row r="9175">
          <cell r="I9175" t="str">
            <v>Zhao</v>
          </cell>
        </row>
        <row r="9176">
          <cell r="I9176" t="str">
            <v>Yeung</v>
          </cell>
        </row>
        <row r="9177">
          <cell r="I9177" t="str">
            <v>Yen</v>
          </cell>
        </row>
        <row r="9178">
          <cell r="I9178" t="str">
            <v>Wheelock</v>
          </cell>
        </row>
        <row r="9179">
          <cell r="I9179" t="str">
            <v>Westlund</v>
          </cell>
        </row>
        <row r="9180">
          <cell r="I9180" t="str">
            <v>Wessels</v>
          </cell>
        </row>
        <row r="9181">
          <cell r="I9181" t="str">
            <v>Volkman</v>
          </cell>
        </row>
        <row r="9182">
          <cell r="I9182" t="str">
            <v>Threadgill</v>
          </cell>
        </row>
        <row r="9183">
          <cell r="I9183" t="str">
            <v>Thelen</v>
          </cell>
        </row>
        <row r="9184">
          <cell r="I9184" t="str">
            <v>Tandy</v>
          </cell>
        </row>
        <row r="9185">
          <cell r="I9185" t="str">
            <v>Tague</v>
          </cell>
        </row>
        <row r="9186">
          <cell r="I9186" t="str">
            <v>Ta</v>
          </cell>
        </row>
        <row r="9187">
          <cell r="I9187" t="str">
            <v>Symons</v>
          </cell>
        </row>
        <row r="9188">
          <cell r="I9188" t="str">
            <v>Swinford</v>
          </cell>
        </row>
        <row r="9189">
          <cell r="I9189" t="str">
            <v>Sturtevant</v>
          </cell>
        </row>
        <row r="9190">
          <cell r="I9190" t="str">
            <v>Straka</v>
          </cell>
        </row>
        <row r="9191">
          <cell r="I9191" t="str">
            <v>Stier</v>
          </cell>
        </row>
        <row r="9192">
          <cell r="I9192" t="str">
            <v>Stagner</v>
          </cell>
        </row>
        <row r="9193">
          <cell r="I9193" t="str">
            <v>Segarra</v>
          </cell>
        </row>
        <row r="9194">
          <cell r="I9194" t="str">
            <v>Seawright</v>
          </cell>
        </row>
        <row r="9195">
          <cell r="I9195" t="str">
            <v>Sack</v>
          </cell>
        </row>
        <row r="9196">
          <cell r="I9196" t="str">
            <v>Rutan</v>
          </cell>
        </row>
        <row r="9197">
          <cell r="I9197" t="str">
            <v>Roux</v>
          </cell>
        </row>
        <row r="9198">
          <cell r="I9198" t="str">
            <v>Ringler</v>
          </cell>
        </row>
        <row r="9199">
          <cell r="I9199" t="str">
            <v>Riker</v>
          </cell>
        </row>
        <row r="9200">
          <cell r="I9200" t="str">
            <v>Ramsdell</v>
          </cell>
        </row>
        <row r="9201">
          <cell r="I9201" t="str">
            <v>Quattlebaum</v>
          </cell>
        </row>
        <row r="9202">
          <cell r="I9202" t="str">
            <v>Purifoy</v>
          </cell>
        </row>
        <row r="9203">
          <cell r="I9203" t="str">
            <v>Poulson</v>
          </cell>
        </row>
        <row r="9204">
          <cell r="I9204" t="str">
            <v>Permenter</v>
          </cell>
        </row>
        <row r="9205">
          <cell r="I9205" t="str">
            <v>Peloquin</v>
          </cell>
        </row>
        <row r="9206">
          <cell r="I9206" t="str">
            <v>Pasley</v>
          </cell>
        </row>
        <row r="9207">
          <cell r="I9207" t="str">
            <v>Pagel</v>
          </cell>
        </row>
        <row r="9208">
          <cell r="I9208" t="str">
            <v>Osman</v>
          </cell>
        </row>
        <row r="9209">
          <cell r="I9209" t="str">
            <v>Obannon</v>
          </cell>
        </row>
        <row r="9210">
          <cell r="I9210" t="str">
            <v>Nygaard</v>
          </cell>
        </row>
        <row r="9211">
          <cell r="I9211" t="str">
            <v>Nipper</v>
          </cell>
        </row>
        <row r="9212">
          <cell r="I9212" t="str">
            <v>Newcomer</v>
          </cell>
        </row>
        <row r="9213">
          <cell r="I9213" t="str">
            <v>Munos</v>
          </cell>
        </row>
        <row r="9214">
          <cell r="I9214" t="str">
            <v>Motta</v>
          </cell>
        </row>
        <row r="9215">
          <cell r="I9215" t="str">
            <v>Meadors</v>
          </cell>
        </row>
        <row r="9216">
          <cell r="I9216" t="str">
            <v>Mcquiston</v>
          </cell>
        </row>
        <row r="9217">
          <cell r="I9217" t="str">
            <v>Mcniel</v>
          </cell>
        </row>
        <row r="9218">
          <cell r="I9218" t="str">
            <v>Mcmann</v>
          </cell>
        </row>
        <row r="9219">
          <cell r="I9219" t="str">
            <v>Mccrae</v>
          </cell>
        </row>
        <row r="9220">
          <cell r="I9220" t="str">
            <v>Mayne</v>
          </cell>
        </row>
        <row r="9221">
          <cell r="I9221" t="str">
            <v>Matte</v>
          </cell>
        </row>
        <row r="9222">
          <cell r="I9222" t="str">
            <v>Martine</v>
          </cell>
        </row>
        <row r="9223">
          <cell r="I9223" t="str">
            <v>Lucy</v>
          </cell>
        </row>
        <row r="9224">
          <cell r="I9224" t="str">
            <v>Legault</v>
          </cell>
        </row>
        <row r="9225">
          <cell r="I9225" t="str">
            <v>Lechner</v>
          </cell>
        </row>
        <row r="9226">
          <cell r="I9226" t="str">
            <v>Lack</v>
          </cell>
        </row>
        <row r="9227">
          <cell r="I9227" t="str">
            <v>Kucera</v>
          </cell>
        </row>
        <row r="9228">
          <cell r="I9228" t="str">
            <v>Krohn</v>
          </cell>
        </row>
        <row r="9229">
          <cell r="I9229" t="str">
            <v>Kratzer</v>
          </cell>
        </row>
        <row r="9230">
          <cell r="I9230" t="str">
            <v>Koopman</v>
          </cell>
        </row>
        <row r="9231">
          <cell r="I9231" t="str">
            <v>Judson</v>
          </cell>
        </row>
        <row r="9232">
          <cell r="I9232" t="str">
            <v>Jeske</v>
          </cell>
        </row>
        <row r="9233">
          <cell r="I9233" t="str">
            <v>Horrocks</v>
          </cell>
        </row>
        <row r="9234">
          <cell r="I9234" t="str">
            <v>Homes</v>
          </cell>
        </row>
        <row r="9235">
          <cell r="I9235" t="str">
            <v>Hock</v>
          </cell>
        </row>
        <row r="9236">
          <cell r="I9236" t="str">
            <v>Hibbler</v>
          </cell>
        </row>
        <row r="9237">
          <cell r="I9237" t="str">
            <v>Hesson</v>
          </cell>
        </row>
        <row r="9238">
          <cell r="I9238" t="str">
            <v>Hersh</v>
          </cell>
        </row>
        <row r="9239">
          <cell r="I9239" t="str">
            <v>Harvin</v>
          </cell>
        </row>
        <row r="9240">
          <cell r="I9240" t="str">
            <v>Halvorsen</v>
          </cell>
        </row>
        <row r="9241">
          <cell r="I9241" t="str">
            <v>Griner</v>
          </cell>
        </row>
        <row r="9242">
          <cell r="I9242" t="str">
            <v>Grindle</v>
          </cell>
        </row>
        <row r="9243">
          <cell r="I9243" t="str">
            <v>Glen</v>
          </cell>
        </row>
        <row r="9244">
          <cell r="I9244" t="str">
            <v>Gladstone</v>
          </cell>
        </row>
        <row r="9245">
          <cell r="I9245" t="str">
            <v>Garofalo</v>
          </cell>
        </row>
        <row r="9246">
          <cell r="I9246" t="str">
            <v>Frampton</v>
          </cell>
        </row>
        <row r="9247">
          <cell r="I9247" t="str">
            <v>Forbis</v>
          </cell>
        </row>
        <row r="9248">
          <cell r="I9248" t="str">
            <v>Fernando</v>
          </cell>
        </row>
        <row r="9249">
          <cell r="I9249" t="str">
            <v>Eddington</v>
          </cell>
        </row>
        <row r="9250">
          <cell r="I9250" t="str">
            <v>Diorio</v>
          </cell>
        </row>
        <row r="9251">
          <cell r="I9251" t="str">
            <v>Dingus</v>
          </cell>
        </row>
        <row r="9252">
          <cell r="I9252" t="str">
            <v>Dewar</v>
          </cell>
        </row>
        <row r="9253">
          <cell r="I9253" t="str">
            <v>Desalvo</v>
          </cell>
        </row>
        <row r="9254">
          <cell r="I9254" t="str">
            <v>Curcio</v>
          </cell>
        </row>
        <row r="9255">
          <cell r="I9255" t="str">
            <v>Creasy</v>
          </cell>
        </row>
        <row r="9256">
          <cell r="I9256" t="str">
            <v>Cortese</v>
          </cell>
        </row>
        <row r="9257">
          <cell r="I9257" t="str">
            <v>Cordoba</v>
          </cell>
        </row>
        <row r="9258">
          <cell r="I9258" t="str">
            <v>Connally</v>
          </cell>
        </row>
        <row r="9259">
          <cell r="I9259" t="str">
            <v>Cluff</v>
          </cell>
        </row>
        <row r="9260">
          <cell r="I9260" t="str">
            <v>Cascio</v>
          </cell>
        </row>
        <row r="9261">
          <cell r="I9261" t="str">
            <v>Capuano</v>
          </cell>
        </row>
        <row r="9262">
          <cell r="I9262" t="str">
            <v>Canaday</v>
          </cell>
        </row>
        <row r="9263">
          <cell r="I9263" t="str">
            <v>Calabro</v>
          </cell>
        </row>
        <row r="9264">
          <cell r="I9264" t="str">
            <v>Bussard</v>
          </cell>
        </row>
        <row r="9265">
          <cell r="I9265" t="str">
            <v>Brayton</v>
          </cell>
        </row>
        <row r="9266">
          <cell r="I9266" t="str">
            <v>Borja</v>
          </cell>
        </row>
        <row r="9267">
          <cell r="I9267" t="str">
            <v>Bigley</v>
          </cell>
        </row>
        <row r="9268">
          <cell r="I9268" t="str">
            <v>Arnone</v>
          </cell>
        </row>
        <row r="9269">
          <cell r="I9269" t="str">
            <v>Arguelles</v>
          </cell>
        </row>
        <row r="9270">
          <cell r="I9270" t="str">
            <v>Acuff</v>
          </cell>
        </row>
        <row r="9271">
          <cell r="I9271" t="str">
            <v>Zamarripa</v>
          </cell>
        </row>
        <row r="9272">
          <cell r="I9272" t="str">
            <v>Wooton</v>
          </cell>
        </row>
        <row r="9273">
          <cell r="I9273" t="str">
            <v>Wolfgang</v>
          </cell>
        </row>
        <row r="9274">
          <cell r="I9274" t="str">
            <v>Widner</v>
          </cell>
        </row>
        <row r="9275">
          <cell r="I9275" t="str">
            <v>Wideman</v>
          </cell>
        </row>
        <row r="9276">
          <cell r="I9276" t="str">
            <v>Threatt</v>
          </cell>
        </row>
        <row r="9277">
          <cell r="I9277" t="str">
            <v>Thiele</v>
          </cell>
        </row>
        <row r="9278">
          <cell r="I9278" t="str">
            <v>Templin</v>
          </cell>
        </row>
        <row r="9279">
          <cell r="I9279" t="str">
            <v>Teeters</v>
          </cell>
        </row>
        <row r="9280">
          <cell r="I9280" t="str">
            <v>Synder</v>
          </cell>
        </row>
        <row r="9281">
          <cell r="I9281" t="str">
            <v>Swint</v>
          </cell>
        </row>
        <row r="9282">
          <cell r="I9282" t="str">
            <v>Swick</v>
          </cell>
        </row>
        <row r="9283">
          <cell r="I9283" t="str">
            <v>Sturges</v>
          </cell>
        </row>
        <row r="9284">
          <cell r="I9284" t="str">
            <v>Stogner</v>
          </cell>
        </row>
        <row r="9285">
          <cell r="I9285" t="str">
            <v>Stedman</v>
          </cell>
        </row>
        <row r="9286">
          <cell r="I9286" t="str">
            <v>Spratt</v>
          </cell>
        </row>
        <row r="9287">
          <cell r="I9287" t="str">
            <v>Six</v>
          </cell>
        </row>
        <row r="9288">
          <cell r="I9288" t="str">
            <v>Siegfried</v>
          </cell>
        </row>
        <row r="9289">
          <cell r="I9289" t="str">
            <v>Shetler</v>
          </cell>
        </row>
        <row r="9290">
          <cell r="I9290" t="str">
            <v>Scull</v>
          </cell>
        </row>
        <row r="9291">
          <cell r="I9291" t="str">
            <v>Savino</v>
          </cell>
        </row>
        <row r="9292">
          <cell r="I9292" t="str">
            <v>Sather</v>
          </cell>
        </row>
        <row r="9293">
          <cell r="I9293" t="str">
            <v>Rothwell</v>
          </cell>
        </row>
        <row r="9294">
          <cell r="I9294" t="str">
            <v>Rook</v>
          </cell>
        </row>
        <row r="9295">
          <cell r="I9295" t="str">
            <v>Rone</v>
          </cell>
        </row>
        <row r="9296">
          <cell r="I9296" t="str">
            <v>Rolf</v>
          </cell>
        </row>
        <row r="9297">
          <cell r="I9297" t="str">
            <v>Rhee</v>
          </cell>
        </row>
        <row r="9298">
          <cell r="I9298" t="str">
            <v>Quevedo</v>
          </cell>
        </row>
        <row r="9299">
          <cell r="I9299" t="str">
            <v>Privett</v>
          </cell>
        </row>
        <row r="9300">
          <cell r="I9300" t="str">
            <v>Pouliot</v>
          </cell>
        </row>
        <row r="9301">
          <cell r="I9301" t="str">
            <v>Poche</v>
          </cell>
        </row>
        <row r="9302">
          <cell r="I9302" t="str">
            <v>Pickel</v>
          </cell>
        </row>
        <row r="9303">
          <cell r="I9303" t="str">
            <v>Petrillo</v>
          </cell>
        </row>
        <row r="9304">
          <cell r="I9304" t="str">
            <v>Pellegrini</v>
          </cell>
        </row>
        <row r="9305">
          <cell r="I9305" t="str">
            <v>Peaslee</v>
          </cell>
        </row>
        <row r="9306">
          <cell r="I9306" t="str">
            <v>Partlow</v>
          </cell>
        </row>
        <row r="9307">
          <cell r="I9307" t="str">
            <v>Otey</v>
          </cell>
        </row>
        <row r="9308">
          <cell r="I9308" t="str">
            <v>Nunnery</v>
          </cell>
        </row>
        <row r="9309">
          <cell r="I9309" t="str">
            <v>Morelock</v>
          </cell>
        </row>
        <row r="9310">
          <cell r="I9310" t="str">
            <v>Morello</v>
          </cell>
        </row>
        <row r="9311">
          <cell r="I9311" t="str">
            <v>Meunier</v>
          </cell>
        </row>
        <row r="9312">
          <cell r="I9312" t="str">
            <v>Messinger</v>
          </cell>
        </row>
        <row r="9313">
          <cell r="I9313" t="str">
            <v>Mckie</v>
          </cell>
        </row>
        <row r="9314">
          <cell r="I9314" t="str">
            <v>Mccubbin</v>
          </cell>
        </row>
        <row r="9315">
          <cell r="I9315" t="str">
            <v>Mccarron</v>
          </cell>
        </row>
        <row r="9316">
          <cell r="I9316" t="str">
            <v>Maria</v>
          </cell>
        </row>
        <row r="9317">
          <cell r="I9317" t="str">
            <v>Lerch</v>
          </cell>
        </row>
        <row r="9318">
          <cell r="I9318" t="str">
            <v>Lavine</v>
          </cell>
        </row>
        <row r="9319">
          <cell r="I9319" t="str">
            <v>Laverty</v>
          </cell>
        </row>
        <row r="9320">
          <cell r="I9320" t="str">
            <v>Lariviere</v>
          </cell>
        </row>
        <row r="9321">
          <cell r="I9321" t="str">
            <v>Lamkin</v>
          </cell>
        </row>
        <row r="9322">
          <cell r="I9322" t="str">
            <v>Kugler</v>
          </cell>
        </row>
        <row r="9323">
          <cell r="I9323" t="str">
            <v>Krol</v>
          </cell>
        </row>
        <row r="9324">
          <cell r="I9324" t="str">
            <v>Kissel</v>
          </cell>
        </row>
        <row r="9325">
          <cell r="I9325" t="str">
            <v>Keeter</v>
          </cell>
        </row>
        <row r="9326">
          <cell r="I9326" t="str">
            <v>Hummer</v>
          </cell>
        </row>
        <row r="9327">
          <cell r="I9327" t="str">
            <v>Hubble</v>
          </cell>
        </row>
        <row r="9328">
          <cell r="I9328" t="str">
            <v>Hickox</v>
          </cell>
        </row>
        <row r="9329">
          <cell r="I9329" t="str">
            <v>Hetzel</v>
          </cell>
        </row>
        <row r="9330">
          <cell r="I9330" t="str">
            <v>Hayner</v>
          </cell>
        </row>
        <row r="9331">
          <cell r="I9331" t="str">
            <v>Hagy</v>
          </cell>
        </row>
        <row r="9332">
          <cell r="I9332" t="str">
            <v>Hadlock</v>
          </cell>
        </row>
        <row r="9333">
          <cell r="I9333" t="str">
            <v>Groh</v>
          </cell>
        </row>
        <row r="9334">
          <cell r="I9334" t="str">
            <v>Gregorio</v>
          </cell>
        </row>
        <row r="9335">
          <cell r="I9335" t="str">
            <v>Gottschalk</v>
          </cell>
        </row>
        <row r="9336">
          <cell r="I9336" t="str">
            <v>Goodsell</v>
          </cell>
        </row>
        <row r="9337">
          <cell r="I9337" t="str">
            <v>Gloria</v>
          </cell>
        </row>
        <row r="9338">
          <cell r="I9338" t="str">
            <v>Gerry</v>
          </cell>
        </row>
        <row r="9339">
          <cell r="I9339" t="str">
            <v>Gassaway</v>
          </cell>
        </row>
        <row r="9340">
          <cell r="I9340" t="str">
            <v>Garrard</v>
          </cell>
        </row>
        <row r="9341">
          <cell r="I9341" t="str">
            <v>Galligan</v>
          </cell>
        </row>
        <row r="9342">
          <cell r="I9342" t="str">
            <v>Fye</v>
          </cell>
        </row>
        <row r="9343">
          <cell r="I9343" t="str">
            <v>Firth</v>
          </cell>
        </row>
        <row r="9344">
          <cell r="I9344" t="str">
            <v>Fenderson</v>
          </cell>
        </row>
        <row r="9345">
          <cell r="I9345" t="str">
            <v>Feinstein</v>
          </cell>
        </row>
        <row r="9346">
          <cell r="I9346" t="str">
            <v>Etienne</v>
          </cell>
        </row>
        <row r="9347">
          <cell r="I9347" t="str">
            <v>Engleman</v>
          </cell>
        </row>
        <row r="9348">
          <cell r="I9348" t="str">
            <v>Emrick</v>
          </cell>
        </row>
        <row r="9349">
          <cell r="I9349" t="str">
            <v>Ellender</v>
          </cell>
        </row>
        <row r="9350">
          <cell r="I9350" t="str">
            <v>Drews</v>
          </cell>
        </row>
        <row r="9351">
          <cell r="I9351" t="str">
            <v>Doiron</v>
          </cell>
        </row>
        <row r="9352">
          <cell r="I9352" t="str">
            <v>Degraw</v>
          </cell>
        </row>
        <row r="9353">
          <cell r="I9353" t="str">
            <v>Deegan</v>
          </cell>
        </row>
        <row r="9354">
          <cell r="I9354" t="str">
            <v>Dart</v>
          </cell>
        </row>
        <row r="9355">
          <cell r="I9355" t="str">
            <v>Crissman</v>
          </cell>
        </row>
        <row r="9356">
          <cell r="I9356" t="str">
            <v>Corr</v>
          </cell>
        </row>
        <row r="9357">
          <cell r="I9357" t="str">
            <v>Cookson</v>
          </cell>
        </row>
        <row r="9358">
          <cell r="I9358" t="str">
            <v>Coil</v>
          </cell>
        </row>
        <row r="9359">
          <cell r="I9359" t="str">
            <v>Cleaves</v>
          </cell>
        </row>
        <row r="9360">
          <cell r="I9360" t="str">
            <v>Charest</v>
          </cell>
        </row>
        <row r="9361">
          <cell r="I9361" t="str">
            <v>Chapple</v>
          </cell>
        </row>
        <row r="9362">
          <cell r="I9362" t="str">
            <v>Chaparro</v>
          </cell>
        </row>
        <row r="9363">
          <cell r="I9363" t="str">
            <v>Castano</v>
          </cell>
        </row>
        <row r="9364">
          <cell r="I9364" t="str">
            <v>Carpio</v>
          </cell>
        </row>
        <row r="9365">
          <cell r="I9365" t="str">
            <v>Byer</v>
          </cell>
        </row>
        <row r="9366">
          <cell r="I9366" t="str">
            <v>Bufford</v>
          </cell>
        </row>
        <row r="9367">
          <cell r="I9367" t="str">
            <v>Bridgewater</v>
          </cell>
        </row>
        <row r="9368">
          <cell r="I9368" t="str">
            <v>Bridgers</v>
          </cell>
        </row>
        <row r="9369">
          <cell r="I9369" t="str">
            <v>Brandes</v>
          </cell>
        </row>
        <row r="9370">
          <cell r="I9370" t="str">
            <v>Borrero</v>
          </cell>
        </row>
        <row r="9371">
          <cell r="I9371" t="str">
            <v>Bonanno</v>
          </cell>
        </row>
        <row r="9372">
          <cell r="I9372" t="str">
            <v>Aube</v>
          </cell>
        </row>
        <row r="9373">
          <cell r="I9373" t="str">
            <v>Ancheta</v>
          </cell>
        </row>
        <row r="9374">
          <cell r="I9374" t="str">
            <v>Abarca</v>
          </cell>
        </row>
        <row r="9375">
          <cell r="I9375" t="str">
            <v>Abad</v>
          </cell>
        </row>
        <row r="9376">
          <cell r="I9376" t="str">
            <v>Yung</v>
          </cell>
        </row>
        <row r="9377">
          <cell r="I9377" t="str">
            <v>Yim</v>
          </cell>
        </row>
        <row r="9378">
          <cell r="I9378" t="str">
            <v>Wooster</v>
          </cell>
        </row>
        <row r="9379">
          <cell r="I9379" t="str">
            <v>Woodrow</v>
          </cell>
        </row>
        <row r="9380">
          <cell r="I9380" t="str">
            <v>Wimbush</v>
          </cell>
        </row>
        <row r="9381">
          <cell r="I9381" t="str">
            <v>Willhite</v>
          </cell>
        </row>
        <row r="9382">
          <cell r="I9382" t="str">
            <v>Willams</v>
          </cell>
        </row>
        <row r="9383">
          <cell r="I9383" t="str">
            <v>Wigley</v>
          </cell>
        </row>
        <row r="9384">
          <cell r="I9384" t="str">
            <v>Weisberg</v>
          </cell>
        </row>
        <row r="9385">
          <cell r="I9385" t="str">
            <v>Wardlaw</v>
          </cell>
        </row>
        <row r="9386">
          <cell r="I9386" t="str">
            <v>Vigue</v>
          </cell>
        </row>
        <row r="9387">
          <cell r="I9387" t="str">
            <v>Vanhook</v>
          </cell>
        </row>
        <row r="9388">
          <cell r="I9388" t="str">
            <v>Unknow</v>
          </cell>
        </row>
        <row r="9389">
          <cell r="I9389" t="str">
            <v>Torre</v>
          </cell>
        </row>
        <row r="9390">
          <cell r="I9390" t="str">
            <v>Tasker</v>
          </cell>
        </row>
        <row r="9391">
          <cell r="I9391" t="str">
            <v>Tarbox</v>
          </cell>
        </row>
        <row r="9392">
          <cell r="I9392" t="str">
            <v>Strachan</v>
          </cell>
        </row>
        <row r="9393">
          <cell r="I9393" t="str">
            <v>Standard</v>
          </cell>
        </row>
        <row r="9394">
          <cell r="I9394" t="str">
            <v>Slover</v>
          </cell>
        </row>
        <row r="9395">
          <cell r="I9395" t="str">
            <v>Shamblin</v>
          </cell>
        </row>
        <row r="9396">
          <cell r="I9396" t="str">
            <v>Semple</v>
          </cell>
        </row>
        <row r="9397">
          <cell r="I9397" t="str">
            <v>Schuyler</v>
          </cell>
        </row>
        <row r="9398">
          <cell r="I9398" t="str">
            <v>Schrimsher</v>
          </cell>
        </row>
        <row r="9399">
          <cell r="I9399" t="str">
            <v>Sayer</v>
          </cell>
        </row>
        <row r="9400">
          <cell r="I9400" t="str">
            <v>Salzman</v>
          </cell>
        </row>
        <row r="9401">
          <cell r="I9401" t="str">
            <v>Salomon</v>
          </cell>
        </row>
        <row r="9402">
          <cell r="I9402" t="str">
            <v>Rubalcava</v>
          </cell>
        </row>
        <row r="9403">
          <cell r="I9403" t="str">
            <v>Riles</v>
          </cell>
        </row>
        <row r="9404">
          <cell r="I9404" t="str">
            <v>Rickey</v>
          </cell>
        </row>
        <row r="9405">
          <cell r="I9405" t="str">
            <v>Reneau</v>
          </cell>
        </row>
        <row r="9406">
          <cell r="I9406" t="str">
            <v>Reichel</v>
          </cell>
        </row>
        <row r="9407">
          <cell r="I9407" t="str">
            <v>Rayfield</v>
          </cell>
        </row>
        <row r="9408">
          <cell r="I9408" t="str">
            <v>Rabon</v>
          </cell>
        </row>
        <row r="9409">
          <cell r="I9409" t="str">
            <v>Pyatt</v>
          </cell>
        </row>
        <row r="9410">
          <cell r="I9410" t="str">
            <v>Prindle</v>
          </cell>
        </row>
        <row r="9411">
          <cell r="I9411" t="str">
            <v>Poss</v>
          </cell>
        </row>
        <row r="9412">
          <cell r="I9412" t="str">
            <v>Polito</v>
          </cell>
        </row>
        <row r="9413">
          <cell r="I9413" t="str">
            <v>Plemmons</v>
          </cell>
        </row>
        <row r="9414">
          <cell r="I9414" t="str">
            <v>Pesce</v>
          </cell>
        </row>
        <row r="9415">
          <cell r="I9415" t="str">
            <v>Perrault</v>
          </cell>
        </row>
        <row r="9416">
          <cell r="I9416" t="str">
            <v>Pereyra</v>
          </cell>
        </row>
        <row r="9417">
          <cell r="I9417" t="str">
            <v>Ostrowski</v>
          </cell>
        </row>
        <row r="9418">
          <cell r="I9418" t="str">
            <v>Nilsen</v>
          </cell>
        </row>
        <row r="9419">
          <cell r="I9419" t="str">
            <v>Niemeyer</v>
          </cell>
        </row>
        <row r="9420">
          <cell r="I9420" t="str">
            <v>Nick</v>
          </cell>
        </row>
        <row r="9421">
          <cell r="I9421" t="str">
            <v>Munsey</v>
          </cell>
        </row>
        <row r="9422">
          <cell r="I9422" t="str">
            <v>Mundell</v>
          </cell>
        </row>
        <row r="9423">
          <cell r="I9423" t="str">
            <v>Moncada</v>
          </cell>
        </row>
        <row r="9424">
          <cell r="I9424" t="str">
            <v>Miceli</v>
          </cell>
        </row>
        <row r="9425">
          <cell r="I9425" t="str">
            <v>Meader</v>
          </cell>
        </row>
        <row r="9426">
          <cell r="I9426" t="str">
            <v>Mcmasters</v>
          </cell>
        </row>
        <row r="9427">
          <cell r="I9427" t="str">
            <v>Mckeehan</v>
          </cell>
        </row>
        <row r="9428">
          <cell r="I9428" t="str">
            <v>Matsumoto</v>
          </cell>
        </row>
        <row r="9429">
          <cell r="I9429" t="str">
            <v>Marron</v>
          </cell>
        </row>
        <row r="9430">
          <cell r="I9430" t="str">
            <v>Marden</v>
          </cell>
        </row>
        <row r="9431">
          <cell r="I9431" t="str">
            <v>Lizarraga</v>
          </cell>
        </row>
        <row r="9432">
          <cell r="I9432" t="str">
            <v>Lingenfelter</v>
          </cell>
        </row>
        <row r="9433">
          <cell r="I9433" t="str">
            <v>Lewallen</v>
          </cell>
        </row>
        <row r="9434">
          <cell r="I9434" t="str">
            <v>Laurence</v>
          </cell>
        </row>
        <row r="9435">
          <cell r="I9435" t="str">
            <v>Langan</v>
          </cell>
        </row>
        <row r="9436">
          <cell r="I9436" t="str">
            <v>Lamanna</v>
          </cell>
        </row>
        <row r="9437">
          <cell r="I9437" t="str">
            <v>Kovac</v>
          </cell>
        </row>
        <row r="9438">
          <cell r="I9438" t="str">
            <v>Kinsler</v>
          </cell>
        </row>
        <row r="9439">
          <cell r="I9439" t="str">
            <v>Kephart</v>
          </cell>
        </row>
        <row r="9440">
          <cell r="I9440" t="str">
            <v>Keown</v>
          </cell>
        </row>
        <row r="9441">
          <cell r="I9441" t="str">
            <v>Kass</v>
          </cell>
        </row>
        <row r="9442">
          <cell r="I9442" t="str">
            <v>Kammerer</v>
          </cell>
        </row>
        <row r="9443">
          <cell r="I9443" t="str">
            <v>Jeffreys</v>
          </cell>
        </row>
        <row r="9444">
          <cell r="I9444" t="str">
            <v>Hysell</v>
          </cell>
        </row>
        <row r="9445">
          <cell r="I9445" t="str">
            <v>Householder</v>
          </cell>
        </row>
        <row r="9446">
          <cell r="I9446" t="str">
            <v>Hosmer</v>
          </cell>
        </row>
        <row r="9447">
          <cell r="I9447" t="str">
            <v>Hardnett</v>
          </cell>
        </row>
        <row r="9448">
          <cell r="I9448" t="str">
            <v>Hanner</v>
          </cell>
        </row>
        <row r="9449">
          <cell r="I9449" t="str">
            <v>Guyette</v>
          </cell>
        </row>
        <row r="9450">
          <cell r="I9450" t="str">
            <v>Greening</v>
          </cell>
        </row>
        <row r="9451">
          <cell r="I9451" t="str">
            <v>Glazer</v>
          </cell>
        </row>
        <row r="9452">
          <cell r="I9452" t="str">
            <v>Ginder</v>
          </cell>
        </row>
        <row r="9453">
          <cell r="I9453" t="str">
            <v>Fromm</v>
          </cell>
        </row>
        <row r="9454">
          <cell r="I9454" t="str">
            <v>Fortuna</v>
          </cell>
        </row>
        <row r="9455">
          <cell r="I9455" t="str">
            <v>Fluellen</v>
          </cell>
        </row>
        <row r="9456">
          <cell r="I9456" t="str">
            <v>Finkle</v>
          </cell>
        </row>
        <row r="9457">
          <cell r="I9457" t="str">
            <v>Fey</v>
          </cell>
        </row>
        <row r="9458">
          <cell r="I9458" t="str">
            <v>Fessler</v>
          </cell>
        </row>
        <row r="9459">
          <cell r="I9459" t="str">
            <v>Essary</v>
          </cell>
        </row>
        <row r="9460">
          <cell r="I9460" t="str">
            <v>Eisele</v>
          </cell>
        </row>
        <row r="9461">
          <cell r="I9461" t="str">
            <v>Duren</v>
          </cell>
        </row>
        <row r="9462">
          <cell r="I9462" t="str">
            <v>Dittmer</v>
          </cell>
        </row>
        <row r="9463">
          <cell r="I9463" t="str">
            <v>Crochet</v>
          </cell>
        </row>
        <row r="9464">
          <cell r="I9464" t="str">
            <v>Cosentino</v>
          </cell>
        </row>
        <row r="9465">
          <cell r="I9465" t="str">
            <v>Cogan</v>
          </cell>
        </row>
        <row r="9466">
          <cell r="I9466" t="str">
            <v>Coelho</v>
          </cell>
        </row>
        <row r="9467">
          <cell r="I9467" t="str">
            <v>Cavin</v>
          </cell>
        </row>
        <row r="9468">
          <cell r="I9468" t="str">
            <v>Carrizales</v>
          </cell>
        </row>
        <row r="9469">
          <cell r="I9469" t="str">
            <v>Campuzano</v>
          </cell>
        </row>
        <row r="9470">
          <cell r="I9470" t="str">
            <v>Brough</v>
          </cell>
        </row>
        <row r="9471">
          <cell r="I9471" t="str">
            <v>Bow</v>
          </cell>
        </row>
        <row r="9472">
          <cell r="I9472" t="str">
            <v>Bopp</v>
          </cell>
        </row>
        <row r="9473">
          <cell r="I9473" t="str">
            <v>Bookman</v>
          </cell>
        </row>
        <row r="9474">
          <cell r="I9474" t="str">
            <v>Bobb</v>
          </cell>
        </row>
        <row r="9475">
          <cell r="I9475" t="str">
            <v>Blouin</v>
          </cell>
        </row>
        <row r="9476">
          <cell r="I9476" t="str">
            <v>Beesley</v>
          </cell>
        </row>
        <row r="9477">
          <cell r="I9477" t="str">
            <v>Battista</v>
          </cell>
        </row>
        <row r="9478">
          <cell r="I9478" t="str">
            <v>Bascom</v>
          </cell>
        </row>
        <row r="9479">
          <cell r="I9479" t="str">
            <v>Bakken</v>
          </cell>
        </row>
        <row r="9480">
          <cell r="I9480" t="str">
            <v>Badgett</v>
          </cell>
        </row>
        <row r="9481">
          <cell r="I9481" t="str">
            <v>Arneson</v>
          </cell>
        </row>
        <row r="9482">
          <cell r="I9482" t="str">
            <v>Anselmo</v>
          </cell>
        </row>
        <row r="9483">
          <cell r="I9483" t="str">
            <v>Albino</v>
          </cell>
        </row>
        <row r="9484">
          <cell r="I9484" t="str">
            <v>Ahumada</v>
          </cell>
        </row>
        <row r="9485">
          <cell r="I9485" t="str">
            <v>Agustin</v>
          </cell>
        </row>
        <row r="9486">
          <cell r="I9486" t="str">
            <v>Woodyard</v>
          </cell>
        </row>
        <row r="9487">
          <cell r="I9487" t="str">
            <v>Wolters</v>
          </cell>
        </row>
        <row r="9488">
          <cell r="I9488" t="str">
            <v>Wireman</v>
          </cell>
        </row>
        <row r="9489">
          <cell r="I9489" t="str">
            <v>Wilton</v>
          </cell>
        </row>
        <row r="9490">
          <cell r="I9490" t="str">
            <v>Willison</v>
          </cell>
        </row>
        <row r="9491">
          <cell r="I9491" t="str">
            <v>Warman</v>
          </cell>
        </row>
        <row r="9492">
          <cell r="I9492" t="str">
            <v>Wan</v>
          </cell>
        </row>
        <row r="9493">
          <cell r="I9493" t="str">
            <v>Waldrup</v>
          </cell>
        </row>
        <row r="9494">
          <cell r="I9494" t="str">
            <v>Vowell</v>
          </cell>
        </row>
        <row r="9495">
          <cell r="I9495" t="str">
            <v>Vantassel</v>
          </cell>
        </row>
        <row r="9496">
          <cell r="I9496" t="str">
            <v>Vale</v>
          </cell>
        </row>
        <row r="9497">
          <cell r="I9497" t="str">
            <v>Twombly</v>
          </cell>
        </row>
        <row r="9498">
          <cell r="I9498" t="str">
            <v>Toomer</v>
          </cell>
        </row>
        <row r="9499">
          <cell r="I9499" t="str">
            <v>Tennison</v>
          </cell>
        </row>
        <row r="9500">
          <cell r="I9500" t="str">
            <v>Teets</v>
          </cell>
        </row>
        <row r="9501">
          <cell r="I9501" t="str">
            <v>Tedeschi</v>
          </cell>
        </row>
        <row r="9502">
          <cell r="I9502" t="str">
            <v>Swanner</v>
          </cell>
        </row>
        <row r="9503">
          <cell r="I9503" t="str">
            <v>Swallow</v>
          </cell>
        </row>
        <row r="9504">
          <cell r="I9504" t="str">
            <v>Stutz</v>
          </cell>
        </row>
        <row r="9505">
          <cell r="I9505" t="str">
            <v>Stelly</v>
          </cell>
        </row>
        <row r="9506">
          <cell r="I9506" t="str">
            <v>Sheehy</v>
          </cell>
        </row>
        <row r="9507">
          <cell r="I9507" t="str">
            <v>Schermerhorn</v>
          </cell>
        </row>
        <row r="9508">
          <cell r="I9508" t="str">
            <v>Scala</v>
          </cell>
        </row>
        <row r="9509">
          <cell r="I9509" t="str">
            <v>Sandidge</v>
          </cell>
        </row>
        <row r="9510">
          <cell r="I9510" t="str">
            <v>Salters</v>
          </cell>
        </row>
        <row r="9511">
          <cell r="I9511" t="str">
            <v>Salo</v>
          </cell>
        </row>
        <row r="9512">
          <cell r="I9512" t="str">
            <v>Saechao</v>
          </cell>
        </row>
        <row r="9513">
          <cell r="I9513" t="str">
            <v>Roseboro</v>
          </cell>
        </row>
        <row r="9514">
          <cell r="I9514" t="str">
            <v>Rolle</v>
          </cell>
        </row>
        <row r="9515">
          <cell r="I9515" t="str">
            <v>Ressler</v>
          </cell>
        </row>
        <row r="9516">
          <cell r="I9516" t="str">
            <v>Renz</v>
          </cell>
        </row>
        <row r="9517">
          <cell r="I9517" t="str">
            <v>Renn</v>
          </cell>
        </row>
        <row r="9518">
          <cell r="I9518" t="str">
            <v>Redford</v>
          </cell>
        </row>
        <row r="9519">
          <cell r="I9519" t="str">
            <v>Raposa</v>
          </cell>
        </row>
        <row r="9520">
          <cell r="I9520" t="str">
            <v>Rainbolt</v>
          </cell>
        </row>
        <row r="9521">
          <cell r="I9521" t="str">
            <v>Pompey</v>
          </cell>
        </row>
        <row r="9522">
          <cell r="I9522" t="str">
            <v>Pelfrey</v>
          </cell>
        </row>
        <row r="9523">
          <cell r="I9523" t="str">
            <v>Orndorff</v>
          </cell>
        </row>
        <row r="9524">
          <cell r="I9524" t="str">
            <v>Oney</v>
          </cell>
        </row>
        <row r="9525">
          <cell r="I9525" t="str">
            <v>Nolin</v>
          </cell>
        </row>
        <row r="9526">
          <cell r="I9526" t="str">
            <v>Nimmons</v>
          </cell>
        </row>
        <row r="9527">
          <cell r="I9527" t="str">
            <v>Ney</v>
          </cell>
        </row>
        <row r="9528">
          <cell r="I9528" t="str">
            <v>Nardone</v>
          </cell>
        </row>
        <row r="9529">
          <cell r="I9529" t="str">
            <v>Myhre</v>
          </cell>
        </row>
        <row r="9530">
          <cell r="I9530" t="str">
            <v>Morman</v>
          </cell>
        </row>
        <row r="9531">
          <cell r="I9531" t="str">
            <v>Mines</v>
          </cell>
        </row>
        <row r="9532">
          <cell r="I9532" t="str">
            <v>Menjivar</v>
          </cell>
        </row>
        <row r="9533">
          <cell r="I9533" t="str">
            <v>Mcglone</v>
          </cell>
        </row>
        <row r="9534">
          <cell r="I9534" t="str">
            <v>Mccammon</v>
          </cell>
        </row>
        <row r="9535">
          <cell r="I9535" t="str">
            <v>Maxon</v>
          </cell>
        </row>
        <row r="9536">
          <cell r="I9536" t="str">
            <v>Maris</v>
          </cell>
        </row>
        <row r="9537">
          <cell r="I9537" t="str">
            <v>Marciano</v>
          </cell>
        </row>
        <row r="9538">
          <cell r="I9538" t="str">
            <v>Manus</v>
          </cell>
        </row>
        <row r="9539">
          <cell r="I9539" t="str">
            <v>Maiden</v>
          </cell>
        </row>
        <row r="9540">
          <cell r="I9540" t="str">
            <v>Lowrance</v>
          </cell>
        </row>
        <row r="9541">
          <cell r="I9541" t="str">
            <v>Lorenzen</v>
          </cell>
        </row>
        <row r="9542">
          <cell r="I9542" t="str">
            <v>Lonergan</v>
          </cell>
        </row>
        <row r="9543">
          <cell r="I9543" t="str">
            <v>Lollis</v>
          </cell>
        </row>
        <row r="9544">
          <cell r="I9544" t="str">
            <v>Littles</v>
          </cell>
        </row>
        <row r="9545">
          <cell r="I9545" t="str">
            <v>Lindahl</v>
          </cell>
        </row>
        <row r="9546">
          <cell r="I9546" t="str">
            <v>Lansing</v>
          </cell>
        </row>
        <row r="9547">
          <cell r="I9547" t="str">
            <v>Lamas</v>
          </cell>
        </row>
        <row r="9548">
          <cell r="I9548" t="str">
            <v>Lach</v>
          </cell>
        </row>
        <row r="9549">
          <cell r="I9549" t="str">
            <v>Kuster</v>
          </cell>
        </row>
        <row r="9550">
          <cell r="I9550" t="str">
            <v>Krawczyk</v>
          </cell>
        </row>
        <row r="9551">
          <cell r="I9551" t="str">
            <v>Knuth</v>
          </cell>
        </row>
        <row r="9552">
          <cell r="I9552" t="str">
            <v>Knecht</v>
          </cell>
        </row>
        <row r="9553">
          <cell r="I9553" t="str">
            <v>Kirkendall</v>
          </cell>
        </row>
        <row r="9554">
          <cell r="I9554" t="str">
            <v>Keitt</v>
          </cell>
        </row>
        <row r="9555">
          <cell r="I9555" t="str">
            <v>Keever</v>
          </cell>
        </row>
        <row r="9556">
          <cell r="I9556" t="str">
            <v>Kantor</v>
          </cell>
        </row>
        <row r="9557">
          <cell r="I9557" t="str">
            <v>Jarboe</v>
          </cell>
        </row>
        <row r="9558">
          <cell r="I9558" t="str">
            <v>Hoye</v>
          </cell>
        </row>
        <row r="9559">
          <cell r="I9559" t="str">
            <v>Houchens</v>
          </cell>
        </row>
        <row r="9560">
          <cell r="I9560" t="str">
            <v>Holter</v>
          </cell>
        </row>
        <row r="9561">
          <cell r="I9561" t="str">
            <v>Holsinger</v>
          </cell>
        </row>
        <row r="9562">
          <cell r="I9562" t="str">
            <v>Hickok</v>
          </cell>
        </row>
        <row r="9563">
          <cell r="I9563" t="str">
            <v>Herb</v>
          </cell>
        </row>
        <row r="9564">
          <cell r="I9564" t="str">
            <v>Helwig</v>
          </cell>
        </row>
        <row r="9565">
          <cell r="I9565" t="str">
            <v>Helgeson</v>
          </cell>
        </row>
        <row r="9566">
          <cell r="I9566" t="str">
            <v>Heater</v>
          </cell>
        </row>
        <row r="9567">
          <cell r="I9567" t="str">
            <v>Hassett</v>
          </cell>
        </row>
        <row r="9568">
          <cell r="I9568" t="str">
            <v>Harner</v>
          </cell>
        </row>
        <row r="9569">
          <cell r="I9569" t="str">
            <v>Hamman</v>
          </cell>
        </row>
        <row r="9570">
          <cell r="I9570" t="str">
            <v>Hames</v>
          </cell>
        </row>
        <row r="9571">
          <cell r="I9571" t="str">
            <v>Hadfield</v>
          </cell>
        </row>
        <row r="9572">
          <cell r="I9572" t="str">
            <v>Goree</v>
          </cell>
        </row>
        <row r="9573">
          <cell r="I9573" t="str">
            <v>Goldfarb</v>
          </cell>
        </row>
        <row r="9574">
          <cell r="I9574" t="str">
            <v>Gaughan</v>
          </cell>
        </row>
        <row r="9575">
          <cell r="I9575" t="str">
            <v>Gaudreau</v>
          </cell>
        </row>
        <row r="9576">
          <cell r="I9576" t="str">
            <v>Gantz</v>
          </cell>
        </row>
        <row r="9577">
          <cell r="I9577" t="str">
            <v>Gallion</v>
          </cell>
        </row>
        <row r="9578">
          <cell r="I9578" t="str">
            <v>Frady</v>
          </cell>
        </row>
        <row r="9579">
          <cell r="I9579" t="str">
            <v>Foti</v>
          </cell>
        </row>
        <row r="9580">
          <cell r="I9580" t="str">
            <v>Flesher</v>
          </cell>
        </row>
        <row r="9581">
          <cell r="I9581" t="str">
            <v>Ferrin</v>
          </cell>
        </row>
        <row r="9582">
          <cell r="I9582" t="str">
            <v>Faught</v>
          </cell>
        </row>
        <row r="9583">
          <cell r="I9583" t="str">
            <v>Engram</v>
          </cell>
        </row>
        <row r="9584">
          <cell r="I9584" t="str">
            <v>Elbert</v>
          </cell>
        </row>
        <row r="9585">
          <cell r="I9585" t="str">
            <v>Donegan</v>
          </cell>
        </row>
        <row r="9586">
          <cell r="I9586" t="str">
            <v>Desouza</v>
          </cell>
        </row>
        <row r="9587">
          <cell r="I9587" t="str">
            <v>Degroot</v>
          </cell>
        </row>
        <row r="9588">
          <cell r="I9588" t="str">
            <v>Cutright</v>
          </cell>
        </row>
        <row r="9589">
          <cell r="I9589" t="str">
            <v>Crowl</v>
          </cell>
        </row>
        <row r="9590">
          <cell r="I9590" t="str">
            <v>Criner</v>
          </cell>
        </row>
        <row r="9591">
          <cell r="I9591" t="str">
            <v>Coke</v>
          </cell>
        </row>
        <row r="9592">
          <cell r="I9592" t="str">
            <v>Coan</v>
          </cell>
        </row>
        <row r="9593">
          <cell r="I9593" t="str">
            <v>Clinkscales</v>
          </cell>
        </row>
        <row r="9594">
          <cell r="I9594" t="str">
            <v>Chewning</v>
          </cell>
        </row>
        <row r="9595">
          <cell r="I9595" t="str">
            <v>Chavira</v>
          </cell>
        </row>
        <row r="9596">
          <cell r="I9596" t="str">
            <v>Catchings</v>
          </cell>
        </row>
        <row r="9597">
          <cell r="I9597" t="str">
            <v>Carlock</v>
          </cell>
        </row>
        <row r="9598">
          <cell r="I9598" t="str">
            <v>Bye</v>
          </cell>
        </row>
        <row r="9599">
          <cell r="I9599" t="str">
            <v>Bulger</v>
          </cell>
        </row>
        <row r="9600">
          <cell r="I9600" t="str">
            <v>Buenrostro</v>
          </cell>
        </row>
        <row r="9601">
          <cell r="I9601" t="str">
            <v>Bramblett</v>
          </cell>
        </row>
        <row r="9602">
          <cell r="I9602" t="str">
            <v>Brack</v>
          </cell>
        </row>
        <row r="9603">
          <cell r="I9603" t="str">
            <v>Boulware</v>
          </cell>
        </row>
        <row r="9604">
          <cell r="I9604" t="str">
            <v>Bordeaux</v>
          </cell>
        </row>
        <row r="9605">
          <cell r="I9605" t="str">
            <v>Bookout</v>
          </cell>
        </row>
        <row r="9606">
          <cell r="I9606" t="str">
            <v>Bitner</v>
          </cell>
        </row>
        <row r="9607">
          <cell r="I9607" t="str">
            <v>Birt</v>
          </cell>
        </row>
        <row r="9608">
          <cell r="I9608" t="str">
            <v>Baranowski</v>
          </cell>
        </row>
        <row r="9609">
          <cell r="I9609" t="str">
            <v>Baisden</v>
          </cell>
        </row>
        <row r="9610">
          <cell r="I9610" t="str">
            <v>Augustin</v>
          </cell>
        </row>
        <row r="9611">
          <cell r="I9611" t="str">
            <v>Allmon</v>
          </cell>
        </row>
        <row r="9612">
          <cell r="I9612" t="str">
            <v>Alberto</v>
          </cell>
        </row>
        <row r="9613">
          <cell r="I9613" t="str">
            <v>Acklin</v>
          </cell>
        </row>
        <row r="9614">
          <cell r="I9614" t="str">
            <v>Yoakum</v>
          </cell>
        </row>
        <row r="9615">
          <cell r="I9615" t="str">
            <v>Wilbourn</v>
          </cell>
        </row>
        <row r="9616">
          <cell r="I9616" t="str">
            <v>Whisler</v>
          </cell>
        </row>
        <row r="9617">
          <cell r="I9617" t="str">
            <v>Weinberger</v>
          </cell>
        </row>
        <row r="9618">
          <cell r="I9618" t="str">
            <v>Washer</v>
          </cell>
        </row>
        <row r="9619">
          <cell r="I9619" t="str">
            <v>Vasques</v>
          </cell>
        </row>
        <row r="9620">
          <cell r="I9620" t="str">
            <v>Vanzandt</v>
          </cell>
        </row>
        <row r="9621">
          <cell r="I9621" t="str">
            <v>Vanatta</v>
          </cell>
        </row>
        <row r="9622">
          <cell r="I9622" t="str">
            <v>Troxler</v>
          </cell>
        </row>
        <row r="9623">
          <cell r="I9623" t="str">
            <v>Tomes</v>
          </cell>
        </row>
        <row r="9624">
          <cell r="I9624" t="str">
            <v>Tindle</v>
          </cell>
        </row>
        <row r="9625">
          <cell r="I9625" t="str">
            <v>Tims</v>
          </cell>
        </row>
        <row r="9626">
          <cell r="I9626" t="str">
            <v>Throckmorton</v>
          </cell>
        </row>
        <row r="9627">
          <cell r="I9627" t="str">
            <v>Thach</v>
          </cell>
        </row>
        <row r="9628">
          <cell r="I9628" t="str">
            <v>Stpeter</v>
          </cell>
        </row>
        <row r="9629">
          <cell r="I9629" t="str">
            <v>Stlaurent</v>
          </cell>
        </row>
        <row r="9630">
          <cell r="I9630" t="str">
            <v>Stenson</v>
          </cell>
        </row>
        <row r="9631">
          <cell r="I9631" t="str">
            <v>Spry</v>
          </cell>
        </row>
        <row r="9632">
          <cell r="I9632" t="str">
            <v>Spitz</v>
          </cell>
        </row>
        <row r="9633">
          <cell r="I9633" t="str">
            <v>Songer</v>
          </cell>
        </row>
        <row r="9634">
          <cell r="I9634" t="str">
            <v>Snavely</v>
          </cell>
        </row>
        <row r="9635">
          <cell r="I9635" t="str">
            <v>Sly</v>
          </cell>
        </row>
        <row r="9636">
          <cell r="I9636" t="str">
            <v>Sleeper</v>
          </cell>
        </row>
        <row r="9637">
          <cell r="I9637" t="str">
            <v>Shroyer</v>
          </cell>
        </row>
        <row r="9638">
          <cell r="I9638" t="str">
            <v>Shortridge</v>
          </cell>
        </row>
        <row r="9639">
          <cell r="I9639" t="str">
            <v>Shenk</v>
          </cell>
        </row>
        <row r="9640">
          <cell r="I9640" t="str">
            <v>Sevier</v>
          </cell>
        </row>
        <row r="9641">
          <cell r="I9641" t="str">
            <v>Seabrook</v>
          </cell>
        </row>
        <row r="9642">
          <cell r="I9642" t="str">
            <v>Scrivner</v>
          </cell>
        </row>
        <row r="9643">
          <cell r="I9643" t="str">
            <v>Saltzman</v>
          </cell>
        </row>
        <row r="9644">
          <cell r="I9644" t="str">
            <v>Rosenberry</v>
          </cell>
        </row>
        <row r="9645">
          <cell r="I9645" t="str">
            <v>Rockwood</v>
          </cell>
        </row>
        <row r="9646">
          <cell r="I9646" t="str">
            <v>Robeson</v>
          </cell>
        </row>
        <row r="9647">
          <cell r="I9647" t="str">
            <v>Roan</v>
          </cell>
        </row>
        <row r="9648">
          <cell r="I9648" t="str">
            <v>Reiser</v>
          </cell>
        </row>
        <row r="9649">
          <cell r="I9649" t="str">
            <v>Redwine</v>
          </cell>
        </row>
        <row r="9650">
          <cell r="I9650" t="str">
            <v>Ramires</v>
          </cell>
        </row>
        <row r="9651">
          <cell r="I9651" t="str">
            <v>Raber</v>
          </cell>
        </row>
        <row r="9652">
          <cell r="I9652" t="str">
            <v>Profit</v>
          </cell>
        </row>
        <row r="9653">
          <cell r="I9653" t="str">
            <v>Posner</v>
          </cell>
        </row>
        <row r="9654">
          <cell r="I9654" t="str">
            <v>Popham</v>
          </cell>
        </row>
        <row r="9655">
          <cell r="I9655" t="str">
            <v>Pipes</v>
          </cell>
        </row>
        <row r="9656">
          <cell r="I9656" t="str">
            <v>Piotrowski</v>
          </cell>
        </row>
        <row r="9657">
          <cell r="I9657" t="str">
            <v>Pinard</v>
          </cell>
        </row>
        <row r="9658">
          <cell r="I9658" t="str">
            <v>Peterkin</v>
          </cell>
        </row>
        <row r="9659">
          <cell r="I9659" t="str">
            <v>Pelham</v>
          </cell>
        </row>
        <row r="9660">
          <cell r="I9660" t="str">
            <v>Peiffer</v>
          </cell>
        </row>
        <row r="9661">
          <cell r="I9661" t="str">
            <v>Peay</v>
          </cell>
        </row>
        <row r="9662">
          <cell r="I9662" t="str">
            <v>Peavey</v>
          </cell>
        </row>
        <row r="9663">
          <cell r="I9663" t="str">
            <v>Nadler</v>
          </cell>
        </row>
        <row r="9664">
          <cell r="I9664" t="str">
            <v>Musso</v>
          </cell>
        </row>
        <row r="9665">
          <cell r="I9665" t="str">
            <v>Milo</v>
          </cell>
        </row>
        <row r="9666">
          <cell r="I9666" t="str">
            <v>Millett</v>
          </cell>
        </row>
        <row r="9667">
          <cell r="I9667" t="str">
            <v>Mestas</v>
          </cell>
        </row>
        <row r="9668">
          <cell r="I9668" t="str">
            <v>Mcgowen</v>
          </cell>
        </row>
        <row r="9669">
          <cell r="I9669" t="str">
            <v>Marques</v>
          </cell>
        </row>
        <row r="9670">
          <cell r="I9670" t="str">
            <v>Marasco</v>
          </cell>
        </row>
        <row r="9671">
          <cell r="I9671" t="str">
            <v>Manriquez</v>
          </cell>
        </row>
        <row r="9672">
          <cell r="I9672" t="str">
            <v>Manos</v>
          </cell>
        </row>
        <row r="9673">
          <cell r="I9673" t="str">
            <v>Mair</v>
          </cell>
        </row>
        <row r="9674">
          <cell r="I9674" t="str">
            <v>Lipps</v>
          </cell>
        </row>
        <row r="9675">
          <cell r="I9675" t="str">
            <v>Lesser</v>
          </cell>
        </row>
        <row r="9676">
          <cell r="I9676" t="str">
            <v>Leiker</v>
          </cell>
        </row>
        <row r="9677">
          <cell r="I9677" t="str">
            <v>Leeds</v>
          </cell>
        </row>
        <row r="9678">
          <cell r="I9678" t="str">
            <v>Krumm</v>
          </cell>
        </row>
        <row r="9679">
          <cell r="I9679" t="str">
            <v>Knorr</v>
          </cell>
        </row>
        <row r="9680">
          <cell r="I9680" t="str">
            <v>Kinslow</v>
          </cell>
        </row>
        <row r="9681">
          <cell r="I9681" t="str">
            <v>Kessel</v>
          </cell>
        </row>
        <row r="9682">
          <cell r="I9682" t="str">
            <v>Kendricks</v>
          </cell>
        </row>
        <row r="9683">
          <cell r="I9683" t="str">
            <v>Kelm</v>
          </cell>
        </row>
        <row r="9684">
          <cell r="I9684" t="str">
            <v>Ito</v>
          </cell>
        </row>
        <row r="9685">
          <cell r="I9685" t="str">
            <v>Irick</v>
          </cell>
        </row>
        <row r="9686">
          <cell r="I9686" t="str">
            <v>Ickes</v>
          </cell>
        </row>
        <row r="9687">
          <cell r="I9687" t="str">
            <v>Hurlburt</v>
          </cell>
        </row>
        <row r="9688">
          <cell r="I9688" t="str">
            <v>Horta</v>
          </cell>
        </row>
        <row r="9689">
          <cell r="I9689" t="str">
            <v>Hoekstra</v>
          </cell>
        </row>
        <row r="9690">
          <cell r="I9690" t="str">
            <v>Heuer</v>
          </cell>
        </row>
        <row r="9691">
          <cell r="I9691" t="str">
            <v>Helmuth</v>
          </cell>
        </row>
        <row r="9692">
          <cell r="I9692" t="str">
            <v>Heatherly</v>
          </cell>
        </row>
        <row r="9693">
          <cell r="I9693" t="str">
            <v>Hampson</v>
          </cell>
        </row>
        <row r="9694">
          <cell r="I9694" t="str">
            <v>Hagar</v>
          </cell>
        </row>
        <row r="9695">
          <cell r="I9695" t="str">
            <v>Haga</v>
          </cell>
        </row>
        <row r="9696">
          <cell r="I9696" t="str">
            <v>Greenlaw</v>
          </cell>
        </row>
        <row r="9697">
          <cell r="I9697" t="str">
            <v>Grau</v>
          </cell>
        </row>
        <row r="9698">
          <cell r="I9698" t="str">
            <v>Godbey</v>
          </cell>
        </row>
        <row r="9699">
          <cell r="I9699" t="str">
            <v>Gingras</v>
          </cell>
        </row>
        <row r="9700">
          <cell r="I9700" t="str">
            <v>Gillies</v>
          </cell>
        </row>
        <row r="9701">
          <cell r="I9701" t="str">
            <v>Gibb</v>
          </cell>
        </row>
        <row r="9702">
          <cell r="I9702" t="str">
            <v>Gayden</v>
          </cell>
        </row>
        <row r="9703">
          <cell r="I9703" t="str">
            <v>Gauvin</v>
          </cell>
        </row>
        <row r="9704">
          <cell r="I9704" t="str">
            <v>Garrow</v>
          </cell>
        </row>
        <row r="9705">
          <cell r="I9705" t="str">
            <v>Fontanez</v>
          </cell>
        </row>
        <row r="9706">
          <cell r="I9706" t="str">
            <v>Florio</v>
          </cell>
        </row>
        <row r="9707">
          <cell r="I9707" t="str">
            <v>Fleischman</v>
          </cell>
        </row>
        <row r="9708">
          <cell r="I9708" t="str">
            <v>Finke</v>
          </cell>
        </row>
        <row r="9709">
          <cell r="I9709" t="str">
            <v>Fasano</v>
          </cell>
        </row>
        <row r="9710">
          <cell r="I9710" t="str">
            <v>Fan</v>
          </cell>
        </row>
        <row r="9711">
          <cell r="I9711" t="str">
            <v>Faith</v>
          </cell>
        </row>
        <row r="9712">
          <cell r="I9712" t="str">
            <v>Ezzell</v>
          </cell>
        </row>
        <row r="9713">
          <cell r="I9713" t="str">
            <v>Ewers</v>
          </cell>
        </row>
        <row r="9714">
          <cell r="I9714" t="str">
            <v>Eveland</v>
          </cell>
        </row>
        <row r="9715">
          <cell r="I9715" t="str">
            <v>Eckenrode</v>
          </cell>
        </row>
        <row r="9716">
          <cell r="I9716" t="str">
            <v>Duclos</v>
          </cell>
        </row>
        <row r="9717">
          <cell r="I9717" t="str">
            <v>Drumm</v>
          </cell>
        </row>
        <row r="9718">
          <cell r="I9718" t="str">
            <v>Dimmick</v>
          </cell>
        </row>
        <row r="9719">
          <cell r="I9719" t="str">
            <v>Delancey</v>
          </cell>
        </row>
        <row r="9720">
          <cell r="I9720" t="str">
            <v>Defazio</v>
          </cell>
        </row>
        <row r="9721">
          <cell r="I9721" t="str">
            <v>Deacon</v>
          </cell>
        </row>
        <row r="9722">
          <cell r="I9722" t="str">
            <v>Dashiell</v>
          </cell>
        </row>
        <row r="9723">
          <cell r="I9723" t="str">
            <v>Damian</v>
          </cell>
        </row>
        <row r="9724">
          <cell r="I9724" t="str">
            <v>Cusack</v>
          </cell>
        </row>
        <row r="9725">
          <cell r="I9725" t="str">
            <v>Crowther</v>
          </cell>
        </row>
        <row r="9726">
          <cell r="I9726" t="str">
            <v>Crigger</v>
          </cell>
        </row>
        <row r="9727">
          <cell r="I9727" t="str">
            <v>Cray</v>
          </cell>
        </row>
        <row r="9728">
          <cell r="I9728" t="str">
            <v>Coolidge</v>
          </cell>
        </row>
        <row r="9729">
          <cell r="I9729" t="str">
            <v>Coldiron</v>
          </cell>
        </row>
        <row r="9730">
          <cell r="I9730" t="str">
            <v>Cleland</v>
          </cell>
        </row>
        <row r="9731">
          <cell r="I9731" t="str">
            <v>Chalfant</v>
          </cell>
        </row>
        <row r="9732">
          <cell r="I9732" t="str">
            <v>Cassel</v>
          </cell>
        </row>
        <row r="9733">
          <cell r="I9733" t="str">
            <v>Cape</v>
          </cell>
        </row>
        <row r="9734">
          <cell r="I9734" t="str">
            <v>Camire</v>
          </cell>
        </row>
        <row r="9735">
          <cell r="I9735" t="str">
            <v>Cabrales</v>
          </cell>
        </row>
        <row r="9736">
          <cell r="I9736" t="str">
            <v>Broomfield</v>
          </cell>
        </row>
        <row r="9737">
          <cell r="I9737" t="str">
            <v>Brittingham</v>
          </cell>
        </row>
        <row r="9738">
          <cell r="I9738" t="str">
            <v>Brisson</v>
          </cell>
        </row>
        <row r="9739">
          <cell r="I9739" t="str">
            <v>Brickey</v>
          </cell>
        </row>
        <row r="9740">
          <cell r="I9740" t="str">
            <v>Braziel</v>
          </cell>
        </row>
        <row r="9741">
          <cell r="I9741" t="str">
            <v>Brazell</v>
          </cell>
        </row>
        <row r="9742">
          <cell r="I9742" t="str">
            <v>Bragdon</v>
          </cell>
        </row>
        <row r="9743">
          <cell r="I9743" t="str">
            <v>Boulanger</v>
          </cell>
        </row>
        <row r="9744">
          <cell r="I9744" t="str">
            <v>Bos</v>
          </cell>
        </row>
        <row r="9745">
          <cell r="I9745" t="str">
            <v>Boman</v>
          </cell>
        </row>
        <row r="9746">
          <cell r="I9746" t="str">
            <v>Bohannan</v>
          </cell>
        </row>
        <row r="9747">
          <cell r="I9747" t="str">
            <v>Beem</v>
          </cell>
        </row>
        <row r="9748">
          <cell r="I9748" t="str">
            <v>Barto</v>
          </cell>
        </row>
        <row r="9749">
          <cell r="I9749" t="str">
            <v>Barre</v>
          </cell>
        </row>
        <row r="9750">
          <cell r="I9750" t="str">
            <v>Barley</v>
          </cell>
        </row>
        <row r="9751">
          <cell r="I9751" t="str">
            <v>Baptist</v>
          </cell>
        </row>
        <row r="9752">
          <cell r="I9752" t="str">
            <v>Azar</v>
          </cell>
        </row>
        <row r="9753">
          <cell r="I9753" t="str">
            <v>Ashbaugh</v>
          </cell>
        </row>
        <row r="9754">
          <cell r="I9754" t="str">
            <v>Armistead</v>
          </cell>
        </row>
        <row r="9755">
          <cell r="I9755" t="str">
            <v>Almazan</v>
          </cell>
        </row>
        <row r="9756">
          <cell r="I9756" t="str">
            <v>Adamski</v>
          </cell>
        </row>
        <row r="9757">
          <cell r="I9757" t="str">
            <v>Zendejas</v>
          </cell>
        </row>
        <row r="9758">
          <cell r="I9758" t="str">
            <v>Winburn</v>
          </cell>
        </row>
        <row r="9759">
          <cell r="I9759" t="str">
            <v>Willaims</v>
          </cell>
        </row>
        <row r="9760">
          <cell r="I9760" t="str">
            <v>Wilhoit</v>
          </cell>
        </row>
        <row r="9761">
          <cell r="I9761" t="str">
            <v>Westberry</v>
          </cell>
        </row>
        <row r="9762">
          <cell r="I9762" t="str">
            <v>Wentzel</v>
          </cell>
        </row>
        <row r="9763">
          <cell r="I9763" t="str">
            <v>Wendling</v>
          </cell>
        </row>
        <row r="9764">
          <cell r="I9764" t="str">
            <v>Wager</v>
          </cell>
        </row>
        <row r="9765">
          <cell r="I9765" t="str">
            <v>Visser</v>
          </cell>
        </row>
        <row r="9766">
          <cell r="I9766" t="str">
            <v>Vanscoy</v>
          </cell>
        </row>
        <row r="9767">
          <cell r="I9767" t="str">
            <v>Vankirk</v>
          </cell>
        </row>
        <row r="9768">
          <cell r="I9768" t="str">
            <v>Vallee</v>
          </cell>
        </row>
        <row r="9769">
          <cell r="I9769" t="str">
            <v>Tweedy</v>
          </cell>
        </row>
        <row r="9770">
          <cell r="I9770" t="str">
            <v>Thornberry</v>
          </cell>
        </row>
        <row r="9771">
          <cell r="I9771" t="str">
            <v>Sweeny</v>
          </cell>
        </row>
        <row r="9772">
          <cell r="I9772" t="str">
            <v>Stalker</v>
          </cell>
        </row>
        <row r="9773">
          <cell r="I9773" t="str">
            <v>Spradling</v>
          </cell>
        </row>
        <row r="9774">
          <cell r="I9774" t="str">
            <v>Spano</v>
          </cell>
        </row>
        <row r="9775">
          <cell r="I9775" t="str">
            <v>Smelser</v>
          </cell>
        </row>
        <row r="9776">
          <cell r="I9776" t="str">
            <v>Shim</v>
          </cell>
        </row>
        <row r="9777">
          <cell r="I9777" t="str">
            <v>Sechrist</v>
          </cell>
        </row>
        <row r="9778">
          <cell r="I9778" t="str">
            <v>Schall</v>
          </cell>
        </row>
        <row r="9779">
          <cell r="I9779" t="str">
            <v>Scaife</v>
          </cell>
        </row>
        <row r="9780">
          <cell r="I9780" t="str">
            <v>Rugg</v>
          </cell>
        </row>
        <row r="9781">
          <cell r="I9781" t="str">
            <v>Ruben</v>
          </cell>
        </row>
        <row r="9782">
          <cell r="I9782" t="str">
            <v>Rothrock</v>
          </cell>
        </row>
        <row r="9783">
          <cell r="I9783" t="str">
            <v>Roesler</v>
          </cell>
        </row>
        <row r="9784">
          <cell r="I9784" t="str">
            <v>Riehl</v>
          </cell>
        </row>
        <row r="9785">
          <cell r="I9785" t="str">
            <v>Ridings</v>
          </cell>
        </row>
        <row r="9786">
          <cell r="I9786" t="str">
            <v>Render</v>
          </cell>
        </row>
        <row r="9787">
          <cell r="I9787" t="str">
            <v>Ransdell</v>
          </cell>
        </row>
        <row r="9788">
          <cell r="I9788" t="str">
            <v>Radke</v>
          </cell>
        </row>
        <row r="9789">
          <cell r="I9789" t="str">
            <v>Pinero</v>
          </cell>
        </row>
        <row r="9790">
          <cell r="I9790" t="str">
            <v>Petree</v>
          </cell>
        </row>
        <row r="9791">
          <cell r="I9791" t="str">
            <v>Pendergast</v>
          </cell>
        </row>
        <row r="9792">
          <cell r="I9792" t="str">
            <v>Peluso</v>
          </cell>
        </row>
        <row r="9793">
          <cell r="I9793" t="str">
            <v>Pecoraro</v>
          </cell>
        </row>
        <row r="9794">
          <cell r="I9794" t="str">
            <v>Pascoe</v>
          </cell>
        </row>
        <row r="9795">
          <cell r="I9795" t="str">
            <v>Panek</v>
          </cell>
        </row>
        <row r="9796">
          <cell r="I9796" t="str">
            <v>Oshiro</v>
          </cell>
        </row>
        <row r="9797">
          <cell r="I9797" t="str">
            <v>Noon</v>
          </cell>
        </row>
        <row r="9798">
          <cell r="I9798" t="str">
            <v>Navarrette</v>
          </cell>
        </row>
        <row r="9799">
          <cell r="I9799" t="str">
            <v>Murguia</v>
          </cell>
        </row>
        <row r="9800">
          <cell r="I9800" t="str">
            <v>Moores</v>
          </cell>
        </row>
        <row r="9801">
          <cell r="I9801" t="str">
            <v>Moberg</v>
          </cell>
        </row>
        <row r="9802">
          <cell r="I9802" t="str">
            <v>Mike</v>
          </cell>
        </row>
        <row r="9803">
          <cell r="I9803" t="str">
            <v>Michaelis</v>
          </cell>
        </row>
        <row r="9804">
          <cell r="I9804" t="str">
            <v>Mcwhirter</v>
          </cell>
        </row>
        <row r="9805">
          <cell r="I9805" t="str">
            <v>Mcsweeney</v>
          </cell>
        </row>
        <row r="9806">
          <cell r="I9806" t="str">
            <v>Mcquade</v>
          </cell>
        </row>
        <row r="9807">
          <cell r="I9807" t="str">
            <v>Mccay</v>
          </cell>
        </row>
        <row r="9808">
          <cell r="I9808" t="str">
            <v>Mauk</v>
          </cell>
        </row>
        <row r="9809">
          <cell r="I9809" t="str">
            <v>Mariani</v>
          </cell>
        </row>
        <row r="9810">
          <cell r="I9810" t="str">
            <v>Marceau</v>
          </cell>
        </row>
        <row r="9811">
          <cell r="I9811" t="str">
            <v>Mandeville</v>
          </cell>
        </row>
        <row r="9812">
          <cell r="I9812" t="str">
            <v>Maeda</v>
          </cell>
        </row>
        <row r="9813">
          <cell r="I9813" t="str">
            <v>Lunde</v>
          </cell>
        </row>
        <row r="9814">
          <cell r="I9814" t="str">
            <v>Ludlow</v>
          </cell>
        </row>
        <row r="9815">
          <cell r="I9815" t="str">
            <v>Loeb</v>
          </cell>
        </row>
        <row r="9816">
          <cell r="I9816" t="str">
            <v>Lindo</v>
          </cell>
        </row>
        <row r="9817">
          <cell r="I9817" t="str">
            <v>Linderman</v>
          </cell>
        </row>
        <row r="9818">
          <cell r="I9818" t="str">
            <v>Leveille</v>
          </cell>
        </row>
        <row r="9819">
          <cell r="I9819" t="str">
            <v>Leith</v>
          </cell>
        </row>
        <row r="9820">
          <cell r="I9820" t="str">
            <v>Larock</v>
          </cell>
        </row>
        <row r="9821">
          <cell r="I9821" t="str">
            <v>Lambrecht</v>
          </cell>
        </row>
        <row r="9822">
          <cell r="I9822" t="str">
            <v>Kulp</v>
          </cell>
        </row>
        <row r="9823">
          <cell r="I9823" t="str">
            <v>Kinsley</v>
          </cell>
        </row>
        <row r="9824">
          <cell r="I9824" t="str">
            <v>Kimberlin</v>
          </cell>
        </row>
        <row r="9825">
          <cell r="I9825" t="str">
            <v>Kesterson</v>
          </cell>
        </row>
        <row r="9826">
          <cell r="I9826" t="str">
            <v>Jacinto</v>
          </cell>
        </row>
        <row r="9827">
          <cell r="I9827" t="str">
            <v>Ice</v>
          </cell>
        </row>
        <row r="9828">
          <cell r="I9828" t="str">
            <v>Hui</v>
          </cell>
        </row>
        <row r="9829">
          <cell r="I9829" t="str">
            <v>Hoyos</v>
          </cell>
        </row>
        <row r="9830">
          <cell r="I9830" t="str">
            <v>Helfrich</v>
          </cell>
        </row>
        <row r="9831">
          <cell r="I9831" t="str">
            <v>Hanke</v>
          </cell>
        </row>
        <row r="9832">
          <cell r="I9832" t="str">
            <v>Hail</v>
          </cell>
        </row>
        <row r="9833">
          <cell r="I9833" t="str">
            <v>Guillermo</v>
          </cell>
        </row>
        <row r="9834">
          <cell r="I9834" t="str">
            <v>Grisby</v>
          </cell>
        </row>
        <row r="9835">
          <cell r="I9835" t="str">
            <v>Goyette</v>
          </cell>
        </row>
        <row r="9836">
          <cell r="I9836" t="str">
            <v>Gouveia</v>
          </cell>
        </row>
        <row r="9837">
          <cell r="I9837" t="str">
            <v>Glazier</v>
          </cell>
        </row>
        <row r="9838">
          <cell r="I9838" t="str">
            <v>Gile</v>
          </cell>
        </row>
        <row r="9839">
          <cell r="I9839" t="str">
            <v>Gerena</v>
          </cell>
        </row>
        <row r="9840">
          <cell r="I9840" t="str">
            <v>Gelinas</v>
          </cell>
        </row>
        <row r="9841">
          <cell r="I9841" t="str">
            <v>Gasaway</v>
          </cell>
        </row>
        <row r="9842">
          <cell r="I9842" t="str">
            <v>Garden</v>
          </cell>
        </row>
        <row r="9843">
          <cell r="I9843" t="str">
            <v>Funches</v>
          </cell>
        </row>
        <row r="9844">
          <cell r="I9844" t="str">
            <v>Fujimoto</v>
          </cell>
        </row>
        <row r="9845">
          <cell r="I9845" t="str">
            <v>Flynt</v>
          </cell>
        </row>
        <row r="9846">
          <cell r="I9846" t="str">
            <v>Fenske</v>
          </cell>
        </row>
        <row r="9847">
          <cell r="I9847" t="str">
            <v>Fellers</v>
          </cell>
        </row>
        <row r="9848">
          <cell r="I9848" t="str">
            <v>Fehr</v>
          </cell>
        </row>
        <row r="9849">
          <cell r="I9849" t="str">
            <v>Eslinger</v>
          </cell>
        </row>
        <row r="9850">
          <cell r="I9850" t="str">
            <v>Escalera</v>
          </cell>
        </row>
        <row r="9851">
          <cell r="I9851" t="str">
            <v>Enciso</v>
          </cell>
        </row>
        <row r="9852">
          <cell r="I9852" t="str">
            <v>Duley</v>
          </cell>
        </row>
        <row r="9853">
          <cell r="I9853" t="str">
            <v>Dittman</v>
          </cell>
        </row>
        <row r="9854">
          <cell r="I9854" t="str">
            <v>Dineen</v>
          </cell>
        </row>
        <row r="9855">
          <cell r="I9855" t="str">
            <v>Diller</v>
          </cell>
        </row>
        <row r="9856">
          <cell r="I9856" t="str">
            <v>Devault</v>
          </cell>
        </row>
        <row r="9857">
          <cell r="I9857" t="str">
            <v>Dao</v>
          </cell>
        </row>
        <row r="9858">
          <cell r="I9858" t="str">
            <v>Collings</v>
          </cell>
        </row>
        <row r="9859">
          <cell r="I9859" t="str">
            <v>Clymer</v>
          </cell>
        </row>
        <row r="9860">
          <cell r="I9860" t="str">
            <v>Clowers</v>
          </cell>
        </row>
        <row r="9861">
          <cell r="I9861" t="str">
            <v>Chavers</v>
          </cell>
        </row>
        <row r="9862">
          <cell r="I9862" t="str">
            <v>Charland</v>
          </cell>
        </row>
        <row r="9863">
          <cell r="I9863" t="str">
            <v>Castorena</v>
          </cell>
        </row>
        <row r="9864">
          <cell r="I9864" t="str">
            <v>Castello</v>
          </cell>
        </row>
        <row r="9865">
          <cell r="I9865" t="str">
            <v>Camargo</v>
          </cell>
        </row>
        <row r="9866">
          <cell r="I9866" t="str">
            <v>Bunce</v>
          </cell>
        </row>
        <row r="9867">
          <cell r="I9867" t="str">
            <v>Bullen</v>
          </cell>
        </row>
        <row r="9868">
          <cell r="I9868" t="str">
            <v>Boyes</v>
          </cell>
        </row>
        <row r="9869">
          <cell r="I9869" t="str">
            <v>Borchers</v>
          </cell>
        </row>
        <row r="9870">
          <cell r="I9870" t="str">
            <v>Borchardt</v>
          </cell>
        </row>
        <row r="9871">
          <cell r="I9871" t="str">
            <v>Birnbaum</v>
          </cell>
        </row>
        <row r="9872">
          <cell r="I9872" t="str">
            <v>Birdsall</v>
          </cell>
        </row>
        <row r="9873">
          <cell r="I9873" t="str">
            <v>Billman</v>
          </cell>
        </row>
        <row r="9874">
          <cell r="I9874" t="str">
            <v>Benites</v>
          </cell>
        </row>
        <row r="9875">
          <cell r="I9875" t="str">
            <v>Bankhead</v>
          </cell>
        </row>
        <row r="9876">
          <cell r="I9876" t="str">
            <v>Ange</v>
          </cell>
        </row>
        <row r="9877">
          <cell r="I9877" t="str">
            <v>Ammerman</v>
          </cell>
        </row>
        <row r="9878">
          <cell r="I9878" t="str">
            <v>Adkison</v>
          </cell>
        </row>
        <row r="9879">
          <cell r="I9879" t="str">
            <v>Yuan</v>
          </cell>
        </row>
        <row r="9880">
          <cell r="I9880" t="str">
            <v>Winegar</v>
          </cell>
        </row>
        <row r="9881">
          <cell r="I9881" t="str">
            <v>Wickman</v>
          </cell>
        </row>
        <row r="9882">
          <cell r="I9882" t="str">
            <v>Wear</v>
          </cell>
        </row>
        <row r="9883">
          <cell r="I9883" t="str">
            <v>Warr</v>
          </cell>
        </row>
        <row r="9884">
          <cell r="I9884" t="str">
            <v>Warnke</v>
          </cell>
        </row>
        <row r="9885">
          <cell r="I9885" t="str">
            <v>Villeneuve</v>
          </cell>
        </row>
        <row r="9886">
          <cell r="I9886" t="str">
            <v>Veasey</v>
          </cell>
        </row>
        <row r="9887">
          <cell r="I9887" t="str">
            <v>Vassallo</v>
          </cell>
        </row>
        <row r="9888">
          <cell r="I9888" t="str">
            <v>Vannatta</v>
          </cell>
        </row>
        <row r="9889">
          <cell r="I9889" t="str">
            <v>Vadnais</v>
          </cell>
        </row>
        <row r="9890">
          <cell r="I9890" t="str">
            <v>Twilley</v>
          </cell>
        </row>
        <row r="9891">
          <cell r="I9891" t="str">
            <v>Truelove</v>
          </cell>
        </row>
        <row r="9892">
          <cell r="I9892" t="str">
            <v>Towery</v>
          </cell>
        </row>
        <row r="9893">
          <cell r="I9893" t="str">
            <v>Tomblin</v>
          </cell>
        </row>
        <row r="9894">
          <cell r="I9894" t="str">
            <v>Tippett</v>
          </cell>
        </row>
        <row r="9895">
          <cell r="I9895" t="str">
            <v>Theiss</v>
          </cell>
        </row>
        <row r="9896">
          <cell r="I9896" t="str">
            <v>Talkington</v>
          </cell>
        </row>
        <row r="9897">
          <cell r="I9897" t="str">
            <v>Talamantes</v>
          </cell>
        </row>
        <row r="9898">
          <cell r="I9898" t="str">
            <v>Swart</v>
          </cell>
        </row>
        <row r="9899">
          <cell r="I9899" t="str">
            <v>Swanger</v>
          </cell>
        </row>
        <row r="9900">
          <cell r="I9900" t="str">
            <v>Streit</v>
          </cell>
        </row>
        <row r="9901">
          <cell r="I9901" t="str">
            <v>Straw</v>
          </cell>
        </row>
        <row r="9902">
          <cell r="I9902" t="str">
            <v>Stines</v>
          </cell>
        </row>
        <row r="9903">
          <cell r="I9903" t="str">
            <v>Stabler</v>
          </cell>
        </row>
        <row r="9904">
          <cell r="I9904" t="str">
            <v>Spurling</v>
          </cell>
        </row>
        <row r="9905">
          <cell r="I9905" t="str">
            <v>Sobel</v>
          </cell>
        </row>
        <row r="9906">
          <cell r="I9906" t="str">
            <v>Sine</v>
          </cell>
        </row>
        <row r="9907">
          <cell r="I9907" t="str">
            <v>Simmers</v>
          </cell>
        </row>
        <row r="9908">
          <cell r="I9908" t="str">
            <v>Shippy</v>
          </cell>
        </row>
        <row r="9909">
          <cell r="I9909" t="str">
            <v>Shiflett</v>
          </cell>
        </row>
        <row r="9910">
          <cell r="I9910" t="str">
            <v>Shearin</v>
          </cell>
        </row>
        <row r="9911">
          <cell r="I9911" t="str">
            <v>Sauter</v>
          </cell>
        </row>
        <row r="9912">
          <cell r="I9912" t="str">
            <v>Sanderlin</v>
          </cell>
        </row>
        <row r="9913">
          <cell r="I9913" t="str">
            <v>Rusch</v>
          </cell>
        </row>
        <row r="9914">
          <cell r="I9914" t="str">
            <v>Runkle</v>
          </cell>
        </row>
        <row r="9915">
          <cell r="I9915" t="str">
            <v>Ruckman</v>
          </cell>
        </row>
        <row r="9916">
          <cell r="I9916" t="str">
            <v>Rorie</v>
          </cell>
        </row>
        <row r="9917">
          <cell r="I9917" t="str">
            <v>Roesch</v>
          </cell>
        </row>
        <row r="9918">
          <cell r="I9918" t="str">
            <v>Roberto</v>
          </cell>
        </row>
        <row r="9919">
          <cell r="I9919" t="str">
            <v>Richert</v>
          </cell>
        </row>
        <row r="9920">
          <cell r="I9920" t="str">
            <v>Rehm</v>
          </cell>
        </row>
        <row r="9921">
          <cell r="I9921" t="str">
            <v>Randel</v>
          </cell>
        </row>
        <row r="9922">
          <cell r="I9922" t="str">
            <v>Ragin</v>
          </cell>
        </row>
        <row r="9923">
          <cell r="I9923" t="str">
            <v>Quesenberry</v>
          </cell>
        </row>
        <row r="9924">
          <cell r="I9924" t="str">
            <v>Puentes</v>
          </cell>
        </row>
        <row r="9925">
          <cell r="I9925" t="str">
            <v>Plyler</v>
          </cell>
        </row>
        <row r="9926">
          <cell r="I9926" t="str">
            <v>Plotkin</v>
          </cell>
        </row>
        <row r="9927">
          <cell r="I9927" t="str">
            <v>Paugh</v>
          </cell>
        </row>
        <row r="9928">
          <cell r="I9928" t="str">
            <v>Oshaughnessy</v>
          </cell>
        </row>
        <row r="9929">
          <cell r="I9929" t="str">
            <v>Ohalloran</v>
          </cell>
        </row>
        <row r="9930">
          <cell r="I9930" t="str">
            <v>Norsworthy</v>
          </cell>
        </row>
        <row r="9931">
          <cell r="I9931" t="str">
            <v>Niemann</v>
          </cell>
        </row>
        <row r="9932">
          <cell r="I9932" t="str">
            <v>Nader</v>
          </cell>
        </row>
        <row r="9933">
          <cell r="I9933" t="str">
            <v>Moorefield</v>
          </cell>
        </row>
        <row r="9934">
          <cell r="I9934" t="str">
            <v>Mooneyham</v>
          </cell>
        </row>
        <row r="9935">
          <cell r="I9935" t="str">
            <v>Modica</v>
          </cell>
        </row>
        <row r="9936">
          <cell r="I9936" t="str">
            <v>Miyamoto</v>
          </cell>
        </row>
        <row r="9937">
          <cell r="I9937" t="str">
            <v>Mickel</v>
          </cell>
        </row>
        <row r="9938">
          <cell r="I9938" t="str">
            <v>Mebane</v>
          </cell>
        </row>
        <row r="9939">
          <cell r="I9939" t="str">
            <v>Mckinnie</v>
          </cell>
        </row>
        <row r="9940">
          <cell r="I9940" t="str">
            <v>Mazurek</v>
          </cell>
        </row>
        <row r="9941">
          <cell r="I9941" t="str">
            <v>Mancilla</v>
          </cell>
        </row>
        <row r="9942">
          <cell r="I9942" t="str">
            <v>Lukas</v>
          </cell>
        </row>
        <row r="9943">
          <cell r="I9943" t="str">
            <v>Lovins</v>
          </cell>
        </row>
        <row r="9944">
          <cell r="I9944" t="str">
            <v>Loughlin</v>
          </cell>
        </row>
        <row r="9945">
          <cell r="I9945" t="str">
            <v>Lotz</v>
          </cell>
        </row>
        <row r="9946">
          <cell r="I9946" t="str">
            <v>Lindsley</v>
          </cell>
        </row>
        <row r="9947">
          <cell r="I9947" t="str">
            <v>Liddle</v>
          </cell>
        </row>
        <row r="9948">
          <cell r="I9948" t="str">
            <v>Levan</v>
          </cell>
        </row>
        <row r="9949">
          <cell r="I9949" t="str">
            <v>Lederman</v>
          </cell>
        </row>
        <row r="9950">
          <cell r="I9950" t="str">
            <v>Leclaire</v>
          </cell>
        </row>
        <row r="9951">
          <cell r="I9951" t="str">
            <v>Lasseter</v>
          </cell>
        </row>
        <row r="9952">
          <cell r="I9952" t="str">
            <v>Lapoint</v>
          </cell>
        </row>
        <row r="9953">
          <cell r="I9953" t="str">
            <v>Lamoreaux</v>
          </cell>
        </row>
        <row r="9954">
          <cell r="I9954" t="str">
            <v>Lafollette</v>
          </cell>
        </row>
        <row r="9955">
          <cell r="I9955" t="str">
            <v>Kubiak</v>
          </cell>
        </row>
        <row r="9956">
          <cell r="I9956" t="str">
            <v>Kirtley</v>
          </cell>
        </row>
        <row r="9957">
          <cell r="I9957" t="str">
            <v>Keffer</v>
          </cell>
        </row>
        <row r="9958">
          <cell r="I9958" t="str">
            <v>Kaczmarek</v>
          </cell>
        </row>
        <row r="9959">
          <cell r="I9959" t="str">
            <v>Jennette</v>
          </cell>
        </row>
        <row r="9960">
          <cell r="I9960" t="str">
            <v>Housman</v>
          </cell>
        </row>
        <row r="9961">
          <cell r="I9961" t="str">
            <v>Honey</v>
          </cell>
        </row>
        <row r="9962">
          <cell r="I9962" t="str">
            <v>Hiers</v>
          </cell>
        </row>
        <row r="9963">
          <cell r="I9963" t="str">
            <v>Hibbert</v>
          </cell>
        </row>
        <row r="9964">
          <cell r="I9964" t="str">
            <v>Herrod</v>
          </cell>
        </row>
        <row r="9965">
          <cell r="I9965" t="str">
            <v>Hegarty</v>
          </cell>
        </row>
        <row r="9966">
          <cell r="I9966" t="str">
            <v>Hathorn</v>
          </cell>
        </row>
        <row r="9967">
          <cell r="I9967" t="str">
            <v>Harsh</v>
          </cell>
        </row>
        <row r="9968">
          <cell r="I9968" t="str">
            <v>Greenhaw</v>
          </cell>
        </row>
        <row r="9969">
          <cell r="I9969" t="str">
            <v>Grafton</v>
          </cell>
        </row>
        <row r="9970">
          <cell r="I9970" t="str">
            <v>Govea</v>
          </cell>
        </row>
        <row r="9971">
          <cell r="I9971" t="str">
            <v>Gardener</v>
          </cell>
        </row>
        <row r="9972">
          <cell r="I9972" t="str">
            <v>Futch</v>
          </cell>
        </row>
        <row r="9973">
          <cell r="I9973" t="str">
            <v>Furst</v>
          </cell>
        </row>
        <row r="9974">
          <cell r="I9974" t="str">
            <v>Frisbee</v>
          </cell>
        </row>
        <row r="9975">
          <cell r="I9975" t="str">
            <v>Fred</v>
          </cell>
        </row>
        <row r="9976">
          <cell r="I9976" t="str">
            <v>Franko</v>
          </cell>
        </row>
        <row r="9977">
          <cell r="I9977" t="str">
            <v>Forcier</v>
          </cell>
        </row>
        <row r="9978">
          <cell r="I9978" t="str">
            <v>Foran</v>
          </cell>
        </row>
        <row r="9979">
          <cell r="I9979" t="str">
            <v>Flickinger</v>
          </cell>
        </row>
        <row r="9980">
          <cell r="I9980" t="str">
            <v>Fairfield</v>
          </cell>
        </row>
        <row r="9981">
          <cell r="I9981" t="str">
            <v>Eure</v>
          </cell>
        </row>
        <row r="9982">
          <cell r="I9982" t="str">
            <v>Emrich</v>
          </cell>
        </row>
        <row r="9983">
          <cell r="I9983" t="str">
            <v>Embrey</v>
          </cell>
        </row>
        <row r="9984">
          <cell r="I9984" t="str">
            <v>Edgington</v>
          </cell>
        </row>
        <row r="9985">
          <cell r="I9985" t="str">
            <v>Ecklund</v>
          </cell>
        </row>
        <row r="9986">
          <cell r="I9986" t="str">
            <v>Eckard</v>
          </cell>
        </row>
        <row r="9987">
          <cell r="I9987" t="str">
            <v>Durante</v>
          </cell>
        </row>
        <row r="9988">
          <cell r="I9988" t="str">
            <v>Deyo</v>
          </cell>
        </row>
        <row r="9989">
          <cell r="I9989" t="str">
            <v>Delvecchio</v>
          </cell>
        </row>
        <row r="9990">
          <cell r="I9990" t="str">
            <v>Deeds</v>
          </cell>
        </row>
        <row r="9991">
          <cell r="I9991" t="str">
            <v>Dade</v>
          </cell>
        </row>
        <row r="9992">
          <cell r="I9992" t="str">
            <v>Currey</v>
          </cell>
        </row>
        <row r="9993">
          <cell r="I9993" t="str">
            <v>Cuff</v>
          </cell>
        </row>
        <row r="9994">
          <cell r="I9994" t="str">
            <v>Creswell</v>
          </cell>
        </row>
        <row r="9995">
          <cell r="I9995" t="str">
            <v>Cottrill</v>
          </cell>
        </row>
        <row r="9996">
          <cell r="I9996" t="str">
            <v>Casavant</v>
          </cell>
        </row>
        <row r="9997">
          <cell r="I9997" t="str">
            <v>Cartier</v>
          </cell>
        </row>
        <row r="9998">
          <cell r="I9998" t="str">
            <v>Cargile</v>
          </cell>
        </row>
        <row r="9999">
          <cell r="I9999" t="str">
            <v>Capel</v>
          </cell>
        </row>
        <row r="10000">
          <cell r="I10000" t="str">
            <v>Cammack</v>
          </cell>
        </row>
        <row r="10001">
          <cell r="I10001" t="str">
            <v>Calfee</v>
          </cell>
        </row>
        <row r="10002">
          <cell r="I10002" t="str">
            <v>Buzzard</v>
          </cell>
        </row>
        <row r="10003">
          <cell r="I10003" t="str">
            <v>Burse</v>
          </cell>
        </row>
        <row r="10004">
          <cell r="I10004" t="str">
            <v>Burruss</v>
          </cell>
        </row>
        <row r="10005">
          <cell r="I10005" t="str">
            <v>Brust</v>
          </cell>
        </row>
        <row r="10006">
          <cell r="I10006" t="str">
            <v>Brousseau</v>
          </cell>
        </row>
        <row r="10007">
          <cell r="I10007" t="str">
            <v>Bridwell</v>
          </cell>
        </row>
        <row r="10008">
          <cell r="I10008" t="str">
            <v>Braaten</v>
          </cell>
        </row>
        <row r="10009">
          <cell r="I10009" t="str">
            <v>Borkholder</v>
          </cell>
        </row>
        <row r="10010">
          <cell r="I10010" t="str">
            <v>Bloomquist</v>
          </cell>
        </row>
        <row r="10011">
          <cell r="I10011" t="str">
            <v>Bjork</v>
          </cell>
        </row>
        <row r="10012">
          <cell r="I10012" t="str">
            <v>Bartelt</v>
          </cell>
        </row>
        <row r="10013">
          <cell r="I10013" t="str">
            <v>Arp</v>
          </cell>
        </row>
        <row r="10014">
          <cell r="I10014" t="str">
            <v>Amburgey</v>
          </cell>
        </row>
        <row r="10015">
          <cell r="I10015" t="str">
            <v>Yeary</v>
          </cell>
        </row>
        <row r="10016">
          <cell r="I10016" t="str">
            <v>Yao</v>
          </cell>
        </row>
        <row r="10017">
          <cell r="I10017" t="str">
            <v>Whitefield</v>
          </cell>
        </row>
        <row r="10018">
          <cell r="I10018" t="str">
            <v>Vinyard</v>
          </cell>
        </row>
        <row r="10019">
          <cell r="I10019" t="str">
            <v>Vicente</v>
          </cell>
        </row>
        <row r="10020">
          <cell r="I10020" t="str">
            <v>Vanvalkenburg</v>
          </cell>
        </row>
        <row r="10021">
          <cell r="I10021" t="str">
            <v>Twitchell</v>
          </cell>
        </row>
        <row r="10022">
          <cell r="I10022" t="str">
            <v>Timmins</v>
          </cell>
        </row>
        <row r="10023">
          <cell r="I10023" t="str">
            <v>Tester</v>
          </cell>
        </row>
        <row r="10024">
          <cell r="I10024" t="str">
            <v>Tapper</v>
          </cell>
        </row>
        <row r="10025">
          <cell r="I10025" t="str">
            <v>Stringham</v>
          </cell>
        </row>
        <row r="10026">
          <cell r="I10026" t="str">
            <v>Starcher</v>
          </cell>
        </row>
        <row r="10027">
          <cell r="I10027" t="str">
            <v>Spotts</v>
          </cell>
        </row>
        <row r="10028">
          <cell r="I10028" t="str">
            <v>Slaugh</v>
          </cell>
        </row>
        <row r="10029">
          <cell r="I10029" t="str">
            <v>Simonsen</v>
          </cell>
        </row>
        <row r="10030">
          <cell r="I10030" t="str">
            <v>Sheffer</v>
          </cell>
        </row>
        <row r="10031">
          <cell r="I10031" t="str">
            <v>Sequeira</v>
          </cell>
        </row>
        <row r="10032">
          <cell r="I10032" t="str">
            <v>Rosati</v>
          </cell>
        </row>
        <row r="10033">
          <cell r="I10033" t="str">
            <v>Rode</v>
          </cell>
        </row>
        <row r="10034">
          <cell r="I10034" t="str">
            <v>Rhymes</v>
          </cell>
        </row>
        <row r="10035">
          <cell r="I10035" t="str">
            <v>Reza</v>
          </cell>
        </row>
        <row r="10036">
          <cell r="I10036" t="str">
            <v>Record</v>
          </cell>
        </row>
        <row r="10037">
          <cell r="I10037" t="str">
            <v>Quint</v>
          </cell>
        </row>
        <row r="10038">
          <cell r="I10038" t="str">
            <v>Pollak</v>
          </cell>
        </row>
        <row r="10039">
          <cell r="I10039" t="str">
            <v>Peirce</v>
          </cell>
        </row>
        <row r="10040">
          <cell r="I10040" t="str">
            <v>Patillo</v>
          </cell>
        </row>
        <row r="10041">
          <cell r="I10041" t="str">
            <v>Parkerson</v>
          </cell>
        </row>
        <row r="10042">
          <cell r="I10042" t="str">
            <v>Paiva</v>
          </cell>
        </row>
        <row r="10043">
          <cell r="I10043" t="str">
            <v>Nilson</v>
          </cell>
        </row>
        <row r="10044">
          <cell r="I10044" t="str">
            <v>Nice</v>
          </cell>
        </row>
        <row r="10045">
          <cell r="I10045" t="str">
            <v>Nevin</v>
          </cell>
        </row>
        <row r="10046">
          <cell r="I10046" t="str">
            <v>Narcisse</v>
          </cell>
        </row>
        <row r="10047">
          <cell r="I10047" t="str">
            <v>Nair</v>
          </cell>
        </row>
        <row r="10048">
          <cell r="I10048" t="str">
            <v>Mitton</v>
          </cell>
        </row>
        <row r="10049">
          <cell r="I10049" t="str">
            <v>Merriam</v>
          </cell>
        </row>
        <row r="10050">
          <cell r="I10050" t="str">
            <v>Merced</v>
          </cell>
        </row>
        <row r="10051">
          <cell r="I10051" t="str">
            <v>Meiners</v>
          </cell>
        </row>
        <row r="10052">
          <cell r="I10052" t="str">
            <v>Mckain</v>
          </cell>
        </row>
        <row r="10053">
          <cell r="I10053" t="str">
            <v>Mcelveen</v>
          </cell>
        </row>
        <row r="10054">
          <cell r="I10054" t="str">
            <v>Mcbeth</v>
          </cell>
        </row>
        <row r="10055">
          <cell r="I10055" t="str">
            <v>Marsden</v>
          </cell>
        </row>
        <row r="10056">
          <cell r="I10056" t="str">
            <v>Marez</v>
          </cell>
        </row>
        <row r="10057">
          <cell r="I10057" t="str">
            <v>Manke</v>
          </cell>
        </row>
        <row r="10058">
          <cell r="I10058" t="str">
            <v>Mahurin</v>
          </cell>
        </row>
        <row r="10059">
          <cell r="I10059" t="str">
            <v>Mabrey</v>
          </cell>
        </row>
        <row r="10060">
          <cell r="I10060" t="str">
            <v>Luper</v>
          </cell>
        </row>
        <row r="10061">
          <cell r="I10061" t="str">
            <v>Krull</v>
          </cell>
        </row>
        <row r="10062">
          <cell r="I10062" t="str">
            <v>Kees</v>
          </cell>
        </row>
        <row r="10063">
          <cell r="I10063" t="str">
            <v>Iles</v>
          </cell>
        </row>
        <row r="10064">
          <cell r="I10064" t="str">
            <v>Hunsicker</v>
          </cell>
        </row>
        <row r="10065">
          <cell r="I10065" t="str">
            <v>Hornbuckle</v>
          </cell>
        </row>
        <row r="10066">
          <cell r="I10066" t="str">
            <v>Holtzclaw</v>
          </cell>
        </row>
        <row r="10067">
          <cell r="I10067" t="str">
            <v>Hirt</v>
          </cell>
        </row>
        <row r="10068">
          <cell r="I10068" t="str">
            <v>Hinnant</v>
          </cell>
        </row>
        <row r="10069">
          <cell r="I10069" t="str">
            <v>Heston</v>
          </cell>
        </row>
        <row r="10070">
          <cell r="I10070" t="str">
            <v>Hering</v>
          </cell>
        </row>
        <row r="10071">
          <cell r="I10071" t="str">
            <v>Hemenway</v>
          </cell>
        </row>
        <row r="10072">
          <cell r="I10072" t="str">
            <v>Hegwood</v>
          </cell>
        </row>
        <row r="10073">
          <cell r="I10073" t="str">
            <v>Hearns</v>
          </cell>
        </row>
        <row r="10074">
          <cell r="I10074" t="str">
            <v>Halterman</v>
          </cell>
        </row>
        <row r="10075">
          <cell r="I10075" t="str">
            <v>Halls</v>
          </cell>
        </row>
        <row r="10076">
          <cell r="I10076" t="str">
            <v>Guiterrez</v>
          </cell>
        </row>
        <row r="10077">
          <cell r="I10077" t="str">
            <v>Grote</v>
          </cell>
        </row>
        <row r="10078">
          <cell r="I10078" t="str">
            <v>Granillo</v>
          </cell>
        </row>
        <row r="10079">
          <cell r="I10079" t="str">
            <v>Grainger</v>
          </cell>
        </row>
        <row r="10080">
          <cell r="I10080" t="str">
            <v>Glasco</v>
          </cell>
        </row>
        <row r="10081">
          <cell r="I10081" t="str">
            <v>Gilder</v>
          </cell>
        </row>
        <row r="10082">
          <cell r="I10082" t="str">
            <v>Garren</v>
          </cell>
        </row>
        <row r="10083">
          <cell r="I10083" t="str">
            <v>Garlock</v>
          </cell>
        </row>
        <row r="10084">
          <cell r="I10084" t="str">
            <v>Garey</v>
          </cell>
        </row>
        <row r="10085">
          <cell r="I10085" t="str">
            <v>Fu</v>
          </cell>
        </row>
        <row r="10086">
          <cell r="I10086" t="str">
            <v>Fryar</v>
          </cell>
        </row>
        <row r="10087">
          <cell r="I10087" t="str">
            <v>Fredricks</v>
          </cell>
        </row>
        <row r="10088">
          <cell r="I10088" t="str">
            <v>Fraizer</v>
          </cell>
        </row>
        <row r="10089">
          <cell r="I10089" t="str">
            <v>Foxx</v>
          </cell>
        </row>
        <row r="10090">
          <cell r="I10090" t="str">
            <v>Foshee</v>
          </cell>
        </row>
        <row r="10091">
          <cell r="I10091" t="str">
            <v>Ferrel</v>
          </cell>
        </row>
        <row r="10092">
          <cell r="I10092" t="str">
            <v>Felty</v>
          </cell>
        </row>
        <row r="10093">
          <cell r="I10093" t="str">
            <v>Feathers</v>
          </cell>
        </row>
        <row r="10094">
          <cell r="I10094" t="str">
            <v>Everitt</v>
          </cell>
        </row>
        <row r="10095">
          <cell r="I10095" t="str">
            <v>Evens</v>
          </cell>
        </row>
        <row r="10096">
          <cell r="I10096" t="str">
            <v>Esser</v>
          </cell>
        </row>
        <row r="10097">
          <cell r="I10097" t="str">
            <v>Elkin</v>
          </cell>
        </row>
        <row r="10098">
          <cell r="I10098" t="str">
            <v>Eberhart</v>
          </cell>
        </row>
        <row r="10099">
          <cell r="I10099" t="str">
            <v>Durso</v>
          </cell>
        </row>
        <row r="10100">
          <cell r="I10100" t="str">
            <v>Duguay</v>
          </cell>
        </row>
        <row r="10101">
          <cell r="I10101" t="str">
            <v>Driskill</v>
          </cell>
        </row>
        <row r="10102">
          <cell r="I10102" t="str">
            <v>Doster</v>
          </cell>
        </row>
        <row r="10103">
          <cell r="I10103" t="str">
            <v>Dewall</v>
          </cell>
        </row>
        <row r="10104">
          <cell r="I10104" t="str">
            <v>Deveau</v>
          </cell>
        </row>
        <row r="10105">
          <cell r="I10105" t="str">
            <v>Demps</v>
          </cell>
        </row>
        <row r="10106">
          <cell r="I10106" t="str">
            <v>Demaio</v>
          </cell>
        </row>
        <row r="10107">
          <cell r="I10107" t="str">
            <v>Delreal</v>
          </cell>
        </row>
        <row r="10108">
          <cell r="I10108" t="str">
            <v>Deleo</v>
          </cell>
        </row>
        <row r="10109">
          <cell r="I10109" t="str">
            <v>Delay</v>
          </cell>
        </row>
        <row r="10110">
          <cell r="I10110" t="str">
            <v>Deem</v>
          </cell>
        </row>
        <row r="10111">
          <cell r="I10111" t="str">
            <v>Darrah</v>
          </cell>
        </row>
        <row r="10112">
          <cell r="I10112" t="str">
            <v>Cumberbatch</v>
          </cell>
        </row>
        <row r="10113">
          <cell r="I10113" t="str">
            <v>Culberson</v>
          </cell>
        </row>
        <row r="10114">
          <cell r="I10114" t="str">
            <v>Cranmer</v>
          </cell>
        </row>
        <row r="10115">
          <cell r="I10115" t="str">
            <v>Cordle</v>
          </cell>
        </row>
        <row r="10116">
          <cell r="I10116" t="str">
            <v>Colgan</v>
          </cell>
        </row>
        <row r="10117">
          <cell r="I10117" t="str">
            <v>Chesley</v>
          </cell>
        </row>
        <row r="10118">
          <cell r="I10118" t="str">
            <v>Cavallo</v>
          </cell>
        </row>
        <row r="10119">
          <cell r="I10119" t="str">
            <v>Castellon</v>
          </cell>
        </row>
        <row r="10120">
          <cell r="I10120" t="str">
            <v>Castelli</v>
          </cell>
        </row>
        <row r="10121">
          <cell r="I10121" t="str">
            <v>Carreras</v>
          </cell>
        </row>
        <row r="10122">
          <cell r="I10122" t="str">
            <v>Carnell</v>
          </cell>
        </row>
        <row r="10123">
          <cell r="I10123" t="str">
            <v>Carmon</v>
          </cell>
        </row>
        <row r="10124">
          <cell r="I10124" t="str">
            <v>Carmen</v>
          </cell>
        </row>
        <row r="10125">
          <cell r="I10125" t="str">
            <v>Carlucci</v>
          </cell>
        </row>
        <row r="10126">
          <cell r="I10126" t="str">
            <v>Bottom</v>
          </cell>
        </row>
        <row r="10127">
          <cell r="I10127" t="str">
            <v>Bontrager</v>
          </cell>
        </row>
        <row r="10128">
          <cell r="I10128" t="str">
            <v>Blumberg</v>
          </cell>
        </row>
        <row r="10129">
          <cell r="I10129" t="str">
            <v>Blasingame</v>
          </cell>
        </row>
        <row r="10130">
          <cell r="I10130" t="str">
            <v>Becton</v>
          </cell>
        </row>
        <row r="10131">
          <cell r="I10131" t="str">
            <v>Ayon</v>
          </cell>
        </row>
        <row r="10132">
          <cell r="I10132" t="str">
            <v>Artrip</v>
          </cell>
        </row>
        <row r="10133">
          <cell r="I10133" t="str">
            <v>Arline</v>
          </cell>
        </row>
        <row r="10134">
          <cell r="I10134" t="str">
            <v>Andujar</v>
          </cell>
        </row>
        <row r="10135">
          <cell r="I10135" t="str">
            <v>Alkire</v>
          </cell>
        </row>
        <row r="10136">
          <cell r="I10136" t="str">
            <v>Alder</v>
          </cell>
        </row>
        <row r="10137">
          <cell r="I10137" t="str">
            <v>Agan</v>
          </cell>
        </row>
        <row r="10138">
          <cell r="I10138" t="str">
            <v>Zukowski</v>
          </cell>
        </row>
        <row r="10139">
          <cell r="I10139" t="str">
            <v>Zuckerman</v>
          </cell>
        </row>
        <row r="10140">
          <cell r="I10140" t="str">
            <v>Zehr</v>
          </cell>
        </row>
        <row r="10141">
          <cell r="I10141" t="str">
            <v>Wroblewski</v>
          </cell>
        </row>
        <row r="10142">
          <cell r="I10142" t="str">
            <v>Wrigley</v>
          </cell>
        </row>
        <row r="10143">
          <cell r="I10143" t="str">
            <v>Woodside</v>
          </cell>
        </row>
        <row r="10144">
          <cell r="I10144" t="str">
            <v>Wigginton</v>
          </cell>
        </row>
        <row r="10145">
          <cell r="I10145" t="str">
            <v>Westman</v>
          </cell>
        </row>
        <row r="10146">
          <cell r="I10146" t="str">
            <v>Westgate</v>
          </cell>
        </row>
        <row r="10147">
          <cell r="I10147" t="str">
            <v>Werts</v>
          </cell>
        </row>
        <row r="10148">
          <cell r="I10148" t="str">
            <v>Washam</v>
          </cell>
        </row>
        <row r="10149">
          <cell r="I10149" t="str">
            <v>Wardlow</v>
          </cell>
        </row>
        <row r="10150">
          <cell r="I10150" t="str">
            <v>Walser</v>
          </cell>
        </row>
        <row r="10151">
          <cell r="I10151" t="str">
            <v>Waiters</v>
          </cell>
        </row>
        <row r="10152">
          <cell r="I10152" t="str">
            <v>Teller</v>
          </cell>
        </row>
        <row r="10153">
          <cell r="I10153" t="str">
            <v>Tadlock</v>
          </cell>
        </row>
        <row r="10154">
          <cell r="I10154" t="str">
            <v>Stuck</v>
          </cell>
        </row>
        <row r="10155">
          <cell r="I10155" t="str">
            <v>Stringfield</v>
          </cell>
        </row>
        <row r="10156">
          <cell r="I10156" t="str">
            <v>Stimpson</v>
          </cell>
        </row>
        <row r="10157">
          <cell r="I10157" t="str">
            <v>Stickley</v>
          </cell>
        </row>
        <row r="10158">
          <cell r="I10158" t="str">
            <v>Starbuck</v>
          </cell>
        </row>
        <row r="10159">
          <cell r="I10159" t="str">
            <v>Standish</v>
          </cell>
        </row>
        <row r="10160">
          <cell r="I10160" t="str">
            <v>Spurlin</v>
          </cell>
        </row>
        <row r="10161">
          <cell r="I10161" t="str">
            <v>Spindler</v>
          </cell>
        </row>
        <row r="10162">
          <cell r="I10162" t="str">
            <v>Speller</v>
          </cell>
        </row>
        <row r="10163">
          <cell r="I10163" t="str">
            <v>Spaeth</v>
          </cell>
        </row>
        <row r="10164">
          <cell r="I10164" t="str">
            <v>Sotomayor</v>
          </cell>
        </row>
        <row r="10165">
          <cell r="I10165" t="str">
            <v>Sok</v>
          </cell>
        </row>
        <row r="10166">
          <cell r="I10166" t="str">
            <v>Sluder</v>
          </cell>
        </row>
        <row r="10167">
          <cell r="I10167" t="str">
            <v>Shryock</v>
          </cell>
        </row>
        <row r="10168">
          <cell r="I10168" t="str">
            <v>Shepardson</v>
          </cell>
        </row>
        <row r="10169">
          <cell r="I10169" t="str">
            <v>Shatley</v>
          </cell>
        </row>
        <row r="10170">
          <cell r="I10170" t="str">
            <v>Scannell</v>
          </cell>
        </row>
        <row r="10171">
          <cell r="I10171" t="str">
            <v>Santistevan</v>
          </cell>
        </row>
        <row r="10172">
          <cell r="I10172" t="str">
            <v>Rosner</v>
          </cell>
        </row>
        <row r="10173">
          <cell r="I10173" t="str">
            <v>Rolland</v>
          </cell>
        </row>
        <row r="10174">
          <cell r="I10174" t="str">
            <v>Rhode</v>
          </cell>
        </row>
        <row r="10175">
          <cell r="I10175" t="str">
            <v>Resto</v>
          </cell>
        </row>
        <row r="10176">
          <cell r="I10176" t="str">
            <v>Reinhard</v>
          </cell>
        </row>
        <row r="10177">
          <cell r="I10177" t="str">
            <v>Rathburn</v>
          </cell>
        </row>
        <row r="10178">
          <cell r="I10178" t="str">
            <v>Prisco</v>
          </cell>
        </row>
        <row r="10179">
          <cell r="I10179" t="str">
            <v>Poulsen</v>
          </cell>
        </row>
        <row r="10180">
          <cell r="I10180" t="str">
            <v>Pinney</v>
          </cell>
        </row>
        <row r="10181">
          <cell r="I10181" t="str">
            <v>Phares</v>
          </cell>
        </row>
        <row r="10182">
          <cell r="I10182" t="str">
            <v>Pennock</v>
          </cell>
        </row>
        <row r="10183">
          <cell r="I10183" t="str">
            <v>Pastrana</v>
          </cell>
        </row>
        <row r="10184">
          <cell r="I10184" t="str">
            <v>Oviedo</v>
          </cell>
        </row>
        <row r="10185">
          <cell r="I10185" t="str">
            <v>Ostler</v>
          </cell>
        </row>
        <row r="10186">
          <cell r="I10186" t="str">
            <v>Noto</v>
          </cell>
        </row>
        <row r="10187">
          <cell r="I10187" t="str">
            <v>Nauman</v>
          </cell>
        </row>
        <row r="10188">
          <cell r="I10188" t="str">
            <v>Mulford</v>
          </cell>
        </row>
        <row r="10189">
          <cell r="I10189" t="str">
            <v>Moise</v>
          </cell>
        </row>
        <row r="10190">
          <cell r="I10190" t="str">
            <v>Moberly</v>
          </cell>
        </row>
        <row r="10191">
          <cell r="I10191" t="str">
            <v>Mirabal</v>
          </cell>
        </row>
        <row r="10192">
          <cell r="I10192" t="str">
            <v>Ming</v>
          </cell>
        </row>
        <row r="10193">
          <cell r="I10193" t="str">
            <v>Metoyer</v>
          </cell>
        </row>
        <row r="10194">
          <cell r="I10194" t="str">
            <v>Metheny</v>
          </cell>
        </row>
        <row r="10195">
          <cell r="I10195" t="str">
            <v>Mentzer</v>
          </cell>
        </row>
        <row r="10196">
          <cell r="I10196" t="str">
            <v>Meldrum</v>
          </cell>
        </row>
        <row r="10197">
          <cell r="I10197" t="str">
            <v>Mcinturff</v>
          </cell>
        </row>
        <row r="10198">
          <cell r="I10198" t="str">
            <v>Mcelyea</v>
          </cell>
        </row>
        <row r="10199">
          <cell r="I10199" t="str">
            <v>Mcdougle</v>
          </cell>
        </row>
        <row r="10200">
          <cell r="I10200" t="str">
            <v>Massaro</v>
          </cell>
        </row>
        <row r="10201">
          <cell r="I10201" t="str">
            <v>Lumpkins</v>
          </cell>
        </row>
        <row r="10202">
          <cell r="I10202" t="str">
            <v>Loveday</v>
          </cell>
        </row>
        <row r="10203">
          <cell r="I10203" t="str">
            <v>Lofgren</v>
          </cell>
        </row>
        <row r="10204">
          <cell r="I10204" t="str">
            <v>Loe</v>
          </cell>
        </row>
        <row r="10205">
          <cell r="I10205" t="str">
            <v>Lirette</v>
          </cell>
        </row>
        <row r="10206">
          <cell r="I10206" t="str">
            <v>Lesperance</v>
          </cell>
        </row>
        <row r="10207">
          <cell r="I10207" t="str">
            <v>Lefkowitz</v>
          </cell>
        </row>
        <row r="10208">
          <cell r="I10208" t="str">
            <v>Ledger</v>
          </cell>
        </row>
        <row r="10209">
          <cell r="I10209" t="str">
            <v>Lauzon</v>
          </cell>
        </row>
        <row r="10210">
          <cell r="I10210" t="str">
            <v>Lain</v>
          </cell>
        </row>
        <row r="10211">
          <cell r="I10211" t="str">
            <v>Lachapelle</v>
          </cell>
        </row>
        <row r="10212">
          <cell r="I10212" t="str">
            <v>Kurz</v>
          </cell>
        </row>
        <row r="10213">
          <cell r="I10213" t="str">
            <v>Klassen</v>
          </cell>
        </row>
        <row r="10214">
          <cell r="I10214" t="str">
            <v>Keough</v>
          </cell>
        </row>
        <row r="10215">
          <cell r="I10215" t="str">
            <v>Kempton</v>
          </cell>
        </row>
        <row r="10216">
          <cell r="I10216" t="str">
            <v>Kaelin</v>
          </cell>
        </row>
        <row r="10217">
          <cell r="I10217" t="str">
            <v>Jeffords</v>
          </cell>
        </row>
        <row r="10218">
          <cell r="I10218" t="str">
            <v>Im</v>
          </cell>
        </row>
        <row r="10219">
          <cell r="I10219" t="str">
            <v>Huot</v>
          </cell>
        </row>
        <row r="10220">
          <cell r="I10220" t="str">
            <v>Hsieh</v>
          </cell>
        </row>
        <row r="10221">
          <cell r="I10221" t="str">
            <v>Hoyer</v>
          </cell>
        </row>
        <row r="10222">
          <cell r="I10222" t="str">
            <v>Horwitz</v>
          </cell>
        </row>
        <row r="10223">
          <cell r="I10223" t="str">
            <v>Hopp</v>
          </cell>
        </row>
        <row r="10224">
          <cell r="I10224" t="str">
            <v>Hoeft</v>
          </cell>
        </row>
        <row r="10225">
          <cell r="I10225" t="str">
            <v>Hennig</v>
          </cell>
        </row>
        <row r="10226">
          <cell r="I10226" t="str">
            <v>Haskin</v>
          </cell>
        </row>
        <row r="10227">
          <cell r="I10227" t="str">
            <v>Grill</v>
          </cell>
        </row>
        <row r="10228">
          <cell r="I10228" t="str">
            <v>Gourdine</v>
          </cell>
        </row>
        <row r="10229">
          <cell r="I10229" t="str">
            <v>Golightly</v>
          </cell>
        </row>
        <row r="10230">
          <cell r="I10230" t="str">
            <v>Girouard</v>
          </cell>
        </row>
        <row r="10231">
          <cell r="I10231" t="str">
            <v>Fulgham</v>
          </cell>
        </row>
        <row r="10232">
          <cell r="I10232" t="str">
            <v>Fritsch</v>
          </cell>
        </row>
        <row r="10233">
          <cell r="I10233" t="str">
            <v>Freer</v>
          </cell>
        </row>
        <row r="10234">
          <cell r="I10234" t="str">
            <v>Frasher</v>
          </cell>
        </row>
        <row r="10235">
          <cell r="I10235" t="str">
            <v>Foulk</v>
          </cell>
        </row>
        <row r="10236">
          <cell r="I10236" t="str">
            <v>Firestone</v>
          </cell>
        </row>
        <row r="10237">
          <cell r="I10237" t="str">
            <v>Fiorentino</v>
          </cell>
        </row>
        <row r="10238">
          <cell r="I10238" t="str">
            <v>Fedor</v>
          </cell>
        </row>
        <row r="10239">
          <cell r="I10239" t="str">
            <v>Feather</v>
          </cell>
        </row>
        <row r="10240">
          <cell r="I10240" t="str">
            <v>Ensley</v>
          </cell>
        </row>
        <row r="10241">
          <cell r="I10241" t="str">
            <v>Englehart</v>
          </cell>
        </row>
        <row r="10242">
          <cell r="I10242" t="str">
            <v>Eells</v>
          </cell>
        </row>
        <row r="10243">
          <cell r="I10243" t="str">
            <v>Ebel</v>
          </cell>
        </row>
        <row r="10244">
          <cell r="I10244" t="str">
            <v>Dunphy</v>
          </cell>
        </row>
        <row r="10245">
          <cell r="I10245" t="str">
            <v>Donahoe</v>
          </cell>
        </row>
        <row r="10246">
          <cell r="I10246" t="str">
            <v>Dimas</v>
          </cell>
        </row>
        <row r="10247">
          <cell r="I10247" t="str">
            <v>Dileo</v>
          </cell>
        </row>
        <row r="10248">
          <cell r="I10248" t="str">
            <v>Dibenedetto</v>
          </cell>
        </row>
        <row r="10249">
          <cell r="I10249" t="str">
            <v>Dabrowski</v>
          </cell>
        </row>
        <row r="10250">
          <cell r="I10250" t="str">
            <v>Crick</v>
          </cell>
        </row>
        <row r="10251">
          <cell r="I10251" t="str">
            <v>Coonrod</v>
          </cell>
        </row>
        <row r="10252">
          <cell r="I10252" t="str">
            <v>Conder</v>
          </cell>
        </row>
        <row r="10253">
          <cell r="I10253" t="str">
            <v>Coddington</v>
          </cell>
        </row>
        <row r="10254">
          <cell r="I10254" t="str">
            <v>Chunn</v>
          </cell>
        </row>
        <row r="10255">
          <cell r="I10255" t="str">
            <v>Choy</v>
          </cell>
        </row>
        <row r="10256">
          <cell r="I10256" t="str">
            <v>Chaput</v>
          </cell>
        </row>
        <row r="10257">
          <cell r="I10257" t="str">
            <v>Cerna</v>
          </cell>
        </row>
        <row r="10258">
          <cell r="I10258" t="str">
            <v>Carreiro</v>
          </cell>
        </row>
        <row r="10259">
          <cell r="I10259" t="str">
            <v>Calahan</v>
          </cell>
        </row>
        <row r="10260">
          <cell r="I10260" t="str">
            <v>Braggs</v>
          </cell>
        </row>
        <row r="10261">
          <cell r="I10261" t="str">
            <v>Bourdon</v>
          </cell>
        </row>
        <row r="10262">
          <cell r="I10262" t="str">
            <v>Boner</v>
          </cell>
        </row>
        <row r="10263">
          <cell r="I10263" t="str">
            <v>Bollman</v>
          </cell>
        </row>
        <row r="10264">
          <cell r="I10264" t="str">
            <v>Bittle</v>
          </cell>
        </row>
        <row r="10265">
          <cell r="I10265" t="str">
            <v>Ben</v>
          </cell>
        </row>
        <row r="10266">
          <cell r="I10266" t="str">
            <v>Behm</v>
          </cell>
        </row>
        <row r="10267">
          <cell r="I10267" t="str">
            <v>Bauder</v>
          </cell>
        </row>
        <row r="10268">
          <cell r="I10268" t="str">
            <v>Batt</v>
          </cell>
        </row>
        <row r="10269">
          <cell r="I10269" t="str">
            <v>Barreras</v>
          </cell>
        </row>
        <row r="10270">
          <cell r="I10270" t="str">
            <v>Aubuchon</v>
          </cell>
        </row>
        <row r="10271">
          <cell r="I10271" t="str">
            <v>Anzalone</v>
          </cell>
        </row>
        <row r="10272">
          <cell r="I10272" t="str">
            <v>Adamo</v>
          </cell>
        </row>
        <row r="10273">
          <cell r="I10273" t="str">
            <v>Zhou</v>
          </cell>
        </row>
        <row r="10274">
          <cell r="I10274" t="str">
            <v>Zerbe</v>
          </cell>
        </row>
        <row r="10275">
          <cell r="I10275" t="str">
            <v>Zachery</v>
          </cell>
        </row>
        <row r="10276">
          <cell r="I10276" t="str">
            <v>Witty</v>
          </cell>
        </row>
        <row r="10277">
          <cell r="I10277" t="str">
            <v>Wirt</v>
          </cell>
        </row>
        <row r="10278">
          <cell r="I10278" t="str">
            <v>Willcox</v>
          </cell>
        </row>
        <row r="10279">
          <cell r="I10279" t="str">
            <v>Westberg</v>
          </cell>
        </row>
        <row r="10280">
          <cell r="I10280" t="str">
            <v>Weikel</v>
          </cell>
        </row>
        <row r="10281">
          <cell r="I10281" t="str">
            <v>Waymire</v>
          </cell>
        </row>
        <row r="10282">
          <cell r="I10282" t="str">
            <v>Vroman</v>
          </cell>
        </row>
        <row r="10283">
          <cell r="I10283" t="str">
            <v>Vinci</v>
          </cell>
        </row>
        <row r="10284">
          <cell r="I10284" t="str">
            <v>Vallejos</v>
          </cell>
        </row>
        <row r="10285">
          <cell r="I10285" t="str">
            <v>Tutor</v>
          </cell>
        </row>
        <row r="10286">
          <cell r="I10286" t="str">
            <v>Truesdell</v>
          </cell>
        </row>
        <row r="10287">
          <cell r="I10287" t="str">
            <v>Troutt</v>
          </cell>
        </row>
        <row r="10288">
          <cell r="I10288" t="str">
            <v>Trotta</v>
          </cell>
        </row>
        <row r="10289">
          <cell r="I10289" t="str">
            <v>Tollison</v>
          </cell>
        </row>
        <row r="10290">
          <cell r="I10290" t="str">
            <v>Toles</v>
          </cell>
        </row>
        <row r="10291">
          <cell r="I10291" t="str">
            <v>Tichenor</v>
          </cell>
        </row>
        <row r="10292">
          <cell r="I10292" t="str">
            <v>Tai</v>
          </cell>
        </row>
        <row r="10293">
          <cell r="I10293" t="str">
            <v>Symonds</v>
          </cell>
        </row>
        <row r="10294">
          <cell r="I10294" t="str">
            <v>Surles</v>
          </cell>
        </row>
        <row r="10295">
          <cell r="I10295" t="str">
            <v>Sunday</v>
          </cell>
        </row>
        <row r="10296">
          <cell r="I10296" t="str">
            <v>Strayer</v>
          </cell>
        </row>
        <row r="10297">
          <cell r="I10297" t="str">
            <v>Stgeorge</v>
          </cell>
        </row>
        <row r="10298">
          <cell r="I10298" t="str">
            <v>Sroka</v>
          </cell>
        </row>
        <row r="10299">
          <cell r="I10299" t="str">
            <v>Sorrentino</v>
          </cell>
        </row>
        <row r="10300">
          <cell r="I10300" t="str">
            <v>Solares</v>
          </cell>
        </row>
        <row r="10301">
          <cell r="I10301" t="str">
            <v>Snelson</v>
          </cell>
        </row>
        <row r="10302">
          <cell r="I10302" t="str">
            <v>Silvestri</v>
          </cell>
        </row>
        <row r="10303">
          <cell r="I10303" t="str">
            <v>Sikorski</v>
          </cell>
        </row>
        <row r="10304">
          <cell r="I10304" t="str">
            <v>Shawver</v>
          </cell>
        </row>
        <row r="10305">
          <cell r="I10305" t="str">
            <v>Schumaker</v>
          </cell>
        </row>
        <row r="10306">
          <cell r="I10306" t="str">
            <v>Schorr</v>
          </cell>
        </row>
        <row r="10307">
          <cell r="I10307" t="str">
            <v>Schooley</v>
          </cell>
        </row>
        <row r="10308">
          <cell r="I10308" t="str">
            <v>Scates</v>
          </cell>
        </row>
        <row r="10309">
          <cell r="I10309" t="str">
            <v>Satterlee</v>
          </cell>
        </row>
        <row r="10310">
          <cell r="I10310" t="str">
            <v>Satchell</v>
          </cell>
        </row>
        <row r="10311">
          <cell r="I10311" t="str">
            <v>Sacks</v>
          </cell>
        </row>
        <row r="10312">
          <cell r="I10312" t="str">
            <v>Rymer</v>
          </cell>
        </row>
        <row r="10313">
          <cell r="I10313" t="str">
            <v>Roselli</v>
          </cell>
        </row>
        <row r="10314">
          <cell r="I10314" t="str">
            <v>Robitaille</v>
          </cell>
        </row>
        <row r="10315">
          <cell r="I10315" t="str">
            <v>Riegel</v>
          </cell>
        </row>
        <row r="10316">
          <cell r="I10316" t="str">
            <v>Richer</v>
          </cell>
        </row>
        <row r="10317">
          <cell r="I10317" t="str">
            <v>Regis</v>
          </cell>
        </row>
        <row r="10318">
          <cell r="I10318" t="str">
            <v>Reames</v>
          </cell>
        </row>
        <row r="10319">
          <cell r="I10319" t="str">
            <v>Provenzano</v>
          </cell>
        </row>
        <row r="10320">
          <cell r="I10320" t="str">
            <v>Proper</v>
          </cell>
        </row>
        <row r="10321">
          <cell r="I10321" t="str">
            <v>Priestley</v>
          </cell>
        </row>
        <row r="10322">
          <cell r="I10322" t="str">
            <v>Plaisance</v>
          </cell>
        </row>
        <row r="10323">
          <cell r="I10323" t="str">
            <v>Pettey</v>
          </cell>
        </row>
        <row r="10324">
          <cell r="I10324" t="str">
            <v>Palomares</v>
          </cell>
        </row>
        <row r="10325">
          <cell r="I10325" t="str">
            <v>Oman</v>
          </cell>
        </row>
        <row r="10326">
          <cell r="I10326" t="str">
            <v>Nowakowski</v>
          </cell>
        </row>
        <row r="10327">
          <cell r="I10327" t="str">
            <v>Nace</v>
          </cell>
        </row>
        <row r="10328">
          <cell r="I10328" t="str">
            <v>Monette</v>
          </cell>
        </row>
        <row r="10329">
          <cell r="I10329" t="str">
            <v>Minyard</v>
          </cell>
        </row>
        <row r="10330">
          <cell r="I10330" t="str">
            <v>Mclamb</v>
          </cell>
        </row>
        <row r="10331">
          <cell r="I10331" t="str">
            <v>Mchone</v>
          </cell>
        </row>
        <row r="10332">
          <cell r="I10332" t="str">
            <v>Mccarroll</v>
          </cell>
        </row>
        <row r="10333">
          <cell r="I10333" t="str">
            <v>Masson</v>
          </cell>
        </row>
        <row r="10334">
          <cell r="I10334" t="str">
            <v>Marco</v>
          </cell>
        </row>
        <row r="10335">
          <cell r="I10335" t="str">
            <v>Magoon</v>
          </cell>
        </row>
        <row r="10336">
          <cell r="I10336" t="str">
            <v>Maddy</v>
          </cell>
        </row>
        <row r="10337">
          <cell r="I10337" t="str">
            <v>Lundin</v>
          </cell>
        </row>
        <row r="10338">
          <cell r="I10338" t="str">
            <v>Loza</v>
          </cell>
        </row>
        <row r="10339">
          <cell r="I10339" t="str">
            <v>Licata</v>
          </cell>
        </row>
        <row r="10340">
          <cell r="I10340" t="str">
            <v>Lesley</v>
          </cell>
        </row>
        <row r="10341">
          <cell r="I10341" t="str">
            <v>Leonhardt</v>
          </cell>
        </row>
        <row r="10342">
          <cell r="I10342" t="str">
            <v>Lema</v>
          </cell>
        </row>
        <row r="10343">
          <cell r="I10343" t="str">
            <v>Landwehr</v>
          </cell>
        </row>
        <row r="10344">
          <cell r="I10344" t="str">
            <v>Kircher</v>
          </cell>
        </row>
        <row r="10345">
          <cell r="I10345" t="str">
            <v>Kinch</v>
          </cell>
        </row>
        <row r="10346">
          <cell r="I10346" t="str">
            <v>Karpinski</v>
          </cell>
        </row>
        <row r="10347">
          <cell r="I10347" t="str">
            <v>Johannsen</v>
          </cell>
        </row>
        <row r="10348">
          <cell r="I10348" t="str">
            <v>Hussain</v>
          </cell>
        </row>
        <row r="10349">
          <cell r="I10349" t="str">
            <v>Houghtaling</v>
          </cell>
        </row>
        <row r="10350">
          <cell r="I10350" t="str">
            <v>Hoskinson</v>
          </cell>
        </row>
        <row r="10351">
          <cell r="I10351" t="str">
            <v>Hollaway</v>
          </cell>
        </row>
        <row r="10352">
          <cell r="I10352" t="str">
            <v>Holeman</v>
          </cell>
        </row>
        <row r="10353">
          <cell r="I10353" t="str">
            <v>Hobgood</v>
          </cell>
        </row>
        <row r="10354">
          <cell r="I10354" t="str">
            <v>Hilt</v>
          </cell>
        </row>
        <row r="10355">
          <cell r="I10355" t="str">
            <v>Hiebert</v>
          </cell>
        </row>
        <row r="10356">
          <cell r="I10356" t="str">
            <v>Gros</v>
          </cell>
        </row>
        <row r="10357">
          <cell r="I10357" t="str">
            <v>Gram</v>
          </cell>
        </row>
        <row r="10358">
          <cell r="I10358" t="str">
            <v>Goggin</v>
          </cell>
        </row>
        <row r="10359">
          <cell r="I10359" t="str">
            <v>Gentle</v>
          </cell>
        </row>
        <row r="10360">
          <cell r="I10360" t="str">
            <v>Geissler</v>
          </cell>
        </row>
        <row r="10361">
          <cell r="I10361" t="str">
            <v>Gadbois</v>
          </cell>
        </row>
        <row r="10362">
          <cell r="I10362" t="str">
            <v>Gabaldon</v>
          </cell>
        </row>
        <row r="10363">
          <cell r="I10363" t="str">
            <v>Fleshman</v>
          </cell>
        </row>
        <row r="10364">
          <cell r="I10364" t="str">
            <v>Flannigan</v>
          </cell>
        </row>
        <row r="10365">
          <cell r="I10365" t="str">
            <v>Files</v>
          </cell>
        </row>
        <row r="10366">
          <cell r="I10366" t="str">
            <v>Fairman</v>
          </cell>
        </row>
        <row r="10367">
          <cell r="I10367" t="str">
            <v>Epp</v>
          </cell>
        </row>
        <row r="10368">
          <cell r="I10368" t="str">
            <v>Eilers</v>
          </cell>
        </row>
        <row r="10369">
          <cell r="I10369" t="str">
            <v>Dycus</v>
          </cell>
        </row>
        <row r="10370">
          <cell r="I10370" t="str">
            <v>Dunmire</v>
          </cell>
        </row>
        <row r="10371">
          <cell r="I10371" t="str">
            <v>Duffield</v>
          </cell>
        </row>
        <row r="10372">
          <cell r="I10372" t="str">
            <v>Dowler</v>
          </cell>
        </row>
        <row r="10373">
          <cell r="I10373" t="str">
            <v>Ditto</v>
          </cell>
        </row>
        <row r="10374">
          <cell r="I10374" t="str">
            <v>Deloatch</v>
          </cell>
        </row>
        <row r="10375">
          <cell r="I10375" t="str">
            <v>Dehaan</v>
          </cell>
        </row>
        <row r="10376">
          <cell r="I10376" t="str">
            <v>Deemer</v>
          </cell>
        </row>
        <row r="10377">
          <cell r="I10377" t="str">
            <v>Corner</v>
          </cell>
        </row>
        <row r="10378">
          <cell r="I10378" t="str">
            <v>Clayborn</v>
          </cell>
        </row>
        <row r="10379">
          <cell r="I10379" t="str">
            <v>Christofferso</v>
          </cell>
        </row>
        <row r="10380">
          <cell r="I10380" t="str">
            <v>Chilson</v>
          </cell>
        </row>
        <row r="10381">
          <cell r="I10381" t="str">
            <v>Chesney</v>
          </cell>
        </row>
        <row r="10382">
          <cell r="I10382" t="str">
            <v>Chatfield</v>
          </cell>
        </row>
        <row r="10383">
          <cell r="I10383" t="str">
            <v>Charlie</v>
          </cell>
        </row>
        <row r="10384">
          <cell r="I10384" t="str">
            <v>Caster</v>
          </cell>
        </row>
        <row r="10385">
          <cell r="I10385" t="str">
            <v>Carron</v>
          </cell>
        </row>
        <row r="10386">
          <cell r="I10386" t="str">
            <v>Canale</v>
          </cell>
        </row>
        <row r="10387">
          <cell r="I10387" t="str">
            <v>Camden</v>
          </cell>
        </row>
        <row r="10388">
          <cell r="I10388" t="str">
            <v>Buff</v>
          </cell>
        </row>
        <row r="10389">
          <cell r="I10389" t="str">
            <v>Brigman</v>
          </cell>
        </row>
        <row r="10390">
          <cell r="I10390" t="str">
            <v>Branstetter</v>
          </cell>
        </row>
        <row r="10391">
          <cell r="I10391" t="str">
            <v>Bosse</v>
          </cell>
        </row>
        <row r="10392">
          <cell r="I10392" t="str">
            <v>Borton</v>
          </cell>
        </row>
        <row r="10393">
          <cell r="I10393" t="str">
            <v>Bonar</v>
          </cell>
        </row>
        <row r="10394">
          <cell r="I10394" t="str">
            <v>Blau</v>
          </cell>
        </row>
        <row r="10395">
          <cell r="I10395" t="str">
            <v>Biron</v>
          </cell>
        </row>
        <row r="10396">
          <cell r="I10396" t="str">
            <v>Beagle</v>
          </cell>
        </row>
        <row r="10397">
          <cell r="I10397" t="str">
            <v>Barroso</v>
          </cell>
        </row>
        <row r="10398">
          <cell r="I10398" t="str">
            <v>Arvin</v>
          </cell>
        </row>
        <row r="10399">
          <cell r="I10399" t="str">
            <v>Arispe</v>
          </cell>
        </row>
        <row r="10400">
          <cell r="I10400" t="str">
            <v>Zacharias</v>
          </cell>
        </row>
        <row r="10401">
          <cell r="I10401" t="str">
            <v>Zabel</v>
          </cell>
        </row>
        <row r="10402">
          <cell r="I10402" t="str">
            <v>Yaeger</v>
          </cell>
        </row>
        <row r="10403">
          <cell r="I10403" t="str">
            <v>Works</v>
          </cell>
        </row>
        <row r="10404">
          <cell r="I10404" t="str">
            <v>Woolford</v>
          </cell>
        </row>
        <row r="10405">
          <cell r="I10405" t="str">
            <v>Whetzel</v>
          </cell>
        </row>
        <row r="10406">
          <cell r="I10406" t="str">
            <v>Weakley</v>
          </cell>
        </row>
        <row r="10407">
          <cell r="I10407" t="str">
            <v>Veatch</v>
          </cell>
        </row>
        <row r="10408">
          <cell r="I10408" t="str">
            <v>Vandeusen</v>
          </cell>
        </row>
        <row r="10409">
          <cell r="I10409" t="str">
            <v>Tufts</v>
          </cell>
        </row>
        <row r="10410">
          <cell r="I10410" t="str">
            <v>Troxel</v>
          </cell>
        </row>
        <row r="10411">
          <cell r="I10411" t="str">
            <v>Troche</v>
          </cell>
        </row>
        <row r="10412">
          <cell r="I10412" t="str">
            <v>Traver</v>
          </cell>
        </row>
        <row r="10413">
          <cell r="I10413" t="str">
            <v>Townsel</v>
          </cell>
        </row>
        <row r="10414">
          <cell r="I10414" t="str">
            <v>Tosh</v>
          </cell>
        </row>
        <row r="10415">
          <cell r="I10415" t="str">
            <v>Talarico</v>
          </cell>
        </row>
        <row r="10416">
          <cell r="I10416" t="str">
            <v>Swilley</v>
          </cell>
        </row>
        <row r="10417">
          <cell r="I10417" t="str">
            <v>Sterrett</v>
          </cell>
        </row>
        <row r="10418">
          <cell r="I10418" t="str">
            <v>Stenger</v>
          </cell>
        </row>
        <row r="10419">
          <cell r="I10419" t="str">
            <v>Springfield</v>
          </cell>
        </row>
        <row r="10420">
          <cell r="I10420" t="str">
            <v>Speakman</v>
          </cell>
        </row>
        <row r="10421">
          <cell r="I10421" t="str">
            <v>Sowards</v>
          </cell>
        </row>
        <row r="10422">
          <cell r="I10422" t="str">
            <v>Sours</v>
          </cell>
        </row>
        <row r="10423">
          <cell r="I10423" t="str">
            <v>Souders</v>
          </cell>
        </row>
        <row r="10424">
          <cell r="I10424" t="str">
            <v>Souder</v>
          </cell>
        </row>
        <row r="10425">
          <cell r="I10425" t="str">
            <v>Soles</v>
          </cell>
        </row>
        <row r="10426">
          <cell r="I10426" t="str">
            <v>Sobers</v>
          </cell>
        </row>
        <row r="10427">
          <cell r="I10427" t="str">
            <v>Snoddy</v>
          </cell>
        </row>
        <row r="10428">
          <cell r="I10428" t="str">
            <v>Smither</v>
          </cell>
        </row>
        <row r="10429">
          <cell r="I10429" t="str">
            <v>Sias</v>
          </cell>
        </row>
        <row r="10430">
          <cell r="I10430" t="str">
            <v>Shute</v>
          </cell>
        </row>
        <row r="10431">
          <cell r="I10431" t="str">
            <v>Shoaf</v>
          </cell>
        </row>
        <row r="10432">
          <cell r="I10432" t="str">
            <v>Shahan</v>
          </cell>
        </row>
        <row r="10433">
          <cell r="I10433" t="str">
            <v>Schuetz</v>
          </cell>
        </row>
        <row r="10434">
          <cell r="I10434" t="str">
            <v>Scaggs</v>
          </cell>
        </row>
        <row r="10435">
          <cell r="I10435" t="str">
            <v>Santini</v>
          </cell>
        </row>
        <row r="10436">
          <cell r="I10436" t="str">
            <v>Rosson</v>
          </cell>
        </row>
        <row r="10437">
          <cell r="I10437" t="str">
            <v>Rolen</v>
          </cell>
        </row>
        <row r="10438">
          <cell r="I10438" t="str">
            <v>Robidoux</v>
          </cell>
        </row>
        <row r="10439">
          <cell r="I10439" t="str">
            <v>Rentas</v>
          </cell>
        </row>
        <row r="10440">
          <cell r="I10440" t="str">
            <v>Recio</v>
          </cell>
        </row>
        <row r="10441">
          <cell r="I10441" t="str">
            <v>Pixley</v>
          </cell>
        </row>
        <row r="10442">
          <cell r="I10442" t="str">
            <v>Pawlowski</v>
          </cell>
        </row>
        <row r="10443">
          <cell r="I10443" t="str">
            <v>Pawlak</v>
          </cell>
        </row>
        <row r="10444">
          <cell r="I10444" t="str">
            <v>Paull</v>
          </cell>
        </row>
        <row r="10445">
          <cell r="I10445" t="str">
            <v>Pascal</v>
          </cell>
        </row>
        <row r="10446">
          <cell r="I10446" t="str">
            <v>Overbey</v>
          </cell>
        </row>
        <row r="10447">
          <cell r="I10447" t="str">
            <v>Orear</v>
          </cell>
        </row>
        <row r="10448">
          <cell r="I10448" t="str">
            <v>Oliveri</v>
          </cell>
        </row>
        <row r="10449">
          <cell r="I10449" t="str">
            <v>Oldenburg</v>
          </cell>
        </row>
        <row r="10450">
          <cell r="I10450" t="str">
            <v>Nutting</v>
          </cell>
        </row>
        <row r="10451">
          <cell r="I10451" t="str">
            <v>Naugle</v>
          </cell>
        </row>
        <row r="10452">
          <cell r="I10452" t="str">
            <v>Mote</v>
          </cell>
        </row>
        <row r="10453">
          <cell r="I10453" t="str">
            <v>Mossman</v>
          </cell>
        </row>
        <row r="10454">
          <cell r="I10454" t="str">
            <v>Moor</v>
          </cell>
        </row>
        <row r="10455">
          <cell r="I10455" t="str">
            <v>Misner</v>
          </cell>
        </row>
        <row r="10456">
          <cell r="I10456" t="str">
            <v>Milazzo</v>
          </cell>
        </row>
        <row r="10457">
          <cell r="I10457" t="str">
            <v>Michelson</v>
          </cell>
        </row>
        <row r="10458">
          <cell r="I10458" t="str">
            <v>Mei</v>
          </cell>
        </row>
        <row r="10459">
          <cell r="I10459" t="str">
            <v>Mcentee</v>
          </cell>
        </row>
        <row r="10460">
          <cell r="I10460" t="str">
            <v>Mccullar</v>
          </cell>
        </row>
        <row r="10461">
          <cell r="I10461" t="str">
            <v>Mccree</v>
          </cell>
        </row>
        <row r="10462">
          <cell r="I10462" t="str">
            <v>Mcaleer</v>
          </cell>
        </row>
        <row r="10463">
          <cell r="I10463" t="str">
            <v>Mazzone</v>
          </cell>
        </row>
        <row r="10464">
          <cell r="I10464" t="str">
            <v>Maxim</v>
          </cell>
        </row>
        <row r="10465">
          <cell r="I10465" t="str">
            <v>Marshal</v>
          </cell>
        </row>
        <row r="10466">
          <cell r="I10466" t="str">
            <v>Mandell</v>
          </cell>
        </row>
        <row r="10467">
          <cell r="I10467" t="str">
            <v>Manahan</v>
          </cell>
        </row>
        <row r="10468">
          <cell r="I10468" t="str">
            <v>Malott</v>
          </cell>
        </row>
        <row r="10469">
          <cell r="I10469" t="str">
            <v>Maisonet</v>
          </cell>
        </row>
        <row r="10470">
          <cell r="I10470" t="str">
            <v>Mailloux</v>
          </cell>
        </row>
        <row r="10471">
          <cell r="I10471" t="str">
            <v>Lumley</v>
          </cell>
        </row>
        <row r="10472">
          <cell r="I10472" t="str">
            <v>Lowrie</v>
          </cell>
        </row>
        <row r="10473">
          <cell r="I10473" t="str">
            <v>Louviere</v>
          </cell>
        </row>
        <row r="10474">
          <cell r="I10474" t="str">
            <v>Lipinski</v>
          </cell>
        </row>
        <row r="10475">
          <cell r="I10475" t="str">
            <v>Lindemann</v>
          </cell>
        </row>
        <row r="10476">
          <cell r="I10476" t="str">
            <v>Leppert</v>
          </cell>
        </row>
        <row r="10477">
          <cell r="I10477" t="str">
            <v>Leopold</v>
          </cell>
        </row>
        <row r="10478">
          <cell r="I10478" t="str">
            <v>Leasure</v>
          </cell>
        </row>
        <row r="10479">
          <cell r="I10479" t="str">
            <v>Leaf</v>
          </cell>
        </row>
        <row r="10480">
          <cell r="I10480" t="str">
            <v>Labarge</v>
          </cell>
        </row>
        <row r="10481">
          <cell r="I10481" t="str">
            <v>Kubik</v>
          </cell>
        </row>
        <row r="10482">
          <cell r="I10482" t="str">
            <v>Knisely</v>
          </cell>
        </row>
        <row r="10483">
          <cell r="I10483" t="str">
            <v>Knepp</v>
          </cell>
        </row>
        <row r="10484">
          <cell r="I10484" t="str">
            <v>Kenworthy</v>
          </cell>
        </row>
        <row r="10485">
          <cell r="I10485" t="str">
            <v>Kennelly</v>
          </cell>
        </row>
        <row r="10486">
          <cell r="I10486" t="str">
            <v>Kelch</v>
          </cell>
        </row>
        <row r="10487">
          <cell r="I10487" t="str">
            <v>Karg</v>
          </cell>
        </row>
        <row r="10488">
          <cell r="I10488" t="str">
            <v>Kanter</v>
          </cell>
        </row>
        <row r="10489">
          <cell r="I10489" t="str">
            <v>Ignacio</v>
          </cell>
        </row>
        <row r="10490">
          <cell r="I10490" t="str">
            <v>Hyer</v>
          </cell>
        </row>
        <row r="10491">
          <cell r="I10491" t="str">
            <v>Houchin</v>
          </cell>
        </row>
        <row r="10492">
          <cell r="I10492" t="str">
            <v>Hosley</v>
          </cell>
        </row>
        <row r="10493">
          <cell r="I10493" t="str">
            <v>Hosler</v>
          </cell>
        </row>
        <row r="10494">
          <cell r="I10494" t="str">
            <v>Hollon</v>
          </cell>
        </row>
        <row r="10495">
          <cell r="I10495" t="str">
            <v>Holleman</v>
          </cell>
        </row>
        <row r="10496">
          <cell r="I10496" t="str">
            <v>Heitman</v>
          </cell>
        </row>
        <row r="10497">
          <cell r="I10497" t="str">
            <v>Hebb</v>
          </cell>
        </row>
        <row r="10498">
          <cell r="I10498" t="str">
            <v>Haggins</v>
          </cell>
        </row>
        <row r="10499">
          <cell r="I10499" t="str">
            <v>Gwaltney</v>
          </cell>
        </row>
        <row r="10500">
          <cell r="I10500" t="str">
            <v>Guin</v>
          </cell>
        </row>
        <row r="10501">
          <cell r="I10501" t="str">
            <v>Greenman</v>
          </cell>
        </row>
        <row r="10502">
          <cell r="I10502" t="str">
            <v>Goulding</v>
          </cell>
        </row>
        <row r="10503">
          <cell r="I10503" t="str">
            <v>Gorden</v>
          </cell>
        </row>
        <row r="10504">
          <cell r="I10504" t="str">
            <v>Goodyear</v>
          </cell>
        </row>
        <row r="10505">
          <cell r="I10505" t="str">
            <v>Geraci</v>
          </cell>
        </row>
        <row r="10506">
          <cell r="I10506" t="str">
            <v>Georges</v>
          </cell>
        </row>
        <row r="10507">
          <cell r="I10507" t="str">
            <v>Gathers</v>
          </cell>
        </row>
        <row r="10508">
          <cell r="I10508" t="str">
            <v>Frison</v>
          </cell>
        </row>
        <row r="10509">
          <cell r="I10509" t="str">
            <v>Feagin</v>
          </cell>
        </row>
        <row r="10510">
          <cell r="I10510" t="str">
            <v>Falconer</v>
          </cell>
        </row>
        <row r="10511">
          <cell r="I10511" t="str">
            <v>Espada</v>
          </cell>
        </row>
        <row r="10512">
          <cell r="I10512" t="str">
            <v>Erving</v>
          </cell>
        </row>
        <row r="10513">
          <cell r="I10513" t="str">
            <v>Erikson</v>
          </cell>
        </row>
        <row r="10514">
          <cell r="I10514" t="str">
            <v>Eisenhauer</v>
          </cell>
        </row>
        <row r="10515">
          <cell r="I10515" t="str">
            <v>Eder</v>
          </cell>
        </row>
        <row r="10516">
          <cell r="I10516" t="str">
            <v>Ebeling</v>
          </cell>
        </row>
        <row r="10517">
          <cell r="I10517" t="str">
            <v>Durgin</v>
          </cell>
        </row>
        <row r="10518">
          <cell r="I10518" t="str">
            <v>Drown</v>
          </cell>
        </row>
        <row r="10519">
          <cell r="I10519" t="str">
            <v>Dowdle</v>
          </cell>
        </row>
        <row r="10520">
          <cell r="I10520" t="str">
            <v>Dinwiddie</v>
          </cell>
        </row>
        <row r="10521">
          <cell r="I10521" t="str">
            <v>Delcastillo</v>
          </cell>
        </row>
        <row r="10522">
          <cell r="I10522" t="str">
            <v>Dedrick</v>
          </cell>
        </row>
        <row r="10523">
          <cell r="I10523" t="str">
            <v>Crimmins</v>
          </cell>
        </row>
        <row r="10524">
          <cell r="I10524" t="str">
            <v>Covell</v>
          </cell>
        </row>
        <row r="10525">
          <cell r="I10525" t="str">
            <v>Cournoyer</v>
          </cell>
        </row>
        <row r="10526">
          <cell r="I10526" t="str">
            <v>Coria</v>
          </cell>
        </row>
        <row r="10527">
          <cell r="I10527" t="str">
            <v>Cohan</v>
          </cell>
        </row>
        <row r="10528">
          <cell r="I10528" t="str">
            <v>Cataldo</v>
          </cell>
        </row>
        <row r="10529">
          <cell r="I10529" t="str">
            <v>Carpentier</v>
          </cell>
        </row>
        <row r="10530">
          <cell r="I10530" t="str">
            <v>Canas</v>
          </cell>
        </row>
        <row r="10531">
          <cell r="I10531" t="str">
            <v>Campa</v>
          </cell>
        </row>
        <row r="10532">
          <cell r="I10532" t="str">
            <v>Brode</v>
          </cell>
        </row>
        <row r="10533">
          <cell r="I10533" t="str">
            <v>Brashears</v>
          </cell>
        </row>
        <row r="10534">
          <cell r="I10534" t="str">
            <v>Blaser</v>
          </cell>
        </row>
        <row r="10535">
          <cell r="I10535" t="str">
            <v>Bicknell</v>
          </cell>
        </row>
        <row r="10536">
          <cell r="I10536" t="str">
            <v>Berk</v>
          </cell>
        </row>
        <row r="10537">
          <cell r="I10537" t="str">
            <v>Bednar</v>
          </cell>
        </row>
        <row r="10538">
          <cell r="I10538" t="str">
            <v>Barwick</v>
          </cell>
        </row>
        <row r="10539">
          <cell r="I10539" t="str">
            <v>Ascencio</v>
          </cell>
        </row>
        <row r="10540">
          <cell r="I10540" t="str">
            <v>Althoff</v>
          </cell>
        </row>
        <row r="10541">
          <cell r="I10541" t="str">
            <v>Almodovar</v>
          </cell>
        </row>
        <row r="10542">
          <cell r="I10542" t="str">
            <v>Alamo</v>
          </cell>
        </row>
        <row r="10543">
          <cell r="I10543" t="str">
            <v>Zirkle</v>
          </cell>
        </row>
        <row r="10544">
          <cell r="I10544" t="str">
            <v>Zabala</v>
          </cell>
        </row>
        <row r="10545">
          <cell r="I10545" t="str">
            <v>Xu</v>
          </cell>
        </row>
        <row r="10546">
          <cell r="I10546" t="str">
            <v>Wolverton</v>
          </cell>
        </row>
        <row r="10547">
          <cell r="I10547" t="str">
            <v>Winebrenner</v>
          </cell>
        </row>
        <row r="10548">
          <cell r="I10548" t="str">
            <v>Wetherell</v>
          </cell>
        </row>
        <row r="10549">
          <cell r="I10549" t="str">
            <v>Westlake</v>
          </cell>
        </row>
        <row r="10550">
          <cell r="I10550" t="str">
            <v>Wegener</v>
          </cell>
        </row>
        <row r="10551">
          <cell r="I10551" t="str">
            <v>Weddington</v>
          </cell>
        </row>
        <row r="10552">
          <cell r="I10552" t="str">
            <v>Vong</v>
          </cell>
        </row>
        <row r="10553">
          <cell r="I10553" t="str">
            <v>Tuten</v>
          </cell>
        </row>
        <row r="10554">
          <cell r="I10554" t="str">
            <v>Trosclair</v>
          </cell>
        </row>
        <row r="10555">
          <cell r="I10555" t="str">
            <v>Trim</v>
          </cell>
        </row>
        <row r="10556">
          <cell r="I10556" t="str">
            <v>Tressler</v>
          </cell>
        </row>
        <row r="10557">
          <cell r="I10557" t="str">
            <v>Theroux</v>
          </cell>
        </row>
        <row r="10558">
          <cell r="I10558" t="str">
            <v>Teske</v>
          </cell>
        </row>
        <row r="10559">
          <cell r="I10559" t="str">
            <v>Sword</v>
          </cell>
        </row>
        <row r="10560">
          <cell r="I10560" t="str">
            <v>Swinehart</v>
          </cell>
        </row>
        <row r="10561">
          <cell r="I10561" t="str">
            <v>Swensen</v>
          </cell>
        </row>
        <row r="10562">
          <cell r="I10562" t="str">
            <v>Sundquist</v>
          </cell>
        </row>
        <row r="10563">
          <cell r="I10563" t="str">
            <v>Southall</v>
          </cell>
        </row>
        <row r="10564">
          <cell r="I10564" t="str">
            <v>Socha</v>
          </cell>
        </row>
        <row r="10565">
          <cell r="I10565" t="str">
            <v>Sizer</v>
          </cell>
        </row>
        <row r="10566">
          <cell r="I10566" t="str">
            <v>Silverberg</v>
          </cell>
        </row>
        <row r="10567">
          <cell r="I10567" t="str">
            <v>Shortt</v>
          </cell>
        </row>
        <row r="10568">
          <cell r="I10568" t="str">
            <v>Shimizu</v>
          </cell>
        </row>
        <row r="10569">
          <cell r="I10569" t="str">
            <v>Sherrard</v>
          </cell>
        </row>
        <row r="10570">
          <cell r="I10570" t="str">
            <v>Shen</v>
          </cell>
        </row>
        <row r="10571">
          <cell r="I10571" t="str">
            <v>Shaeffer</v>
          </cell>
        </row>
        <row r="10572">
          <cell r="I10572" t="str">
            <v>Seth</v>
          </cell>
        </row>
        <row r="10573">
          <cell r="I10573" t="str">
            <v>Scheid</v>
          </cell>
        </row>
        <row r="10574">
          <cell r="I10574" t="str">
            <v>Scheetz</v>
          </cell>
        </row>
        <row r="10575">
          <cell r="I10575" t="str">
            <v>Saravia</v>
          </cell>
        </row>
        <row r="10576">
          <cell r="I10576" t="str">
            <v>Sanner</v>
          </cell>
        </row>
        <row r="10577">
          <cell r="I10577" t="str">
            <v>Rubinstein</v>
          </cell>
        </row>
        <row r="10578">
          <cell r="I10578" t="str">
            <v>Rozell</v>
          </cell>
        </row>
        <row r="10579">
          <cell r="I10579" t="str">
            <v>Romer</v>
          </cell>
        </row>
        <row r="10580">
          <cell r="I10580" t="str">
            <v>Ringo</v>
          </cell>
        </row>
        <row r="10581">
          <cell r="I10581" t="str">
            <v>Rheaume</v>
          </cell>
        </row>
        <row r="10582">
          <cell r="I10582" t="str">
            <v>Reisinger</v>
          </cell>
        </row>
        <row r="10583">
          <cell r="I10583" t="str">
            <v>Raven</v>
          </cell>
        </row>
        <row r="10584">
          <cell r="I10584" t="str">
            <v>Randles</v>
          </cell>
        </row>
        <row r="10585">
          <cell r="I10585" t="str">
            <v>Pullum</v>
          </cell>
        </row>
        <row r="10586">
          <cell r="I10586" t="str">
            <v>Petrella</v>
          </cell>
        </row>
        <row r="10587">
          <cell r="I10587" t="str">
            <v>Payan</v>
          </cell>
        </row>
        <row r="10588">
          <cell r="I10588" t="str">
            <v>Papp</v>
          </cell>
        </row>
        <row r="10589">
          <cell r="I10589" t="str">
            <v>Pablo</v>
          </cell>
        </row>
        <row r="10590">
          <cell r="I10590" t="str">
            <v>Nordin</v>
          </cell>
        </row>
        <row r="10591">
          <cell r="I10591" t="str">
            <v>Norcross</v>
          </cell>
        </row>
        <row r="10592">
          <cell r="I10592" t="str">
            <v>Nicoletti</v>
          </cell>
        </row>
        <row r="10593">
          <cell r="I10593" t="str">
            <v>Nicholes</v>
          </cell>
        </row>
        <row r="10594">
          <cell r="I10594" t="str">
            <v>Newbold</v>
          </cell>
        </row>
        <row r="10595">
          <cell r="I10595" t="str">
            <v>Nakagawa</v>
          </cell>
        </row>
        <row r="10596">
          <cell r="I10596" t="str">
            <v>Mraz</v>
          </cell>
        </row>
        <row r="10597">
          <cell r="I10597" t="str">
            <v>Monteith</v>
          </cell>
        </row>
        <row r="10598">
          <cell r="I10598" t="str">
            <v>Milstead</v>
          </cell>
        </row>
        <row r="10599">
          <cell r="I10599" t="str">
            <v>Milliner</v>
          </cell>
        </row>
        <row r="10600">
          <cell r="I10600" t="str">
            <v>Mellen</v>
          </cell>
        </row>
        <row r="10601">
          <cell r="I10601" t="str">
            <v>Mccardle</v>
          </cell>
        </row>
        <row r="10602">
          <cell r="I10602" t="str">
            <v>Matthias</v>
          </cell>
        </row>
        <row r="10603">
          <cell r="I10603" t="str">
            <v>Marcy</v>
          </cell>
        </row>
        <row r="10604">
          <cell r="I10604" t="str">
            <v>Luft</v>
          </cell>
        </row>
        <row r="10605">
          <cell r="I10605" t="str">
            <v>Loo</v>
          </cell>
        </row>
        <row r="10606">
          <cell r="I10606" t="str">
            <v>Locker</v>
          </cell>
        </row>
        <row r="10607">
          <cell r="I10607" t="str">
            <v>Liptak</v>
          </cell>
        </row>
        <row r="10608">
          <cell r="I10608" t="str">
            <v>Lipp</v>
          </cell>
        </row>
        <row r="10609">
          <cell r="I10609" t="str">
            <v>Leitch</v>
          </cell>
        </row>
        <row r="10610">
          <cell r="I10610" t="str">
            <v>Latimore</v>
          </cell>
        </row>
        <row r="10611">
          <cell r="I10611" t="str">
            <v>Larrison</v>
          </cell>
        </row>
        <row r="10612">
          <cell r="I10612" t="str">
            <v>Landau</v>
          </cell>
        </row>
        <row r="10613">
          <cell r="I10613" t="str">
            <v>Laborde</v>
          </cell>
        </row>
        <row r="10614">
          <cell r="I10614" t="str">
            <v>Koval</v>
          </cell>
        </row>
        <row r="10615">
          <cell r="I10615" t="str">
            <v>Izquierdo</v>
          </cell>
        </row>
        <row r="10616">
          <cell r="I10616" t="str">
            <v>Hymel</v>
          </cell>
        </row>
        <row r="10617">
          <cell r="I10617" t="str">
            <v>Hoskin</v>
          </cell>
        </row>
        <row r="10618">
          <cell r="I10618" t="str">
            <v>Holte</v>
          </cell>
        </row>
        <row r="10619">
          <cell r="I10619" t="str">
            <v>Hoefer</v>
          </cell>
        </row>
        <row r="10620">
          <cell r="I10620" t="str">
            <v>Hayworth</v>
          </cell>
        </row>
        <row r="10621">
          <cell r="I10621" t="str">
            <v>Hausman</v>
          </cell>
        </row>
        <row r="10622">
          <cell r="I10622" t="str">
            <v>Harrill</v>
          </cell>
        </row>
        <row r="10623">
          <cell r="I10623" t="str">
            <v>Harrel</v>
          </cell>
        </row>
        <row r="10624">
          <cell r="I10624" t="str">
            <v>Hardt</v>
          </cell>
        </row>
        <row r="10625">
          <cell r="I10625" t="str">
            <v>Gully</v>
          </cell>
        </row>
        <row r="10626">
          <cell r="I10626" t="str">
            <v>Groover</v>
          </cell>
        </row>
        <row r="10627">
          <cell r="I10627" t="str">
            <v>Grinnell</v>
          </cell>
        </row>
        <row r="10628">
          <cell r="I10628" t="str">
            <v>Greenspan</v>
          </cell>
        </row>
        <row r="10629">
          <cell r="I10629" t="str">
            <v>Graver</v>
          </cell>
        </row>
        <row r="10630">
          <cell r="I10630" t="str">
            <v>Grandberry</v>
          </cell>
        </row>
        <row r="10631">
          <cell r="I10631" t="str">
            <v>Gorrell</v>
          </cell>
        </row>
        <row r="10632">
          <cell r="I10632" t="str">
            <v>Goldenberg</v>
          </cell>
        </row>
        <row r="10633">
          <cell r="I10633" t="str">
            <v>Goguen</v>
          </cell>
        </row>
        <row r="10634">
          <cell r="I10634" t="str">
            <v>Gilleland</v>
          </cell>
        </row>
        <row r="10635">
          <cell r="I10635" t="str">
            <v>Garr</v>
          </cell>
        </row>
        <row r="10636">
          <cell r="I10636" t="str">
            <v>Fuson</v>
          </cell>
        </row>
        <row r="10637">
          <cell r="I10637" t="str">
            <v>Foye</v>
          </cell>
        </row>
        <row r="10638">
          <cell r="I10638" t="str">
            <v>Felt</v>
          </cell>
        </row>
        <row r="10639">
          <cell r="I10639" t="str">
            <v>Feldmann</v>
          </cell>
        </row>
        <row r="10640">
          <cell r="I10640" t="str">
            <v>Everly</v>
          </cell>
        </row>
        <row r="10641">
          <cell r="I10641" t="str">
            <v>Dyess</v>
          </cell>
        </row>
        <row r="10642">
          <cell r="I10642" t="str">
            <v>Dyal</v>
          </cell>
        </row>
        <row r="10643">
          <cell r="I10643" t="str">
            <v>Dunnigan</v>
          </cell>
        </row>
        <row r="10644">
          <cell r="I10644" t="str">
            <v>Downie</v>
          </cell>
        </row>
        <row r="10645">
          <cell r="I10645" t="str">
            <v>Dolby</v>
          </cell>
        </row>
        <row r="10646">
          <cell r="I10646" t="str">
            <v>Divine</v>
          </cell>
        </row>
        <row r="10647">
          <cell r="I10647" t="str">
            <v>Deatherage</v>
          </cell>
        </row>
        <row r="10648">
          <cell r="I10648" t="str">
            <v>Dates</v>
          </cell>
        </row>
        <row r="10649">
          <cell r="I10649" t="str">
            <v>Danna</v>
          </cell>
        </row>
        <row r="10650">
          <cell r="I10650" t="str">
            <v>Cosey</v>
          </cell>
        </row>
        <row r="10651">
          <cell r="I10651" t="str">
            <v>Corrado</v>
          </cell>
        </row>
        <row r="10652">
          <cell r="I10652" t="str">
            <v>Cheever</v>
          </cell>
        </row>
        <row r="10653">
          <cell r="I10653" t="str">
            <v>Celaya</v>
          </cell>
        </row>
        <row r="10654">
          <cell r="I10654" t="str">
            <v>Caver</v>
          </cell>
        </row>
        <row r="10655">
          <cell r="I10655" t="str">
            <v>Cashion</v>
          </cell>
        </row>
        <row r="10656">
          <cell r="I10656" t="str">
            <v>Caplinger</v>
          </cell>
        </row>
        <row r="10657">
          <cell r="I10657" t="str">
            <v>Cansler</v>
          </cell>
        </row>
        <row r="10658">
          <cell r="I10658" t="str">
            <v>Byrge</v>
          </cell>
        </row>
        <row r="10659">
          <cell r="I10659" t="str">
            <v>Bruder</v>
          </cell>
        </row>
        <row r="10660">
          <cell r="I10660" t="str">
            <v>Brew</v>
          </cell>
        </row>
        <row r="10661">
          <cell r="I10661" t="str">
            <v>Breuer</v>
          </cell>
        </row>
        <row r="10662">
          <cell r="I10662" t="str">
            <v>Breslin</v>
          </cell>
        </row>
        <row r="10663">
          <cell r="I10663" t="str">
            <v>Brazelton</v>
          </cell>
        </row>
        <row r="10664">
          <cell r="I10664" t="str">
            <v>Botkin</v>
          </cell>
        </row>
        <row r="10665">
          <cell r="I10665" t="str">
            <v>Bonneau</v>
          </cell>
        </row>
        <row r="10666">
          <cell r="I10666" t="str">
            <v>Bones</v>
          </cell>
        </row>
        <row r="10667">
          <cell r="I10667" t="str">
            <v>Bondurant</v>
          </cell>
        </row>
        <row r="10668">
          <cell r="I10668" t="str">
            <v>Bohanan</v>
          </cell>
        </row>
        <row r="10669">
          <cell r="I10669" t="str">
            <v>Bogue</v>
          </cell>
        </row>
        <row r="10670">
          <cell r="I10670" t="str">
            <v>Boes</v>
          </cell>
        </row>
        <row r="10671">
          <cell r="I10671" t="str">
            <v>Bodner</v>
          </cell>
        </row>
        <row r="10672">
          <cell r="I10672" t="str">
            <v>Boatner</v>
          </cell>
        </row>
        <row r="10673">
          <cell r="I10673" t="str">
            <v>Blatt</v>
          </cell>
        </row>
        <row r="10674">
          <cell r="I10674" t="str">
            <v>Bickley</v>
          </cell>
        </row>
        <row r="10675">
          <cell r="I10675" t="str">
            <v>Belliveau</v>
          </cell>
        </row>
        <row r="10676">
          <cell r="I10676" t="str">
            <v>Beiler</v>
          </cell>
        </row>
        <row r="10677">
          <cell r="I10677" t="str">
            <v>Beier</v>
          </cell>
        </row>
        <row r="10678">
          <cell r="I10678" t="str">
            <v>Beckstead</v>
          </cell>
        </row>
        <row r="10679">
          <cell r="I10679" t="str">
            <v>Bart</v>
          </cell>
        </row>
        <row r="10680">
          <cell r="I10680" t="str">
            <v>Bang</v>
          </cell>
        </row>
        <row r="10681">
          <cell r="I10681" t="str">
            <v>Bachmann</v>
          </cell>
        </row>
        <row r="10682">
          <cell r="I10682" t="str">
            <v>Atkin</v>
          </cell>
        </row>
        <row r="10683">
          <cell r="I10683" t="str">
            <v>Aron</v>
          </cell>
        </row>
        <row r="10684">
          <cell r="I10684" t="str">
            <v>Andreas</v>
          </cell>
        </row>
        <row r="10685">
          <cell r="I10685" t="str">
            <v>Altizer</v>
          </cell>
        </row>
        <row r="10686">
          <cell r="I10686" t="str">
            <v>Alloway</v>
          </cell>
        </row>
        <row r="10687">
          <cell r="I10687" t="str">
            <v>Allaire</v>
          </cell>
        </row>
        <row r="10688">
          <cell r="I10688" t="str">
            <v>Albro</v>
          </cell>
        </row>
        <row r="10689">
          <cell r="I10689" t="str">
            <v>Abron</v>
          </cell>
        </row>
        <row r="10690">
          <cell r="I10690" t="str">
            <v>Zellmer</v>
          </cell>
        </row>
        <row r="10691">
          <cell r="I10691" t="str">
            <v>Yetter</v>
          </cell>
        </row>
        <row r="10692">
          <cell r="I10692" t="str">
            <v>Yelverton</v>
          </cell>
        </row>
        <row r="10693">
          <cell r="I10693" t="str">
            <v>Wiltshire</v>
          </cell>
        </row>
        <row r="10694">
          <cell r="I10694" t="str">
            <v>Wiens</v>
          </cell>
        </row>
        <row r="10695">
          <cell r="I10695" t="str">
            <v>Whidden</v>
          </cell>
        </row>
        <row r="10696">
          <cell r="I10696" t="str">
            <v>Wait</v>
          </cell>
        </row>
        <row r="10697">
          <cell r="I10697" t="str">
            <v>Viramontes</v>
          </cell>
        </row>
        <row r="10698">
          <cell r="I10698" t="str">
            <v>Vanwormer</v>
          </cell>
        </row>
        <row r="10699">
          <cell r="I10699" t="str">
            <v>Topper</v>
          </cell>
        </row>
        <row r="10700">
          <cell r="I10700" t="str">
            <v>Tarantino</v>
          </cell>
        </row>
        <row r="10701">
          <cell r="I10701" t="str">
            <v>Tanksley</v>
          </cell>
        </row>
        <row r="10702">
          <cell r="I10702" t="str">
            <v>Sumlin</v>
          </cell>
        </row>
        <row r="10703">
          <cell r="I10703" t="str">
            <v>Strauch</v>
          </cell>
        </row>
        <row r="10704">
          <cell r="I10704" t="str">
            <v>Strang</v>
          </cell>
        </row>
        <row r="10705">
          <cell r="I10705" t="str">
            <v>Stice</v>
          </cell>
        </row>
        <row r="10706">
          <cell r="I10706" t="str">
            <v>Spahn</v>
          </cell>
        </row>
        <row r="10707">
          <cell r="I10707" t="str">
            <v>Sosebee</v>
          </cell>
        </row>
        <row r="10708">
          <cell r="I10708" t="str">
            <v>Sigala</v>
          </cell>
        </row>
        <row r="10709">
          <cell r="I10709" t="str">
            <v>Shrout</v>
          </cell>
        </row>
        <row r="10710">
          <cell r="I10710" t="str">
            <v>Seamon</v>
          </cell>
        </row>
        <row r="10711">
          <cell r="I10711" t="str">
            <v>Schrum</v>
          </cell>
        </row>
        <row r="10712">
          <cell r="I10712" t="str">
            <v>Schneck</v>
          </cell>
        </row>
        <row r="10713">
          <cell r="I10713" t="str">
            <v>Schantz</v>
          </cell>
        </row>
        <row r="10714">
          <cell r="I10714" t="str">
            <v>Said</v>
          </cell>
        </row>
        <row r="10715">
          <cell r="I10715" t="str">
            <v>Ruddy</v>
          </cell>
        </row>
        <row r="10716">
          <cell r="I10716" t="str">
            <v>Romig</v>
          </cell>
        </row>
        <row r="10717">
          <cell r="I10717" t="str">
            <v>Roehl</v>
          </cell>
        </row>
        <row r="10718">
          <cell r="I10718" t="str">
            <v>Renninger</v>
          </cell>
        </row>
        <row r="10719">
          <cell r="I10719" t="str">
            <v>Reding</v>
          </cell>
        </row>
        <row r="10720">
          <cell r="I10720" t="str">
            <v>Pyne</v>
          </cell>
        </row>
        <row r="10721">
          <cell r="I10721" t="str">
            <v>Polak</v>
          </cell>
        </row>
        <row r="10722">
          <cell r="I10722" t="str">
            <v>Pohlman</v>
          </cell>
        </row>
        <row r="10723">
          <cell r="I10723" t="str">
            <v>Pasillas</v>
          </cell>
        </row>
        <row r="10724">
          <cell r="I10724" t="str">
            <v>Oldfield</v>
          </cell>
        </row>
        <row r="10725">
          <cell r="I10725" t="str">
            <v>Oldaker</v>
          </cell>
        </row>
        <row r="10726">
          <cell r="I10726" t="str">
            <v>Ohanlon</v>
          </cell>
        </row>
        <row r="10727">
          <cell r="I10727" t="str">
            <v>Ogilvie</v>
          </cell>
        </row>
        <row r="10728">
          <cell r="I10728" t="str">
            <v>Norberg</v>
          </cell>
        </row>
        <row r="10729">
          <cell r="I10729" t="str">
            <v>Nolette</v>
          </cell>
        </row>
        <row r="10730">
          <cell r="I10730" t="str">
            <v>Nies</v>
          </cell>
        </row>
        <row r="10731">
          <cell r="I10731" t="str">
            <v>Neufeld</v>
          </cell>
        </row>
        <row r="10732">
          <cell r="I10732" t="str">
            <v>Nellis</v>
          </cell>
        </row>
        <row r="10733">
          <cell r="I10733" t="str">
            <v>Mummert</v>
          </cell>
        </row>
        <row r="10734">
          <cell r="I10734" t="str">
            <v>Mulvihill</v>
          </cell>
        </row>
        <row r="10735">
          <cell r="I10735" t="str">
            <v>Mullaney</v>
          </cell>
        </row>
        <row r="10736">
          <cell r="I10736" t="str">
            <v>Monteleone</v>
          </cell>
        </row>
        <row r="10737">
          <cell r="I10737" t="str">
            <v>Mendonca</v>
          </cell>
        </row>
        <row r="10738">
          <cell r="I10738" t="str">
            <v>Meisner</v>
          </cell>
        </row>
        <row r="10739">
          <cell r="I10739" t="str">
            <v>Mcmullan</v>
          </cell>
        </row>
        <row r="10740">
          <cell r="I10740" t="str">
            <v>Mccluney</v>
          </cell>
        </row>
        <row r="10741">
          <cell r="I10741" t="str">
            <v>Mattis</v>
          </cell>
        </row>
        <row r="10742">
          <cell r="I10742" t="str">
            <v>Massengill</v>
          </cell>
        </row>
        <row r="10743">
          <cell r="I10743" t="str">
            <v>Manfredi</v>
          </cell>
        </row>
        <row r="10744">
          <cell r="I10744" t="str">
            <v>Luedtke</v>
          </cell>
        </row>
        <row r="10745">
          <cell r="I10745" t="str">
            <v>Lounsbury</v>
          </cell>
        </row>
        <row r="10746">
          <cell r="I10746" t="str">
            <v>Lora</v>
          </cell>
        </row>
        <row r="10747">
          <cell r="I10747" t="str">
            <v>Liberatore</v>
          </cell>
        </row>
        <row r="10748">
          <cell r="I10748" t="str">
            <v>Leek</v>
          </cell>
        </row>
        <row r="10749">
          <cell r="I10749" t="str">
            <v>Lease</v>
          </cell>
        </row>
        <row r="10750">
          <cell r="I10750" t="str">
            <v>Lazaro</v>
          </cell>
        </row>
        <row r="10751">
          <cell r="I10751" t="str">
            <v>Lamphere</v>
          </cell>
        </row>
        <row r="10752">
          <cell r="I10752" t="str">
            <v>Laforge</v>
          </cell>
        </row>
        <row r="10753">
          <cell r="I10753" t="str">
            <v>Kuo</v>
          </cell>
        </row>
        <row r="10754">
          <cell r="I10754" t="str">
            <v>Koo</v>
          </cell>
        </row>
        <row r="10755">
          <cell r="I10755" t="str">
            <v>Jourdan</v>
          </cell>
        </row>
        <row r="10756">
          <cell r="I10756" t="str">
            <v>Ismail</v>
          </cell>
        </row>
        <row r="10757">
          <cell r="I10757" t="str">
            <v>Iorio</v>
          </cell>
        </row>
        <row r="10758">
          <cell r="I10758" t="str">
            <v>Iniguez</v>
          </cell>
        </row>
        <row r="10759">
          <cell r="I10759" t="str">
            <v>Ikeda</v>
          </cell>
        </row>
        <row r="10760">
          <cell r="I10760" t="str">
            <v>Hubler</v>
          </cell>
        </row>
        <row r="10761">
          <cell r="I10761" t="str">
            <v>Hodgdon</v>
          </cell>
        </row>
        <row r="10762">
          <cell r="I10762" t="str">
            <v>Hocking</v>
          </cell>
        </row>
        <row r="10763">
          <cell r="I10763" t="str">
            <v>Heacock</v>
          </cell>
        </row>
        <row r="10764">
          <cell r="I10764" t="str">
            <v>Haslam</v>
          </cell>
        </row>
        <row r="10765">
          <cell r="I10765" t="str">
            <v>Haralson</v>
          </cell>
        </row>
        <row r="10766">
          <cell r="I10766" t="str">
            <v>Hanshaw</v>
          </cell>
        </row>
        <row r="10767">
          <cell r="I10767" t="str">
            <v>Hannum</v>
          </cell>
        </row>
        <row r="10768">
          <cell r="I10768" t="str">
            <v>Hallam</v>
          </cell>
        </row>
        <row r="10769">
          <cell r="I10769" t="str">
            <v>Haden</v>
          </cell>
        </row>
        <row r="10770">
          <cell r="I10770" t="str">
            <v>Garnes</v>
          </cell>
        </row>
        <row r="10771">
          <cell r="I10771" t="str">
            <v>Garces</v>
          </cell>
        </row>
        <row r="10772">
          <cell r="I10772" t="str">
            <v>Gammage</v>
          </cell>
        </row>
        <row r="10773">
          <cell r="I10773" t="str">
            <v>Gambino</v>
          </cell>
        </row>
        <row r="10774">
          <cell r="I10774" t="str">
            <v>Finkel</v>
          </cell>
        </row>
        <row r="10775">
          <cell r="I10775" t="str">
            <v>Faucett</v>
          </cell>
        </row>
        <row r="10776">
          <cell r="I10776" t="str">
            <v>Fahy</v>
          </cell>
        </row>
        <row r="10777">
          <cell r="I10777" t="str">
            <v>Esteban</v>
          </cell>
        </row>
        <row r="10778">
          <cell r="I10778" t="str">
            <v>Ehrhardt</v>
          </cell>
        </row>
        <row r="10779">
          <cell r="I10779" t="str">
            <v>Eggen</v>
          </cell>
        </row>
        <row r="10780">
          <cell r="I10780" t="str">
            <v>Dusek</v>
          </cell>
        </row>
        <row r="10781">
          <cell r="I10781" t="str">
            <v>Durrant</v>
          </cell>
        </row>
        <row r="10782">
          <cell r="I10782" t="str">
            <v>Dubay</v>
          </cell>
        </row>
        <row r="10783">
          <cell r="I10783" t="str">
            <v>Dones</v>
          </cell>
        </row>
        <row r="10784">
          <cell r="I10784" t="str">
            <v>Dey</v>
          </cell>
        </row>
        <row r="10785">
          <cell r="I10785" t="str">
            <v>Depasquale</v>
          </cell>
        </row>
        <row r="10786">
          <cell r="I10786" t="str">
            <v>Delucia</v>
          </cell>
        </row>
        <row r="10787">
          <cell r="I10787" t="str">
            <v>Degraff</v>
          </cell>
        </row>
        <row r="10788">
          <cell r="I10788" t="str">
            <v>Deer</v>
          </cell>
        </row>
        <row r="10789">
          <cell r="I10789" t="str">
            <v>Decamp</v>
          </cell>
        </row>
        <row r="10790">
          <cell r="I10790" t="str">
            <v>Davalos</v>
          </cell>
        </row>
        <row r="10791">
          <cell r="I10791" t="str">
            <v>Darwin</v>
          </cell>
        </row>
        <row r="10792">
          <cell r="I10792" t="str">
            <v>Dan</v>
          </cell>
        </row>
        <row r="10793">
          <cell r="I10793" t="str">
            <v>Cullins</v>
          </cell>
        </row>
        <row r="10794">
          <cell r="I10794" t="str">
            <v>Conard</v>
          </cell>
        </row>
        <row r="10795">
          <cell r="I10795" t="str">
            <v>Clouser</v>
          </cell>
        </row>
        <row r="10796">
          <cell r="I10796" t="str">
            <v>Clontz</v>
          </cell>
        </row>
        <row r="10797">
          <cell r="I10797" t="str">
            <v>Cifuentes</v>
          </cell>
        </row>
        <row r="10798">
          <cell r="I10798" t="str">
            <v>Chico</v>
          </cell>
        </row>
        <row r="10799">
          <cell r="I10799" t="str">
            <v>Chappel</v>
          </cell>
        </row>
        <row r="10800">
          <cell r="I10800" t="str">
            <v>Chaffins</v>
          </cell>
        </row>
        <row r="10801">
          <cell r="I10801" t="str">
            <v>Celis</v>
          </cell>
        </row>
        <row r="10802">
          <cell r="I10802" t="str">
            <v>Carwile</v>
          </cell>
        </row>
        <row r="10803">
          <cell r="I10803" t="str">
            <v>Byram</v>
          </cell>
        </row>
        <row r="10804">
          <cell r="I10804" t="str">
            <v>Bruggeman</v>
          </cell>
        </row>
        <row r="10805">
          <cell r="I10805" t="str">
            <v>Brick</v>
          </cell>
        </row>
        <row r="10806">
          <cell r="I10806" t="str">
            <v>Bressler</v>
          </cell>
        </row>
        <row r="10807">
          <cell r="I10807" t="str">
            <v>Brathwaite</v>
          </cell>
        </row>
        <row r="10808">
          <cell r="I10808" t="str">
            <v>Brasfield</v>
          </cell>
        </row>
        <row r="10809">
          <cell r="I10809" t="str">
            <v>Bradburn</v>
          </cell>
        </row>
        <row r="10810">
          <cell r="I10810" t="str">
            <v>Boose</v>
          </cell>
        </row>
        <row r="10811">
          <cell r="I10811" t="str">
            <v>Boon</v>
          </cell>
        </row>
        <row r="10812">
          <cell r="I10812" t="str">
            <v>Bodie</v>
          </cell>
        </row>
        <row r="10813">
          <cell r="I10813" t="str">
            <v>Blosser</v>
          </cell>
        </row>
        <row r="10814">
          <cell r="I10814" t="str">
            <v>Blas</v>
          </cell>
        </row>
        <row r="10815">
          <cell r="I10815" t="str">
            <v>Bise</v>
          </cell>
        </row>
        <row r="10816">
          <cell r="I10816" t="str">
            <v>Bertsch</v>
          </cell>
        </row>
        <row r="10817">
          <cell r="I10817" t="str">
            <v>Bernardi</v>
          </cell>
        </row>
        <row r="10818">
          <cell r="I10818" t="str">
            <v>Bernabe</v>
          </cell>
        </row>
        <row r="10819">
          <cell r="I10819" t="str">
            <v>Bengtson</v>
          </cell>
        </row>
        <row r="10820">
          <cell r="I10820" t="str">
            <v>Barrette</v>
          </cell>
        </row>
        <row r="10821">
          <cell r="I10821" t="str">
            <v>Astorga</v>
          </cell>
        </row>
        <row r="10822">
          <cell r="I10822" t="str">
            <v>Armand</v>
          </cell>
        </row>
        <row r="10823">
          <cell r="I10823" t="str">
            <v>Antone</v>
          </cell>
        </row>
        <row r="10824">
          <cell r="I10824" t="str">
            <v>Alday</v>
          </cell>
        </row>
        <row r="10825">
          <cell r="I10825" t="str">
            <v>Albee</v>
          </cell>
        </row>
        <row r="10826">
          <cell r="I10826" t="str">
            <v>Abrahamson</v>
          </cell>
        </row>
        <row r="10827">
          <cell r="I10827" t="str">
            <v>Yarnell</v>
          </cell>
        </row>
        <row r="10828">
          <cell r="I10828" t="str">
            <v>Wiltse</v>
          </cell>
        </row>
        <row r="10829">
          <cell r="I10829" t="str">
            <v>Wile</v>
          </cell>
        </row>
        <row r="10830">
          <cell r="I10830" t="str">
            <v>Wiebe</v>
          </cell>
        </row>
        <row r="10831">
          <cell r="I10831" t="str">
            <v>Waguespack</v>
          </cell>
        </row>
        <row r="10832">
          <cell r="I10832" t="str">
            <v>Vasser</v>
          </cell>
        </row>
        <row r="10833">
          <cell r="I10833" t="str">
            <v>Upham</v>
          </cell>
        </row>
        <row r="10834">
          <cell r="I10834" t="str">
            <v>Tyre</v>
          </cell>
        </row>
        <row r="10835">
          <cell r="I10835" t="str">
            <v>Turek</v>
          </cell>
        </row>
        <row r="10836">
          <cell r="I10836" t="str">
            <v>Tune</v>
          </cell>
        </row>
        <row r="10837">
          <cell r="I10837" t="str">
            <v>Traxler</v>
          </cell>
        </row>
        <row r="10838">
          <cell r="I10838" t="str">
            <v>Torain</v>
          </cell>
        </row>
        <row r="10839">
          <cell r="I10839" t="str">
            <v>Tomaszewski</v>
          </cell>
        </row>
        <row r="10840">
          <cell r="I10840" t="str">
            <v>Tinnin</v>
          </cell>
        </row>
        <row r="10841">
          <cell r="I10841" t="str">
            <v>Tiner</v>
          </cell>
        </row>
        <row r="10842">
          <cell r="I10842" t="str">
            <v>Tindell</v>
          </cell>
        </row>
        <row r="10843">
          <cell r="I10843" t="str">
            <v>Teed</v>
          </cell>
        </row>
        <row r="10844">
          <cell r="I10844" t="str">
            <v>Styron</v>
          </cell>
        </row>
        <row r="10845">
          <cell r="I10845" t="str">
            <v>Stahlman</v>
          </cell>
        </row>
        <row r="10846">
          <cell r="I10846" t="str">
            <v>Staab</v>
          </cell>
        </row>
        <row r="10847">
          <cell r="I10847" t="str">
            <v>Spoon</v>
          </cell>
        </row>
        <row r="10848">
          <cell r="I10848" t="str">
            <v>Spells</v>
          </cell>
        </row>
        <row r="10849">
          <cell r="I10849" t="str">
            <v>Skiba</v>
          </cell>
        </row>
        <row r="10850">
          <cell r="I10850" t="str">
            <v>Shih</v>
          </cell>
        </row>
        <row r="10851">
          <cell r="I10851" t="str">
            <v>Sheperd</v>
          </cell>
        </row>
        <row r="10852">
          <cell r="I10852" t="str">
            <v>Seidl</v>
          </cell>
        </row>
        <row r="10853">
          <cell r="I10853" t="str">
            <v>Secor</v>
          </cell>
        </row>
        <row r="10854">
          <cell r="I10854" t="str">
            <v>Schutte</v>
          </cell>
        </row>
        <row r="10855">
          <cell r="I10855" t="str">
            <v>Sanfilippo</v>
          </cell>
        </row>
        <row r="10856">
          <cell r="I10856" t="str">
            <v>Ruder</v>
          </cell>
        </row>
        <row r="10857">
          <cell r="I10857" t="str">
            <v>Rondon</v>
          </cell>
        </row>
        <row r="10858">
          <cell r="I10858" t="str">
            <v>Reina</v>
          </cell>
        </row>
        <row r="10859">
          <cell r="I10859" t="str">
            <v>Rearick</v>
          </cell>
        </row>
        <row r="10860">
          <cell r="I10860" t="str">
            <v>Rank</v>
          </cell>
        </row>
        <row r="10861">
          <cell r="I10861" t="str">
            <v>Procter</v>
          </cell>
        </row>
        <row r="10862">
          <cell r="I10862" t="str">
            <v>Prochaska</v>
          </cell>
        </row>
        <row r="10863">
          <cell r="I10863" t="str">
            <v>Pettengill</v>
          </cell>
        </row>
        <row r="10864">
          <cell r="I10864" t="str">
            <v>Pauly</v>
          </cell>
        </row>
        <row r="10865">
          <cell r="I10865" t="str">
            <v>Neilsen</v>
          </cell>
        </row>
        <row r="10866">
          <cell r="I10866" t="str">
            <v>Nally</v>
          </cell>
        </row>
        <row r="10867">
          <cell r="I10867" t="str">
            <v>Mutter</v>
          </cell>
        </row>
        <row r="10868">
          <cell r="I10868" t="str">
            <v>Mullenax</v>
          </cell>
        </row>
        <row r="10869">
          <cell r="I10869" t="str">
            <v>Morano</v>
          </cell>
        </row>
        <row r="10870">
          <cell r="I10870" t="str">
            <v>Meads</v>
          </cell>
        </row>
        <row r="10871">
          <cell r="I10871" t="str">
            <v>Mcnaughton</v>
          </cell>
        </row>
        <row r="10872">
          <cell r="I10872" t="str">
            <v>Mcmurtry</v>
          </cell>
        </row>
        <row r="10873">
          <cell r="I10873" t="str">
            <v>Mcmath</v>
          </cell>
        </row>
        <row r="10874">
          <cell r="I10874" t="str">
            <v>Mckinsey</v>
          </cell>
        </row>
        <row r="10875">
          <cell r="I10875" t="str">
            <v>Matthes</v>
          </cell>
        </row>
        <row r="10876">
          <cell r="I10876" t="str">
            <v>Massenburg</v>
          </cell>
        </row>
        <row r="10877">
          <cell r="I10877" t="str">
            <v>Marlar</v>
          </cell>
        </row>
        <row r="10878">
          <cell r="I10878" t="str">
            <v>Margolis</v>
          </cell>
        </row>
        <row r="10879">
          <cell r="I10879" t="str">
            <v>Marcos</v>
          </cell>
        </row>
        <row r="10880">
          <cell r="I10880" t="str">
            <v>Malin</v>
          </cell>
        </row>
        <row r="10881">
          <cell r="I10881" t="str">
            <v>Magallon</v>
          </cell>
        </row>
        <row r="10882">
          <cell r="I10882" t="str">
            <v>Mackin</v>
          </cell>
        </row>
        <row r="10883">
          <cell r="I10883" t="str">
            <v>Lovette</v>
          </cell>
        </row>
        <row r="10884">
          <cell r="I10884" t="str">
            <v>Loughran</v>
          </cell>
        </row>
        <row r="10885">
          <cell r="I10885" t="str">
            <v>Loring</v>
          </cell>
        </row>
        <row r="10886">
          <cell r="I10886" t="str">
            <v>Longstreet</v>
          </cell>
        </row>
        <row r="10887">
          <cell r="I10887" t="str">
            <v>Loiselle</v>
          </cell>
        </row>
        <row r="10888">
          <cell r="I10888" t="str">
            <v>Lenihan</v>
          </cell>
        </row>
        <row r="10889">
          <cell r="I10889" t="str">
            <v>Laub</v>
          </cell>
        </row>
        <row r="10890">
          <cell r="I10890" t="str">
            <v>Kunze</v>
          </cell>
        </row>
        <row r="10891">
          <cell r="I10891" t="str">
            <v>Kull</v>
          </cell>
        </row>
        <row r="10892">
          <cell r="I10892" t="str">
            <v>Koepke</v>
          </cell>
        </row>
        <row r="10893">
          <cell r="I10893" t="str">
            <v>Knights</v>
          </cell>
        </row>
        <row r="10894">
          <cell r="I10894" t="str">
            <v>Kerwin</v>
          </cell>
        </row>
        <row r="10895">
          <cell r="I10895" t="str">
            <v>Kalinowski</v>
          </cell>
        </row>
        <row r="10896">
          <cell r="I10896" t="str">
            <v>Kagan</v>
          </cell>
        </row>
        <row r="10897">
          <cell r="I10897" t="str">
            <v>Innis</v>
          </cell>
        </row>
        <row r="10898">
          <cell r="I10898" t="str">
            <v>Innes</v>
          </cell>
        </row>
        <row r="10899">
          <cell r="I10899" t="str">
            <v>Husband</v>
          </cell>
        </row>
        <row r="10900">
          <cell r="I10900" t="str">
            <v>Holtzman</v>
          </cell>
        </row>
        <row r="10901">
          <cell r="I10901" t="str">
            <v>Heinemann</v>
          </cell>
        </row>
        <row r="10902">
          <cell r="I10902" t="str">
            <v>Harshman</v>
          </cell>
        </row>
        <row r="10903">
          <cell r="I10903" t="str">
            <v>Haider</v>
          </cell>
        </row>
        <row r="10904">
          <cell r="I10904" t="str">
            <v>Haack</v>
          </cell>
        </row>
        <row r="10905">
          <cell r="I10905" t="str">
            <v>Guss</v>
          </cell>
        </row>
        <row r="10906">
          <cell r="I10906" t="str">
            <v>Grondin</v>
          </cell>
        </row>
        <row r="10907">
          <cell r="I10907" t="str">
            <v>Grissett</v>
          </cell>
        </row>
        <row r="10908">
          <cell r="I10908" t="str">
            <v>Greenawalt</v>
          </cell>
        </row>
        <row r="10909">
          <cell r="I10909" t="str">
            <v>Gravel</v>
          </cell>
        </row>
        <row r="10910">
          <cell r="I10910" t="str">
            <v>Goudy</v>
          </cell>
        </row>
        <row r="10911">
          <cell r="I10911" t="str">
            <v>Goodlett</v>
          </cell>
        </row>
        <row r="10912">
          <cell r="I10912" t="str">
            <v>Goldston</v>
          </cell>
        </row>
        <row r="10913">
          <cell r="I10913" t="str">
            <v>Gokey</v>
          </cell>
        </row>
        <row r="10914">
          <cell r="I10914" t="str">
            <v>Goin</v>
          </cell>
        </row>
        <row r="10915">
          <cell r="I10915" t="str">
            <v>Gardea</v>
          </cell>
        </row>
        <row r="10916">
          <cell r="I10916" t="str">
            <v>Galaviz</v>
          </cell>
        </row>
        <row r="10917">
          <cell r="I10917" t="str">
            <v>Gafford</v>
          </cell>
        </row>
        <row r="10918">
          <cell r="I10918" t="str">
            <v>Gabrielson</v>
          </cell>
        </row>
        <row r="10919">
          <cell r="I10919" t="str">
            <v>Furlow</v>
          </cell>
        </row>
        <row r="10920">
          <cell r="I10920" t="str">
            <v>Fritch</v>
          </cell>
        </row>
        <row r="10921">
          <cell r="I10921" t="str">
            <v>Fordyce</v>
          </cell>
        </row>
        <row r="10922">
          <cell r="I10922" t="str">
            <v>Folger</v>
          </cell>
        </row>
        <row r="10923">
          <cell r="I10923" t="str">
            <v>Elizalde</v>
          </cell>
        </row>
        <row r="10924">
          <cell r="I10924" t="str">
            <v>Ehlert</v>
          </cell>
        </row>
        <row r="10925">
          <cell r="I10925" t="str">
            <v>Eckhoff</v>
          </cell>
        </row>
        <row r="10926">
          <cell r="I10926" t="str">
            <v>Eccleston</v>
          </cell>
        </row>
        <row r="10927">
          <cell r="I10927" t="str">
            <v>Ealey</v>
          </cell>
        </row>
        <row r="10928">
          <cell r="I10928" t="str">
            <v>Dubin</v>
          </cell>
        </row>
        <row r="10929">
          <cell r="I10929" t="str">
            <v>Dolphin</v>
          </cell>
        </row>
        <row r="10930">
          <cell r="I10930" t="str">
            <v>Dieter</v>
          </cell>
        </row>
        <row r="10931">
          <cell r="I10931" t="str">
            <v>Diemer</v>
          </cell>
        </row>
        <row r="10932">
          <cell r="I10932" t="str">
            <v>Deschamps</v>
          </cell>
        </row>
        <row r="10933">
          <cell r="I10933" t="str">
            <v>Delapena</v>
          </cell>
        </row>
        <row r="10934">
          <cell r="I10934" t="str">
            <v>Decicco</v>
          </cell>
        </row>
        <row r="10935">
          <cell r="I10935" t="str">
            <v>Debolt</v>
          </cell>
        </row>
        <row r="10936">
          <cell r="I10936" t="str">
            <v>Daum</v>
          </cell>
        </row>
        <row r="10937">
          <cell r="I10937" t="str">
            <v>Cullinan</v>
          </cell>
        </row>
        <row r="10938">
          <cell r="I10938" t="str">
            <v>Crittendon</v>
          </cell>
        </row>
        <row r="10939">
          <cell r="I10939" t="str">
            <v>Crase</v>
          </cell>
        </row>
        <row r="10940">
          <cell r="I10940" t="str">
            <v>Cossey</v>
          </cell>
        </row>
        <row r="10941">
          <cell r="I10941" t="str">
            <v>Coppock</v>
          </cell>
        </row>
        <row r="10942">
          <cell r="I10942" t="str">
            <v>Coots</v>
          </cell>
        </row>
        <row r="10943">
          <cell r="I10943" t="str">
            <v>Colyer</v>
          </cell>
        </row>
        <row r="10944">
          <cell r="I10944" t="str">
            <v>Columbus</v>
          </cell>
        </row>
        <row r="10945">
          <cell r="I10945" t="str">
            <v>Cluck</v>
          </cell>
        </row>
        <row r="10946">
          <cell r="I10946" t="str">
            <v>Chamberland</v>
          </cell>
        </row>
        <row r="10947">
          <cell r="I10947" t="str">
            <v>Cane</v>
          </cell>
        </row>
        <row r="10948">
          <cell r="I10948" t="str">
            <v>Burkhead</v>
          </cell>
        </row>
        <row r="10949">
          <cell r="I10949" t="str">
            <v>Bumpus</v>
          </cell>
        </row>
        <row r="10950">
          <cell r="I10950" t="str">
            <v>Buchan</v>
          </cell>
        </row>
        <row r="10951">
          <cell r="I10951" t="str">
            <v>Borman</v>
          </cell>
        </row>
        <row r="10952">
          <cell r="I10952" t="str">
            <v>Bork</v>
          </cell>
        </row>
        <row r="10953">
          <cell r="I10953" t="str">
            <v>Boe</v>
          </cell>
        </row>
        <row r="10954">
          <cell r="I10954" t="str">
            <v>Birkholz</v>
          </cell>
        </row>
        <row r="10955">
          <cell r="I10955" t="str">
            <v>Berardi</v>
          </cell>
        </row>
        <row r="10956">
          <cell r="I10956" t="str">
            <v>Benda</v>
          </cell>
        </row>
        <row r="10957">
          <cell r="I10957" t="str">
            <v>Behnke</v>
          </cell>
        </row>
        <row r="10958">
          <cell r="I10958" t="str">
            <v>Barter</v>
          </cell>
        </row>
        <row r="10959">
          <cell r="I10959" t="str">
            <v>Auer</v>
          </cell>
        </row>
        <row r="10960">
          <cell r="I10960" t="str">
            <v>Amezquita</v>
          </cell>
        </row>
        <row r="10961">
          <cell r="I10961" t="str">
            <v>Wotring</v>
          </cell>
        </row>
        <row r="10962">
          <cell r="I10962" t="str">
            <v>Wirtz</v>
          </cell>
        </row>
        <row r="10963">
          <cell r="I10963" t="str">
            <v>Wingert</v>
          </cell>
        </row>
        <row r="10964">
          <cell r="I10964" t="str">
            <v>Wiesner</v>
          </cell>
        </row>
        <row r="10965">
          <cell r="I10965" t="str">
            <v>Whitesides</v>
          </cell>
        </row>
        <row r="10966">
          <cell r="I10966" t="str">
            <v>Weyant</v>
          </cell>
        </row>
        <row r="10967">
          <cell r="I10967" t="str">
            <v>Wainscott</v>
          </cell>
        </row>
        <row r="10968">
          <cell r="I10968" t="str">
            <v>Vivian</v>
          </cell>
        </row>
        <row r="10969">
          <cell r="I10969" t="str">
            <v>Venezia</v>
          </cell>
        </row>
        <row r="10970">
          <cell r="I10970" t="str">
            <v>Varnell</v>
          </cell>
        </row>
        <row r="10971">
          <cell r="I10971" t="str">
            <v>Tussey</v>
          </cell>
        </row>
        <row r="10972">
          <cell r="I10972" t="str">
            <v>Trainer</v>
          </cell>
        </row>
        <row r="10973">
          <cell r="I10973" t="str">
            <v>Toll</v>
          </cell>
        </row>
        <row r="10974">
          <cell r="I10974" t="str">
            <v>Thurlow</v>
          </cell>
        </row>
        <row r="10975">
          <cell r="I10975" t="str">
            <v>Tack</v>
          </cell>
        </row>
        <row r="10976">
          <cell r="I10976" t="str">
            <v>Tabares</v>
          </cell>
        </row>
        <row r="10977">
          <cell r="I10977" t="str">
            <v>Stiver</v>
          </cell>
        </row>
        <row r="10978">
          <cell r="I10978" t="str">
            <v>Stell</v>
          </cell>
        </row>
        <row r="10979">
          <cell r="I10979" t="str">
            <v>Starke</v>
          </cell>
        </row>
        <row r="10980">
          <cell r="I10980" t="str">
            <v>Stanhope</v>
          </cell>
        </row>
        <row r="10981">
          <cell r="I10981" t="str">
            <v>Stanek</v>
          </cell>
        </row>
        <row r="10982">
          <cell r="I10982" t="str">
            <v>Sisler</v>
          </cell>
        </row>
        <row r="10983">
          <cell r="I10983" t="str">
            <v>Sinnott</v>
          </cell>
        </row>
        <row r="10984">
          <cell r="I10984" t="str">
            <v>Sidney</v>
          </cell>
        </row>
        <row r="10985">
          <cell r="I10985" t="str">
            <v>Siciliano</v>
          </cell>
        </row>
        <row r="10986">
          <cell r="I10986" t="str">
            <v>Shehan</v>
          </cell>
        </row>
        <row r="10987">
          <cell r="I10987" t="str">
            <v>Selph</v>
          </cell>
        </row>
        <row r="10988">
          <cell r="I10988" t="str">
            <v>Seager</v>
          </cell>
        </row>
        <row r="10989">
          <cell r="I10989" t="str">
            <v>Scurlock</v>
          </cell>
        </row>
        <row r="10990">
          <cell r="I10990" t="str">
            <v>Scranton</v>
          </cell>
        </row>
        <row r="10991">
          <cell r="I10991" t="str">
            <v>Santucci</v>
          </cell>
        </row>
        <row r="10992">
          <cell r="I10992" t="str">
            <v>Santangelo</v>
          </cell>
        </row>
        <row r="10993">
          <cell r="I10993" t="str">
            <v>Saltsman</v>
          </cell>
        </row>
        <row r="10994">
          <cell r="I10994" t="str">
            <v>Ruel</v>
          </cell>
        </row>
        <row r="10995">
          <cell r="I10995" t="str">
            <v>Ropp</v>
          </cell>
        </row>
        <row r="10996">
          <cell r="I10996" t="str">
            <v>Rolling</v>
          </cell>
        </row>
        <row r="10997">
          <cell r="I10997" t="str">
            <v>Rogge</v>
          </cell>
        </row>
        <row r="10998">
          <cell r="I10998" t="str">
            <v>Rettig</v>
          </cell>
        </row>
        <row r="10999">
          <cell r="I10999" t="str">
            <v>Renwick</v>
          </cell>
        </row>
        <row r="11000">
          <cell r="I11000" t="str">
            <v>Reidy</v>
          </cell>
        </row>
        <row r="11001">
          <cell r="I11001" t="str">
            <v>Reider</v>
          </cell>
        </row>
        <row r="11002">
          <cell r="I11002" t="str">
            <v>Redfield</v>
          </cell>
        </row>
        <row r="11003">
          <cell r="I11003" t="str">
            <v>Quam</v>
          </cell>
        </row>
        <row r="11004">
          <cell r="I11004" t="str">
            <v>Premo</v>
          </cell>
        </row>
        <row r="11005">
          <cell r="I11005" t="str">
            <v>Port</v>
          </cell>
        </row>
        <row r="11006">
          <cell r="I11006" t="str">
            <v>Pier</v>
          </cell>
        </row>
        <row r="11007">
          <cell r="I11007" t="str">
            <v>Peet</v>
          </cell>
        </row>
        <row r="11008">
          <cell r="I11008" t="str">
            <v>Parente</v>
          </cell>
        </row>
        <row r="11009">
          <cell r="I11009" t="str">
            <v>Paolucci</v>
          </cell>
        </row>
        <row r="11010">
          <cell r="I11010" t="str">
            <v>Pan</v>
          </cell>
        </row>
        <row r="11011">
          <cell r="I11011" t="str">
            <v>Palmquist</v>
          </cell>
        </row>
        <row r="11012">
          <cell r="I11012" t="str">
            <v>Orme</v>
          </cell>
        </row>
        <row r="11013">
          <cell r="I11013" t="str">
            <v>Ohler</v>
          </cell>
        </row>
        <row r="11014">
          <cell r="I11014" t="str">
            <v>Ogg</v>
          </cell>
        </row>
        <row r="11015">
          <cell r="I11015" t="str">
            <v>Netherton</v>
          </cell>
        </row>
        <row r="11016">
          <cell r="I11016" t="str">
            <v>Mutchler</v>
          </cell>
        </row>
        <row r="11017">
          <cell r="I11017" t="str">
            <v>Morita</v>
          </cell>
        </row>
        <row r="11018">
          <cell r="I11018" t="str">
            <v>Mistretta</v>
          </cell>
        </row>
        <row r="11019">
          <cell r="I11019" t="str">
            <v>Minnis</v>
          </cell>
        </row>
        <row r="11020">
          <cell r="I11020" t="str">
            <v>Middendorf</v>
          </cell>
        </row>
        <row r="11021">
          <cell r="I11021" t="str">
            <v>Menzel</v>
          </cell>
        </row>
        <row r="11022">
          <cell r="I11022" t="str">
            <v>Mendosa</v>
          </cell>
        </row>
        <row r="11023">
          <cell r="I11023" t="str">
            <v>Mendelson</v>
          </cell>
        </row>
        <row r="11024">
          <cell r="I11024" t="str">
            <v>Meaux</v>
          </cell>
        </row>
        <row r="11025">
          <cell r="I11025" t="str">
            <v>Mcspadden</v>
          </cell>
        </row>
        <row r="11026">
          <cell r="I11026" t="str">
            <v>Mcquaid</v>
          </cell>
        </row>
        <row r="11027">
          <cell r="I11027" t="str">
            <v>Mcnatt</v>
          </cell>
        </row>
        <row r="11028">
          <cell r="I11028" t="str">
            <v>Manigault</v>
          </cell>
        </row>
        <row r="11029">
          <cell r="I11029" t="str">
            <v>Maney</v>
          </cell>
        </row>
        <row r="11030">
          <cell r="I11030" t="str">
            <v>Mager</v>
          </cell>
        </row>
        <row r="11031">
          <cell r="I11031" t="str">
            <v>Lung</v>
          </cell>
        </row>
        <row r="11032">
          <cell r="I11032" t="str">
            <v>Lukes</v>
          </cell>
        </row>
        <row r="11033">
          <cell r="I11033" t="str">
            <v>Lopresti</v>
          </cell>
        </row>
        <row r="11034">
          <cell r="I11034" t="str">
            <v>Liriano</v>
          </cell>
        </row>
        <row r="11035">
          <cell r="I11035" t="str">
            <v>Lipton</v>
          </cell>
        </row>
        <row r="11036">
          <cell r="I11036" t="str">
            <v>Letson</v>
          </cell>
        </row>
        <row r="11037">
          <cell r="I11037" t="str">
            <v>Lechuga</v>
          </cell>
        </row>
        <row r="11038">
          <cell r="I11038" t="str">
            <v>Lazenby</v>
          </cell>
        </row>
        <row r="11039">
          <cell r="I11039" t="str">
            <v>Lauria</v>
          </cell>
        </row>
        <row r="11040">
          <cell r="I11040" t="str">
            <v>Larimore</v>
          </cell>
        </row>
        <row r="11041">
          <cell r="I11041" t="str">
            <v>Kwok</v>
          </cell>
        </row>
        <row r="11042">
          <cell r="I11042" t="str">
            <v>Kwak</v>
          </cell>
        </row>
        <row r="11043">
          <cell r="I11043" t="str">
            <v>Krupp</v>
          </cell>
        </row>
        <row r="11044">
          <cell r="I11044" t="str">
            <v>Krupa</v>
          </cell>
        </row>
        <row r="11045">
          <cell r="I11045" t="str">
            <v>Krum</v>
          </cell>
        </row>
        <row r="11046">
          <cell r="I11046" t="str">
            <v>Kopec</v>
          </cell>
        </row>
        <row r="11047">
          <cell r="I11047" t="str">
            <v>Kinchen</v>
          </cell>
        </row>
        <row r="11048">
          <cell r="I11048" t="str">
            <v>Kifer</v>
          </cell>
        </row>
        <row r="11049">
          <cell r="I11049" t="str">
            <v>Kerney</v>
          </cell>
        </row>
        <row r="11050">
          <cell r="I11050" t="str">
            <v>Kerner</v>
          </cell>
        </row>
        <row r="11051">
          <cell r="I11051" t="str">
            <v>Kennison</v>
          </cell>
        </row>
        <row r="11052">
          <cell r="I11052" t="str">
            <v>Kegley</v>
          </cell>
        </row>
        <row r="11053">
          <cell r="I11053" t="str">
            <v>Kays</v>
          </cell>
        </row>
        <row r="11054">
          <cell r="I11054" t="str">
            <v>Karcher</v>
          </cell>
        </row>
        <row r="11055">
          <cell r="I11055" t="str">
            <v>Justis</v>
          </cell>
        </row>
        <row r="11056">
          <cell r="I11056" t="str">
            <v>Johson</v>
          </cell>
        </row>
        <row r="11057">
          <cell r="I11057" t="str">
            <v>Jellison</v>
          </cell>
        </row>
        <row r="11058">
          <cell r="I11058" t="str">
            <v>Janke</v>
          </cell>
        </row>
        <row r="11059">
          <cell r="I11059" t="str">
            <v>Isabell</v>
          </cell>
        </row>
        <row r="11060">
          <cell r="I11060" t="str">
            <v>Huskins</v>
          </cell>
        </row>
        <row r="11061">
          <cell r="I11061" t="str">
            <v>Holzman</v>
          </cell>
        </row>
        <row r="11062">
          <cell r="I11062" t="str">
            <v>Hollie</v>
          </cell>
        </row>
        <row r="11063">
          <cell r="I11063" t="str">
            <v>Hinojos</v>
          </cell>
        </row>
        <row r="11064">
          <cell r="I11064" t="str">
            <v>Highland</v>
          </cell>
        </row>
        <row r="11065">
          <cell r="I11065" t="str">
            <v>Hefley</v>
          </cell>
        </row>
        <row r="11066">
          <cell r="I11066" t="str">
            <v>He</v>
          </cell>
        </row>
        <row r="11067">
          <cell r="I11067" t="str">
            <v>Hatmaker</v>
          </cell>
        </row>
        <row r="11068">
          <cell r="I11068" t="str">
            <v>Harte</v>
          </cell>
        </row>
        <row r="11069">
          <cell r="I11069" t="str">
            <v>Halloway</v>
          </cell>
        </row>
        <row r="11070">
          <cell r="I11070" t="str">
            <v>Hallenbeck</v>
          </cell>
        </row>
        <row r="11071">
          <cell r="I11071" t="str">
            <v>Goodwyn</v>
          </cell>
        </row>
        <row r="11072">
          <cell r="I11072" t="str">
            <v>Glaspie</v>
          </cell>
        </row>
        <row r="11073">
          <cell r="I11073" t="str">
            <v>Gillian</v>
          </cell>
        </row>
        <row r="11074">
          <cell r="I11074" t="str">
            <v>Geise</v>
          </cell>
        </row>
        <row r="11075">
          <cell r="I11075" t="str">
            <v>Fullwood</v>
          </cell>
        </row>
        <row r="11076">
          <cell r="I11076" t="str">
            <v>Fryman</v>
          </cell>
        </row>
        <row r="11077">
          <cell r="I11077" t="str">
            <v>Frew</v>
          </cell>
        </row>
        <row r="11078">
          <cell r="I11078" t="str">
            <v>Frakes</v>
          </cell>
        </row>
        <row r="11079">
          <cell r="I11079" t="str">
            <v>Fraire</v>
          </cell>
        </row>
        <row r="11080">
          <cell r="I11080" t="str">
            <v>Farrer</v>
          </cell>
        </row>
        <row r="11081">
          <cell r="I11081" t="str">
            <v>Enlow</v>
          </cell>
        </row>
        <row r="11082">
          <cell r="I11082" t="str">
            <v>Engen</v>
          </cell>
        </row>
        <row r="11083">
          <cell r="I11083" t="str">
            <v>Ellzey</v>
          </cell>
        </row>
        <row r="11084">
          <cell r="I11084" t="str">
            <v>Eckles</v>
          </cell>
        </row>
        <row r="11085">
          <cell r="I11085" t="str">
            <v>Earles</v>
          </cell>
        </row>
        <row r="11086">
          <cell r="I11086" t="str">
            <v>Ealy</v>
          </cell>
        </row>
        <row r="11087">
          <cell r="I11087" t="str">
            <v>Dunkley</v>
          </cell>
        </row>
        <row r="11088">
          <cell r="I11088" t="str">
            <v>Drinkard</v>
          </cell>
        </row>
        <row r="11089">
          <cell r="I11089" t="str">
            <v>Dreiling</v>
          </cell>
        </row>
        <row r="11090">
          <cell r="I11090" t="str">
            <v>Draeger</v>
          </cell>
        </row>
        <row r="11091">
          <cell r="I11091" t="str">
            <v>Dinardo</v>
          </cell>
        </row>
        <row r="11092">
          <cell r="I11092" t="str">
            <v>Dills</v>
          </cell>
        </row>
        <row r="11093">
          <cell r="I11093" t="str">
            <v>Desroches</v>
          </cell>
        </row>
        <row r="11094">
          <cell r="I11094" t="str">
            <v>Desantiago</v>
          </cell>
        </row>
        <row r="11095">
          <cell r="I11095" t="str">
            <v>Current</v>
          </cell>
        </row>
        <row r="11096">
          <cell r="I11096" t="str">
            <v>Curlee</v>
          </cell>
        </row>
        <row r="11097">
          <cell r="I11097" t="str">
            <v>Crumbley</v>
          </cell>
        </row>
        <row r="11098">
          <cell r="I11098" t="str">
            <v>Critchlow</v>
          </cell>
        </row>
        <row r="11099">
          <cell r="I11099" t="str">
            <v>Coury</v>
          </cell>
        </row>
        <row r="11100">
          <cell r="I11100" t="str">
            <v>Courtright</v>
          </cell>
        </row>
        <row r="11101">
          <cell r="I11101" t="str">
            <v>Coffield</v>
          </cell>
        </row>
        <row r="11102">
          <cell r="I11102" t="str">
            <v>Cleek</v>
          </cell>
        </row>
        <row r="11103">
          <cell r="I11103" t="str">
            <v>Christen</v>
          </cell>
        </row>
        <row r="11104">
          <cell r="I11104" t="str">
            <v>Charpentier</v>
          </cell>
        </row>
        <row r="11105">
          <cell r="I11105" t="str">
            <v>Cardone</v>
          </cell>
        </row>
        <row r="11106">
          <cell r="I11106" t="str">
            <v>Caples</v>
          </cell>
        </row>
        <row r="11107">
          <cell r="I11107" t="str">
            <v>Cantin</v>
          </cell>
        </row>
        <row r="11108">
          <cell r="I11108" t="str">
            <v>Buntin</v>
          </cell>
        </row>
        <row r="11109">
          <cell r="I11109" t="str">
            <v>Bugbee</v>
          </cell>
        </row>
        <row r="11110">
          <cell r="I11110" t="str">
            <v>Brinkerhoff</v>
          </cell>
        </row>
        <row r="11111">
          <cell r="I11111" t="str">
            <v>Brackin</v>
          </cell>
        </row>
        <row r="11112">
          <cell r="I11112" t="str">
            <v>Bourland</v>
          </cell>
        </row>
        <row r="11113">
          <cell r="I11113" t="str">
            <v>Bohl</v>
          </cell>
        </row>
        <row r="11114">
          <cell r="I11114" t="str">
            <v>Bogdan</v>
          </cell>
        </row>
        <row r="11115">
          <cell r="I11115" t="str">
            <v>Blassingame</v>
          </cell>
        </row>
        <row r="11116">
          <cell r="I11116" t="str">
            <v>Beacham</v>
          </cell>
        </row>
        <row r="11117">
          <cell r="I11117" t="str">
            <v>Banning</v>
          </cell>
        </row>
        <row r="11118">
          <cell r="I11118" t="str">
            <v>Auguste</v>
          </cell>
        </row>
        <row r="11119">
          <cell r="I11119" t="str">
            <v>Andreasen</v>
          </cell>
        </row>
        <row r="11120">
          <cell r="I11120" t="str">
            <v>Amann</v>
          </cell>
        </row>
        <row r="11121">
          <cell r="I11121" t="str">
            <v>Almon</v>
          </cell>
        </row>
        <row r="11122">
          <cell r="I11122" t="str">
            <v>Alejo</v>
          </cell>
        </row>
        <row r="11123">
          <cell r="I11123" t="str">
            <v>Adelman</v>
          </cell>
        </row>
        <row r="11124">
          <cell r="I11124" t="str">
            <v>Abston</v>
          </cell>
        </row>
        <row r="11125">
          <cell r="I11125" t="str">
            <v>Zeno</v>
          </cell>
        </row>
        <row r="11126">
          <cell r="I11126" t="str">
            <v>Yerger</v>
          </cell>
        </row>
        <row r="11127">
          <cell r="I11127" t="str">
            <v>Wymer</v>
          </cell>
        </row>
        <row r="11128">
          <cell r="I11128" t="str">
            <v>Woodberry</v>
          </cell>
        </row>
        <row r="11129">
          <cell r="I11129" t="str">
            <v>Windley</v>
          </cell>
        </row>
        <row r="11130">
          <cell r="I11130" t="str">
            <v>Whiteaker</v>
          </cell>
        </row>
        <row r="11131">
          <cell r="I11131" t="str">
            <v>Westfield</v>
          </cell>
        </row>
        <row r="11132">
          <cell r="I11132" t="str">
            <v>Weibel</v>
          </cell>
        </row>
        <row r="11133">
          <cell r="I11133" t="str">
            <v>Wanner</v>
          </cell>
        </row>
        <row r="11134">
          <cell r="I11134" t="str">
            <v>Waldrep</v>
          </cell>
        </row>
        <row r="11135">
          <cell r="I11135" t="str">
            <v>Vital</v>
          </cell>
        </row>
        <row r="11136">
          <cell r="I11136" t="str">
            <v>Villani</v>
          </cell>
        </row>
        <row r="11137">
          <cell r="I11137" t="str">
            <v>Vanarsdale</v>
          </cell>
        </row>
        <row r="11138">
          <cell r="I11138" t="str">
            <v>Utterback</v>
          </cell>
        </row>
        <row r="11139">
          <cell r="I11139" t="str">
            <v>Updike</v>
          </cell>
        </row>
        <row r="11140">
          <cell r="I11140" t="str">
            <v>Triggs</v>
          </cell>
        </row>
        <row r="11141">
          <cell r="I11141" t="str">
            <v>Topete</v>
          </cell>
        </row>
        <row r="11142">
          <cell r="I11142" t="str">
            <v>Tolar</v>
          </cell>
        </row>
        <row r="11143">
          <cell r="I11143" t="str">
            <v>Tigner</v>
          </cell>
        </row>
        <row r="11144">
          <cell r="I11144" t="str">
            <v>Thoms</v>
          </cell>
        </row>
        <row r="11145">
          <cell r="I11145" t="str">
            <v>Tauber</v>
          </cell>
        </row>
        <row r="11146">
          <cell r="I11146" t="str">
            <v>Tarvin</v>
          </cell>
        </row>
        <row r="11147">
          <cell r="I11147" t="str">
            <v>Tally</v>
          </cell>
        </row>
        <row r="11148">
          <cell r="I11148" t="str">
            <v>Swiney</v>
          </cell>
        </row>
        <row r="11149">
          <cell r="I11149" t="str">
            <v>Sweatman</v>
          </cell>
        </row>
        <row r="11150">
          <cell r="I11150" t="str">
            <v>Studebaker</v>
          </cell>
        </row>
        <row r="11151">
          <cell r="I11151" t="str">
            <v>Streets</v>
          </cell>
        </row>
        <row r="11152">
          <cell r="I11152" t="str">
            <v>Stennett</v>
          </cell>
        </row>
        <row r="11153">
          <cell r="I11153" t="str">
            <v>States</v>
          </cell>
        </row>
        <row r="11154">
          <cell r="I11154" t="str">
            <v>Starrett</v>
          </cell>
        </row>
        <row r="11155">
          <cell r="I11155" t="str">
            <v>Stannard</v>
          </cell>
        </row>
        <row r="11156">
          <cell r="I11156" t="str">
            <v>Stalvey</v>
          </cell>
        </row>
        <row r="11157">
          <cell r="I11157" t="str">
            <v>Sonnenberg</v>
          </cell>
        </row>
        <row r="11158">
          <cell r="I11158" t="str">
            <v>Smithey</v>
          </cell>
        </row>
        <row r="11159">
          <cell r="I11159" t="str">
            <v>Sieber</v>
          </cell>
        </row>
        <row r="11160">
          <cell r="I11160" t="str">
            <v>Sickles</v>
          </cell>
        </row>
        <row r="11161">
          <cell r="I11161" t="str">
            <v>Shinault</v>
          </cell>
        </row>
        <row r="11162">
          <cell r="I11162" t="str">
            <v>Segars</v>
          </cell>
        </row>
        <row r="11163">
          <cell r="I11163" t="str">
            <v>Sanger</v>
          </cell>
        </row>
        <row r="11164">
          <cell r="I11164" t="str">
            <v>Salmeron</v>
          </cell>
        </row>
        <row r="11165">
          <cell r="I11165" t="str">
            <v>Rothe</v>
          </cell>
        </row>
        <row r="11166">
          <cell r="I11166" t="str">
            <v>Rizzi</v>
          </cell>
        </row>
        <row r="11167">
          <cell r="I11167" t="str">
            <v>Rine</v>
          </cell>
        </row>
        <row r="11168">
          <cell r="I11168" t="str">
            <v>Ricard</v>
          </cell>
        </row>
        <row r="11169">
          <cell r="I11169" t="str">
            <v>Restrepo</v>
          </cell>
        </row>
        <row r="11170">
          <cell r="I11170" t="str">
            <v>Ralls</v>
          </cell>
        </row>
        <row r="11171">
          <cell r="I11171" t="str">
            <v>Ragusa</v>
          </cell>
        </row>
        <row r="11172">
          <cell r="I11172" t="str">
            <v>Quiroga</v>
          </cell>
        </row>
        <row r="11173">
          <cell r="I11173" t="str">
            <v>Ping</v>
          </cell>
        </row>
        <row r="11174">
          <cell r="I11174" t="str">
            <v>Phung</v>
          </cell>
        </row>
        <row r="11175">
          <cell r="I11175" t="str">
            <v>Pero</v>
          </cell>
        </row>
        <row r="11176">
          <cell r="I11176" t="str">
            <v>Pegg</v>
          </cell>
        </row>
        <row r="11177">
          <cell r="I11177" t="str">
            <v>Pavlik</v>
          </cell>
        </row>
        <row r="11178">
          <cell r="I11178" t="str">
            <v>Papenfuss</v>
          </cell>
        </row>
        <row r="11179">
          <cell r="I11179" t="str">
            <v>Oropeza</v>
          </cell>
        </row>
        <row r="11180">
          <cell r="I11180" t="str">
            <v>Omar</v>
          </cell>
        </row>
        <row r="11181">
          <cell r="I11181" t="str">
            <v>Okane</v>
          </cell>
        </row>
        <row r="11182">
          <cell r="I11182" t="str">
            <v>Neer</v>
          </cell>
        </row>
        <row r="11183">
          <cell r="I11183" t="str">
            <v>Nee</v>
          </cell>
        </row>
        <row r="11184">
          <cell r="I11184" t="str">
            <v>Nathaniel</v>
          </cell>
        </row>
        <row r="11185">
          <cell r="I11185" t="str">
            <v>Mudge</v>
          </cell>
        </row>
        <row r="11186">
          <cell r="I11186" t="str">
            <v>Mozingo</v>
          </cell>
        </row>
        <row r="11187">
          <cell r="I11187" t="str">
            <v>Molinaro</v>
          </cell>
        </row>
        <row r="11188">
          <cell r="I11188" t="str">
            <v>Mikel</v>
          </cell>
        </row>
        <row r="11189">
          <cell r="I11189" t="str">
            <v>Mcvicker</v>
          </cell>
        </row>
        <row r="11190">
          <cell r="I11190" t="str">
            <v>Mcgarvey</v>
          </cell>
        </row>
        <row r="11191">
          <cell r="I11191" t="str">
            <v>Mcfalls</v>
          </cell>
        </row>
        <row r="11192">
          <cell r="I11192" t="str">
            <v>Mccraney</v>
          </cell>
        </row>
        <row r="11193">
          <cell r="I11193" t="str">
            <v>Matus</v>
          </cell>
        </row>
        <row r="11194">
          <cell r="I11194" t="str">
            <v>Magers</v>
          </cell>
        </row>
        <row r="11195">
          <cell r="I11195" t="str">
            <v>Llanos</v>
          </cell>
        </row>
        <row r="11196">
          <cell r="I11196" t="str">
            <v>Livermore</v>
          </cell>
        </row>
        <row r="11197">
          <cell r="I11197" t="str">
            <v>Liss</v>
          </cell>
        </row>
        <row r="11198">
          <cell r="I11198" t="str">
            <v>Linehan</v>
          </cell>
        </row>
        <row r="11199">
          <cell r="I11199" t="str">
            <v>Leto</v>
          </cell>
        </row>
        <row r="11200">
          <cell r="I11200" t="str">
            <v>Leitner</v>
          </cell>
        </row>
        <row r="11201">
          <cell r="I11201" t="str">
            <v>Laymon</v>
          </cell>
        </row>
        <row r="11202">
          <cell r="I11202" t="str">
            <v>Lawing</v>
          </cell>
        </row>
        <row r="11203">
          <cell r="I11203" t="str">
            <v>Lawerence</v>
          </cell>
        </row>
        <row r="11204">
          <cell r="I11204" t="str">
            <v>Lacourse</v>
          </cell>
        </row>
        <row r="11205">
          <cell r="I11205" t="str">
            <v>Kwong</v>
          </cell>
        </row>
        <row r="11206">
          <cell r="I11206" t="str">
            <v>Kollar</v>
          </cell>
        </row>
        <row r="11207">
          <cell r="I11207" t="str">
            <v>Kneeland</v>
          </cell>
        </row>
        <row r="11208">
          <cell r="I11208" t="str">
            <v>Keo</v>
          </cell>
        </row>
        <row r="11209">
          <cell r="I11209" t="str">
            <v>Kennett</v>
          </cell>
        </row>
        <row r="11210">
          <cell r="I11210" t="str">
            <v>Kellett</v>
          </cell>
        </row>
        <row r="11211">
          <cell r="I11211" t="str">
            <v>Kangas</v>
          </cell>
        </row>
        <row r="11212">
          <cell r="I11212" t="str">
            <v>Janzen</v>
          </cell>
        </row>
        <row r="11213">
          <cell r="I11213" t="str">
            <v>Hutter</v>
          </cell>
        </row>
        <row r="11214">
          <cell r="I11214" t="str">
            <v>Huse</v>
          </cell>
        </row>
        <row r="11215">
          <cell r="I11215" t="str">
            <v>Huling</v>
          </cell>
        </row>
        <row r="11216">
          <cell r="I11216" t="str">
            <v>Hoss</v>
          </cell>
        </row>
        <row r="11217">
          <cell r="I11217" t="str">
            <v>Hohn</v>
          </cell>
        </row>
        <row r="11218">
          <cell r="I11218" t="str">
            <v>Hofmeister</v>
          </cell>
        </row>
        <row r="11219">
          <cell r="I11219" t="str">
            <v>Hewes</v>
          </cell>
        </row>
        <row r="11220">
          <cell r="I11220" t="str">
            <v>Hern</v>
          </cell>
        </row>
        <row r="11221">
          <cell r="I11221" t="str">
            <v>Harjo</v>
          </cell>
        </row>
        <row r="11222">
          <cell r="I11222" t="str">
            <v>Habib</v>
          </cell>
        </row>
        <row r="11223">
          <cell r="I11223" t="str">
            <v>Gust</v>
          </cell>
        </row>
        <row r="11224">
          <cell r="I11224" t="str">
            <v>Guice</v>
          </cell>
        </row>
        <row r="11225">
          <cell r="I11225" t="str">
            <v>Grullon</v>
          </cell>
        </row>
        <row r="11226">
          <cell r="I11226" t="str">
            <v>Greggs</v>
          </cell>
        </row>
        <row r="11227">
          <cell r="I11227" t="str">
            <v>Grayer</v>
          </cell>
        </row>
        <row r="11228">
          <cell r="I11228" t="str">
            <v>Granier</v>
          </cell>
        </row>
        <row r="11229">
          <cell r="I11229" t="str">
            <v>Grable</v>
          </cell>
        </row>
        <row r="11230">
          <cell r="I11230" t="str">
            <v>Gowdy</v>
          </cell>
        </row>
        <row r="11231">
          <cell r="I11231" t="str">
            <v>Giannini</v>
          </cell>
        </row>
        <row r="11232">
          <cell r="I11232" t="str">
            <v>Getchell</v>
          </cell>
        </row>
        <row r="11233">
          <cell r="I11233" t="str">
            <v>Gartman</v>
          </cell>
        </row>
        <row r="11234">
          <cell r="I11234" t="str">
            <v>Garnica</v>
          </cell>
        </row>
        <row r="11235">
          <cell r="I11235" t="str">
            <v>Ganey</v>
          </cell>
        </row>
        <row r="11236">
          <cell r="I11236" t="str">
            <v>Gallimore</v>
          </cell>
        </row>
        <row r="11237">
          <cell r="I11237" t="str">
            <v>Fray</v>
          </cell>
        </row>
        <row r="11238">
          <cell r="I11238" t="str">
            <v>Fetters</v>
          </cell>
        </row>
        <row r="11239">
          <cell r="I11239" t="str">
            <v>Fergerson</v>
          </cell>
        </row>
        <row r="11240">
          <cell r="I11240" t="str">
            <v>Farlow</v>
          </cell>
        </row>
        <row r="11241">
          <cell r="I11241" t="str">
            <v>Fagundes</v>
          </cell>
        </row>
        <row r="11242">
          <cell r="I11242" t="str">
            <v>Exley</v>
          </cell>
        </row>
        <row r="11243">
          <cell r="I11243" t="str">
            <v>Esteves</v>
          </cell>
        </row>
        <row r="11244">
          <cell r="I11244" t="str">
            <v>Enders</v>
          </cell>
        </row>
        <row r="11245">
          <cell r="I11245" t="str">
            <v>Edenfield</v>
          </cell>
        </row>
        <row r="11246">
          <cell r="I11246" t="str">
            <v>Easterwood</v>
          </cell>
        </row>
        <row r="11247">
          <cell r="I11247" t="str">
            <v>Drakeford</v>
          </cell>
        </row>
        <row r="11248">
          <cell r="I11248" t="str">
            <v>Dipasquale</v>
          </cell>
        </row>
        <row r="11249">
          <cell r="I11249" t="str">
            <v>Desousa</v>
          </cell>
        </row>
        <row r="11250">
          <cell r="I11250" t="str">
            <v>Deshields</v>
          </cell>
        </row>
        <row r="11251">
          <cell r="I11251" t="str">
            <v>Deeter</v>
          </cell>
        </row>
        <row r="11252">
          <cell r="I11252" t="str">
            <v>Dedmon</v>
          </cell>
        </row>
        <row r="11253">
          <cell r="I11253" t="str">
            <v>Debord</v>
          </cell>
        </row>
        <row r="11254">
          <cell r="I11254" t="str">
            <v>Daughtery</v>
          </cell>
        </row>
        <row r="11255">
          <cell r="I11255" t="str">
            <v>Cutts</v>
          </cell>
        </row>
        <row r="11256">
          <cell r="I11256" t="str">
            <v>Courtemanche</v>
          </cell>
        </row>
        <row r="11257">
          <cell r="I11257" t="str">
            <v>Coursey</v>
          </cell>
        </row>
        <row r="11258">
          <cell r="I11258" t="str">
            <v>Copple</v>
          </cell>
        </row>
        <row r="11259">
          <cell r="I11259" t="str">
            <v>Coomes</v>
          </cell>
        </row>
        <row r="11260">
          <cell r="I11260" t="str">
            <v>Collis</v>
          </cell>
        </row>
        <row r="11261">
          <cell r="I11261" t="str">
            <v>Coll</v>
          </cell>
        </row>
        <row r="11262">
          <cell r="I11262" t="str">
            <v>Cogburn</v>
          </cell>
        </row>
        <row r="11263">
          <cell r="I11263" t="str">
            <v>Clopton</v>
          </cell>
        </row>
        <row r="11264">
          <cell r="I11264" t="str">
            <v>Choquette</v>
          </cell>
        </row>
        <row r="11265">
          <cell r="I11265" t="str">
            <v>Chaidez</v>
          </cell>
        </row>
        <row r="11266">
          <cell r="I11266" t="str">
            <v>Castrejon</v>
          </cell>
        </row>
        <row r="11267">
          <cell r="I11267" t="str">
            <v>Calhoon</v>
          </cell>
        </row>
        <row r="11268">
          <cell r="I11268" t="str">
            <v>Burbach</v>
          </cell>
        </row>
        <row r="11269">
          <cell r="I11269" t="str">
            <v>Bulloch</v>
          </cell>
        </row>
        <row r="11270">
          <cell r="I11270" t="str">
            <v>Buchman</v>
          </cell>
        </row>
        <row r="11271">
          <cell r="I11271" t="str">
            <v>Bruhn</v>
          </cell>
        </row>
        <row r="11272">
          <cell r="I11272" t="str">
            <v>Bohon</v>
          </cell>
        </row>
        <row r="11273">
          <cell r="I11273" t="str">
            <v>Blough</v>
          </cell>
        </row>
        <row r="11274">
          <cell r="I11274" t="str">
            <v>Bien</v>
          </cell>
        </row>
        <row r="11275">
          <cell r="I11275" t="str">
            <v>Belmont</v>
          </cell>
        </row>
        <row r="11276">
          <cell r="I11276" t="str">
            <v>Baynes</v>
          </cell>
        </row>
        <row r="11277">
          <cell r="I11277" t="str">
            <v>Barstow</v>
          </cell>
        </row>
        <row r="11278">
          <cell r="I11278" t="str">
            <v>Zeman</v>
          </cell>
        </row>
        <row r="11279">
          <cell r="I11279" t="str">
            <v>Zackery</v>
          </cell>
        </row>
        <row r="11280">
          <cell r="I11280" t="str">
            <v>Yardley</v>
          </cell>
        </row>
        <row r="11281">
          <cell r="I11281" t="str">
            <v>Yamashita</v>
          </cell>
        </row>
        <row r="11282">
          <cell r="I11282" t="str">
            <v>Wulff</v>
          </cell>
        </row>
        <row r="11283">
          <cell r="I11283" t="str">
            <v>Wilken</v>
          </cell>
        </row>
        <row r="11284">
          <cell r="I11284" t="str">
            <v>Wiliams</v>
          </cell>
        </row>
        <row r="11285">
          <cell r="I11285" t="str">
            <v>Wickersham</v>
          </cell>
        </row>
        <row r="11286">
          <cell r="I11286" t="str">
            <v>Wible</v>
          </cell>
        </row>
        <row r="11287">
          <cell r="I11287" t="str">
            <v>Whipkey</v>
          </cell>
        </row>
        <row r="11288">
          <cell r="I11288" t="str">
            <v>Wedgeworth</v>
          </cell>
        </row>
        <row r="11289">
          <cell r="I11289" t="str">
            <v>Walmsley</v>
          </cell>
        </row>
        <row r="11290">
          <cell r="I11290" t="str">
            <v>Walkup</v>
          </cell>
        </row>
        <row r="11291">
          <cell r="I11291" t="str">
            <v>Vreeland</v>
          </cell>
        </row>
        <row r="11292">
          <cell r="I11292" t="str">
            <v>Verrill</v>
          </cell>
        </row>
        <row r="11293">
          <cell r="I11293" t="str">
            <v>Valera</v>
          </cell>
        </row>
        <row r="11294">
          <cell r="I11294" t="str">
            <v>Umana</v>
          </cell>
        </row>
        <row r="11295">
          <cell r="I11295" t="str">
            <v>Traub</v>
          </cell>
        </row>
        <row r="11296">
          <cell r="I11296" t="str">
            <v>Timothy</v>
          </cell>
        </row>
        <row r="11297">
          <cell r="I11297" t="str">
            <v>Swingle</v>
          </cell>
        </row>
        <row r="11298">
          <cell r="I11298" t="str">
            <v>Swing</v>
          </cell>
        </row>
        <row r="11299">
          <cell r="I11299" t="str">
            <v>Summey</v>
          </cell>
        </row>
        <row r="11300">
          <cell r="I11300" t="str">
            <v>Stroupe</v>
          </cell>
        </row>
        <row r="11301">
          <cell r="I11301" t="str">
            <v>Stockstill</v>
          </cell>
        </row>
        <row r="11302">
          <cell r="I11302" t="str">
            <v>Steffey</v>
          </cell>
        </row>
        <row r="11303">
          <cell r="I11303" t="str">
            <v>Stefanski</v>
          </cell>
        </row>
        <row r="11304">
          <cell r="I11304" t="str">
            <v>Statler</v>
          </cell>
        </row>
        <row r="11305">
          <cell r="I11305" t="str">
            <v>Stapp</v>
          </cell>
        </row>
        <row r="11306">
          <cell r="I11306" t="str">
            <v>Speights</v>
          </cell>
        </row>
        <row r="11307">
          <cell r="I11307" t="str">
            <v>Sons</v>
          </cell>
        </row>
        <row r="11308">
          <cell r="I11308" t="str">
            <v>Solari</v>
          </cell>
        </row>
        <row r="11309">
          <cell r="I11309" t="str">
            <v>Soderberg</v>
          </cell>
        </row>
        <row r="11310">
          <cell r="I11310" t="str">
            <v>Slick</v>
          </cell>
        </row>
        <row r="11311">
          <cell r="I11311" t="str">
            <v>Shunk</v>
          </cell>
        </row>
        <row r="11312">
          <cell r="I11312" t="str">
            <v>Shorey</v>
          </cell>
        </row>
        <row r="11313">
          <cell r="I11313" t="str">
            <v>Shewmaker</v>
          </cell>
        </row>
        <row r="11314">
          <cell r="I11314" t="str">
            <v>Sheilds</v>
          </cell>
        </row>
        <row r="11315">
          <cell r="I11315" t="str">
            <v>Schiffer</v>
          </cell>
        </row>
        <row r="11316">
          <cell r="I11316" t="str">
            <v>Schank</v>
          </cell>
        </row>
        <row r="11317">
          <cell r="I11317" t="str">
            <v>Schaff</v>
          </cell>
        </row>
        <row r="11318">
          <cell r="I11318" t="str">
            <v>Sagers</v>
          </cell>
        </row>
        <row r="11319">
          <cell r="I11319" t="str">
            <v>Rodger</v>
          </cell>
        </row>
        <row r="11320">
          <cell r="I11320" t="str">
            <v>Rochon</v>
          </cell>
        </row>
        <row r="11321">
          <cell r="I11321" t="str">
            <v>Riser</v>
          </cell>
        </row>
        <row r="11322">
          <cell r="I11322" t="str">
            <v>Rickett</v>
          </cell>
        </row>
        <row r="11323">
          <cell r="I11323" t="str">
            <v>Reale</v>
          </cell>
        </row>
        <row r="11324">
          <cell r="I11324" t="str">
            <v>Raglin</v>
          </cell>
        </row>
        <row r="11325">
          <cell r="I11325" t="str">
            <v>Poon</v>
          </cell>
        </row>
        <row r="11326">
          <cell r="I11326" t="str">
            <v>Polly</v>
          </cell>
        </row>
        <row r="11327">
          <cell r="I11327" t="str">
            <v>Polen</v>
          </cell>
        </row>
        <row r="11328">
          <cell r="I11328" t="str">
            <v>Plata</v>
          </cell>
        </row>
        <row r="11329">
          <cell r="I11329" t="str">
            <v>Pitcock</v>
          </cell>
        </row>
        <row r="11330">
          <cell r="I11330" t="str">
            <v>Percival</v>
          </cell>
        </row>
        <row r="11331">
          <cell r="I11331" t="str">
            <v>Palen</v>
          </cell>
        </row>
        <row r="11332">
          <cell r="I11332" t="str">
            <v>Pahl</v>
          </cell>
        </row>
        <row r="11333">
          <cell r="I11333" t="str">
            <v>Orona</v>
          </cell>
        </row>
        <row r="11334">
          <cell r="I11334" t="str">
            <v>Oberle</v>
          </cell>
        </row>
        <row r="11335">
          <cell r="I11335" t="str">
            <v>Nocera</v>
          </cell>
        </row>
        <row r="11336">
          <cell r="I11336" t="str">
            <v>Navas</v>
          </cell>
        </row>
        <row r="11337">
          <cell r="I11337" t="str">
            <v>Nault</v>
          </cell>
        </row>
        <row r="11338">
          <cell r="I11338" t="str">
            <v>Mullings</v>
          </cell>
        </row>
        <row r="11339">
          <cell r="I11339" t="str">
            <v>Mouser</v>
          </cell>
        </row>
        <row r="11340">
          <cell r="I11340" t="str">
            <v>Moos</v>
          </cell>
        </row>
        <row r="11341">
          <cell r="I11341" t="str">
            <v>Montejano</v>
          </cell>
        </row>
        <row r="11342">
          <cell r="I11342" t="str">
            <v>Monreal</v>
          </cell>
        </row>
        <row r="11343">
          <cell r="I11343" t="str">
            <v>Minick</v>
          </cell>
        </row>
        <row r="11344">
          <cell r="I11344" t="str">
            <v>Middlebrook</v>
          </cell>
        </row>
        <row r="11345">
          <cell r="I11345" t="str">
            <v>Meece</v>
          </cell>
        </row>
        <row r="11346">
          <cell r="I11346" t="str">
            <v>Mcmillion</v>
          </cell>
        </row>
        <row r="11347">
          <cell r="I11347" t="str">
            <v>Mccullen</v>
          </cell>
        </row>
        <row r="11348">
          <cell r="I11348" t="str">
            <v>Mauck</v>
          </cell>
        </row>
        <row r="11349">
          <cell r="I11349" t="str">
            <v>Marshburn</v>
          </cell>
        </row>
        <row r="11350">
          <cell r="I11350" t="str">
            <v>Maillet</v>
          </cell>
        </row>
        <row r="11351">
          <cell r="I11351" t="str">
            <v>Mahaney</v>
          </cell>
        </row>
        <row r="11352">
          <cell r="I11352" t="str">
            <v>Magner</v>
          </cell>
        </row>
        <row r="11353">
          <cell r="I11353" t="str">
            <v>Maclin</v>
          </cell>
        </row>
        <row r="11354">
          <cell r="I11354" t="str">
            <v>Lucey</v>
          </cell>
        </row>
        <row r="11355">
          <cell r="I11355" t="str">
            <v>Litteral</v>
          </cell>
        </row>
        <row r="11356">
          <cell r="I11356" t="str">
            <v>Lippincott</v>
          </cell>
        </row>
        <row r="11357">
          <cell r="I11357" t="str">
            <v>Leite</v>
          </cell>
        </row>
        <row r="11358">
          <cell r="I11358" t="str">
            <v>Leis</v>
          </cell>
        </row>
        <row r="11359">
          <cell r="I11359" t="str">
            <v>Leaks</v>
          </cell>
        </row>
        <row r="11360">
          <cell r="I11360" t="str">
            <v>Laurie</v>
          </cell>
        </row>
        <row r="11361">
          <cell r="I11361" t="str">
            <v>Lamarre</v>
          </cell>
        </row>
        <row r="11362">
          <cell r="I11362" t="str">
            <v>Kost</v>
          </cell>
        </row>
        <row r="11363">
          <cell r="I11363" t="str">
            <v>Jurgens</v>
          </cell>
        </row>
        <row r="11364">
          <cell r="I11364" t="str">
            <v>Jesus</v>
          </cell>
        </row>
        <row r="11365">
          <cell r="I11365" t="str">
            <v>Jerkins</v>
          </cell>
        </row>
        <row r="11366">
          <cell r="I11366" t="str">
            <v>Jager</v>
          </cell>
        </row>
        <row r="11367">
          <cell r="I11367" t="str">
            <v>Hurwitz</v>
          </cell>
        </row>
        <row r="11368">
          <cell r="I11368" t="str">
            <v>Hughley</v>
          </cell>
        </row>
        <row r="11369">
          <cell r="I11369" t="str">
            <v>Hotaling</v>
          </cell>
        </row>
        <row r="11370">
          <cell r="I11370" t="str">
            <v>Horstman</v>
          </cell>
        </row>
        <row r="11371">
          <cell r="I11371" t="str">
            <v>Hohman</v>
          </cell>
        </row>
        <row r="11372">
          <cell r="I11372" t="str">
            <v>Hocker</v>
          </cell>
        </row>
        <row r="11373">
          <cell r="I11373" t="str">
            <v>Hively</v>
          </cell>
        </row>
        <row r="11374">
          <cell r="I11374" t="str">
            <v>Hipps</v>
          </cell>
        </row>
        <row r="11375">
          <cell r="I11375" t="str">
            <v>Hile</v>
          </cell>
        </row>
        <row r="11376">
          <cell r="I11376" t="str">
            <v>Hessler</v>
          </cell>
        </row>
        <row r="11377">
          <cell r="I11377" t="str">
            <v>Hermanson</v>
          </cell>
        </row>
        <row r="11378">
          <cell r="I11378" t="str">
            <v>Hepworth</v>
          </cell>
        </row>
        <row r="11379">
          <cell r="I11379" t="str">
            <v>Henn</v>
          </cell>
        </row>
        <row r="11380">
          <cell r="I11380" t="str">
            <v>Helland</v>
          </cell>
        </row>
        <row r="11381">
          <cell r="I11381" t="str">
            <v>Hedlund</v>
          </cell>
        </row>
        <row r="11382">
          <cell r="I11382" t="str">
            <v>Harkless</v>
          </cell>
        </row>
        <row r="11383">
          <cell r="I11383" t="str">
            <v>Haigler</v>
          </cell>
        </row>
        <row r="11384">
          <cell r="I11384" t="str">
            <v>Gutierez</v>
          </cell>
        </row>
        <row r="11385">
          <cell r="I11385" t="str">
            <v>Gum</v>
          </cell>
        </row>
        <row r="11386">
          <cell r="I11386" t="str">
            <v>Grindstaff</v>
          </cell>
        </row>
        <row r="11387">
          <cell r="I11387" t="str">
            <v>Glantz</v>
          </cell>
        </row>
        <row r="11388">
          <cell r="I11388" t="str">
            <v>Giardina</v>
          </cell>
        </row>
        <row r="11389">
          <cell r="I11389" t="str">
            <v>Gerken</v>
          </cell>
        </row>
        <row r="11390">
          <cell r="I11390" t="str">
            <v>Gadsden</v>
          </cell>
        </row>
        <row r="11391">
          <cell r="I11391" t="str">
            <v>Freda</v>
          </cell>
        </row>
        <row r="11392">
          <cell r="I11392" t="str">
            <v>Finnerty</v>
          </cell>
        </row>
        <row r="11393">
          <cell r="I11393" t="str">
            <v>Feld</v>
          </cell>
        </row>
        <row r="11394">
          <cell r="I11394" t="str">
            <v>Farnum</v>
          </cell>
        </row>
        <row r="11395">
          <cell r="I11395" t="str">
            <v>Encinas</v>
          </cell>
        </row>
        <row r="11396">
          <cell r="I11396" t="str">
            <v>Elton</v>
          </cell>
        </row>
        <row r="11397">
          <cell r="I11397" t="str">
            <v>Eager</v>
          </cell>
        </row>
        <row r="11398">
          <cell r="I11398" t="str">
            <v>Drakes</v>
          </cell>
        </row>
        <row r="11399">
          <cell r="I11399" t="str">
            <v>Dennie</v>
          </cell>
        </row>
        <row r="11400">
          <cell r="I11400" t="str">
            <v>Cutlip</v>
          </cell>
        </row>
        <row r="11401">
          <cell r="I11401" t="str">
            <v>Curtsinger</v>
          </cell>
        </row>
        <row r="11402">
          <cell r="I11402" t="str">
            <v>Couto</v>
          </cell>
        </row>
        <row r="11403">
          <cell r="I11403" t="str">
            <v>Cortinas</v>
          </cell>
        </row>
        <row r="11404">
          <cell r="I11404" t="str">
            <v>Corby</v>
          </cell>
        </row>
        <row r="11405">
          <cell r="I11405" t="str">
            <v>Choice</v>
          </cell>
        </row>
        <row r="11406">
          <cell r="I11406" t="str">
            <v>Chiasson</v>
          </cell>
        </row>
        <row r="11407">
          <cell r="I11407" t="str">
            <v>Carle</v>
          </cell>
        </row>
        <row r="11408">
          <cell r="I11408" t="str">
            <v>Carballo</v>
          </cell>
        </row>
        <row r="11409">
          <cell r="I11409" t="str">
            <v>Brindle</v>
          </cell>
        </row>
        <row r="11410">
          <cell r="I11410" t="str">
            <v>Borum</v>
          </cell>
        </row>
        <row r="11411">
          <cell r="I11411" t="str">
            <v>Bober</v>
          </cell>
        </row>
        <row r="11412">
          <cell r="I11412" t="str">
            <v>Blagg</v>
          </cell>
        </row>
        <row r="11413">
          <cell r="I11413" t="str">
            <v>Birk</v>
          </cell>
        </row>
        <row r="11414">
          <cell r="I11414" t="str">
            <v>Berthiaume</v>
          </cell>
        </row>
        <row r="11415">
          <cell r="I11415" t="str">
            <v>Beahm</v>
          </cell>
        </row>
        <row r="11416">
          <cell r="I11416" t="str">
            <v>Batres</v>
          </cell>
        </row>
        <row r="11417">
          <cell r="I11417" t="str">
            <v>Basnight</v>
          </cell>
        </row>
        <row r="11418">
          <cell r="I11418" t="str">
            <v>Barbara</v>
          </cell>
        </row>
        <row r="11419">
          <cell r="I11419" t="str">
            <v>Backes</v>
          </cell>
        </row>
        <row r="11420">
          <cell r="I11420" t="str">
            <v>Axtell</v>
          </cell>
        </row>
        <row r="11421">
          <cell r="I11421" t="str">
            <v>Aust</v>
          </cell>
        </row>
        <row r="11422">
          <cell r="I11422" t="str">
            <v>Au</v>
          </cell>
        </row>
        <row r="11423">
          <cell r="I11423" t="str">
            <v>Atterberry</v>
          </cell>
        </row>
        <row r="11424">
          <cell r="I11424" t="str">
            <v>Alvares</v>
          </cell>
        </row>
        <row r="11425">
          <cell r="I11425" t="str">
            <v>Alt</v>
          </cell>
        </row>
        <row r="11426">
          <cell r="I11426" t="str">
            <v>Alegria</v>
          </cell>
        </row>
        <row r="11427">
          <cell r="I11427" t="str">
            <v>Abe</v>
          </cell>
        </row>
        <row r="11428">
          <cell r="I11428" t="str">
            <v>Yow</v>
          </cell>
        </row>
        <row r="11429">
          <cell r="I11429" t="str">
            <v>Yip</v>
          </cell>
        </row>
        <row r="11430">
          <cell r="I11430" t="str">
            <v>Woodell</v>
          </cell>
        </row>
        <row r="11431">
          <cell r="I11431" t="str">
            <v>Wojciechowski</v>
          </cell>
        </row>
        <row r="11432">
          <cell r="I11432" t="str">
            <v>Winfree</v>
          </cell>
        </row>
        <row r="11433">
          <cell r="I11433" t="str">
            <v>Winbush</v>
          </cell>
        </row>
        <row r="11434">
          <cell r="I11434" t="str">
            <v>Wiest</v>
          </cell>
        </row>
        <row r="11435">
          <cell r="I11435" t="str">
            <v>Wesner</v>
          </cell>
        </row>
        <row r="11436">
          <cell r="I11436" t="str">
            <v>Wax</v>
          </cell>
        </row>
        <row r="11437">
          <cell r="I11437" t="str">
            <v>Wamsley</v>
          </cell>
        </row>
        <row r="11438">
          <cell r="I11438" t="str">
            <v>Wakeman</v>
          </cell>
        </row>
        <row r="11439">
          <cell r="I11439" t="str">
            <v>Verner</v>
          </cell>
        </row>
        <row r="11440">
          <cell r="I11440" t="str">
            <v>Truex</v>
          </cell>
        </row>
        <row r="11441">
          <cell r="I11441" t="str">
            <v>Trafton</v>
          </cell>
        </row>
        <row r="11442">
          <cell r="I11442" t="str">
            <v>Toman</v>
          </cell>
        </row>
        <row r="11443">
          <cell r="I11443" t="str">
            <v>Thorsen</v>
          </cell>
        </row>
        <row r="11444">
          <cell r="I11444" t="str">
            <v>Thor</v>
          </cell>
        </row>
        <row r="11445">
          <cell r="I11445" t="str">
            <v>Theus</v>
          </cell>
        </row>
        <row r="11446">
          <cell r="I11446" t="str">
            <v>Tellier</v>
          </cell>
        </row>
        <row r="11447">
          <cell r="I11447" t="str">
            <v>Tallant</v>
          </cell>
        </row>
        <row r="11448">
          <cell r="I11448" t="str">
            <v>Szeto</v>
          </cell>
        </row>
        <row r="11449">
          <cell r="I11449" t="str">
            <v>Strope</v>
          </cell>
        </row>
        <row r="11450">
          <cell r="I11450" t="str">
            <v>Stills</v>
          </cell>
        </row>
        <row r="11451">
          <cell r="I11451" t="str">
            <v>Stage</v>
          </cell>
        </row>
        <row r="11452">
          <cell r="I11452" t="str">
            <v>Sorg</v>
          </cell>
        </row>
        <row r="11453">
          <cell r="I11453" t="str">
            <v>Simkins</v>
          </cell>
        </row>
        <row r="11454">
          <cell r="I11454" t="str">
            <v>Shuey</v>
          </cell>
        </row>
        <row r="11455">
          <cell r="I11455" t="str">
            <v>Shaul</v>
          </cell>
        </row>
        <row r="11456">
          <cell r="I11456" t="str">
            <v>Servin</v>
          </cell>
        </row>
        <row r="11457">
          <cell r="I11457" t="str">
            <v>Serio</v>
          </cell>
        </row>
        <row r="11458">
          <cell r="I11458" t="str">
            <v>Serafin</v>
          </cell>
        </row>
        <row r="11459">
          <cell r="I11459" t="str">
            <v>Senior</v>
          </cell>
        </row>
        <row r="11460">
          <cell r="I11460" t="str">
            <v>Sebring</v>
          </cell>
        </row>
        <row r="11461">
          <cell r="I11461" t="str">
            <v>Salguero</v>
          </cell>
        </row>
        <row r="11462">
          <cell r="I11462" t="str">
            <v>Saba</v>
          </cell>
        </row>
        <row r="11463">
          <cell r="I11463" t="str">
            <v>Ryerson</v>
          </cell>
        </row>
        <row r="11464">
          <cell r="I11464" t="str">
            <v>Rudder</v>
          </cell>
        </row>
        <row r="11465">
          <cell r="I11465" t="str">
            <v>Ruark</v>
          </cell>
        </row>
        <row r="11466">
          <cell r="I11466" t="str">
            <v>Rother</v>
          </cell>
        </row>
        <row r="11467">
          <cell r="I11467" t="str">
            <v>Rohrbaugh</v>
          </cell>
        </row>
        <row r="11468">
          <cell r="I11468" t="str">
            <v>Rohrbach</v>
          </cell>
        </row>
        <row r="11469">
          <cell r="I11469" t="str">
            <v>Rohan</v>
          </cell>
        </row>
        <row r="11470">
          <cell r="I11470" t="str">
            <v>Rogerson</v>
          </cell>
        </row>
        <row r="11471">
          <cell r="I11471" t="str">
            <v>Risher</v>
          </cell>
        </row>
        <row r="11472">
          <cell r="I11472" t="str">
            <v>Rigg</v>
          </cell>
        </row>
        <row r="11473">
          <cell r="I11473" t="str">
            <v>Reeser</v>
          </cell>
        </row>
        <row r="11474">
          <cell r="I11474" t="str">
            <v>Pryce</v>
          </cell>
        </row>
        <row r="11475">
          <cell r="I11475" t="str">
            <v>Prokop</v>
          </cell>
        </row>
        <row r="11476">
          <cell r="I11476" t="str">
            <v>Prins</v>
          </cell>
        </row>
        <row r="11477">
          <cell r="I11477" t="str">
            <v>Priebe</v>
          </cell>
        </row>
        <row r="11478">
          <cell r="I11478" t="str">
            <v>Prejean</v>
          </cell>
        </row>
        <row r="11479">
          <cell r="I11479" t="str">
            <v>Pinheiro</v>
          </cell>
        </row>
        <row r="11480">
          <cell r="I11480" t="str">
            <v>Petrone</v>
          </cell>
        </row>
        <row r="11481">
          <cell r="I11481" t="str">
            <v>Petri</v>
          </cell>
        </row>
        <row r="11482">
          <cell r="I11482" t="str">
            <v>Penson</v>
          </cell>
        </row>
        <row r="11483">
          <cell r="I11483" t="str">
            <v>Pearlman</v>
          </cell>
        </row>
        <row r="11484">
          <cell r="I11484" t="str">
            <v>Parikh</v>
          </cell>
        </row>
        <row r="11485">
          <cell r="I11485" t="str">
            <v>Pal</v>
          </cell>
        </row>
        <row r="11486">
          <cell r="I11486" t="str">
            <v>Pair</v>
          </cell>
        </row>
        <row r="11487">
          <cell r="I11487" t="str">
            <v>Natoli</v>
          </cell>
        </row>
        <row r="11488">
          <cell r="I11488" t="str">
            <v>Murakami</v>
          </cell>
        </row>
        <row r="11489">
          <cell r="I11489" t="str">
            <v>Mullikin</v>
          </cell>
        </row>
        <row r="11490">
          <cell r="I11490" t="str">
            <v>Mullane</v>
          </cell>
        </row>
        <row r="11491">
          <cell r="I11491" t="str">
            <v>Motes</v>
          </cell>
        </row>
        <row r="11492">
          <cell r="I11492" t="str">
            <v>Morningstar</v>
          </cell>
        </row>
        <row r="11493">
          <cell r="I11493" t="str">
            <v>Monks</v>
          </cell>
        </row>
        <row r="11494">
          <cell r="I11494" t="str">
            <v>Mcveigh</v>
          </cell>
        </row>
        <row r="11495">
          <cell r="I11495" t="str">
            <v>Mcgrady</v>
          </cell>
        </row>
        <row r="11496">
          <cell r="I11496" t="str">
            <v>Mcgaughey</v>
          </cell>
        </row>
        <row r="11497">
          <cell r="I11497" t="str">
            <v>Mccurley</v>
          </cell>
        </row>
        <row r="11498">
          <cell r="I11498" t="str">
            <v>Masi</v>
          </cell>
        </row>
        <row r="11499">
          <cell r="I11499" t="str">
            <v>Marchan</v>
          </cell>
        </row>
        <row r="11500">
          <cell r="I11500" t="str">
            <v>Manske</v>
          </cell>
        </row>
        <row r="11501">
          <cell r="I11501" t="str">
            <v>Maine</v>
          </cell>
        </row>
        <row r="11502">
          <cell r="I11502" t="str">
            <v>Maez</v>
          </cell>
        </row>
        <row r="11503">
          <cell r="I11503" t="str">
            <v>Lusby</v>
          </cell>
        </row>
        <row r="11504">
          <cell r="I11504" t="str">
            <v>Linde</v>
          </cell>
        </row>
        <row r="11505">
          <cell r="I11505" t="str">
            <v>Lile</v>
          </cell>
        </row>
        <row r="11506">
          <cell r="I11506" t="str">
            <v>Likens</v>
          </cell>
        </row>
        <row r="11507">
          <cell r="I11507" t="str">
            <v>Licon</v>
          </cell>
        </row>
        <row r="11508">
          <cell r="I11508" t="str">
            <v>Leroux</v>
          </cell>
        </row>
        <row r="11509">
          <cell r="I11509" t="str">
            <v>Lemaire</v>
          </cell>
        </row>
        <row r="11510">
          <cell r="I11510" t="str">
            <v>Legette</v>
          </cell>
        </row>
        <row r="11511">
          <cell r="I11511" t="str">
            <v>Lax</v>
          </cell>
        </row>
        <row r="11512">
          <cell r="I11512" t="str">
            <v>Laskey</v>
          </cell>
        </row>
        <row r="11513">
          <cell r="I11513" t="str">
            <v>Laprade</v>
          </cell>
        </row>
        <row r="11514">
          <cell r="I11514" t="str">
            <v>Laplant</v>
          </cell>
        </row>
        <row r="11515">
          <cell r="I11515" t="str">
            <v>Lady</v>
          </cell>
        </row>
        <row r="11516">
          <cell r="I11516" t="str">
            <v>Kolar</v>
          </cell>
        </row>
        <row r="11517">
          <cell r="I11517" t="str">
            <v>Kittredge</v>
          </cell>
        </row>
        <row r="11518">
          <cell r="I11518" t="str">
            <v>Kinley</v>
          </cell>
        </row>
        <row r="11519">
          <cell r="I11519" t="str">
            <v>Kerber</v>
          </cell>
        </row>
        <row r="11520">
          <cell r="I11520" t="str">
            <v>Kanagy</v>
          </cell>
        </row>
        <row r="11521">
          <cell r="I11521" t="str">
            <v>Johannes</v>
          </cell>
        </row>
        <row r="11522">
          <cell r="I11522" t="str">
            <v>Jetton</v>
          </cell>
        </row>
        <row r="11523">
          <cell r="I11523" t="str">
            <v>Jayne</v>
          </cell>
        </row>
        <row r="11524">
          <cell r="I11524" t="str">
            <v>January</v>
          </cell>
        </row>
        <row r="11525">
          <cell r="I11525" t="str">
            <v>Janik</v>
          </cell>
        </row>
        <row r="11526">
          <cell r="I11526" t="str">
            <v>Ippolito</v>
          </cell>
        </row>
        <row r="11527">
          <cell r="I11527" t="str">
            <v>Inouye</v>
          </cell>
        </row>
        <row r="11528">
          <cell r="I11528" t="str">
            <v>Hunsinger</v>
          </cell>
        </row>
        <row r="11529">
          <cell r="I11529" t="str">
            <v>Howley</v>
          </cell>
        </row>
        <row r="11530">
          <cell r="I11530" t="str">
            <v>Howery</v>
          </cell>
        </row>
        <row r="11531">
          <cell r="I11531" t="str">
            <v>Horrell</v>
          </cell>
        </row>
        <row r="11532">
          <cell r="I11532" t="str">
            <v>Hoosier</v>
          </cell>
        </row>
        <row r="11533">
          <cell r="I11533" t="str">
            <v>Holthaus</v>
          </cell>
        </row>
        <row r="11534">
          <cell r="I11534" t="str">
            <v>Hiner</v>
          </cell>
        </row>
        <row r="11535">
          <cell r="I11535" t="str">
            <v>Hilson</v>
          </cell>
        </row>
        <row r="11536">
          <cell r="I11536" t="str">
            <v>Hilderbrand</v>
          </cell>
        </row>
        <row r="11537">
          <cell r="I11537" t="str">
            <v>Hasan</v>
          </cell>
        </row>
        <row r="11538">
          <cell r="I11538" t="str">
            <v>Hartzler</v>
          </cell>
        </row>
        <row r="11539">
          <cell r="I11539" t="str">
            <v>Harnish</v>
          </cell>
        </row>
        <row r="11540">
          <cell r="I11540" t="str">
            <v>Harada</v>
          </cell>
        </row>
        <row r="11541">
          <cell r="I11541" t="str">
            <v>Hansford</v>
          </cell>
        </row>
        <row r="11542">
          <cell r="I11542" t="str">
            <v>Halligan</v>
          </cell>
        </row>
        <row r="11543">
          <cell r="I11543" t="str">
            <v>Hagedorn</v>
          </cell>
        </row>
        <row r="11544">
          <cell r="I11544" t="str">
            <v>Gwynn</v>
          </cell>
        </row>
        <row r="11545">
          <cell r="I11545" t="str">
            <v>Gudino</v>
          </cell>
        </row>
        <row r="11546">
          <cell r="I11546" t="str">
            <v>Greenstein</v>
          </cell>
        </row>
        <row r="11547">
          <cell r="I11547" t="str">
            <v>Greear</v>
          </cell>
        </row>
        <row r="11548">
          <cell r="I11548" t="str">
            <v>Gracey</v>
          </cell>
        </row>
        <row r="11549">
          <cell r="I11549" t="str">
            <v>Goudeau</v>
          </cell>
        </row>
        <row r="11550">
          <cell r="I11550" t="str">
            <v>Gose</v>
          </cell>
        </row>
        <row r="11551">
          <cell r="I11551" t="str">
            <v>Goodner</v>
          </cell>
        </row>
        <row r="11552">
          <cell r="I11552" t="str">
            <v>Ginsburg</v>
          </cell>
        </row>
        <row r="11553">
          <cell r="I11553" t="str">
            <v>Gerth</v>
          </cell>
        </row>
        <row r="11554">
          <cell r="I11554" t="str">
            <v>Gerner</v>
          </cell>
        </row>
        <row r="11555">
          <cell r="I11555" t="str">
            <v>Fyfe</v>
          </cell>
        </row>
        <row r="11556">
          <cell r="I11556" t="str">
            <v>Fujii</v>
          </cell>
        </row>
        <row r="11557">
          <cell r="I11557" t="str">
            <v>Frier</v>
          </cell>
        </row>
        <row r="11558">
          <cell r="I11558" t="str">
            <v>Frenette</v>
          </cell>
        </row>
        <row r="11559">
          <cell r="I11559" t="str">
            <v>Folmar</v>
          </cell>
        </row>
        <row r="11560">
          <cell r="I11560" t="str">
            <v>Fleisher</v>
          </cell>
        </row>
        <row r="11561">
          <cell r="I11561" t="str">
            <v>Fleischmann</v>
          </cell>
        </row>
        <row r="11562">
          <cell r="I11562" t="str">
            <v>Fetzer</v>
          </cell>
        </row>
        <row r="11563">
          <cell r="I11563" t="str">
            <v>Fern</v>
          </cell>
        </row>
        <row r="11564">
          <cell r="I11564" t="str">
            <v>Eisenman</v>
          </cell>
        </row>
        <row r="11565">
          <cell r="I11565" t="str">
            <v>Earhart</v>
          </cell>
        </row>
        <row r="11566">
          <cell r="I11566" t="str">
            <v>Dupuy</v>
          </cell>
        </row>
        <row r="11567">
          <cell r="I11567" t="str">
            <v>Dunkelberger</v>
          </cell>
        </row>
        <row r="11568">
          <cell r="I11568" t="str">
            <v>Drummer</v>
          </cell>
        </row>
        <row r="11569">
          <cell r="I11569" t="str">
            <v>Drexler</v>
          </cell>
        </row>
        <row r="11570">
          <cell r="I11570" t="str">
            <v>Dillinger</v>
          </cell>
        </row>
        <row r="11571">
          <cell r="I11571" t="str">
            <v>Dilbeck</v>
          </cell>
        </row>
        <row r="11572">
          <cell r="I11572" t="str">
            <v>Diana</v>
          </cell>
        </row>
        <row r="11573">
          <cell r="I11573" t="str">
            <v>Dewald</v>
          </cell>
        </row>
        <row r="11574">
          <cell r="I11574" t="str">
            <v>Demby</v>
          </cell>
        </row>
        <row r="11575">
          <cell r="I11575" t="str">
            <v>Deford</v>
          </cell>
        </row>
        <row r="11576">
          <cell r="I11576" t="str">
            <v>Daniell</v>
          </cell>
        </row>
        <row r="11577">
          <cell r="I11577" t="str">
            <v>Dake</v>
          </cell>
        </row>
        <row r="11578">
          <cell r="I11578" t="str">
            <v>Craine</v>
          </cell>
        </row>
        <row r="11579">
          <cell r="I11579" t="str">
            <v>Como</v>
          </cell>
        </row>
        <row r="11580">
          <cell r="I11580" t="str">
            <v>Clever</v>
          </cell>
        </row>
        <row r="11581">
          <cell r="I11581" t="str">
            <v>Chesnut</v>
          </cell>
        </row>
        <row r="11582">
          <cell r="I11582" t="str">
            <v>Casady</v>
          </cell>
        </row>
        <row r="11583">
          <cell r="I11583" t="str">
            <v>Carstens</v>
          </cell>
        </row>
        <row r="11584">
          <cell r="I11584" t="str">
            <v>Carrick</v>
          </cell>
        </row>
        <row r="11585">
          <cell r="I11585" t="str">
            <v>Carino</v>
          </cell>
        </row>
        <row r="11586">
          <cell r="I11586" t="str">
            <v>Carignan</v>
          </cell>
        </row>
        <row r="11587">
          <cell r="I11587" t="str">
            <v>Canchola</v>
          </cell>
        </row>
        <row r="11588">
          <cell r="I11588" t="str">
            <v>Cale</v>
          </cell>
        </row>
        <row r="11589">
          <cell r="I11589" t="str">
            <v>Bushong</v>
          </cell>
        </row>
        <row r="11590">
          <cell r="I11590" t="str">
            <v>Burman</v>
          </cell>
        </row>
        <row r="11591">
          <cell r="I11591" t="str">
            <v>Buono</v>
          </cell>
        </row>
        <row r="11592">
          <cell r="I11592" t="str">
            <v>Brownlow</v>
          </cell>
        </row>
        <row r="11593">
          <cell r="I11593" t="str">
            <v>Broach</v>
          </cell>
        </row>
        <row r="11594">
          <cell r="I11594" t="str">
            <v>Britten</v>
          </cell>
        </row>
        <row r="11595">
          <cell r="I11595" t="str">
            <v>Brickhouse</v>
          </cell>
        </row>
        <row r="11596">
          <cell r="I11596" t="str">
            <v>Boyden</v>
          </cell>
        </row>
        <row r="11597">
          <cell r="I11597" t="str">
            <v>Boulton</v>
          </cell>
        </row>
        <row r="11598">
          <cell r="I11598" t="str">
            <v>Borne</v>
          </cell>
        </row>
        <row r="11599">
          <cell r="I11599" t="str">
            <v>Borland</v>
          </cell>
        </row>
        <row r="11600">
          <cell r="I11600" t="str">
            <v>Bohrer</v>
          </cell>
        </row>
        <row r="11601">
          <cell r="I11601" t="str">
            <v>Blubaugh</v>
          </cell>
        </row>
        <row r="11602">
          <cell r="I11602" t="str">
            <v>Bever</v>
          </cell>
        </row>
        <row r="11603">
          <cell r="I11603" t="str">
            <v>Berggren</v>
          </cell>
        </row>
        <row r="11604">
          <cell r="I11604" t="str">
            <v>Benevides</v>
          </cell>
        </row>
        <row r="11605">
          <cell r="I11605" t="str">
            <v>Arocho</v>
          </cell>
        </row>
        <row r="11606">
          <cell r="I11606" t="str">
            <v>Arends</v>
          </cell>
        </row>
        <row r="11607">
          <cell r="I11607" t="str">
            <v>Amezcua</v>
          </cell>
        </row>
        <row r="11608">
          <cell r="I11608" t="str">
            <v>Almendarez</v>
          </cell>
        </row>
        <row r="11609">
          <cell r="I11609" t="str">
            <v>Zalewski</v>
          </cell>
        </row>
        <row r="11610">
          <cell r="I11610" t="str">
            <v>Witzel</v>
          </cell>
        </row>
        <row r="11611">
          <cell r="I11611" t="str">
            <v>Winkfield</v>
          </cell>
        </row>
        <row r="11612">
          <cell r="I11612" t="str">
            <v>Wilhoite</v>
          </cell>
        </row>
        <row r="11613">
          <cell r="I11613" t="str">
            <v>Vara</v>
          </cell>
        </row>
        <row r="11614">
          <cell r="I11614" t="str">
            <v>Vangundy</v>
          </cell>
        </row>
        <row r="11615">
          <cell r="I11615" t="str">
            <v>Vanfleet</v>
          </cell>
        </row>
        <row r="11616">
          <cell r="I11616" t="str">
            <v>Vanetten</v>
          </cell>
        </row>
        <row r="11617">
          <cell r="I11617" t="str">
            <v>Vandergriff</v>
          </cell>
        </row>
        <row r="11618">
          <cell r="I11618" t="str">
            <v>Urbanski</v>
          </cell>
        </row>
        <row r="11619">
          <cell r="I11619" t="str">
            <v>Tyrell</v>
          </cell>
        </row>
        <row r="11620">
          <cell r="I11620" t="str">
            <v>Troiano</v>
          </cell>
        </row>
        <row r="11621">
          <cell r="I11621" t="str">
            <v>Tickle</v>
          </cell>
        </row>
        <row r="11622">
          <cell r="I11622" t="str">
            <v>Thibodaux</v>
          </cell>
        </row>
        <row r="11623">
          <cell r="I11623" t="str">
            <v>Straus</v>
          </cell>
        </row>
        <row r="11624">
          <cell r="I11624" t="str">
            <v>Stoneking</v>
          </cell>
        </row>
        <row r="11625">
          <cell r="I11625" t="str">
            <v>Stjean</v>
          </cell>
        </row>
        <row r="11626">
          <cell r="I11626" t="str">
            <v>Stillings</v>
          </cell>
        </row>
        <row r="11627">
          <cell r="I11627" t="str">
            <v>Stiff</v>
          </cell>
        </row>
        <row r="11628">
          <cell r="I11628" t="str">
            <v>Stange</v>
          </cell>
        </row>
        <row r="11629">
          <cell r="I11629" t="str">
            <v>Square</v>
          </cell>
        </row>
        <row r="11630">
          <cell r="I11630" t="str">
            <v>Speicher</v>
          </cell>
        </row>
        <row r="11631">
          <cell r="I11631" t="str">
            <v>Speegle</v>
          </cell>
        </row>
        <row r="11632">
          <cell r="I11632" t="str">
            <v>Sowa</v>
          </cell>
        </row>
        <row r="11633">
          <cell r="I11633" t="str">
            <v>Smeltzer</v>
          </cell>
        </row>
        <row r="11634">
          <cell r="I11634" t="str">
            <v>Slawson</v>
          </cell>
        </row>
        <row r="11635">
          <cell r="I11635" t="str">
            <v>Simmonds</v>
          </cell>
        </row>
        <row r="11636">
          <cell r="I11636" t="str">
            <v>Shuttleworth</v>
          </cell>
        </row>
        <row r="11637">
          <cell r="I11637" t="str">
            <v>Serpa</v>
          </cell>
        </row>
        <row r="11638">
          <cell r="I11638" t="str">
            <v>Senger</v>
          </cell>
        </row>
        <row r="11639">
          <cell r="I11639" t="str">
            <v>Seidman</v>
          </cell>
        </row>
        <row r="11640">
          <cell r="I11640" t="str">
            <v>Schweiger</v>
          </cell>
        </row>
        <row r="11641">
          <cell r="I11641" t="str">
            <v>Schloss</v>
          </cell>
        </row>
        <row r="11642">
          <cell r="I11642" t="str">
            <v>Schimmel</v>
          </cell>
        </row>
        <row r="11643">
          <cell r="I11643" t="str">
            <v>Schechter</v>
          </cell>
        </row>
        <row r="11644">
          <cell r="I11644" t="str">
            <v>Sayler</v>
          </cell>
        </row>
        <row r="11645">
          <cell r="I11645" t="str">
            <v>Sabb</v>
          </cell>
        </row>
        <row r="11646">
          <cell r="I11646" t="str">
            <v>Sabatini</v>
          </cell>
        </row>
        <row r="11647">
          <cell r="I11647" t="str">
            <v>Ronan</v>
          </cell>
        </row>
        <row r="11648">
          <cell r="I11648" t="str">
            <v>Rodiguez</v>
          </cell>
        </row>
        <row r="11649">
          <cell r="I11649" t="str">
            <v>Riggleman</v>
          </cell>
        </row>
        <row r="11650">
          <cell r="I11650" t="str">
            <v>Richins</v>
          </cell>
        </row>
        <row r="11651">
          <cell r="I11651" t="str">
            <v>Reep</v>
          </cell>
        </row>
        <row r="11652">
          <cell r="I11652" t="str">
            <v>Reamer</v>
          </cell>
        </row>
        <row r="11653">
          <cell r="I11653" t="str">
            <v>Prunty</v>
          </cell>
        </row>
        <row r="11654">
          <cell r="I11654" t="str">
            <v>Porath</v>
          </cell>
        </row>
        <row r="11655">
          <cell r="I11655" t="str">
            <v>Plunk</v>
          </cell>
        </row>
        <row r="11656">
          <cell r="I11656" t="str">
            <v>Piland</v>
          </cell>
        </row>
        <row r="11657">
          <cell r="I11657" t="str">
            <v>Philbrook</v>
          </cell>
        </row>
        <row r="11658">
          <cell r="I11658" t="str">
            <v>Pettitt</v>
          </cell>
        </row>
        <row r="11659">
          <cell r="I11659" t="str">
            <v>Perna</v>
          </cell>
        </row>
        <row r="11660">
          <cell r="I11660" t="str">
            <v>Peralez</v>
          </cell>
        </row>
        <row r="11661">
          <cell r="I11661" t="str">
            <v>Pascale</v>
          </cell>
        </row>
        <row r="11662">
          <cell r="I11662" t="str">
            <v>Padula</v>
          </cell>
        </row>
        <row r="11663">
          <cell r="I11663" t="str">
            <v>Oboyle</v>
          </cell>
        </row>
        <row r="11664">
          <cell r="I11664" t="str">
            <v>Nivens</v>
          </cell>
        </row>
        <row r="11665">
          <cell r="I11665" t="str">
            <v>Nickols</v>
          </cell>
        </row>
        <row r="11666">
          <cell r="I11666" t="str">
            <v>Murph</v>
          </cell>
        </row>
        <row r="11667">
          <cell r="I11667" t="str">
            <v>Mundt</v>
          </cell>
        </row>
        <row r="11668">
          <cell r="I11668" t="str">
            <v>Munden</v>
          </cell>
        </row>
        <row r="11669">
          <cell r="I11669" t="str">
            <v>Montijo</v>
          </cell>
        </row>
        <row r="11670">
          <cell r="I11670" t="str">
            <v>Mcmanis</v>
          </cell>
        </row>
        <row r="11671">
          <cell r="I11671" t="str">
            <v>Mcgrane</v>
          </cell>
        </row>
        <row r="11672">
          <cell r="I11672" t="str">
            <v>Mccrimmon</v>
          </cell>
        </row>
        <row r="11673">
          <cell r="I11673" t="str">
            <v>Manzi</v>
          </cell>
        </row>
        <row r="11674">
          <cell r="I11674" t="str">
            <v>Mangold</v>
          </cell>
        </row>
        <row r="11675">
          <cell r="I11675" t="str">
            <v>Malick</v>
          </cell>
        </row>
        <row r="11676">
          <cell r="I11676" t="str">
            <v>Mahar</v>
          </cell>
        </row>
        <row r="11677">
          <cell r="I11677" t="str">
            <v>Maddock</v>
          </cell>
        </row>
        <row r="11678">
          <cell r="I11678" t="str">
            <v>Lust</v>
          </cell>
        </row>
        <row r="11679">
          <cell r="I11679" t="str">
            <v>Losey</v>
          </cell>
        </row>
        <row r="11680">
          <cell r="I11680" t="str">
            <v>Loop</v>
          </cell>
        </row>
        <row r="11681">
          <cell r="I11681" t="str">
            <v>Litten</v>
          </cell>
        </row>
        <row r="11682">
          <cell r="I11682" t="str">
            <v>Liner</v>
          </cell>
        </row>
        <row r="11683">
          <cell r="I11683" t="str">
            <v>Leff</v>
          </cell>
        </row>
        <row r="11684">
          <cell r="I11684" t="str">
            <v>Leedy</v>
          </cell>
        </row>
        <row r="11685">
          <cell r="I11685" t="str">
            <v>Leavell</v>
          </cell>
        </row>
        <row r="11686">
          <cell r="I11686" t="str">
            <v>Ladue</v>
          </cell>
        </row>
        <row r="11687">
          <cell r="I11687" t="str">
            <v>Krahn</v>
          </cell>
        </row>
        <row r="11688">
          <cell r="I11688" t="str">
            <v>Kluge</v>
          </cell>
        </row>
        <row r="11689">
          <cell r="I11689" t="str">
            <v>Junker</v>
          </cell>
        </row>
        <row r="11690">
          <cell r="I11690" t="str">
            <v>Iversen</v>
          </cell>
        </row>
        <row r="11691">
          <cell r="I11691" t="str">
            <v>Imler</v>
          </cell>
        </row>
        <row r="11692">
          <cell r="I11692" t="str">
            <v>Hurtt</v>
          </cell>
        </row>
        <row r="11693">
          <cell r="I11693" t="str">
            <v>Huizar</v>
          </cell>
        </row>
        <row r="11694">
          <cell r="I11694" t="str">
            <v>Hubbert</v>
          </cell>
        </row>
        <row r="11695">
          <cell r="I11695" t="str">
            <v>Howington</v>
          </cell>
        </row>
        <row r="11696">
          <cell r="I11696" t="str">
            <v>Hollomon</v>
          </cell>
        </row>
        <row r="11697">
          <cell r="I11697" t="str">
            <v>Holdren</v>
          </cell>
        </row>
        <row r="11698">
          <cell r="I11698" t="str">
            <v>Hoisington</v>
          </cell>
        </row>
        <row r="11699">
          <cell r="I11699" t="str">
            <v>Hise</v>
          </cell>
        </row>
        <row r="11700">
          <cell r="I11700" t="str">
            <v>Heiden</v>
          </cell>
        </row>
        <row r="11701">
          <cell r="I11701" t="str">
            <v>Hauge</v>
          </cell>
        </row>
        <row r="11702">
          <cell r="I11702" t="str">
            <v>Hartigan</v>
          </cell>
        </row>
        <row r="11703">
          <cell r="I11703" t="str">
            <v>Gutirrez</v>
          </cell>
        </row>
        <row r="11704">
          <cell r="I11704" t="str">
            <v>Griffie</v>
          </cell>
        </row>
        <row r="11705">
          <cell r="I11705" t="str">
            <v>Greenhill</v>
          </cell>
        </row>
        <row r="11706">
          <cell r="I11706" t="str">
            <v>Gratton</v>
          </cell>
        </row>
        <row r="11707">
          <cell r="I11707" t="str">
            <v>Granata</v>
          </cell>
        </row>
        <row r="11708">
          <cell r="I11708" t="str">
            <v>Gottfried</v>
          </cell>
        </row>
        <row r="11709">
          <cell r="I11709" t="str">
            <v>Gertz</v>
          </cell>
        </row>
        <row r="11710">
          <cell r="I11710" t="str">
            <v>Gautreaux</v>
          </cell>
        </row>
        <row r="11711">
          <cell r="I11711" t="str">
            <v>Furry</v>
          </cell>
        </row>
        <row r="11712">
          <cell r="I11712" t="str">
            <v>Furey</v>
          </cell>
        </row>
        <row r="11713">
          <cell r="I11713" t="str">
            <v>Funderburg</v>
          </cell>
        </row>
        <row r="11714">
          <cell r="I11714" t="str">
            <v>Flippen</v>
          </cell>
        </row>
        <row r="11715">
          <cell r="I11715" t="str">
            <v>Fitzgibbon</v>
          </cell>
        </row>
        <row r="11716">
          <cell r="I11716" t="str">
            <v>Fergus</v>
          </cell>
        </row>
        <row r="11717">
          <cell r="I11717" t="str">
            <v>Felice</v>
          </cell>
        </row>
        <row r="11718">
          <cell r="I11718" t="str">
            <v>Eye</v>
          </cell>
        </row>
        <row r="11719">
          <cell r="I11719" t="str">
            <v>Dyar</v>
          </cell>
        </row>
        <row r="11720">
          <cell r="I11720" t="str">
            <v>Drucker</v>
          </cell>
        </row>
        <row r="11721">
          <cell r="I11721" t="str">
            <v>Donoghue</v>
          </cell>
        </row>
        <row r="11722">
          <cell r="I11722" t="str">
            <v>Dildy</v>
          </cell>
        </row>
        <row r="11723">
          <cell r="I11723" t="str">
            <v>Devers</v>
          </cell>
        </row>
        <row r="11724">
          <cell r="I11724" t="str">
            <v>Detweiler</v>
          </cell>
        </row>
        <row r="11725">
          <cell r="I11725" t="str">
            <v>Despres</v>
          </cell>
        </row>
        <row r="11726">
          <cell r="I11726" t="str">
            <v>Denby</v>
          </cell>
        </row>
        <row r="11727">
          <cell r="I11727" t="str">
            <v>Degeorge</v>
          </cell>
        </row>
        <row r="11728">
          <cell r="I11728" t="str">
            <v>Cueto</v>
          </cell>
        </row>
        <row r="11729">
          <cell r="I11729" t="str">
            <v>Cranston</v>
          </cell>
        </row>
        <row r="11730">
          <cell r="I11730" t="str">
            <v>Courville</v>
          </cell>
        </row>
        <row r="11731">
          <cell r="I11731" t="str">
            <v>Clukey</v>
          </cell>
        </row>
        <row r="11732">
          <cell r="I11732" t="str">
            <v>Cirillo</v>
          </cell>
        </row>
        <row r="11733">
          <cell r="I11733" t="str">
            <v>Chon</v>
          </cell>
        </row>
        <row r="11734">
          <cell r="I11734" t="str">
            <v>Chivers</v>
          </cell>
        </row>
        <row r="11735">
          <cell r="I11735" t="str">
            <v>Caudillo</v>
          </cell>
        </row>
        <row r="11736">
          <cell r="I11736" t="str">
            <v>Catt</v>
          </cell>
        </row>
        <row r="11737">
          <cell r="I11737" t="str">
            <v>Butera</v>
          </cell>
        </row>
        <row r="11738">
          <cell r="I11738" t="str">
            <v>Bulluck</v>
          </cell>
        </row>
        <row r="11739">
          <cell r="I11739" t="str">
            <v>Buckmaster</v>
          </cell>
        </row>
        <row r="11740">
          <cell r="I11740" t="str">
            <v>Braunstein</v>
          </cell>
        </row>
        <row r="11741">
          <cell r="I11741" t="str">
            <v>Bracamonte</v>
          </cell>
        </row>
        <row r="11742">
          <cell r="I11742" t="str">
            <v>Bourdeau</v>
          </cell>
        </row>
        <row r="11743">
          <cell r="I11743" t="str">
            <v>Border</v>
          </cell>
        </row>
        <row r="11744">
          <cell r="I11744" t="str">
            <v>Bonnette</v>
          </cell>
        </row>
        <row r="11745">
          <cell r="I11745" t="str">
            <v>Bobadilla</v>
          </cell>
        </row>
        <row r="11746">
          <cell r="I11746" t="str">
            <v>Boaz</v>
          </cell>
        </row>
        <row r="11747">
          <cell r="I11747" t="str">
            <v>Blackledge</v>
          </cell>
        </row>
        <row r="11748">
          <cell r="I11748" t="str">
            <v>Beshears</v>
          </cell>
        </row>
        <row r="11749">
          <cell r="I11749" t="str">
            <v>Bernhard</v>
          </cell>
        </row>
        <row r="11750">
          <cell r="I11750" t="str">
            <v>Bergeson</v>
          </cell>
        </row>
        <row r="11751">
          <cell r="I11751" t="str">
            <v>Baver</v>
          </cell>
        </row>
        <row r="11752">
          <cell r="I11752" t="str">
            <v>Barthel</v>
          </cell>
        </row>
        <row r="11753">
          <cell r="I11753" t="str">
            <v>Balsamo</v>
          </cell>
        </row>
        <row r="11754">
          <cell r="I11754" t="str">
            <v>Bak</v>
          </cell>
        </row>
        <row r="11755">
          <cell r="I11755" t="str">
            <v>Aziz</v>
          </cell>
        </row>
        <row r="11756">
          <cell r="I11756" t="str">
            <v>Awad</v>
          </cell>
        </row>
        <row r="11757">
          <cell r="I11757" t="str">
            <v>Authement</v>
          </cell>
        </row>
        <row r="11758">
          <cell r="I11758" t="str">
            <v>Altom</v>
          </cell>
        </row>
        <row r="11759">
          <cell r="I11759" t="str">
            <v>Altieri</v>
          </cell>
        </row>
        <row r="11760">
          <cell r="I11760" t="str">
            <v>Abels</v>
          </cell>
        </row>
        <row r="11761">
          <cell r="I11761" t="str">
            <v>Zigler</v>
          </cell>
        </row>
        <row r="11762">
          <cell r="I11762" t="str">
            <v>Zhu</v>
          </cell>
        </row>
        <row r="11763">
          <cell r="I11763" t="str">
            <v>Younker</v>
          </cell>
        </row>
        <row r="11764">
          <cell r="I11764" t="str">
            <v>Yeomans</v>
          </cell>
        </row>
        <row r="11765">
          <cell r="I11765" t="str">
            <v>Yearwood</v>
          </cell>
        </row>
        <row r="11766">
          <cell r="I11766" t="str">
            <v>Wurster</v>
          </cell>
        </row>
        <row r="11767">
          <cell r="I11767" t="str">
            <v>Winget</v>
          </cell>
        </row>
        <row r="11768">
          <cell r="I11768" t="str">
            <v>Whitsett</v>
          </cell>
        </row>
        <row r="11769">
          <cell r="I11769" t="str">
            <v>Wechsler</v>
          </cell>
        </row>
        <row r="11770">
          <cell r="I11770" t="str">
            <v>Weatherwax</v>
          </cell>
        </row>
        <row r="11771">
          <cell r="I11771" t="str">
            <v>Wathen</v>
          </cell>
        </row>
        <row r="11772">
          <cell r="I11772" t="str">
            <v>Warriner</v>
          </cell>
        </row>
        <row r="11773">
          <cell r="I11773" t="str">
            <v>Wanamaker</v>
          </cell>
        </row>
        <row r="11774">
          <cell r="I11774" t="str">
            <v>Walraven</v>
          </cell>
        </row>
        <row r="11775">
          <cell r="I11775" t="str">
            <v>Viens</v>
          </cell>
        </row>
        <row r="11776">
          <cell r="I11776" t="str">
            <v>Vandemark</v>
          </cell>
        </row>
        <row r="11777">
          <cell r="I11777" t="str">
            <v>Vancamp</v>
          </cell>
        </row>
        <row r="11778">
          <cell r="I11778" t="str">
            <v>Uchida</v>
          </cell>
        </row>
        <row r="11779">
          <cell r="I11779" t="str">
            <v>Triana</v>
          </cell>
        </row>
        <row r="11780">
          <cell r="I11780" t="str">
            <v>Tinoco</v>
          </cell>
        </row>
        <row r="11781">
          <cell r="I11781" t="str">
            <v>Terpstra</v>
          </cell>
        </row>
        <row r="11782">
          <cell r="I11782" t="str">
            <v>Tellis</v>
          </cell>
        </row>
        <row r="11783">
          <cell r="I11783" t="str">
            <v>Tarin</v>
          </cell>
        </row>
        <row r="11784">
          <cell r="I11784" t="str">
            <v>Taranto</v>
          </cell>
        </row>
        <row r="11785">
          <cell r="I11785" t="str">
            <v>Takacs</v>
          </cell>
        </row>
        <row r="11786">
          <cell r="I11786" t="str">
            <v>Studdard</v>
          </cell>
        </row>
        <row r="11787">
          <cell r="I11787" t="str">
            <v>Struthers</v>
          </cell>
        </row>
        <row r="11788">
          <cell r="I11788" t="str">
            <v>Strout</v>
          </cell>
        </row>
        <row r="11789">
          <cell r="I11789" t="str">
            <v>Stiller</v>
          </cell>
        </row>
        <row r="11790">
          <cell r="I11790" t="str">
            <v>Spataro</v>
          </cell>
        </row>
        <row r="11791">
          <cell r="I11791" t="str">
            <v>Soderquist</v>
          </cell>
        </row>
        <row r="11792">
          <cell r="I11792" t="str">
            <v>Sliger</v>
          </cell>
        </row>
        <row r="11793">
          <cell r="I11793" t="str">
            <v>Silberman</v>
          </cell>
        </row>
        <row r="11794">
          <cell r="I11794" t="str">
            <v>Shurtleff</v>
          </cell>
        </row>
        <row r="11795">
          <cell r="I11795" t="str">
            <v>Sheetz</v>
          </cell>
        </row>
        <row r="11796">
          <cell r="I11796" t="str">
            <v>Schillinger</v>
          </cell>
        </row>
        <row r="11797">
          <cell r="I11797" t="str">
            <v>Ritch</v>
          </cell>
        </row>
        <row r="11798">
          <cell r="I11798" t="str">
            <v>Reif</v>
          </cell>
        </row>
        <row r="11799">
          <cell r="I11799" t="str">
            <v>Raybon</v>
          </cell>
        </row>
        <row r="11800">
          <cell r="I11800" t="str">
            <v>Ratzlaff</v>
          </cell>
        </row>
        <row r="11801">
          <cell r="I11801" t="str">
            <v>Radley</v>
          </cell>
        </row>
        <row r="11802">
          <cell r="I11802" t="str">
            <v>Putt</v>
          </cell>
        </row>
        <row r="11803">
          <cell r="I11803" t="str">
            <v>Putney</v>
          </cell>
        </row>
        <row r="11804">
          <cell r="I11804" t="str">
            <v>Prime</v>
          </cell>
        </row>
        <row r="11805">
          <cell r="I11805" t="str">
            <v>Press</v>
          </cell>
        </row>
        <row r="11806">
          <cell r="I11806" t="str">
            <v>Pinette</v>
          </cell>
        </row>
        <row r="11807">
          <cell r="I11807" t="str">
            <v>Piner</v>
          </cell>
        </row>
        <row r="11808">
          <cell r="I11808" t="str">
            <v>Petrin</v>
          </cell>
        </row>
        <row r="11809">
          <cell r="I11809" t="str">
            <v>Parise</v>
          </cell>
        </row>
        <row r="11810">
          <cell r="I11810" t="str">
            <v>Osbourne</v>
          </cell>
        </row>
        <row r="11811">
          <cell r="I11811" t="str">
            <v>Nyman</v>
          </cell>
        </row>
        <row r="11812">
          <cell r="I11812" t="str">
            <v>Northington</v>
          </cell>
        </row>
        <row r="11813">
          <cell r="I11813" t="str">
            <v>Noblitt</v>
          </cell>
        </row>
        <row r="11814">
          <cell r="I11814" t="str">
            <v>Nishimura</v>
          </cell>
        </row>
        <row r="11815">
          <cell r="I11815" t="str">
            <v>Nell</v>
          </cell>
        </row>
        <row r="11816">
          <cell r="I11816" t="str">
            <v>Neher</v>
          </cell>
        </row>
        <row r="11817">
          <cell r="I11817" t="str">
            <v>Nalls</v>
          </cell>
        </row>
        <row r="11818">
          <cell r="I11818" t="str">
            <v>Naccarato</v>
          </cell>
        </row>
        <row r="11819">
          <cell r="I11819" t="str">
            <v>Mucha</v>
          </cell>
        </row>
        <row r="11820">
          <cell r="I11820" t="str">
            <v>Mounce</v>
          </cell>
        </row>
        <row r="11821">
          <cell r="I11821" t="str">
            <v>Miron</v>
          </cell>
        </row>
        <row r="11822">
          <cell r="I11822" t="str">
            <v>Millis</v>
          </cell>
        </row>
        <row r="11823">
          <cell r="I11823" t="str">
            <v>Meaney</v>
          </cell>
        </row>
        <row r="11824">
          <cell r="I11824" t="str">
            <v>Mcnichols</v>
          </cell>
        </row>
        <row r="11825">
          <cell r="I11825" t="str">
            <v>Mckinnis</v>
          </cell>
        </row>
        <row r="11826">
          <cell r="I11826" t="str">
            <v>Mcjunkin</v>
          </cell>
        </row>
        <row r="11827">
          <cell r="I11827" t="str">
            <v>Mcduffy</v>
          </cell>
        </row>
        <row r="11828">
          <cell r="I11828" t="str">
            <v>Max</v>
          </cell>
        </row>
        <row r="11829">
          <cell r="I11829" t="str">
            <v>Marcello</v>
          </cell>
        </row>
        <row r="11830">
          <cell r="I11830" t="str">
            <v>Manrique</v>
          </cell>
        </row>
        <row r="11831">
          <cell r="I11831" t="str">
            <v>Mannion</v>
          </cell>
        </row>
        <row r="11832">
          <cell r="I11832" t="str">
            <v>Mangual</v>
          </cell>
        </row>
        <row r="11833">
          <cell r="I11833" t="str">
            <v>Malveaux</v>
          </cell>
        </row>
        <row r="11834">
          <cell r="I11834" t="str">
            <v>Mains</v>
          </cell>
        </row>
        <row r="11835">
          <cell r="I11835" t="str">
            <v>Lumsden</v>
          </cell>
        </row>
        <row r="11836">
          <cell r="I11836" t="str">
            <v>Lucien</v>
          </cell>
        </row>
        <row r="11837">
          <cell r="I11837" t="str">
            <v>Lohmann</v>
          </cell>
        </row>
        <row r="11838">
          <cell r="I11838" t="str">
            <v>Lipe</v>
          </cell>
        </row>
        <row r="11839">
          <cell r="I11839" t="str">
            <v>Lightsey</v>
          </cell>
        </row>
        <row r="11840">
          <cell r="I11840" t="str">
            <v>Lemasters</v>
          </cell>
        </row>
        <row r="11841">
          <cell r="I11841" t="str">
            <v>Leist</v>
          </cell>
        </row>
        <row r="11842">
          <cell r="I11842" t="str">
            <v>Laxton</v>
          </cell>
        </row>
        <row r="11843">
          <cell r="I11843" t="str">
            <v>Laverriere</v>
          </cell>
        </row>
        <row r="11844">
          <cell r="I11844" t="str">
            <v>Latorre</v>
          </cell>
        </row>
        <row r="11845">
          <cell r="I11845" t="str">
            <v>Lamons</v>
          </cell>
        </row>
        <row r="11846">
          <cell r="I11846" t="str">
            <v>Kral</v>
          </cell>
        </row>
        <row r="11847">
          <cell r="I11847" t="str">
            <v>Kopf</v>
          </cell>
        </row>
        <row r="11848">
          <cell r="I11848" t="str">
            <v>Knauer</v>
          </cell>
        </row>
        <row r="11849">
          <cell r="I11849" t="str">
            <v>Kitt</v>
          </cell>
        </row>
        <row r="11850">
          <cell r="I11850" t="str">
            <v>Kaul</v>
          </cell>
        </row>
        <row r="11851">
          <cell r="I11851" t="str">
            <v>Karas</v>
          </cell>
        </row>
        <row r="11852">
          <cell r="I11852" t="str">
            <v>Kamps</v>
          </cell>
        </row>
        <row r="11853">
          <cell r="I11853" t="str">
            <v>Jusino</v>
          </cell>
        </row>
        <row r="11854">
          <cell r="I11854" t="str">
            <v>Janis</v>
          </cell>
        </row>
        <row r="11855">
          <cell r="I11855" t="str">
            <v>Islam</v>
          </cell>
        </row>
        <row r="11856">
          <cell r="I11856" t="str">
            <v>Hullinger</v>
          </cell>
        </row>
        <row r="11857">
          <cell r="I11857" t="str">
            <v>Huges</v>
          </cell>
        </row>
        <row r="11858">
          <cell r="I11858" t="str">
            <v>Hornung</v>
          </cell>
        </row>
        <row r="11859">
          <cell r="I11859" t="str">
            <v>Hiser</v>
          </cell>
        </row>
        <row r="11860">
          <cell r="I11860" t="str">
            <v>Hempel</v>
          </cell>
        </row>
        <row r="11861">
          <cell r="I11861" t="str">
            <v>Helsel</v>
          </cell>
        </row>
        <row r="11862">
          <cell r="I11862" t="str">
            <v>Hassinger</v>
          </cell>
        </row>
        <row r="11863">
          <cell r="I11863" t="str">
            <v>Hargraves</v>
          </cell>
        </row>
        <row r="11864">
          <cell r="I11864" t="str">
            <v>Hammes</v>
          </cell>
        </row>
        <row r="11865">
          <cell r="I11865" t="str">
            <v>Hallberg</v>
          </cell>
        </row>
        <row r="11866">
          <cell r="I11866" t="str">
            <v>Gutman</v>
          </cell>
        </row>
        <row r="11867">
          <cell r="I11867" t="str">
            <v>Gumbs</v>
          </cell>
        </row>
        <row r="11868">
          <cell r="I11868" t="str">
            <v>Gruver</v>
          </cell>
        </row>
        <row r="11869">
          <cell r="I11869" t="str">
            <v>Graddy</v>
          </cell>
        </row>
        <row r="11870">
          <cell r="I11870" t="str">
            <v>Gonsales</v>
          </cell>
        </row>
        <row r="11871">
          <cell r="I11871" t="str">
            <v>Goncalves</v>
          </cell>
        </row>
        <row r="11872">
          <cell r="I11872" t="str">
            <v>Glennon</v>
          </cell>
        </row>
        <row r="11873">
          <cell r="I11873" t="str">
            <v>Gilford</v>
          </cell>
        </row>
        <row r="11874">
          <cell r="I11874" t="str">
            <v>Geno</v>
          </cell>
        </row>
        <row r="11875">
          <cell r="I11875" t="str">
            <v>Freshour</v>
          </cell>
        </row>
        <row r="11876">
          <cell r="I11876" t="str">
            <v>Flippo</v>
          </cell>
        </row>
        <row r="11877">
          <cell r="I11877" t="str">
            <v>Fifer</v>
          </cell>
        </row>
        <row r="11878">
          <cell r="I11878" t="str">
            <v>Few</v>
          </cell>
        </row>
        <row r="11879">
          <cell r="I11879" t="str">
            <v>Fermin</v>
          </cell>
        </row>
        <row r="11880">
          <cell r="I11880" t="str">
            <v>Fason</v>
          </cell>
        </row>
        <row r="11881">
          <cell r="I11881" t="str">
            <v>Farrish</v>
          </cell>
        </row>
        <row r="11882">
          <cell r="I11882" t="str">
            <v>Fallin</v>
          </cell>
        </row>
        <row r="11883">
          <cell r="I11883" t="str">
            <v>Ewert</v>
          </cell>
        </row>
        <row r="11884">
          <cell r="I11884" t="str">
            <v>Estepp</v>
          </cell>
        </row>
        <row r="11885">
          <cell r="I11885" t="str">
            <v>Escudero</v>
          </cell>
        </row>
        <row r="11886">
          <cell r="I11886" t="str">
            <v>Ensminger</v>
          </cell>
        </row>
        <row r="11887">
          <cell r="I11887" t="str">
            <v>Emmanuel</v>
          </cell>
        </row>
        <row r="11888">
          <cell r="I11888" t="str">
            <v>Emberton</v>
          </cell>
        </row>
        <row r="11889">
          <cell r="I11889" t="str">
            <v>Elms</v>
          </cell>
        </row>
        <row r="11890">
          <cell r="I11890" t="str">
            <v>Ellerbe</v>
          </cell>
        </row>
        <row r="11891">
          <cell r="I11891" t="str">
            <v>Eide</v>
          </cell>
        </row>
        <row r="11892">
          <cell r="I11892" t="str">
            <v>Dysart</v>
          </cell>
        </row>
        <row r="11893">
          <cell r="I11893" t="str">
            <v>Dougan</v>
          </cell>
        </row>
        <row r="11894">
          <cell r="I11894" t="str">
            <v>Dierking</v>
          </cell>
        </row>
        <row r="11895">
          <cell r="I11895" t="str">
            <v>Dicus</v>
          </cell>
        </row>
        <row r="11896">
          <cell r="I11896" t="str">
            <v>Detrick</v>
          </cell>
        </row>
        <row r="11897">
          <cell r="I11897" t="str">
            <v>Deroche</v>
          </cell>
        </row>
        <row r="11898">
          <cell r="I11898" t="str">
            <v>Depue</v>
          </cell>
        </row>
        <row r="11899">
          <cell r="I11899" t="str">
            <v>Demartino</v>
          </cell>
        </row>
        <row r="11900">
          <cell r="I11900" t="str">
            <v>Delosreyes</v>
          </cell>
        </row>
        <row r="11901">
          <cell r="I11901" t="str">
            <v>Dalke</v>
          </cell>
        </row>
        <row r="11902">
          <cell r="I11902" t="str">
            <v>Culbreath</v>
          </cell>
        </row>
        <row r="11903">
          <cell r="I11903" t="str">
            <v>Crownover</v>
          </cell>
        </row>
        <row r="11904">
          <cell r="I11904" t="str">
            <v>Crisler</v>
          </cell>
        </row>
        <row r="11905">
          <cell r="I11905" t="str">
            <v>Crass</v>
          </cell>
        </row>
        <row r="11906">
          <cell r="I11906" t="str">
            <v>Corsi</v>
          </cell>
        </row>
        <row r="11907">
          <cell r="I11907" t="str">
            <v>Chagnon</v>
          </cell>
        </row>
        <row r="11908">
          <cell r="I11908" t="str">
            <v>Centers</v>
          </cell>
        </row>
        <row r="11909">
          <cell r="I11909" t="str">
            <v>Cavanagh</v>
          </cell>
        </row>
        <row r="11910">
          <cell r="I11910" t="str">
            <v>Casson</v>
          </cell>
        </row>
        <row r="11911">
          <cell r="I11911" t="str">
            <v>Carollo</v>
          </cell>
        </row>
        <row r="11912">
          <cell r="I11912" t="str">
            <v>Cadwallader</v>
          </cell>
        </row>
        <row r="11913">
          <cell r="I11913" t="str">
            <v>Burnley</v>
          </cell>
        </row>
        <row r="11914">
          <cell r="I11914" t="str">
            <v>Burciaga</v>
          </cell>
        </row>
        <row r="11915">
          <cell r="I11915" t="str">
            <v>Burchard</v>
          </cell>
        </row>
        <row r="11916">
          <cell r="I11916" t="str">
            <v>Broadhead</v>
          </cell>
        </row>
        <row r="11917">
          <cell r="I11917" t="str">
            <v>Boris</v>
          </cell>
        </row>
        <row r="11918">
          <cell r="I11918" t="str">
            <v>Booze</v>
          </cell>
        </row>
        <row r="11919">
          <cell r="I11919" t="str">
            <v>Bolte</v>
          </cell>
        </row>
        <row r="11920">
          <cell r="I11920" t="str">
            <v>Body</v>
          </cell>
        </row>
        <row r="11921">
          <cell r="I11921" t="str">
            <v>Berens</v>
          </cell>
        </row>
        <row r="11922">
          <cell r="I11922" t="str">
            <v>Bellman</v>
          </cell>
        </row>
        <row r="11923">
          <cell r="I11923" t="str">
            <v>Bellard</v>
          </cell>
        </row>
        <row r="11924">
          <cell r="I11924" t="str">
            <v>Baril</v>
          </cell>
        </row>
        <row r="11925">
          <cell r="I11925" t="str">
            <v>Arden</v>
          </cell>
        </row>
        <row r="11926">
          <cell r="I11926" t="str">
            <v>Antonucci</v>
          </cell>
        </row>
        <row r="11927">
          <cell r="I11927" t="str">
            <v>Amado</v>
          </cell>
        </row>
        <row r="11928">
          <cell r="I11928" t="str">
            <v>Allie</v>
          </cell>
        </row>
        <row r="11929">
          <cell r="I11929" t="str">
            <v>Wolfgram</v>
          </cell>
        </row>
        <row r="11930">
          <cell r="I11930" t="str">
            <v>Winsor</v>
          </cell>
        </row>
        <row r="11931">
          <cell r="I11931" t="str">
            <v>Wimbish</v>
          </cell>
        </row>
        <row r="11932">
          <cell r="I11932" t="str">
            <v>Wilbert</v>
          </cell>
        </row>
        <row r="11933">
          <cell r="I11933" t="str">
            <v>Wier</v>
          </cell>
        </row>
        <row r="11934">
          <cell r="I11934" t="str">
            <v>Wallach</v>
          </cell>
        </row>
        <row r="11935">
          <cell r="I11935" t="str">
            <v>Viveros</v>
          </cell>
        </row>
        <row r="11936">
          <cell r="I11936" t="str">
            <v>Vento</v>
          </cell>
        </row>
        <row r="11937">
          <cell r="I11937" t="str">
            <v>Varley</v>
          </cell>
        </row>
        <row r="11938">
          <cell r="I11938" t="str">
            <v>Vanslyke</v>
          </cell>
        </row>
        <row r="11939">
          <cell r="I11939" t="str">
            <v>Vangorder</v>
          </cell>
        </row>
        <row r="11940">
          <cell r="I11940" t="str">
            <v>Touchstone</v>
          </cell>
        </row>
        <row r="11941">
          <cell r="I11941" t="str">
            <v>Tomko</v>
          </cell>
        </row>
        <row r="11942">
          <cell r="I11942" t="str">
            <v>Tiemann</v>
          </cell>
        </row>
        <row r="11943">
          <cell r="I11943" t="str">
            <v>Throop</v>
          </cell>
        </row>
        <row r="11944">
          <cell r="I11944" t="str">
            <v>Tamura</v>
          </cell>
        </row>
        <row r="11945">
          <cell r="I11945" t="str">
            <v>Talmadge</v>
          </cell>
        </row>
        <row r="11946">
          <cell r="I11946" t="str">
            <v>Swayze</v>
          </cell>
        </row>
        <row r="11947">
          <cell r="I11947" t="str">
            <v>Sturdevant</v>
          </cell>
        </row>
        <row r="11948">
          <cell r="I11948" t="str">
            <v>Strauser</v>
          </cell>
        </row>
        <row r="11949">
          <cell r="I11949" t="str">
            <v>Stolz</v>
          </cell>
        </row>
        <row r="11950">
          <cell r="I11950" t="str">
            <v>Stenberg</v>
          </cell>
        </row>
        <row r="11951">
          <cell r="I11951" t="str">
            <v>Stayton</v>
          </cell>
        </row>
        <row r="11952">
          <cell r="I11952" t="str">
            <v>Spohn</v>
          </cell>
        </row>
        <row r="11953">
          <cell r="I11953" t="str">
            <v>Spillers</v>
          </cell>
        </row>
        <row r="11954">
          <cell r="I11954" t="str">
            <v>Spillane</v>
          </cell>
        </row>
        <row r="11955">
          <cell r="I11955" t="str">
            <v>Sluss</v>
          </cell>
        </row>
        <row r="11956">
          <cell r="I11956" t="str">
            <v>Sloane</v>
          </cell>
        </row>
        <row r="11957">
          <cell r="I11957" t="str">
            <v>Slavens</v>
          </cell>
        </row>
        <row r="11958">
          <cell r="I11958" t="str">
            <v>Simonetti</v>
          </cell>
        </row>
        <row r="11959">
          <cell r="I11959" t="str">
            <v>Shofner</v>
          </cell>
        </row>
        <row r="11960">
          <cell r="I11960" t="str">
            <v>Shead</v>
          </cell>
        </row>
        <row r="11961">
          <cell r="I11961" t="str">
            <v>Senecal</v>
          </cell>
        </row>
        <row r="11962">
          <cell r="I11962" t="str">
            <v>Seales</v>
          </cell>
        </row>
        <row r="11963">
          <cell r="I11963" t="str">
            <v>Schueler</v>
          </cell>
        </row>
        <row r="11964">
          <cell r="I11964" t="str">
            <v>Schley</v>
          </cell>
        </row>
        <row r="11965">
          <cell r="I11965" t="str">
            <v>Schacht</v>
          </cell>
        </row>
        <row r="11966">
          <cell r="I11966" t="str">
            <v>Sauve</v>
          </cell>
        </row>
        <row r="11967">
          <cell r="I11967" t="str">
            <v>Sarno</v>
          </cell>
        </row>
        <row r="11968">
          <cell r="I11968" t="str">
            <v>Salsbury</v>
          </cell>
        </row>
        <row r="11969">
          <cell r="I11969" t="str">
            <v>Rothschild</v>
          </cell>
        </row>
        <row r="11970">
          <cell r="I11970" t="str">
            <v>Rosier</v>
          </cell>
        </row>
        <row r="11971">
          <cell r="I11971" t="str">
            <v>Rines</v>
          </cell>
        </row>
        <row r="11972">
          <cell r="I11972" t="str">
            <v>Reveles</v>
          </cell>
        </row>
        <row r="11973">
          <cell r="I11973" t="str">
            <v>Rein</v>
          </cell>
        </row>
        <row r="11974">
          <cell r="I11974" t="str">
            <v>Redus</v>
          </cell>
        </row>
        <row r="11975">
          <cell r="I11975" t="str">
            <v>Redfern</v>
          </cell>
        </row>
        <row r="11976">
          <cell r="I11976" t="str">
            <v>Reck</v>
          </cell>
        </row>
        <row r="11977">
          <cell r="I11977" t="str">
            <v>Ranney</v>
          </cell>
        </row>
        <row r="11978">
          <cell r="I11978" t="str">
            <v>Raggs</v>
          </cell>
        </row>
        <row r="11979">
          <cell r="I11979" t="str">
            <v>Prout</v>
          </cell>
        </row>
        <row r="11980">
          <cell r="I11980" t="str">
            <v>Prill</v>
          </cell>
        </row>
        <row r="11981">
          <cell r="I11981" t="str">
            <v>Preble</v>
          </cell>
        </row>
        <row r="11982">
          <cell r="I11982" t="str">
            <v>Prager</v>
          </cell>
        </row>
        <row r="11983">
          <cell r="I11983" t="str">
            <v>Plemons</v>
          </cell>
        </row>
        <row r="11984">
          <cell r="I11984" t="str">
            <v>Pippen</v>
          </cell>
        </row>
        <row r="11985">
          <cell r="I11985" t="str">
            <v>Pilon</v>
          </cell>
        </row>
        <row r="11986">
          <cell r="I11986" t="str">
            <v>Piccirillo</v>
          </cell>
        </row>
        <row r="11987">
          <cell r="I11987" t="str">
            <v>Pewitt</v>
          </cell>
        </row>
        <row r="11988">
          <cell r="I11988" t="str">
            <v>Pesina</v>
          </cell>
        </row>
        <row r="11989">
          <cell r="I11989" t="str">
            <v>Pecora</v>
          </cell>
        </row>
        <row r="11990">
          <cell r="I11990" t="str">
            <v>Otani</v>
          </cell>
        </row>
        <row r="11991">
          <cell r="I11991" t="str">
            <v>Orsini</v>
          </cell>
        </row>
        <row r="11992">
          <cell r="I11992" t="str">
            <v>Ollie</v>
          </cell>
        </row>
        <row r="11993">
          <cell r="I11993" t="str">
            <v>Oestreich</v>
          </cell>
        </row>
        <row r="11994">
          <cell r="I11994" t="str">
            <v>Odea</v>
          </cell>
        </row>
        <row r="11995">
          <cell r="I11995" t="str">
            <v>Ocallaghan</v>
          </cell>
        </row>
        <row r="11996">
          <cell r="I11996" t="str">
            <v>Northup</v>
          </cell>
        </row>
        <row r="11997">
          <cell r="I11997" t="str">
            <v>Niehaus</v>
          </cell>
        </row>
        <row r="11998">
          <cell r="I11998" t="str">
            <v>Newberg</v>
          </cell>
        </row>
        <row r="11999">
          <cell r="I11999" t="str">
            <v>Nasser</v>
          </cell>
        </row>
        <row r="12000">
          <cell r="I12000" t="str">
            <v>Narron</v>
          </cell>
        </row>
        <row r="12001">
          <cell r="I12001" t="str">
            <v>Monarrez</v>
          </cell>
        </row>
        <row r="12002">
          <cell r="I12002" t="str">
            <v>Mishler</v>
          </cell>
        </row>
        <row r="12003">
          <cell r="I12003" t="str">
            <v>Mcsherry</v>
          </cell>
        </row>
        <row r="12004">
          <cell r="I12004" t="str">
            <v>Mcelfresh</v>
          </cell>
        </row>
        <row r="12005">
          <cell r="I12005" t="str">
            <v>Mayon</v>
          </cell>
        </row>
        <row r="12006">
          <cell r="I12006" t="str">
            <v>Mauer</v>
          </cell>
        </row>
        <row r="12007">
          <cell r="I12007" t="str">
            <v>Mattice</v>
          </cell>
        </row>
        <row r="12008">
          <cell r="I12008" t="str">
            <v>Mash</v>
          </cell>
        </row>
        <row r="12009">
          <cell r="I12009" t="str">
            <v>Marrone</v>
          </cell>
        </row>
        <row r="12010">
          <cell r="I12010" t="str">
            <v>Marmolejo</v>
          </cell>
        </row>
        <row r="12011">
          <cell r="I12011" t="str">
            <v>Marini</v>
          </cell>
        </row>
        <row r="12012">
          <cell r="I12012" t="str">
            <v>Marie</v>
          </cell>
        </row>
        <row r="12013">
          <cell r="I12013" t="str">
            <v>Mara</v>
          </cell>
        </row>
        <row r="12014">
          <cell r="I12014" t="str">
            <v>Malm</v>
          </cell>
        </row>
        <row r="12015">
          <cell r="I12015" t="str">
            <v>Machen</v>
          </cell>
        </row>
        <row r="12016">
          <cell r="I12016" t="str">
            <v>Lunceford</v>
          </cell>
        </row>
        <row r="12017">
          <cell r="I12017" t="str">
            <v>Loewen</v>
          </cell>
        </row>
        <row r="12018">
          <cell r="I12018" t="str">
            <v>Liverman</v>
          </cell>
        </row>
        <row r="12019">
          <cell r="I12019" t="str">
            <v>Litwin</v>
          </cell>
        </row>
        <row r="12020">
          <cell r="I12020" t="str">
            <v>Linscott</v>
          </cell>
        </row>
        <row r="12021">
          <cell r="I12021" t="str">
            <v>Levins</v>
          </cell>
        </row>
        <row r="12022">
          <cell r="I12022" t="str">
            <v>Lenox</v>
          </cell>
        </row>
        <row r="12023">
          <cell r="I12023" t="str">
            <v>Legaspi</v>
          </cell>
        </row>
        <row r="12024">
          <cell r="I12024" t="str">
            <v>Leeman</v>
          </cell>
        </row>
        <row r="12025">
          <cell r="I12025" t="str">
            <v>Leavy</v>
          </cell>
        </row>
        <row r="12026">
          <cell r="I12026" t="str">
            <v>Lannon</v>
          </cell>
        </row>
        <row r="12027">
          <cell r="I12027" t="str">
            <v>Lamson</v>
          </cell>
        </row>
        <row r="12028">
          <cell r="I12028" t="str">
            <v>Lambdin</v>
          </cell>
        </row>
        <row r="12029">
          <cell r="I12029" t="str">
            <v>Labarre</v>
          </cell>
        </row>
        <row r="12030">
          <cell r="I12030" t="str">
            <v>Knouse</v>
          </cell>
        </row>
        <row r="12031">
          <cell r="I12031" t="str">
            <v>Klemm</v>
          </cell>
        </row>
        <row r="12032">
          <cell r="I12032" t="str">
            <v>Kleinschmidt</v>
          </cell>
        </row>
        <row r="12033">
          <cell r="I12033" t="str">
            <v>Kirklin</v>
          </cell>
        </row>
        <row r="12034">
          <cell r="I12034" t="str">
            <v>Keels</v>
          </cell>
        </row>
        <row r="12035">
          <cell r="I12035" t="str">
            <v>Juliano</v>
          </cell>
        </row>
        <row r="12036">
          <cell r="I12036" t="str">
            <v>Howser</v>
          </cell>
        </row>
        <row r="12037">
          <cell r="I12037" t="str">
            <v>Hott</v>
          </cell>
        </row>
        <row r="12038">
          <cell r="I12038" t="str">
            <v>Hosier</v>
          </cell>
        </row>
        <row r="12039">
          <cell r="I12039" t="str">
            <v>Hosea</v>
          </cell>
        </row>
        <row r="12040">
          <cell r="I12040" t="str">
            <v>Hopwood</v>
          </cell>
        </row>
        <row r="12041">
          <cell r="I12041" t="str">
            <v>Holyfield</v>
          </cell>
        </row>
        <row r="12042">
          <cell r="I12042" t="str">
            <v>Hodnett</v>
          </cell>
        </row>
        <row r="12043">
          <cell r="I12043" t="str">
            <v>Hirsh</v>
          </cell>
        </row>
        <row r="12044">
          <cell r="I12044" t="str">
            <v>Heimann</v>
          </cell>
        </row>
        <row r="12045">
          <cell r="I12045" t="str">
            <v>Height</v>
          </cell>
        </row>
        <row r="12046">
          <cell r="I12046" t="str">
            <v>Heckel</v>
          </cell>
        </row>
        <row r="12047">
          <cell r="I12047" t="str">
            <v>Harger</v>
          </cell>
        </row>
        <row r="12048">
          <cell r="I12048" t="str">
            <v>Hamil</v>
          </cell>
        </row>
        <row r="12049">
          <cell r="I12049" t="str">
            <v>Hajek</v>
          </cell>
        </row>
        <row r="12050">
          <cell r="I12050" t="str">
            <v>Gurganus</v>
          </cell>
        </row>
        <row r="12051">
          <cell r="I12051" t="str">
            <v>Gunning</v>
          </cell>
        </row>
        <row r="12052">
          <cell r="I12052" t="str">
            <v>Grange</v>
          </cell>
        </row>
        <row r="12053">
          <cell r="I12053" t="str">
            <v>Gonzalas</v>
          </cell>
        </row>
        <row r="12054">
          <cell r="I12054" t="str">
            <v>Goggins</v>
          </cell>
        </row>
        <row r="12055">
          <cell r="I12055" t="str">
            <v>Gerow</v>
          </cell>
        </row>
        <row r="12056">
          <cell r="I12056" t="str">
            <v>Gaydos</v>
          </cell>
        </row>
        <row r="12057">
          <cell r="I12057" t="str">
            <v>Garduno</v>
          </cell>
        </row>
        <row r="12058">
          <cell r="I12058" t="str">
            <v>Ganley</v>
          </cell>
        </row>
        <row r="12059">
          <cell r="I12059" t="str">
            <v>Galey</v>
          </cell>
        </row>
        <row r="12060">
          <cell r="I12060" t="str">
            <v>Farner</v>
          </cell>
        </row>
        <row r="12061">
          <cell r="I12061" t="str">
            <v>Ester</v>
          </cell>
        </row>
        <row r="12062">
          <cell r="I12062" t="str">
            <v>Engles</v>
          </cell>
        </row>
        <row r="12063">
          <cell r="I12063" t="str">
            <v>Emond</v>
          </cell>
        </row>
        <row r="12064">
          <cell r="I12064" t="str">
            <v>Emert</v>
          </cell>
        </row>
        <row r="12065">
          <cell r="I12065" t="str">
            <v>Ellenburg</v>
          </cell>
        </row>
        <row r="12066">
          <cell r="I12066" t="str">
            <v>Edick</v>
          </cell>
        </row>
        <row r="12067">
          <cell r="I12067" t="str">
            <v>Duell</v>
          </cell>
        </row>
        <row r="12068">
          <cell r="I12068" t="str">
            <v>Dublin</v>
          </cell>
        </row>
        <row r="12069">
          <cell r="I12069" t="str">
            <v>Dorazio</v>
          </cell>
        </row>
        <row r="12070">
          <cell r="I12070" t="str">
            <v>Dong</v>
          </cell>
        </row>
        <row r="12071">
          <cell r="I12071" t="str">
            <v>Dimond</v>
          </cell>
        </row>
        <row r="12072">
          <cell r="I12072" t="str">
            <v>Diederich</v>
          </cell>
        </row>
        <row r="12073">
          <cell r="I12073" t="str">
            <v>Dewalt</v>
          </cell>
        </row>
        <row r="12074">
          <cell r="I12074" t="str">
            <v>Depuy</v>
          </cell>
        </row>
        <row r="12075">
          <cell r="I12075" t="str">
            <v>Dempster</v>
          </cell>
        </row>
        <row r="12076">
          <cell r="I12076" t="str">
            <v>Demaria</v>
          </cell>
        </row>
        <row r="12077">
          <cell r="I12077" t="str">
            <v>Dehoyos</v>
          </cell>
        </row>
        <row r="12078">
          <cell r="I12078" t="str">
            <v>Dearth</v>
          </cell>
        </row>
        <row r="12079">
          <cell r="I12079" t="str">
            <v>Dealba</v>
          </cell>
        </row>
        <row r="12080">
          <cell r="I12080" t="str">
            <v>Dane</v>
          </cell>
        </row>
        <row r="12081">
          <cell r="I12081" t="str">
            <v>Czech</v>
          </cell>
        </row>
        <row r="12082">
          <cell r="I12082" t="str">
            <v>Crose</v>
          </cell>
        </row>
        <row r="12083">
          <cell r="I12083" t="str">
            <v>Crespin</v>
          </cell>
        </row>
        <row r="12084">
          <cell r="I12084" t="str">
            <v>Cogdill</v>
          </cell>
        </row>
        <row r="12085">
          <cell r="I12085" t="str">
            <v>Clinard</v>
          </cell>
        </row>
        <row r="12086">
          <cell r="I12086" t="str">
            <v>Cipriano</v>
          </cell>
        </row>
        <row r="12087">
          <cell r="I12087" t="str">
            <v>Chretien</v>
          </cell>
        </row>
        <row r="12088">
          <cell r="I12088" t="str">
            <v>Chalk</v>
          </cell>
        </row>
        <row r="12089">
          <cell r="I12089" t="str">
            <v>Cerny</v>
          </cell>
        </row>
        <row r="12090">
          <cell r="I12090" t="str">
            <v>Ceniceros</v>
          </cell>
        </row>
        <row r="12091">
          <cell r="I12091" t="str">
            <v>Celestin</v>
          </cell>
        </row>
        <row r="12092">
          <cell r="I12092" t="str">
            <v>Caple</v>
          </cell>
        </row>
        <row r="12093">
          <cell r="I12093" t="str">
            <v>Cacho</v>
          </cell>
        </row>
        <row r="12094">
          <cell r="I12094" t="str">
            <v>Burrill</v>
          </cell>
        </row>
        <row r="12095">
          <cell r="I12095" t="str">
            <v>Buhr</v>
          </cell>
        </row>
        <row r="12096">
          <cell r="I12096" t="str">
            <v>Buckland</v>
          </cell>
        </row>
        <row r="12097">
          <cell r="I12097" t="str">
            <v>Branam</v>
          </cell>
        </row>
        <row r="12098">
          <cell r="I12098" t="str">
            <v>Boysen</v>
          </cell>
        </row>
        <row r="12099">
          <cell r="I12099" t="str">
            <v>Bovee</v>
          </cell>
        </row>
        <row r="12100">
          <cell r="I12100" t="str">
            <v>Boos</v>
          </cell>
        </row>
        <row r="12101">
          <cell r="I12101" t="str">
            <v>Boler</v>
          </cell>
        </row>
        <row r="12102">
          <cell r="I12102" t="str">
            <v>Blom</v>
          </cell>
        </row>
        <row r="12103">
          <cell r="I12103" t="str">
            <v>Blasko</v>
          </cell>
        </row>
        <row r="12104">
          <cell r="I12104" t="str">
            <v>Beyers</v>
          </cell>
        </row>
        <row r="12105">
          <cell r="I12105" t="str">
            <v>Belz</v>
          </cell>
        </row>
        <row r="12106">
          <cell r="I12106" t="str">
            <v>Belmonte</v>
          </cell>
        </row>
        <row r="12107">
          <cell r="I12107" t="str">
            <v>Bednarz</v>
          </cell>
        </row>
        <row r="12108">
          <cell r="I12108" t="str">
            <v>Beckmann</v>
          </cell>
        </row>
        <row r="12109">
          <cell r="I12109" t="str">
            <v>Beaudin</v>
          </cell>
        </row>
        <row r="12110">
          <cell r="I12110" t="str">
            <v>Bazile</v>
          </cell>
        </row>
        <row r="12111">
          <cell r="I12111" t="str">
            <v>Barbeau</v>
          </cell>
        </row>
        <row r="12112">
          <cell r="I12112" t="str">
            <v>Balentine</v>
          </cell>
        </row>
        <row r="12113">
          <cell r="I12113" t="str">
            <v>Abrahams</v>
          </cell>
        </row>
        <row r="12114">
          <cell r="I12114" t="str">
            <v>Able</v>
          </cell>
        </row>
        <row r="12115">
          <cell r="I12115" t="str">
            <v>Zielke</v>
          </cell>
        </row>
        <row r="12116">
          <cell r="I12116" t="str">
            <v>Yunker</v>
          </cell>
        </row>
        <row r="12117">
          <cell r="I12117" t="str">
            <v>Yeates</v>
          </cell>
        </row>
        <row r="12118">
          <cell r="I12118" t="str">
            <v>Wrobel</v>
          </cell>
        </row>
        <row r="12119">
          <cell r="I12119" t="str">
            <v>Wike</v>
          </cell>
        </row>
        <row r="12120">
          <cell r="I12120" t="str">
            <v>Whisnant</v>
          </cell>
        </row>
        <row r="12121">
          <cell r="I12121" t="str">
            <v>Wherry</v>
          </cell>
        </row>
        <row r="12122">
          <cell r="I12122" t="str">
            <v>Wagnon</v>
          </cell>
        </row>
        <row r="12123">
          <cell r="I12123" t="str">
            <v>Vogan</v>
          </cell>
        </row>
        <row r="12124">
          <cell r="I12124" t="str">
            <v>Vansant</v>
          </cell>
        </row>
        <row r="12125">
          <cell r="I12125" t="str">
            <v>Vannest</v>
          </cell>
        </row>
        <row r="12126">
          <cell r="I12126" t="str">
            <v>Vallo</v>
          </cell>
        </row>
        <row r="12127">
          <cell r="I12127" t="str">
            <v>Ullery</v>
          </cell>
        </row>
        <row r="12128">
          <cell r="I12128" t="str">
            <v>Towles</v>
          </cell>
        </row>
        <row r="12129">
          <cell r="I12129" t="str">
            <v>Towell</v>
          </cell>
        </row>
        <row r="12130">
          <cell r="I12130" t="str">
            <v>Tiger</v>
          </cell>
        </row>
        <row r="12131">
          <cell r="I12131" t="str">
            <v>Thill</v>
          </cell>
        </row>
        <row r="12132">
          <cell r="I12132" t="str">
            <v>Taormina</v>
          </cell>
        </row>
        <row r="12133">
          <cell r="I12133" t="str">
            <v>Tannehill</v>
          </cell>
        </row>
        <row r="12134">
          <cell r="I12134" t="str">
            <v>Taing</v>
          </cell>
        </row>
        <row r="12135">
          <cell r="I12135" t="str">
            <v>Storrs</v>
          </cell>
        </row>
        <row r="12136">
          <cell r="I12136" t="str">
            <v>Stickles</v>
          </cell>
        </row>
        <row r="12137">
          <cell r="I12137" t="str">
            <v>Stetler</v>
          </cell>
        </row>
        <row r="12138">
          <cell r="I12138" t="str">
            <v>Sparling</v>
          </cell>
        </row>
        <row r="12139">
          <cell r="I12139" t="str">
            <v>Solt</v>
          </cell>
        </row>
        <row r="12140">
          <cell r="I12140" t="str">
            <v>Silcox</v>
          </cell>
        </row>
        <row r="12141">
          <cell r="I12141" t="str">
            <v>Sheard</v>
          </cell>
        </row>
        <row r="12142">
          <cell r="I12142" t="str">
            <v>Shadle</v>
          </cell>
        </row>
        <row r="12143">
          <cell r="I12143" t="str">
            <v>Seman</v>
          </cell>
        </row>
        <row r="12144">
          <cell r="I12144" t="str">
            <v>Selleck</v>
          </cell>
        </row>
        <row r="12145">
          <cell r="I12145" t="str">
            <v>Schlemmer</v>
          </cell>
        </row>
        <row r="12146">
          <cell r="I12146" t="str">
            <v>Scher</v>
          </cell>
        </row>
        <row r="12147">
          <cell r="I12147" t="str">
            <v>Sapien</v>
          </cell>
        </row>
        <row r="12148">
          <cell r="I12148" t="str">
            <v>Sainz</v>
          </cell>
        </row>
        <row r="12149">
          <cell r="I12149" t="str">
            <v>Rumble</v>
          </cell>
        </row>
        <row r="12150">
          <cell r="I12150" t="str">
            <v>Roye</v>
          </cell>
        </row>
        <row r="12151">
          <cell r="I12151" t="str">
            <v>Rosamond</v>
          </cell>
        </row>
        <row r="12152">
          <cell r="I12152" t="str">
            <v>Romain</v>
          </cell>
        </row>
        <row r="12153">
          <cell r="I12153" t="str">
            <v>Rizzuto</v>
          </cell>
        </row>
        <row r="12154">
          <cell r="I12154" t="str">
            <v>Resch</v>
          </cell>
        </row>
        <row r="12155">
          <cell r="I12155" t="str">
            <v>Rentz</v>
          </cell>
        </row>
        <row r="12156">
          <cell r="I12156" t="str">
            <v>Rather</v>
          </cell>
        </row>
        <row r="12157">
          <cell r="I12157" t="str">
            <v>Rasch</v>
          </cell>
        </row>
        <row r="12158">
          <cell r="I12158" t="str">
            <v>Ranieri</v>
          </cell>
        </row>
        <row r="12159">
          <cell r="I12159" t="str">
            <v>Purtell</v>
          </cell>
        </row>
        <row r="12160">
          <cell r="I12160" t="str">
            <v>Primmer</v>
          </cell>
        </row>
        <row r="12161">
          <cell r="I12161" t="str">
            <v>Portwood</v>
          </cell>
        </row>
        <row r="12162">
          <cell r="I12162" t="str">
            <v>Pontius</v>
          </cell>
        </row>
        <row r="12163">
          <cell r="I12163" t="str">
            <v>Pons</v>
          </cell>
        </row>
        <row r="12164">
          <cell r="I12164" t="str">
            <v>Pletcher</v>
          </cell>
        </row>
        <row r="12165">
          <cell r="I12165" t="str">
            <v>Pledger</v>
          </cell>
        </row>
        <row r="12166">
          <cell r="I12166" t="str">
            <v>Pirkle</v>
          </cell>
        </row>
        <row r="12167">
          <cell r="I12167" t="str">
            <v>Pillsbury</v>
          </cell>
        </row>
        <row r="12168">
          <cell r="I12168" t="str">
            <v>Pentecost</v>
          </cell>
        </row>
        <row r="12169">
          <cell r="I12169" t="str">
            <v>Peng</v>
          </cell>
        </row>
        <row r="12170">
          <cell r="I12170" t="str">
            <v>Paxson</v>
          </cell>
        </row>
        <row r="12171">
          <cell r="I12171" t="str">
            <v>Ortez</v>
          </cell>
        </row>
        <row r="12172">
          <cell r="I12172" t="str">
            <v>Organ</v>
          </cell>
        </row>
        <row r="12173">
          <cell r="I12173" t="str">
            <v>Oles</v>
          </cell>
        </row>
        <row r="12174">
          <cell r="I12174" t="str">
            <v>Newborn</v>
          </cell>
        </row>
        <row r="12175">
          <cell r="I12175" t="str">
            <v>Mullett</v>
          </cell>
        </row>
        <row r="12176">
          <cell r="I12176" t="str">
            <v>Muirhead</v>
          </cell>
        </row>
        <row r="12177">
          <cell r="I12177" t="str">
            <v>Mouzon</v>
          </cell>
        </row>
        <row r="12178">
          <cell r="I12178" t="str">
            <v>Mork</v>
          </cell>
        </row>
        <row r="12179">
          <cell r="I12179" t="str">
            <v>Mollett</v>
          </cell>
        </row>
        <row r="12180">
          <cell r="I12180" t="str">
            <v>Mohn</v>
          </cell>
        </row>
        <row r="12181">
          <cell r="I12181" t="str">
            <v>Mitcham</v>
          </cell>
        </row>
        <row r="12182">
          <cell r="I12182" t="str">
            <v>Melillo</v>
          </cell>
        </row>
        <row r="12183">
          <cell r="I12183" t="str">
            <v>Mee</v>
          </cell>
        </row>
        <row r="12184">
          <cell r="I12184" t="str">
            <v>Medders</v>
          </cell>
        </row>
        <row r="12185">
          <cell r="I12185" t="str">
            <v>Mcmiller</v>
          </cell>
        </row>
        <row r="12186">
          <cell r="I12186" t="str">
            <v>Mccleery</v>
          </cell>
        </row>
        <row r="12187">
          <cell r="I12187" t="str">
            <v>Mccaughey</v>
          </cell>
        </row>
        <row r="12188">
          <cell r="I12188" t="str">
            <v>Manders</v>
          </cell>
        </row>
        <row r="12189">
          <cell r="I12189" t="str">
            <v>Mak</v>
          </cell>
        </row>
        <row r="12190">
          <cell r="I12190" t="str">
            <v>Maciejewski</v>
          </cell>
        </row>
        <row r="12191">
          <cell r="I12191" t="str">
            <v>Macaulay</v>
          </cell>
        </row>
        <row r="12192">
          <cell r="I12192" t="str">
            <v>Lute</v>
          </cell>
        </row>
        <row r="12193">
          <cell r="I12193" t="str">
            <v>Lipman</v>
          </cell>
        </row>
        <row r="12194">
          <cell r="I12194" t="str">
            <v>Lewter</v>
          </cell>
        </row>
        <row r="12195">
          <cell r="I12195" t="str">
            <v>Larocque</v>
          </cell>
        </row>
        <row r="12196">
          <cell r="I12196" t="str">
            <v>Langton</v>
          </cell>
        </row>
        <row r="12197">
          <cell r="I12197" t="str">
            <v>Kriner</v>
          </cell>
        </row>
        <row r="12198">
          <cell r="I12198" t="str">
            <v>Knipp</v>
          </cell>
        </row>
        <row r="12199">
          <cell r="I12199" t="str">
            <v>Killeen</v>
          </cell>
        </row>
        <row r="12200">
          <cell r="I12200" t="str">
            <v>Karn</v>
          </cell>
        </row>
        <row r="12201">
          <cell r="I12201" t="str">
            <v>Kalish</v>
          </cell>
        </row>
        <row r="12202">
          <cell r="I12202" t="str">
            <v>Kaczor</v>
          </cell>
        </row>
        <row r="12203">
          <cell r="I12203" t="str">
            <v>Jonson</v>
          </cell>
        </row>
        <row r="12204">
          <cell r="I12204" t="str">
            <v>Jerez</v>
          </cell>
        </row>
        <row r="12205">
          <cell r="I12205" t="str">
            <v>Jarrard</v>
          </cell>
        </row>
        <row r="12206">
          <cell r="I12206" t="str">
            <v>Janda</v>
          </cell>
        </row>
        <row r="12207">
          <cell r="I12207" t="str">
            <v>Hymes</v>
          </cell>
        </row>
        <row r="12208">
          <cell r="I12208" t="str">
            <v>Hollman</v>
          </cell>
        </row>
        <row r="12209">
          <cell r="I12209" t="str">
            <v>Hollandsworth</v>
          </cell>
        </row>
        <row r="12210">
          <cell r="I12210" t="str">
            <v>Holl</v>
          </cell>
        </row>
        <row r="12211">
          <cell r="I12211" t="str">
            <v>Hobdy</v>
          </cell>
        </row>
        <row r="12212">
          <cell r="I12212" t="str">
            <v>Hitch</v>
          </cell>
        </row>
        <row r="12213">
          <cell r="I12213" t="str">
            <v>Hennen</v>
          </cell>
        </row>
        <row r="12214">
          <cell r="I12214" t="str">
            <v>Hemmer</v>
          </cell>
        </row>
        <row r="12215">
          <cell r="I12215" t="str">
            <v>Hagins</v>
          </cell>
        </row>
        <row r="12216">
          <cell r="I12216" t="str">
            <v>Haddox</v>
          </cell>
        </row>
        <row r="12217">
          <cell r="I12217" t="str">
            <v>Guitierrez</v>
          </cell>
        </row>
        <row r="12218">
          <cell r="I12218" t="str">
            <v>Guernsey</v>
          </cell>
        </row>
        <row r="12219">
          <cell r="I12219" t="str">
            <v>Gorsuch</v>
          </cell>
        </row>
        <row r="12220">
          <cell r="I12220" t="str">
            <v>Gholson</v>
          </cell>
        </row>
        <row r="12221">
          <cell r="I12221" t="str">
            <v>Genova</v>
          </cell>
        </row>
        <row r="12222">
          <cell r="I12222" t="str">
            <v>Gazaway</v>
          </cell>
        </row>
        <row r="12223">
          <cell r="I12223" t="str">
            <v>Gauna</v>
          </cell>
        </row>
        <row r="12224">
          <cell r="I12224" t="str">
            <v>Gammons</v>
          </cell>
        </row>
        <row r="12225">
          <cell r="I12225" t="str">
            <v>Freels</v>
          </cell>
        </row>
        <row r="12226">
          <cell r="I12226" t="str">
            <v>Fonville</v>
          </cell>
        </row>
        <row r="12227">
          <cell r="I12227" t="str">
            <v>Fly</v>
          </cell>
        </row>
        <row r="12228">
          <cell r="I12228" t="str">
            <v>Florian</v>
          </cell>
        </row>
        <row r="12229">
          <cell r="I12229" t="str">
            <v>Fleet</v>
          </cell>
        </row>
        <row r="12230">
          <cell r="I12230" t="str">
            <v>Fetterman</v>
          </cell>
        </row>
        <row r="12231">
          <cell r="I12231" t="str">
            <v>Fava</v>
          </cell>
        </row>
        <row r="12232">
          <cell r="I12232" t="str">
            <v>Farquhar</v>
          </cell>
        </row>
        <row r="12233">
          <cell r="I12233" t="str">
            <v>Farish</v>
          </cell>
        </row>
        <row r="12234">
          <cell r="I12234" t="str">
            <v>Fabela</v>
          </cell>
        </row>
        <row r="12235">
          <cell r="I12235" t="str">
            <v>Escoto</v>
          </cell>
        </row>
        <row r="12236">
          <cell r="I12236" t="str">
            <v>Eisen</v>
          </cell>
        </row>
        <row r="12237">
          <cell r="I12237" t="str">
            <v>Dossett</v>
          </cell>
        </row>
        <row r="12238">
          <cell r="I12238" t="str">
            <v>Dority</v>
          </cell>
        </row>
        <row r="12239">
          <cell r="I12239" t="str">
            <v>Dorfman</v>
          </cell>
        </row>
        <row r="12240">
          <cell r="I12240" t="str">
            <v>Demmer</v>
          </cell>
        </row>
        <row r="12241">
          <cell r="I12241" t="str">
            <v>Dehn</v>
          </cell>
        </row>
        <row r="12242">
          <cell r="I12242" t="str">
            <v>Dawley</v>
          </cell>
        </row>
        <row r="12243">
          <cell r="I12243" t="str">
            <v>Darbonne</v>
          </cell>
        </row>
        <row r="12244">
          <cell r="I12244" t="str">
            <v>Damore</v>
          </cell>
        </row>
        <row r="12245">
          <cell r="I12245" t="str">
            <v>Damm</v>
          </cell>
        </row>
        <row r="12246">
          <cell r="I12246" t="str">
            <v>Crosley</v>
          </cell>
        </row>
        <row r="12247">
          <cell r="I12247" t="str">
            <v>Cron</v>
          </cell>
        </row>
        <row r="12248">
          <cell r="I12248" t="str">
            <v>Crompton</v>
          </cell>
        </row>
        <row r="12249">
          <cell r="I12249" t="str">
            <v>Crichton</v>
          </cell>
        </row>
        <row r="12250">
          <cell r="I12250" t="str">
            <v>Cotner</v>
          </cell>
        </row>
        <row r="12251">
          <cell r="I12251" t="str">
            <v>Cordon</v>
          </cell>
        </row>
        <row r="12252">
          <cell r="I12252" t="str">
            <v>Conerly</v>
          </cell>
        </row>
        <row r="12253">
          <cell r="I12253" t="str">
            <v>Colvard</v>
          </cell>
        </row>
        <row r="12254">
          <cell r="I12254" t="str">
            <v>Clauson</v>
          </cell>
        </row>
        <row r="12255">
          <cell r="I12255" t="str">
            <v>Chess</v>
          </cell>
        </row>
        <row r="12256">
          <cell r="I12256" t="str">
            <v>Cheeseman</v>
          </cell>
        </row>
        <row r="12257">
          <cell r="I12257" t="str">
            <v>Charity</v>
          </cell>
        </row>
        <row r="12258">
          <cell r="I12258" t="str">
            <v>Cavallaro</v>
          </cell>
        </row>
        <row r="12259">
          <cell r="I12259" t="str">
            <v>Castille</v>
          </cell>
        </row>
        <row r="12260">
          <cell r="I12260" t="str">
            <v>Cabello</v>
          </cell>
        </row>
        <row r="12261">
          <cell r="I12261" t="str">
            <v>Burgan</v>
          </cell>
        </row>
        <row r="12262">
          <cell r="I12262" t="str">
            <v>Buffum</v>
          </cell>
        </row>
        <row r="12263">
          <cell r="I12263" t="str">
            <v>Bruss</v>
          </cell>
        </row>
        <row r="12264">
          <cell r="I12264" t="str">
            <v>Brassfield</v>
          </cell>
        </row>
        <row r="12265">
          <cell r="I12265" t="str">
            <v>Bowerman</v>
          </cell>
        </row>
        <row r="12266">
          <cell r="I12266" t="str">
            <v>Bothwell</v>
          </cell>
        </row>
        <row r="12267">
          <cell r="I12267" t="str">
            <v>Borgen</v>
          </cell>
        </row>
        <row r="12268">
          <cell r="I12268" t="str">
            <v>Bonaparte</v>
          </cell>
        </row>
        <row r="12269">
          <cell r="I12269" t="str">
            <v>Bombard</v>
          </cell>
        </row>
        <row r="12270">
          <cell r="I12270" t="str">
            <v>Boivin</v>
          </cell>
        </row>
        <row r="12271">
          <cell r="I12271" t="str">
            <v>Boissonneault</v>
          </cell>
        </row>
        <row r="12272">
          <cell r="I12272" t="str">
            <v>Bogner</v>
          </cell>
        </row>
        <row r="12273">
          <cell r="I12273" t="str">
            <v>Bodden</v>
          </cell>
        </row>
        <row r="12274">
          <cell r="I12274" t="str">
            <v>Boan</v>
          </cell>
        </row>
        <row r="12275">
          <cell r="I12275" t="str">
            <v>Blanche</v>
          </cell>
        </row>
        <row r="12276">
          <cell r="I12276" t="str">
            <v>Bittinger</v>
          </cell>
        </row>
        <row r="12277">
          <cell r="I12277" t="str">
            <v>Bickham</v>
          </cell>
        </row>
        <row r="12278">
          <cell r="I12278" t="str">
            <v>Bedolla</v>
          </cell>
        </row>
        <row r="12279">
          <cell r="I12279" t="str">
            <v>Bale</v>
          </cell>
        </row>
        <row r="12280">
          <cell r="I12280" t="str">
            <v>Bainbridge</v>
          </cell>
        </row>
        <row r="12281">
          <cell r="I12281" t="str">
            <v>Aybar</v>
          </cell>
        </row>
        <row r="12282">
          <cell r="I12282" t="str">
            <v>Avendano</v>
          </cell>
        </row>
        <row r="12283">
          <cell r="I12283" t="str">
            <v>Ashlock</v>
          </cell>
        </row>
        <row r="12284">
          <cell r="I12284" t="str">
            <v>Amidon</v>
          </cell>
        </row>
        <row r="12285">
          <cell r="I12285" t="str">
            <v>Almanzar</v>
          </cell>
        </row>
        <row r="12286">
          <cell r="I12286" t="str">
            <v>Akridge</v>
          </cell>
        </row>
        <row r="12287">
          <cell r="I12287" t="str">
            <v>Ackermann</v>
          </cell>
        </row>
        <row r="12288">
          <cell r="I12288" t="str">
            <v>Zager</v>
          </cell>
        </row>
        <row r="12289">
          <cell r="I12289" t="str">
            <v>Yong</v>
          </cell>
        </row>
        <row r="12290">
          <cell r="I12290" t="str">
            <v>Xavier</v>
          </cell>
        </row>
        <row r="12291">
          <cell r="I12291" t="str">
            <v>Worrall</v>
          </cell>
        </row>
        <row r="12292">
          <cell r="I12292" t="str">
            <v>Winans</v>
          </cell>
        </row>
        <row r="12293">
          <cell r="I12293" t="str">
            <v>Wilsey</v>
          </cell>
        </row>
        <row r="12294">
          <cell r="I12294" t="str">
            <v>Wightman</v>
          </cell>
        </row>
        <row r="12295">
          <cell r="I12295" t="str">
            <v>Westrick</v>
          </cell>
        </row>
        <row r="12296">
          <cell r="I12296" t="str">
            <v>Wenner</v>
          </cell>
        </row>
        <row r="12297">
          <cell r="I12297" t="str">
            <v>Warne</v>
          </cell>
        </row>
        <row r="12298">
          <cell r="I12298" t="str">
            <v>Warford</v>
          </cell>
        </row>
        <row r="12299">
          <cell r="I12299" t="str">
            <v>Verville</v>
          </cell>
        </row>
        <row r="12300">
          <cell r="I12300" t="str">
            <v>Utecht</v>
          </cell>
        </row>
        <row r="12301">
          <cell r="I12301" t="str">
            <v>Upson</v>
          </cell>
        </row>
        <row r="12302">
          <cell r="I12302" t="str">
            <v>Tuma</v>
          </cell>
        </row>
        <row r="12303">
          <cell r="I12303" t="str">
            <v>Tseng</v>
          </cell>
        </row>
        <row r="12304">
          <cell r="I12304" t="str">
            <v>Troncoso</v>
          </cell>
        </row>
        <row r="12305">
          <cell r="I12305" t="str">
            <v>Trollinger</v>
          </cell>
        </row>
        <row r="12306">
          <cell r="I12306" t="str">
            <v>Torbert</v>
          </cell>
        </row>
        <row r="12307">
          <cell r="I12307" t="str">
            <v>Taulbee</v>
          </cell>
        </row>
        <row r="12308">
          <cell r="I12308" t="str">
            <v>Sutterfield</v>
          </cell>
        </row>
        <row r="12309">
          <cell r="I12309" t="str">
            <v>Stough</v>
          </cell>
        </row>
        <row r="12310">
          <cell r="I12310" t="str">
            <v>Storch</v>
          </cell>
        </row>
        <row r="12311">
          <cell r="I12311" t="str">
            <v>Stonebraker</v>
          </cell>
        </row>
        <row r="12312">
          <cell r="I12312" t="str">
            <v>Stolle</v>
          </cell>
        </row>
        <row r="12313">
          <cell r="I12313" t="str">
            <v>Stilson</v>
          </cell>
        </row>
        <row r="12314">
          <cell r="I12314" t="str">
            <v>Stiefel</v>
          </cell>
        </row>
        <row r="12315">
          <cell r="I12315" t="str">
            <v>Steptoe</v>
          </cell>
        </row>
        <row r="12316">
          <cell r="I12316" t="str">
            <v>Stepney</v>
          </cell>
        </row>
        <row r="12317">
          <cell r="I12317" t="str">
            <v>Stender</v>
          </cell>
        </row>
        <row r="12318">
          <cell r="I12318" t="str">
            <v>Stemple</v>
          </cell>
        </row>
        <row r="12319">
          <cell r="I12319" t="str">
            <v>Staggers</v>
          </cell>
        </row>
        <row r="12320">
          <cell r="I12320" t="str">
            <v>Spurrier</v>
          </cell>
        </row>
        <row r="12321">
          <cell r="I12321" t="str">
            <v>Spray</v>
          </cell>
        </row>
        <row r="12322">
          <cell r="I12322" t="str">
            <v>Spinney</v>
          </cell>
        </row>
        <row r="12323">
          <cell r="I12323" t="str">
            <v>Spengler</v>
          </cell>
        </row>
        <row r="12324">
          <cell r="I12324" t="str">
            <v>Smartt</v>
          </cell>
        </row>
        <row r="12325">
          <cell r="I12325" t="str">
            <v>Skoog</v>
          </cell>
        </row>
        <row r="12326">
          <cell r="I12326" t="str">
            <v>Silvis</v>
          </cell>
        </row>
        <row r="12327">
          <cell r="I12327" t="str">
            <v>Sieg</v>
          </cell>
        </row>
        <row r="12328">
          <cell r="I12328" t="str">
            <v>Shuford</v>
          </cell>
        </row>
        <row r="12329">
          <cell r="I12329" t="str">
            <v>Selfridge</v>
          </cell>
        </row>
        <row r="12330">
          <cell r="I12330" t="str">
            <v>Seguin</v>
          </cell>
        </row>
        <row r="12331">
          <cell r="I12331" t="str">
            <v>Sedgwick</v>
          </cell>
        </row>
        <row r="12332">
          <cell r="I12332" t="str">
            <v>Sease</v>
          </cell>
        </row>
        <row r="12333">
          <cell r="I12333" t="str">
            <v>Scotti</v>
          </cell>
        </row>
        <row r="12334">
          <cell r="I12334" t="str">
            <v>Schroer</v>
          </cell>
        </row>
        <row r="12335">
          <cell r="I12335" t="str">
            <v>Schlenker</v>
          </cell>
        </row>
        <row r="12336">
          <cell r="I12336" t="str">
            <v>Schill</v>
          </cell>
        </row>
        <row r="12337">
          <cell r="I12337" t="str">
            <v>Savarese</v>
          </cell>
        </row>
        <row r="12338">
          <cell r="I12338" t="str">
            <v>Sapienza</v>
          </cell>
        </row>
        <row r="12339">
          <cell r="I12339" t="str">
            <v>Sanson</v>
          </cell>
        </row>
        <row r="12340">
          <cell r="I12340" t="str">
            <v>Sandefur</v>
          </cell>
        </row>
        <row r="12341">
          <cell r="I12341" t="str">
            <v>Salamone</v>
          </cell>
        </row>
        <row r="12342">
          <cell r="I12342" t="str">
            <v>Rusnak</v>
          </cell>
        </row>
        <row r="12343">
          <cell r="I12343" t="str">
            <v>Rudisill</v>
          </cell>
        </row>
        <row r="12344">
          <cell r="I12344" t="str">
            <v>Royalty</v>
          </cell>
        </row>
        <row r="12345">
          <cell r="I12345" t="str">
            <v>Rothermel</v>
          </cell>
        </row>
        <row r="12346">
          <cell r="I12346" t="str">
            <v>Roca</v>
          </cell>
        </row>
        <row r="12347">
          <cell r="I12347" t="str">
            <v>Resendiz</v>
          </cell>
        </row>
        <row r="12348">
          <cell r="I12348" t="str">
            <v>Reliford</v>
          </cell>
        </row>
        <row r="12349">
          <cell r="I12349" t="str">
            <v>Rasco</v>
          </cell>
        </row>
        <row r="12350">
          <cell r="I12350" t="str">
            <v>Raiford</v>
          </cell>
        </row>
        <row r="12351">
          <cell r="I12351" t="str">
            <v>Quisenberry</v>
          </cell>
        </row>
        <row r="12352">
          <cell r="I12352" t="str">
            <v>Quijada</v>
          </cell>
        </row>
        <row r="12353">
          <cell r="I12353" t="str">
            <v>Pullins</v>
          </cell>
        </row>
        <row r="12354">
          <cell r="I12354" t="str">
            <v>Puccio</v>
          </cell>
        </row>
        <row r="12355">
          <cell r="I12355" t="str">
            <v>Postell</v>
          </cell>
        </row>
        <row r="12356">
          <cell r="I12356" t="str">
            <v>Poppe</v>
          </cell>
        </row>
        <row r="12357">
          <cell r="I12357" t="str">
            <v>Pinter</v>
          </cell>
        </row>
        <row r="12358">
          <cell r="I12358" t="str">
            <v>Piche</v>
          </cell>
        </row>
        <row r="12359">
          <cell r="I12359" t="str">
            <v>Petrucci</v>
          </cell>
        </row>
        <row r="12360">
          <cell r="I12360" t="str">
            <v>Pellegrin</v>
          </cell>
        </row>
        <row r="12361">
          <cell r="I12361" t="str">
            <v>Pelaez</v>
          </cell>
        </row>
        <row r="12362">
          <cell r="I12362" t="str">
            <v>Patti</v>
          </cell>
        </row>
        <row r="12363">
          <cell r="I12363" t="str">
            <v>Paton</v>
          </cell>
        </row>
        <row r="12364">
          <cell r="I12364" t="str">
            <v>Pasco</v>
          </cell>
        </row>
        <row r="12365">
          <cell r="I12365" t="str">
            <v>Parkes</v>
          </cell>
        </row>
        <row r="12366">
          <cell r="I12366" t="str">
            <v>Paden</v>
          </cell>
        </row>
        <row r="12367">
          <cell r="I12367" t="str">
            <v>Pabst</v>
          </cell>
        </row>
        <row r="12368">
          <cell r="I12368" t="str">
            <v>Orchard</v>
          </cell>
        </row>
        <row r="12369">
          <cell r="I12369" t="str">
            <v>Olmsted</v>
          </cell>
        </row>
        <row r="12370">
          <cell r="I12370" t="str">
            <v>Newlon</v>
          </cell>
        </row>
        <row r="12371">
          <cell r="I12371" t="str">
            <v>Mynatt</v>
          </cell>
        </row>
        <row r="12372">
          <cell r="I12372" t="str">
            <v>Mustafa</v>
          </cell>
        </row>
        <row r="12373">
          <cell r="I12373" t="str">
            <v>Mower</v>
          </cell>
        </row>
        <row r="12374">
          <cell r="I12374" t="str">
            <v>Morrone</v>
          </cell>
        </row>
        <row r="12375">
          <cell r="I12375" t="str">
            <v>Moree</v>
          </cell>
        </row>
        <row r="12376">
          <cell r="I12376" t="str">
            <v>Moffat</v>
          </cell>
        </row>
        <row r="12377">
          <cell r="I12377" t="str">
            <v>Mixson</v>
          </cell>
        </row>
        <row r="12378">
          <cell r="I12378" t="str">
            <v>Minner</v>
          </cell>
        </row>
        <row r="12379">
          <cell r="I12379" t="str">
            <v>Min</v>
          </cell>
        </row>
        <row r="12380">
          <cell r="I12380" t="str">
            <v>Millette</v>
          </cell>
        </row>
        <row r="12381">
          <cell r="I12381" t="str">
            <v>Mederos</v>
          </cell>
        </row>
        <row r="12382">
          <cell r="I12382" t="str">
            <v>Mcgahan</v>
          </cell>
        </row>
        <row r="12383">
          <cell r="I12383" t="str">
            <v>Mcconville</v>
          </cell>
        </row>
        <row r="12384">
          <cell r="I12384" t="str">
            <v>Maughan</v>
          </cell>
        </row>
        <row r="12385">
          <cell r="I12385" t="str">
            <v>Massingill</v>
          </cell>
        </row>
        <row r="12386">
          <cell r="I12386" t="str">
            <v>Marano</v>
          </cell>
        </row>
        <row r="12387">
          <cell r="I12387" t="str">
            <v>Macri</v>
          </cell>
        </row>
        <row r="12388">
          <cell r="I12388" t="str">
            <v>Lovern</v>
          </cell>
        </row>
        <row r="12389">
          <cell r="I12389" t="str">
            <v>Lichtenstein</v>
          </cell>
        </row>
        <row r="12390">
          <cell r="I12390" t="str">
            <v>Leonetti</v>
          </cell>
        </row>
        <row r="12391">
          <cell r="I12391" t="str">
            <v>Lehner</v>
          </cell>
        </row>
        <row r="12392">
          <cell r="I12392" t="str">
            <v>Lawley</v>
          </cell>
        </row>
        <row r="12393">
          <cell r="I12393" t="str">
            <v>Laramie</v>
          </cell>
        </row>
        <row r="12394">
          <cell r="I12394" t="str">
            <v>Lappin</v>
          </cell>
        </row>
        <row r="12395">
          <cell r="I12395" t="str">
            <v>Lahti</v>
          </cell>
        </row>
        <row r="12396">
          <cell r="I12396" t="str">
            <v>Lago</v>
          </cell>
        </row>
        <row r="12397">
          <cell r="I12397" t="str">
            <v>Lacayo</v>
          </cell>
        </row>
        <row r="12398">
          <cell r="I12398" t="str">
            <v>Kuester</v>
          </cell>
        </row>
        <row r="12399">
          <cell r="I12399" t="str">
            <v>Knee</v>
          </cell>
        </row>
        <row r="12400">
          <cell r="I12400" t="str">
            <v>Kincade</v>
          </cell>
        </row>
        <row r="12401">
          <cell r="I12401" t="str">
            <v>Junior</v>
          </cell>
        </row>
        <row r="12402">
          <cell r="I12402" t="str">
            <v>Juhl</v>
          </cell>
        </row>
        <row r="12403">
          <cell r="I12403" t="str">
            <v>Joslyn</v>
          </cell>
        </row>
        <row r="12404">
          <cell r="I12404" t="str">
            <v>Jiron</v>
          </cell>
        </row>
        <row r="12405">
          <cell r="I12405" t="str">
            <v>Jessop</v>
          </cell>
        </row>
        <row r="12406">
          <cell r="I12406" t="str">
            <v>Jerry</v>
          </cell>
        </row>
        <row r="12407">
          <cell r="I12407" t="str">
            <v>Jarosz</v>
          </cell>
        </row>
        <row r="12408">
          <cell r="I12408" t="str">
            <v>Jain</v>
          </cell>
        </row>
        <row r="12409">
          <cell r="I12409" t="str">
            <v>Hults</v>
          </cell>
        </row>
        <row r="12410">
          <cell r="I12410" t="str">
            <v>Hoge</v>
          </cell>
        </row>
        <row r="12411">
          <cell r="I12411" t="str">
            <v>Hodgins</v>
          </cell>
        </row>
        <row r="12412">
          <cell r="I12412" t="str">
            <v>Hoban</v>
          </cell>
        </row>
        <row r="12413">
          <cell r="I12413" t="str">
            <v>Hinkson</v>
          </cell>
        </row>
        <row r="12414">
          <cell r="I12414" t="str">
            <v>Hillyard</v>
          </cell>
        </row>
        <row r="12415">
          <cell r="I12415" t="str">
            <v>Herzig</v>
          </cell>
        </row>
        <row r="12416">
          <cell r="I12416" t="str">
            <v>Hervey</v>
          </cell>
        </row>
        <row r="12417">
          <cell r="I12417" t="str">
            <v>Henriksen</v>
          </cell>
        </row>
        <row r="12418">
          <cell r="I12418" t="str">
            <v>Hawker</v>
          </cell>
        </row>
        <row r="12419">
          <cell r="I12419" t="str">
            <v>Hause</v>
          </cell>
        </row>
        <row r="12420">
          <cell r="I12420" t="str">
            <v>Hard</v>
          </cell>
        </row>
        <row r="12421">
          <cell r="I12421" t="str">
            <v>Hankerson</v>
          </cell>
        </row>
        <row r="12422">
          <cell r="I12422" t="str">
            <v>Gregson</v>
          </cell>
        </row>
        <row r="12423">
          <cell r="I12423" t="str">
            <v>Golliday</v>
          </cell>
        </row>
        <row r="12424">
          <cell r="I12424" t="str">
            <v>Gilcrease</v>
          </cell>
        </row>
        <row r="12425">
          <cell r="I12425" t="str">
            <v>Gessner</v>
          </cell>
        </row>
        <row r="12426">
          <cell r="I12426" t="str">
            <v>Gerace</v>
          </cell>
        </row>
        <row r="12427">
          <cell r="I12427" t="str">
            <v>Garwood</v>
          </cell>
        </row>
        <row r="12428">
          <cell r="I12428" t="str">
            <v>Garst</v>
          </cell>
        </row>
        <row r="12429">
          <cell r="I12429" t="str">
            <v>Gaillard</v>
          </cell>
        </row>
        <row r="12430">
          <cell r="I12430" t="str">
            <v>Flinchum</v>
          </cell>
        </row>
        <row r="12431">
          <cell r="I12431" t="str">
            <v>Fishel</v>
          </cell>
        </row>
        <row r="12432">
          <cell r="I12432" t="str">
            <v>Fishback</v>
          </cell>
        </row>
        <row r="12433">
          <cell r="I12433" t="str">
            <v>Filkins</v>
          </cell>
        </row>
        <row r="12434">
          <cell r="I12434" t="str">
            <v>Fentress</v>
          </cell>
        </row>
        <row r="12435">
          <cell r="I12435" t="str">
            <v>Fabre</v>
          </cell>
        </row>
        <row r="12436">
          <cell r="I12436" t="str">
            <v>Ethier</v>
          </cell>
        </row>
        <row r="12437">
          <cell r="I12437" t="str">
            <v>Espana</v>
          </cell>
        </row>
        <row r="12438">
          <cell r="I12438" t="str">
            <v>Eisner</v>
          </cell>
        </row>
        <row r="12439">
          <cell r="I12439" t="str">
            <v>Ehrhart</v>
          </cell>
        </row>
        <row r="12440">
          <cell r="I12440" t="str">
            <v>Efird</v>
          </cell>
        </row>
        <row r="12441">
          <cell r="I12441" t="str">
            <v>Drennon</v>
          </cell>
        </row>
        <row r="12442">
          <cell r="I12442" t="str">
            <v>Dominy</v>
          </cell>
        </row>
        <row r="12443">
          <cell r="I12443" t="str">
            <v>Dominique</v>
          </cell>
        </row>
        <row r="12444">
          <cell r="I12444" t="str">
            <v>Domingue</v>
          </cell>
        </row>
        <row r="12445">
          <cell r="I12445" t="str">
            <v>Dipaolo</v>
          </cell>
        </row>
        <row r="12446">
          <cell r="I12446" t="str">
            <v>Dinan</v>
          </cell>
        </row>
        <row r="12447">
          <cell r="I12447" t="str">
            <v>Dimartino</v>
          </cell>
        </row>
        <row r="12448">
          <cell r="I12448" t="str">
            <v>Deskins</v>
          </cell>
        </row>
        <row r="12449">
          <cell r="I12449" t="str">
            <v>Dengler</v>
          </cell>
        </row>
        <row r="12450">
          <cell r="I12450" t="str">
            <v>Defreitas</v>
          </cell>
        </row>
        <row r="12451">
          <cell r="I12451" t="str">
            <v>Defranco</v>
          </cell>
        </row>
        <row r="12452">
          <cell r="I12452" t="str">
            <v>Dancer</v>
          </cell>
        </row>
        <row r="12453">
          <cell r="I12453" t="str">
            <v>Dahlin</v>
          </cell>
        </row>
        <row r="12454">
          <cell r="I12454" t="str">
            <v>Cutshaw</v>
          </cell>
        </row>
        <row r="12455">
          <cell r="I12455" t="str">
            <v>Cuthbert</v>
          </cell>
        </row>
        <row r="12456">
          <cell r="I12456" t="str">
            <v>Croyle</v>
          </cell>
        </row>
        <row r="12457">
          <cell r="I12457" t="str">
            <v>Crothers</v>
          </cell>
        </row>
        <row r="12458">
          <cell r="I12458" t="str">
            <v>Critchfield</v>
          </cell>
        </row>
        <row r="12459">
          <cell r="I12459" t="str">
            <v>Cowie</v>
          </cell>
        </row>
        <row r="12460">
          <cell r="I12460" t="str">
            <v>Costner</v>
          </cell>
        </row>
        <row r="12461">
          <cell r="I12461" t="str">
            <v>Coppedge</v>
          </cell>
        </row>
        <row r="12462">
          <cell r="I12462" t="str">
            <v>Copes</v>
          </cell>
        </row>
        <row r="12463">
          <cell r="I12463" t="str">
            <v>Ciccone</v>
          </cell>
        </row>
        <row r="12464">
          <cell r="I12464" t="str">
            <v>Champ</v>
          </cell>
        </row>
        <row r="12465">
          <cell r="I12465" t="str">
            <v>Cesar</v>
          </cell>
        </row>
        <row r="12466">
          <cell r="I12466" t="str">
            <v>Caufield</v>
          </cell>
        </row>
        <row r="12467">
          <cell r="I12467" t="str">
            <v>Capo</v>
          </cell>
        </row>
        <row r="12468">
          <cell r="I12468" t="str">
            <v>Cambron</v>
          </cell>
        </row>
        <row r="12469">
          <cell r="I12469" t="str">
            <v>Cambridge</v>
          </cell>
        </row>
        <row r="12470">
          <cell r="I12470" t="str">
            <v>Buser</v>
          </cell>
        </row>
        <row r="12471">
          <cell r="I12471" t="str">
            <v>Burnes</v>
          </cell>
        </row>
        <row r="12472">
          <cell r="I12472" t="str">
            <v>Buhl</v>
          </cell>
        </row>
        <row r="12473">
          <cell r="I12473" t="str">
            <v>Buendia</v>
          </cell>
        </row>
        <row r="12474">
          <cell r="I12474" t="str">
            <v>Brindley</v>
          </cell>
        </row>
        <row r="12475">
          <cell r="I12475" t="str">
            <v>Brecht</v>
          </cell>
        </row>
        <row r="12476">
          <cell r="I12476" t="str">
            <v>Bourgoin</v>
          </cell>
        </row>
        <row r="12477">
          <cell r="I12477" t="str">
            <v>Boomer</v>
          </cell>
        </row>
        <row r="12478">
          <cell r="I12478" t="str">
            <v>Blackshire</v>
          </cell>
        </row>
        <row r="12479">
          <cell r="I12479" t="str">
            <v>Birge</v>
          </cell>
        </row>
        <row r="12480">
          <cell r="I12480" t="str">
            <v>Benninger</v>
          </cell>
        </row>
        <row r="12481">
          <cell r="I12481" t="str">
            <v>Bembry</v>
          </cell>
        </row>
        <row r="12482">
          <cell r="I12482" t="str">
            <v>Beil</v>
          </cell>
        </row>
        <row r="12483">
          <cell r="I12483" t="str">
            <v>Begaye</v>
          </cell>
        </row>
        <row r="12484">
          <cell r="I12484" t="str">
            <v>Barrentine</v>
          </cell>
        </row>
        <row r="12485">
          <cell r="I12485" t="str">
            <v>Barks</v>
          </cell>
        </row>
        <row r="12486">
          <cell r="I12486" t="str">
            <v>Banton</v>
          </cell>
        </row>
        <row r="12487">
          <cell r="I12487" t="str">
            <v>Balmer</v>
          </cell>
        </row>
        <row r="12488">
          <cell r="I12488" t="str">
            <v>Baity</v>
          </cell>
        </row>
        <row r="12489">
          <cell r="I12489" t="str">
            <v>Auerbach</v>
          </cell>
        </row>
        <row r="12490">
          <cell r="I12490" t="str">
            <v>Ambler</v>
          </cell>
        </row>
        <row r="12491">
          <cell r="I12491" t="str">
            <v>Alexandre</v>
          </cell>
        </row>
        <row r="12492">
          <cell r="I12492" t="str">
            <v>Ackerson</v>
          </cell>
        </row>
        <row r="12493">
          <cell r="I12493" t="str">
            <v>Zurcher</v>
          </cell>
        </row>
        <row r="12494">
          <cell r="I12494" t="str">
            <v>Zell</v>
          </cell>
        </row>
        <row r="12495">
          <cell r="I12495" t="str">
            <v>Wynkoop</v>
          </cell>
        </row>
        <row r="12496">
          <cell r="I12496" t="str">
            <v>Wallick</v>
          </cell>
        </row>
        <row r="12497">
          <cell r="I12497" t="str">
            <v>Waid</v>
          </cell>
        </row>
        <row r="12498">
          <cell r="I12498" t="str">
            <v>Vos</v>
          </cell>
        </row>
        <row r="12499">
          <cell r="I12499" t="str">
            <v>Vizcaino</v>
          </cell>
        </row>
        <row r="12500">
          <cell r="I12500" t="str">
            <v>Vester</v>
          </cell>
        </row>
        <row r="12501">
          <cell r="I12501" t="str">
            <v>Veale</v>
          </cell>
        </row>
        <row r="12502">
          <cell r="I12502" t="str">
            <v>Vandermark</v>
          </cell>
        </row>
        <row r="12503">
          <cell r="I12503" t="str">
            <v>Vanderford</v>
          </cell>
        </row>
        <row r="12504">
          <cell r="I12504" t="str">
            <v>Tuthill</v>
          </cell>
        </row>
        <row r="12505">
          <cell r="I12505" t="str">
            <v>Trivette</v>
          </cell>
        </row>
        <row r="12506">
          <cell r="I12506" t="str">
            <v>Thiessen</v>
          </cell>
        </row>
        <row r="12507">
          <cell r="I12507" t="str">
            <v>Tewksbury</v>
          </cell>
        </row>
        <row r="12508">
          <cell r="I12508" t="str">
            <v>Tao</v>
          </cell>
        </row>
        <row r="12509">
          <cell r="I12509" t="str">
            <v>Tabron</v>
          </cell>
        </row>
        <row r="12510">
          <cell r="I12510" t="str">
            <v>Swim</v>
          </cell>
        </row>
        <row r="12511">
          <cell r="I12511" t="str">
            <v>Swasey</v>
          </cell>
        </row>
        <row r="12512">
          <cell r="I12512" t="str">
            <v>Swanigan</v>
          </cell>
        </row>
        <row r="12513">
          <cell r="I12513" t="str">
            <v>Stoughton</v>
          </cell>
        </row>
        <row r="12514">
          <cell r="I12514" t="str">
            <v>Stoudt</v>
          </cell>
        </row>
        <row r="12515">
          <cell r="I12515" t="str">
            <v>Stimson</v>
          </cell>
        </row>
        <row r="12516">
          <cell r="I12516" t="str">
            <v>Stecker</v>
          </cell>
        </row>
        <row r="12517">
          <cell r="I12517" t="str">
            <v>Stead</v>
          </cell>
        </row>
        <row r="12518">
          <cell r="I12518" t="str">
            <v>Stall</v>
          </cell>
        </row>
        <row r="12519">
          <cell r="I12519" t="str">
            <v>Spady</v>
          </cell>
        </row>
        <row r="12520">
          <cell r="I12520" t="str">
            <v>Souther</v>
          </cell>
        </row>
        <row r="12521">
          <cell r="I12521" t="str">
            <v>Smoak</v>
          </cell>
        </row>
        <row r="12522">
          <cell r="I12522" t="str">
            <v>Sklar</v>
          </cell>
        </row>
        <row r="12523">
          <cell r="I12523" t="str">
            <v>Simcox</v>
          </cell>
        </row>
        <row r="12524">
          <cell r="I12524" t="str">
            <v>Sidwell</v>
          </cell>
        </row>
        <row r="12525">
          <cell r="I12525" t="str">
            <v>Sharon</v>
          </cell>
        </row>
        <row r="12526">
          <cell r="I12526" t="str">
            <v>Seybert</v>
          </cell>
        </row>
        <row r="12527">
          <cell r="I12527" t="str">
            <v>Sesco</v>
          </cell>
        </row>
        <row r="12528">
          <cell r="I12528" t="str">
            <v>Seeman</v>
          </cell>
        </row>
        <row r="12529">
          <cell r="I12529" t="str">
            <v>Seaborn</v>
          </cell>
        </row>
        <row r="12530">
          <cell r="I12530" t="str">
            <v>Schwenk</v>
          </cell>
        </row>
        <row r="12531">
          <cell r="I12531" t="str">
            <v>Schmeling</v>
          </cell>
        </row>
        <row r="12532">
          <cell r="I12532" t="str">
            <v>Rossignol</v>
          </cell>
        </row>
        <row r="12533">
          <cell r="I12533" t="str">
            <v>Robillard</v>
          </cell>
        </row>
        <row r="12534">
          <cell r="I12534" t="str">
            <v>Robicheaux</v>
          </cell>
        </row>
        <row r="12535">
          <cell r="I12535" t="str">
            <v>Riveria</v>
          </cell>
        </row>
        <row r="12536">
          <cell r="I12536" t="str">
            <v>Rippeon</v>
          </cell>
        </row>
        <row r="12537">
          <cell r="I12537" t="str">
            <v>Ridgley</v>
          </cell>
        </row>
        <row r="12538">
          <cell r="I12538" t="str">
            <v>Remaley</v>
          </cell>
        </row>
        <row r="12539">
          <cell r="I12539" t="str">
            <v>Rehkop</v>
          </cell>
        </row>
        <row r="12540">
          <cell r="I12540" t="str">
            <v>Reddish</v>
          </cell>
        </row>
        <row r="12541">
          <cell r="I12541" t="str">
            <v>Reach</v>
          </cell>
        </row>
        <row r="12542">
          <cell r="I12542" t="str">
            <v>Rauscher</v>
          </cell>
        </row>
        <row r="12543">
          <cell r="I12543" t="str">
            <v>Rachel</v>
          </cell>
        </row>
        <row r="12544">
          <cell r="I12544" t="str">
            <v>Quirion</v>
          </cell>
        </row>
        <row r="12545">
          <cell r="I12545" t="str">
            <v>Pusey</v>
          </cell>
        </row>
        <row r="12546">
          <cell r="I12546" t="str">
            <v>Pruden</v>
          </cell>
        </row>
        <row r="12547">
          <cell r="I12547" t="str">
            <v>Pressler</v>
          </cell>
        </row>
        <row r="12548">
          <cell r="I12548" t="str">
            <v>Potvin</v>
          </cell>
        </row>
        <row r="12549">
          <cell r="I12549" t="str">
            <v>Pospisil</v>
          </cell>
        </row>
        <row r="12550">
          <cell r="I12550" t="str">
            <v>Paradiso</v>
          </cell>
        </row>
        <row r="12551">
          <cell r="I12551" t="str">
            <v>Pangburn</v>
          </cell>
        </row>
        <row r="12552">
          <cell r="I12552" t="str">
            <v>Palmateer</v>
          </cell>
        </row>
        <row r="12553">
          <cell r="I12553" t="str">
            <v>Ownby</v>
          </cell>
        </row>
        <row r="12554">
          <cell r="I12554" t="str">
            <v>Otwell</v>
          </cell>
        </row>
        <row r="12555">
          <cell r="I12555" t="str">
            <v>Osterberg</v>
          </cell>
        </row>
        <row r="12556">
          <cell r="I12556" t="str">
            <v>Osmond</v>
          </cell>
        </row>
        <row r="12557">
          <cell r="I12557" t="str">
            <v>Olsson</v>
          </cell>
        </row>
        <row r="12558">
          <cell r="I12558" t="str">
            <v>Old</v>
          </cell>
        </row>
        <row r="12559">
          <cell r="I12559" t="str">
            <v>Oberlander</v>
          </cell>
        </row>
        <row r="12560">
          <cell r="I12560" t="str">
            <v>Nusbaum</v>
          </cell>
        </row>
        <row r="12561">
          <cell r="I12561" t="str">
            <v>Novack</v>
          </cell>
        </row>
        <row r="12562">
          <cell r="I12562" t="str">
            <v>Nokes</v>
          </cell>
        </row>
        <row r="12563">
          <cell r="I12563" t="str">
            <v>Nicastro</v>
          </cell>
        </row>
        <row r="12564">
          <cell r="I12564" t="str">
            <v>Nehls</v>
          </cell>
        </row>
        <row r="12565">
          <cell r="I12565" t="str">
            <v>Nay</v>
          </cell>
        </row>
        <row r="12566">
          <cell r="I12566" t="str">
            <v>Naber</v>
          </cell>
        </row>
        <row r="12567">
          <cell r="I12567" t="str">
            <v>Mulhern</v>
          </cell>
        </row>
        <row r="12568">
          <cell r="I12568" t="str">
            <v>Motter</v>
          </cell>
        </row>
        <row r="12569">
          <cell r="I12569" t="str">
            <v>Moretz</v>
          </cell>
        </row>
        <row r="12570">
          <cell r="I12570" t="str">
            <v>Milian</v>
          </cell>
        </row>
        <row r="12571">
          <cell r="I12571" t="str">
            <v>Mercedes</v>
          </cell>
        </row>
        <row r="12572">
          <cell r="I12572" t="str">
            <v>Mckeel</v>
          </cell>
        </row>
        <row r="12573">
          <cell r="I12573" t="str">
            <v>Mcclay</v>
          </cell>
        </row>
        <row r="12574">
          <cell r="I12574" t="str">
            <v>Mccart</v>
          </cell>
        </row>
        <row r="12575">
          <cell r="I12575" t="str">
            <v>Matsuda</v>
          </cell>
        </row>
        <row r="12576">
          <cell r="I12576" t="str">
            <v>Mary</v>
          </cell>
        </row>
        <row r="12577">
          <cell r="I12577" t="str">
            <v>Martucci</v>
          </cell>
        </row>
        <row r="12578">
          <cell r="I12578" t="str">
            <v>Marple</v>
          </cell>
        </row>
        <row r="12579">
          <cell r="I12579" t="str">
            <v>Marko</v>
          </cell>
        </row>
        <row r="12580">
          <cell r="I12580" t="str">
            <v>Marciniak</v>
          </cell>
        </row>
        <row r="12581">
          <cell r="I12581" t="str">
            <v>Manes</v>
          </cell>
        </row>
        <row r="12582">
          <cell r="I12582" t="str">
            <v>Mancia</v>
          </cell>
        </row>
        <row r="12583">
          <cell r="I12583" t="str">
            <v>Maker</v>
          </cell>
        </row>
        <row r="12584">
          <cell r="I12584" t="str">
            <v>Macrae</v>
          </cell>
        </row>
        <row r="12585">
          <cell r="I12585" t="str">
            <v>Lybarger</v>
          </cell>
        </row>
        <row r="12586">
          <cell r="I12586" t="str">
            <v>Lint</v>
          </cell>
        </row>
        <row r="12587">
          <cell r="I12587" t="str">
            <v>Lineberger</v>
          </cell>
        </row>
        <row r="12588">
          <cell r="I12588" t="str">
            <v>Levingston</v>
          </cell>
        </row>
        <row r="12589">
          <cell r="I12589" t="str">
            <v>Lecroy</v>
          </cell>
        </row>
        <row r="12590">
          <cell r="I12590" t="str">
            <v>Lattimer</v>
          </cell>
        </row>
        <row r="12591">
          <cell r="I12591" t="str">
            <v>Laseter</v>
          </cell>
        </row>
        <row r="12592">
          <cell r="I12592" t="str">
            <v>Kulick</v>
          </cell>
        </row>
        <row r="12593">
          <cell r="I12593" t="str">
            <v>Krier</v>
          </cell>
        </row>
        <row r="12594">
          <cell r="I12594" t="str">
            <v>Knutsen</v>
          </cell>
        </row>
        <row r="12595">
          <cell r="I12595" t="str">
            <v>Klem</v>
          </cell>
        </row>
        <row r="12596">
          <cell r="I12596" t="str">
            <v>Kinne</v>
          </cell>
        </row>
        <row r="12597">
          <cell r="I12597" t="str">
            <v>Kinkade</v>
          </cell>
        </row>
        <row r="12598">
          <cell r="I12598" t="str">
            <v>Ketterman</v>
          </cell>
        </row>
        <row r="12599">
          <cell r="I12599" t="str">
            <v>Kerstetter</v>
          </cell>
        </row>
        <row r="12600">
          <cell r="I12600" t="str">
            <v>Kersten</v>
          </cell>
        </row>
        <row r="12601">
          <cell r="I12601" t="str">
            <v>Karam</v>
          </cell>
        </row>
        <row r="12602">
          <cell r="I12602" t="str">
            <v>Jury</v>
          </cell>
        </row>
        <row r="12603">
          <cell r="I12603" t="str">
            <v>Joshi</v>
          </cell>
        </row>
        <row r="12604">
          <cell r="I12604" t="str">
            <v>Jin</v>
          </cell>
        </row>
        <row r="12605">
          <cell r="I12605" t="str">
            <v>Jent</v>
          </cell>
        </row>
        <row r="12606">
          <cell r="I12606" t="str">
            <v>Jefcoat</v>
          </cell>
        </row>
        <row r="12607">
          <cell r="I12607" t="str">
            <v>Hillier</v>
          </cell>
        </row>
        <row r="12608">
          <cell r="I12608" t="str">
            <v>Hillhouse</v>
          </cell>
        </row>
        <row r="12609">
          <cell r="I12609" t="str">
            <v>Hettinger</v>
          </cell>
        </row>
        <row r="12610">
          <cell r="I12610" t="str">
            <v>Henthorn</v>
          </cell>
        </row>
        <row r="12611">
          <cell r="I12611" t="str">
            <v>Henline</v>
          </cell>
        </row>
        <row r="12612">
          <cell r="I12612" t="str">
            <v>Helzer</v>
          </cell>
        </row>
        <row r="12613">
          <cell r="I12613" t="str">
            <v>Heitzman</v>
          </cell>
        </row>
        <row r="12614">
          <cell r="I12614" t="str">
            <v>Heineman</v>
          </cell>
        </row>
        <row r="12615">
          <cell r="I12615" t="str">
            <v>Heenan</v>
          </cell>
        </row>
        <row r="12616">
          <cell r="I12616" t="str">
            <v>Haughton</v>
          </cell>
        </row>
        <row r="12617">
          <cell r="I12617" t="str">
            <v>Haris</v>
          </cell>
        </row>
        <row r="12618">
          <cell r="I12618" t="str">
            <v>Harbert</v>
          </cell>
        </row>
        <row r="12619">
          <cell r="I12619" t="str">
            <v>Haman</v>
          </cell>
        </row>
        <row r="12620">
          <cell r="I12620" t="str">
            <v>Grinstead</v>
          </cell>
        </row>
        <row r="12621">
          <cell r="I12621" t="str">
            <v>Gremillion</v>
          </cell>
        </row>
        <row r="12622">
          <cell r="I12622" t="str">
            <v>Gorby</v>
          </cell>
        </row>
        <row r="12623">
          <cell r="I12623" t="str">
            <v>Giraldo</v>
          </cell>
        </row>
        <row r="12624">
          <cell r="I12624" t="str">
            <v>Gioia</v>
          </cell>
        </row>
        <row r="12625">
          <cell r="I12625" t="str">
            <v>Gerardi</v>
          </cell>
        </row>
        <row r="12626">
          <cell r="I12626" t="str">
            <v>Geraghty</v>
          </cell>
        </row>
        <row r="12627">
          <cell r="I12627" t="str">
            <v>Gaunt</v>
          </cell>
        </row>
        <row r="12628">
          <cell r="I12628" t="str">
            <v>Gatson</v>
          </cell>
        </row>
        <row r="12629">
          <cell r="I12629" t="str">
            <v>Gardin</v>
          </cell>
        </row>
        <row r="12630">
          <cell r="I12630" t="str">
            <v>Gans</v>
          </cell>
        </row>
        <row r="12631">
          <cell r="I12631" t="str">
            <v>Gammill</v>
          </cell>
        </row>
        <row r="12632">
          <cell r="I12632" t="str">
            <v>Games</v>
          </cell>
        </row>
        <row r="12633">
          <cell r="I12633" t="str">
            <v>Gain</v>
          </cell>
        </row>
        <row r="12634">
          <cell r="I12634" t="str">
            <v>Friedlander</v>
          </cell>
        </row>
        <row r="12635">
          <cell r="I12635" t="str">
            <v>Frahm</v>
          </cell>
        </row>
        <row r="12636">
          <cell r="I12636" t="str">
            <v>Fossett</v>
          </cell>
        </row>
        <row r="12637">
          <cell r="I12637" t="str">
            <v>Fosdick</v>
          </cell>
        </row>
        <row r="12638">
          <cell r="I12638" t="str">
            <v>Forth</v>
          </cell>
        </row>
        <row r="12639">
          <cell r="I12639" t="str">
            <v>Forbush</v>
          </cell>
        </row>
        <row r="12640">
          <cell r="I12640" t="str">
            <v>Fondren</v>
          </cell>
        </row>
        <row r="12641">
          <cell r="I12641" t="str">
            <v>Fleckenstein</v>
          </cell>
        </row>
        <row r="12642">
          <cell r="I12642" t="str">
            <v>Fitchett</v>
          </cell>
        </row>
        <row r="12643">
          <cell r="I12643" t="str">
            <v>Filer</v>
          </cell>
        </row>
        <row r="12644">
          <cell r="I12644" t="str">
            <v>Feliz</v>
          </cell>
        </row>
        <row r="12645">
          <cell r="I12645" t="str">
            <v>Feist</v>
          </cell>
        </row>
        <row r="12646">
          <cell r="I12646" t="str">
            <v>Ewart</v>
          </cell>
        </row>
        <row r="12647">
          <cell r="I12647" t="str">
            <v>Evelyn</v>
          </cell>
        </row>
        <row r="12648">
          <cell r="I12648" t="str">
            <v>Esters</v>
          </cell>
        </row>
        <row r="12649">
          <cell r="I12649" t="str">
            <v>Elsner</v>
          </cell>
        </row>
        <row r="12650">
          <cell r="I12650" t="str">
            <v>Edgin</v>
          </cell>
        </row>
        <row r="12651">
          <cell r="I12651" t="str">
            <v>Eddie</v>
          </cell>
        </row>
        <row r="12652">
          <cell r="I12652" t="str">
            <v>Easterly</v>
          </cell>
        </row>
        <row r="12653">
          <cell r="I12653" t="str">
            <v>Dussault</v>
          </cell>
        </row>
        <row r="12654">
          <cell r="I12654" t="str">
            <v>Durazo</v>
          </cell>
        </row>
        <row r="12655">
          <cell r="I12655" t="str">
            <v>Don</v>
          </cell>
        </row>
        <row r="12656">
          <cell r="I12656" t="str">
            <v>Devereaux</v>
          </cell>
        </row>
        <row r="12657">
          <cell r="I12657" t="str">
            <v>Deshotel</v>
          </cell>
        </row>
        <row r="12658">
          <cell r="I12658" t="str">
            <v>Deckert</v>
          </cell>
        </row>
        <row r="12659">
          <cell r="I12659" t="str">
            <v>Dargan</v>
          </cell>
        </row>
        <row r="12660">
          <cell r="I12660" t="str">
            <v>Dare</v>
          </cell>
        </row>
        <row r="12661">
          <cell r="I12661" t="str">
            <v>Cornman</v>
          </cell>
        </row>
        <row r="12662">
          <cell r="I12662" t="str">
            <v>Conkle</v>
          </cell>
        </row>
        <row r="12663">
          <cell r="I12663" t="str">
            <v>Condit</v>
          </cell>
        </row>
        <row r="12664">
          <cell r="I12664" t="str">
            <v>Commander</v>
          </cell>
        </row>
        <row r="12665">
          <cell r="I12665" t="str">
            <v>Claunch</v>
          </cell>
        </row>
        <row r="12666">
          <cell r="I12666" t="str">
            <v>Clabaugh</v>
          </cell>
        </row>
        <row r="12667">
          <cell r="I12667" t="str">
            <v>Chute</v>
          </cell>
        </row>
        <row r="12668">
          <cell r="I12668" t="str">
            <v>Cheesman</v>
          </cell>
        </row>
        <row r="12669">
          <cell r="I12669" t="str">
            <v>Chea</v>
          </cell>
        </row>
        <row r="12670">
          <cell r="I12670" t="str">
            <v>Charney</v>
          </cell>
        </row>
        <row r="12671">
          <cell r="I12671" t="str">
            <v>Charleston</v>
          </cell>
        </row>
        <row r="12672">
          <cell r="I12672" t="str">
            <v>Casella</v>
          </cell>
        </row>
        <row r="12673">
          <cell r="I12673" t="str">
            <v>Carone</v>
          </cell>
        </row>
        <row r="12674">
          <cell r="I12674" t="str">
            <v>Carbonell</v>
          </cell>
        </row>
        <row r="12675">
          <cell r="I12675" t="str">
            <v>Canipe</v>
          </cell>
        </row>
        <row r="12676">
          <cell r="I12676" t="str">
            <v>Campana</v>
          </cell>
        </row>
        <row r="12677">
          <cell r="I12677" t="str">
            <v>Calles</v>
          </cell>
        </row>
        <row r="12678">
          <cell r="I12678" t="str">
            <v>Cabezas</v>
          </cell>
        </row>
        <row r="12679">
          <cell r="I12679" t="str">
            <v>Cabell</v>
          </cell>
        </row>
        <row r="12680">
          <cell r="I12680" t="str">
            <v>Buttram</v>
          </cell>
        </row>
        <row r="12681">
          <cell r="I12681" t="str">
            <v>Bustillos</v>
          </cell>
        </row>
        <row r="12682">
          <cell r="I12682" t="str">
            <v>Buskirk</v>
          </cell>
        </row>
        <row r="12683">
          <cell r="I12683" t="str">
            <v>Boyland</v>
          </cell>
        </row>
        <row r="12684">
          <cell r="I12684" t="str">
            <v>Bourke</v>
          </cell>
        </row>
        <row r="12685">
          <cell r="I12685" t="str">
            <v>Blakeley</v>
          </cell>
        </row>
        <row r="12686">
          <cell r="I12686" t="str">
            <v>Big</v>
          </cell>
        </row>
        <row r="12687">
          <cell r="I12687" t="str">
            <v>Berumen</v>
          </cell>
        </row>
        <row r="12688">
          <cell r="I12688" t="str">
            <v>Berrier</v>
          </cell>
        </row>
        <row r="12689">
          <cell r="I12689" t="str">
            <v>Bench</v>
          </cell>
        </row>
        <row r="12690">
          <cell r="I12690" t="str">
            <v>Belli</v>
          </cell>
        </row>
        <row r="12691">
          <cell r="I12691" t="str">
            <v>Behrendt</v>
          </cell>
        </row>
        <row r="12692">
          <cell r="I12692" t="str">
            <v>Baumbach</v>
          </cell>
        </row>
        <row r="12693">
          <cell r="I12693" t="str">
            <v>Bartsch</v>
          </cell>
        </row>
        <row r="12694">
          <cell r="I12694" t="str">
            <v>Baney</v>
          </cell>
        </row>
        <row r="12695">
          <cell r="I12695" t="str">
            <v>Arambula</v>
          </cell>
        </row>
        <row r="12696">
          <cell r="I12696" t="str">
            <v>Alldredge</v>
          </cell>
        </row>
        <row r="12697">
          <cell r="I12697" t="str">
            <v>Allbritton</v>
          </cell>
        </row>
        <row r="12698">
          <cell r="I12698" t="str">
            <v>Ziemba</v>
          </cell>
        </row>
        <row r="12699">
          <cell r="I12699" t="str">
            <v>Zanders</v>
          </cell>
        </row>
        <row r="12700">
          <cell r="I12700" t="str">
            <v>Youngquist</v>
          </cell>
        </row>
        <row r="12701">
          <cell r="I12701" t="str">
            <v>Yoshioka</v>
          </cell>
        </row>
        <row r="12702">
          <cell r="I12702" t="str">
            <v>Yohe</v>
          </cell>
        </row>
        <row r="12703">
          <cell r="I12703" t="str">
            <v>Wunder</v>
          </cell>
        </row>
        <row r="12704">
          <cell r="I12704" t="str">
            <v>Woodfin</v>
          </cell>
        </row>
        <row r="12705">
          <cell r="I12705" t="str">
            <v>Wojtowicz</v>
          </cell>
        </row>
        <row r="12706">
          <cell r="I12706" t="str">
            <v>Winkel</v>
          </cell>
        </row>
        <row r="12707">
          <cell r="I12707" t="str">
            <v>Wilmore</v>
          </cell>
        </row>
        <row r="12708">
          <cell r="I12708" t="str">
            <v>Willbanks</v>
          </cell>
        </row>
        <row r="12709">
          <cell r="I12709" t="str">
            <v>Wesolowski</v>
          </cell>
        </row>
        <row r="12710">
          <cell r="I12710" t="str">
            <v>Wendland</v>
          </cell>
        </row>
        <row r="12711">
          <cell r="I12711" t="str">
            <v>Walko</v>
          </cell>
        </row>
        <row r="12712">
          <cell r="I12712" t="str">
            <v>Votaw</v>
          </cell>
        </row>
        <row r="12713">
          <cell r="I12713" t="str">
            <v>Vanek</v>
          </cell>
        </row>
        <row r="12714">
          <cell r="I12714" t="str">
            <v>Uriarte</v>
          </cell>
        </row>
        <row r="12715">
          <cell r="I12715" t="str">
            <v>Urbano</v>
          </cell>
        </row>
        <row r="12716">
          <cell r="I12716" t="str">
            <v>Turnipseed</v>
          </cell>
        </row>
        <row r="12717">
          <cell r="I12717" t="str">
            <v>Triche</v>
          </cell>
        </row>
        <row r="12718">
          <cell r="I12718" t="str">
            <v>Trautman</v>
          </cell>
        </row>
        <row r="12719">
          <cell r="I12719" t="str">
            <v>Towler</v>
          </cell>
        </row>
        <row r="12720">
          <cell r="I12720" t="str">
            <v>Tokarz</v>
          </cell>
        </row>
        <row r="12721">
          <cell r="I12721" t="str">
            <v>Temples</v>
          </cell>
        </row>
        <row r="12722">
          <cell r="I12722" t="str">
            <v>Tefft</v>
          </cell>
        </row>
        <row r="12723">
          <cell r="I12723" t="str">
            <v>Teegarden</v>
          </cell>
        </row>
        <row r="12724">
          <cell r="I12724" t="str">
            <v>Syed</v>
          </cell>
        </row>
        <row r="12725">
          <cell r="I12725" t="str">
            <v>Swigart</v>
          </cell>
        </row>
        <row r="12726">
          <cell r="I12726" t="str">
            <v>Stryker</v>
          </cell>
        </row>
        <row r="12727">
          <cell r="I12727" t="str">
            <v>Stoller</v>
          </cell>
        </row>
        <row r="12728">
          <cell r="I12728" t="str">
            <v>Stapler</v>
          </cell>
        </row>
        <row r="12729">
          <cell r="I12729" t="str">
            <v>Stansfield</v>
          </cell>
        </row>
        <row r="12730">
          <cell r="I12730" t="str">
            <v>Smit</v>
          </cell>
        </row>
        <row r="12731">
          <cell r="I12731" t="str">
            <v>Smelley</v>
          </cell>
        </row>
        <row r="12732">
          <cell r="I12732" t="str">
            <v>Sicard</v>
          </cell>
        </row>
        <row r="12733">
          <cell r="I12733" t="str">
            <v>Shulman</v>
          </cell>
        </row>
        <row r="12734">
          <cell r="I12734" t="str">
            <v>Shew</v>
          </cell>
        </row>
        <row r="12735">
          <cell r="I12735" t="str">
            <v>Shear</v>
          </cell>
        </row>
        <row r="12736">
          <cell r="I12736" t="str">
            <v>Sheahan</v>
          </cell>
        </row>
        <row r="12737">
          <cell r="I12737" t="str">
            <v>Sharpton</v>
          </cell>
        </row>
        <row r="12738">
          <cell r="I12738" t="str">
            <v>Selvidge</v>
          </cell>
        </row>
        <row r="12739">
          <cell r="I12739" t="str">
            <v>Schlesinger</v>
          </cell>
        </row>
        <row r="12740">
          <cell r="I12740" t="str">
            <v>Savell</v>
          </cell>
        </row>
        <row r="12741">
          <cell r="I12741" t="str">
            <v>Sandford</v>
          </cell>
        </row>
        <row r="12742">
          <cell r="I12742" t="str">
            <v>Sabatino</v>
          </cell>
        </row>
        <row r="12743">
          <cell r="I12743" t="str">
            <v>Rosenbloom</v>
          </cell>
        </row>
        <row r="12744">
          <cell r="I12744" t="str">
            <v>Roepke</v>
          </cell>
        </row>
        <row r="12745">
          <cell r="I12745" t="str">
            <v>Rish</v>
          </cell>
        </row>
        <row r="12746">
          <cell r="I12746" t="str">
            <v>Rhames</v>
          </cell>
        </row>
        <row r="12747">
          <cell r="I12747" t="str">
            <v>Renken</v>
          </cell>
        </row>
        <row r="12748">
          <cell r="I12748" t="str">
            <v>Reger</v>
          </cell>
        </row>
        <row r="12749">
          <cell r="I12749" t="str">
            <v>Rappaport</v>
          </cell>
        </row>
        <row r="12750">
          <cell r="I12750" t="str">
            <v>Quarterman</v>
          </cell>
        </row>
        <row r="12751">
          <cell r="I12751" t="str">
            <v>Puig</v>
          </cell>
        </row>
        <row r="12752">
          <cell r="I12752" t="str">
            <v>Prasad</v>
          </cell>
        </row>
        <row r="12753">
          <cell r="I12753" t="str">
            <v>Poplar</v>
          </cell>
        </row>
        <row r="12754">
          <cell r="I12754" t="str">
            <v>Pizano</v>
          </cell>
        </row>
        <row r="12755">
          <cell r="I12755" t="str">
            <v>Pigott</v>
          </cell>
        </row>
        <row r="12756">
          <cell r="I12756" t="str">
            <v>Pick</v>
          </cell>
        </row>
        <row r="12757">
          <cell r="I12757" t="str">
            <v>Phair</v>
          </cell>
        </row>
        <row r="12758">
          <cell r="I12758" t="str">
            <v>Petrick</v>
          </cell>
        </row>
        <row r="12759">
          <cell r="I12759" t="str">
            <v>Patt</v>
          </cell>
        </row>
        <row r="12760">
          <cell r="I12760" t="str">
            <v>Pascua</v>
          </cell>
        </row>
        <row r="12761">
          <cell r="I12761" t="str">
            <v>Paramore</v>
          </cell>
        </row>
        <row r="12762">
          <cell r="I12762" t="str">
            <v>Papineau</v>
          </cell>
        </row>
        <row r="12763">
          <cell r="I12763" t="str">
            <v>Olivieri</v>
          </cell>
        </row>
        <row r="12764">
          <cell r="I12764" t="str">
            <v>Ogren</v>
          </cell>
        </row>
        <row r="12765">
          <cell r="I12765" t="str">
            <v>Norden</v>
          </cell>
        </row>
        <row r="12766">
          <cell r="I12766" t="str">
            <v>Noga</v>
          </cell>
        </row>
        <row r="12767">
          <cell r="I12767" t="str">
            <v>Nisbet</v>
          </cell>
        </row>
        <row r="12768">
          <cell r="I12768" t="str">
            <v>Munk</v>
          </cell>
        </row>
        <row r="12769">
          <cell r="I12769" t="str">
            <v>Munch</v>
          </cell>
        </row>
        <row r="12770">
          <cell r="I12770" t="str">
            <v>Mui</v>
          </cell>
        </row>
        <row r="12771">
          <cell r="I12771" t="str">
            <v>Morvant</v>
          </cell>
        </row>
        <row r="12772">
          <cell r="I12772" t="str">
            <v>Moro</v>
          </cell>
        </row>
        <row r="12773">
          <cell r="I12773" t="str">
            <v>Moloney</v>
          </cell>
        </row>
        <row r="12774">
          <cell r="I12774" t="str">
            <v>Merz</v>
          </cell>
        </row>
        <row r="12775">
          <cell r="I12775" t="str">
            <v>Meng</v>
          </cell>
        </row>
        <row r="12776">
          <cell r="I12776" t="str">
            <v>Meltzer</v>
          </cell>
        </row>
        <row r="12777">
          <cell r="I12777" t="str">
            <v>Mellinger</v>
          </cell>
        </row>
        <row r="12778">
          <cell r="I12778" t="str">
            <v>Mehl</v>
          </cell>
        </row>
        <row r="12779">
          <cell r="I12779" t="str">
            <v>Mcnealy</v>
          </cell>
        </row>
        <row r="12780">
          <cell r="I12780" t="str">
            <v>Mckernan</v>
          </cell>
        </row>
        <row r="12781">
          <cell r="I12781" t="str">
            <v>Mchaney</v>
          </cell>
        </row>
        <row r="12782">
          <cell r="I12782" t="str">
            <v>Mccleskey</v>
          </cell>
        </row>
        <row r="12783">
          <cell r="I12783" t="str">
            <v>Mcandrews</v>
          </cell>
        </row>
        <row r="12784">
          <cell r="I12784" t="str">
            <v>Mayton</v>
          </cell>
        </row>
        <row r="12785">
          <cell r="I12785" t="str">
            <v>Mayor</v>
          </cell>
        </row>
        <row r="12786">
          <cell r="I12786" t="str">
            <v>Markert</v>
          </cell>
        </row>
        <row r="12787">
          <cell r="I12787" t="str">
            <v>Maresca</v>
          </cell>
        </row>
        <row r="12788">
          <cell r="I12788" t="str">
            <v>Marcellus</v>
          </cell>
        </row>
        <row r="12789">
          <cell r="I12789" t="str">
            <v>Maner</v>
          </cell>
        </row>
        <row r="12790">
          <cell r="I12790" t="str">
            <v>Mandujano</v>
          </cell>
        </row>
        <row r="12791">
          <cell r="I12791" t="str">
            <v>Malpass</v>
          </cell>
        </row>
        <row r="12792">
          <cell r="I12792" t="str">
            <v>Macintyre</v>
          </cell>
        </row>
        <row r="12793">
          <cell r="I12793" t="str">
            <v>Lytton</v>
          </cell>
        </row>
        <row r="12794">
          <cell r="I12794" t="str">
            <v>Lyall</v>
          </cell>
        </row>
        <row r="12795">
          <cell r="I12795" t="str">
            <v>Lummus</v>
          </cell>
        </row>
        <row r="12796">
          <cell r="I12796" t="str">
            <v>Longshore</v>
          </cell>
        </row>
        <row r="12797">
          <cell r="I12797" t="str">
            <v>Longfellow</v>
          </cell>
        </row>
        <row r="12798">
          <cell r="I12798" t="str">
            <v>Lokey</v>
          </cell>
        </row>
        <row r="12799">
          <cell r="I12799" t="str">
            <v>Locher</v>
          </cell>
        </row>
        <row r="12800">
          <cell r="I12800" t="str">
            <v>Leverette</v>
          </cell>
        </row>
        <row r="12801">
          <cell r="I12801" t="str">
            <v>Lepe</v>
          </cell>
        </row>
        <row r="12802">
          <cell r="I12802" t="str">
            <v>Lefever</v>
          </cell>
        </row>
        <row r="12803">
          <cell r="I12803" t="str">
            <v>Leeson</v>
          </cell>
        </row>
        <row r="12804">
          <cell r="I12804" t="str">
            <v>Lederer</v>
          </cell>
        </row>
        <row r="12805">
          <cell r="I12805" t="str">
            <v>Lampert</v>
          </cell>
        </row>
        <row r="12806">
          <cell r="I12806" t="str">
            <v>Lagrone</v>
          </cell>
        </row>
        <row r="12807">
          <cell r="I12807" t="str">
            <v>La</v>
          </cell>
        </row>
        <row r="12808">
          <cell r="I12808" t="str">
            <v>Kreider</v>
          </cell>
        </row>
        <row r="12809">
          <cell r="I12809" t="str">
            <v>Korth</v>
          </cell>
        </row>
        <row r="12810">
          <cell r="I12810" t="str">
            <v>Knopf</v>
          </cell>
        </row>
        <row r="12811">
          <cell r="I12811" t="str">
            <v>Kleist</v>
          </cell>
        </row>
        <row r="12812">
          <cell r="I12812" t="str">
            <v>Kiss</v>
          </cell>
        </row>
        <row r="12813">
          <cell r="I12813" t="str">
            <v>Keltner</v>
          </cell>
        </row>
        <row r="12814">
          <cell r="I12814" t="str">
            <v>Kelling</v>
          </cell>
        </row>
        <row r="12815">
          <cell r="I12815" t="str">
            <v>Kaspar</v>
          </cell>
        </row>
        <row r="12816">
          <cell r="I12816" t="str">
            <v>Kappler</v>
          </cell>
        </row>
        <row r="12817">
          <cell r="I12817" t="str">
            <v>Justin</v>
          </cell>
        </row>
        <row r="12818">
          <cell r="I12818" t="str">
            <v>Josephs</v>
          </cell>
        </row>
        <row r="12819">
          <cell r="I12819" t="str">
            <v>Jiang</v>
          </cell>
        </row>
        <row r="12820">
          <cell r="I12820" t="str">
            <v>Huckins</v>
          </cell>
        </row>
        <row r="12821">
          <cell r="I12821" t="str">
            <v>Horace</v>
          </cell>
        </row>
        <row r="12822">
          <cell r="I12822" t="str">
            <v>Holub</v>
          </cell>
        </row>
        <row r="12823">
          <cell r="I12823" t="str">
            <v>Hofstetter</v>
          </cell>
        </row>
        <row r="12824">
          <cell r="I12824" t="str">
            <v>Hoehn</v>
          </cell>
        </row>
        <row r="12825">
          <cell r="I12825" t="str">
            <v>Higginson</v>
          </cell>
        </row>
        <row r="12826">
          <cell r="I12826" t="str">
            <v>Hennings</v>
          </cell>
        </row>
        <row r="12827">
          <cell r="I12827" t="str">
            <v>Heid</v>
          </cell>
        </row>
        <row r="12828">
          <cell r="I12828" t="str">
            <v>Havel</v>
          </cell>
        </row>
        <row r="12829">
          <cell r="I12829" t="str">
            <v>Hauer</v>
          </cell>
        </row>
        <row r="12830">
          <cell r="I12830" t="str">
            <v>Harnden</v>
          </cell>
        </row>
        <row r="12831">
          <cell r="I12831" t="str">
            <v>Hargreaves</v>
          </cell>
        </row>
        <row r="12832">
          <cell r="I12832" t="str">
            <v>Hanger</v>
          </cell>
        </row>
        <row r="12833">
          <cell r="I12833" t="str">
            <v>Guild</v>
          </cell>
        </row>
        <row r="12834">
          <cell r="I12834" t="str">
            <v>Guidi</v>
          </cell>
        </row>
        <row r="12835">
          <cell r="I12835" t="str">
            <v>Grate</v>
          </cell>
        </row>
        <row r="12836">
          <cell r="I12836" t="str">
            <v>Grandy</v>
          </cell>
        </row>
        <row r="12837">
          <cell r="I12837" t="str">
            <v>Grandstaff</v>
          </cell>
        </row>
        <row r="12838">
          <cell r="I12838" t="str">
            <v>Goza</v>
          </cell>
        </row>
        <row r="12839">
          <cell r="I12839" t="str">
            <v>Goodridge</v>
          </cell>
        </row>
        <row r="12840">
          <cell r="I12840" t="str">
            <v>Goodfellow</v>
          </cell>
        </row>
        <row r="12841">
          <cell r="I12841" t="str">
            <v>Goggans</v>
          </cell>
        </row>
        <row r="12842">
          <cell r="I12842" t="str">
            <v>Godley</v>
          </cell>
        </row>
        <row r="12843">
          <cell r="I12843" t="str">
            <v>Giusti</v>
          </cell>
        </row>
        <row r="12844">
          <cell r="I12844" t="str">
            <v>Gilyard</v>
          </cell>
        </row>
        <row r="12845">
          <cell r="I12845" t="str">
            <v>Geoghegan</v>
          </cell>
        </row>
        <row r="12846">
          <cell r="I12846" t="str">
            <v>Galyon</v>
          </cell>
        </row>
        <row r="12847">
          <cell r="I12847" t="str">
            <v>Gaeta</v>
          </cell>
        </row>
        <row r="12848">
          <cell r="I12848" t="str">
            <v>Funes</v>
          </cell>
        </row>
        <row r="12849">
          <cell r="I12849" t="str">
            <v>Font</v>
          </cell>
        </row>
        <row r="12850">
          <cell r="I12850" t="str">
            <v>Flor</v>
          </cell>
        </row>
        <row r="12851">
          <cell r="I12851" t="str">
            <v>Flanary</v>
          </cell>
        </row>
        <row r="12852">
          <cell r="I12852" t="str">
            <v>Fales</v>
          </cell>
        </row>
        <row r="12853">
          <cell r="I12853" t="str">
            <v>Erlandson</v>
          </cell>
        </row>
        <row r="12854">
          <cell r="I12854" t="str">
            <v>Ellett</v>
          </cell>
        </row>
        <row r="12855">
          <cell r="I12855" t="str">
            <v>Elia</v>
          </cell>
        </row>
        <row r="12856">
          <cell r="I12856" t="str">
            <v>Edinger</v>
          </cell>
        </row>
        <row r="12857">
          <cell r="I12857" t="str">
            <v>Dziedzic</v>
          </cell>
        </row>
        <row r="12858">
          <cell r="I12858" t="str">
            <v>Duerr</v>
          </cell>
        </row>
        <row r="12859">
          <cell r="I12859" t="str">
            <v>Draughn</v>
          </cell>
        </row>
        <row r="12860">
          <cell r="I12860" t="str">
            <v>Donoho</v>
          </cell>
        </row>
        <row r="12861">
          <cell r="I12861" t="str">
            <v>Dimatteo</v>
          </cell>
        </row>
        <row r="12862">
          <cell r="I12862" t="str">
            <v>Devos</v>
          </cell>
        </row>
        <row r="12863">
          <cell r="I12863" t="str">
            <v>Dematteo</v>
          </cell>
        </row>
        <row r="12864">
          <cell r="I12864" t="str">
            <v>Degnan</v>
          </cell>
        </row>
        <row r="12865">
          <cell r="I12865" t="str">
            <v>Darlington</v>
          </cell>
        </row>
        <row r="12866">
          <cell r="I12866" t="str">
            <v>Danis</v>
          </cell>
        </row>
        <row r="12867">
          <cell r="I12867" t="str">
            <v>Dam</v>
          </cell>
        </row>
        <row r="12868">
          <cell r="I12868" t="str">
            <v>Dahlstrom</v>
          </cell>
        </row>
        <row r="12869">
          <cell r="I12869" t="str">
            <v>Dahlke</v>
          </cell>
        </row>
        <row r="12870">
          <cell r="I12870" t="str">
            <v>Czajkowski</v>
          </cell>
        </row>
        <row r="12871">
          <cell r="I12871" t="str">
            <v>Cumbie</v>
          </cell>
        </row>
        <row r="12872">
          <cell r="I12872" t="str">
            <v>Culbert</v>
          </cell>
        </row>
        <row r="12873">
          <cell r="I12873" t="str">
            <v>Crosier</v>
          </cell>
        </row>
        <row r="12874">
          <cell r="I12874" t="str">
            <v>Croley</v>
          </cell>
        </row>
        <row r="12875">
          <cell r="I12875" t="str">
            <v>Corry</v>
          </cell>
        </row>
        <row r="12876">
          <cell r="I12876" t="str">
            <v>Clinger</v>
          </cell>
        </row>
        <row r="12877">
          <cell r="I12877" t="str">
            <v>Cheshire</v>
          </cell>
        </row>
        <row r="12878">
          <cell r="I12878" t="str">
            <v>Chalker</v>
          </cell>
        </row>
        <row r="12879">
          <cell r="I12879" t="str">
            <v>Cephas</v>
          </cell>
        </row>
        <row r="12880">
          <cell r="I12880" t="str">
            <v>Caywood</v>
          </cell>
        </row>
        <row r="12881">
          <cell r="I12881" t="str">
            <v>Cavalier</v>
          </cell>
        </row>
        <row r="12882">
          <cell r="I12882" t="str">
            <v>Capehart</v>
          </cell>
        </row>
        <row r="12883">
          <cell r="I12883" t="str">
            <v>Cales</v>
          </cell>
        </row>
        <row r="12884">
          <cell r="I12884" t="str">
            <v>Cadiz</v>
          </cell>
        </row>
        <row r="12885">
          <cell r="I12885" t="str">
            <v>Bussiere</v>
          </cell>
        </row>
        <row r="12886">
          <cell r="I12886" t="str">
            <v>Burriss</v>
          </cell>
        </row>
        <row r="12887">
          <cell r="I12887" t="str">
            <v>Burkart</v>
          </cell>
        </row>
        <row r="12888">
          <cell r="I12888" t="str">
            <v>Brundidge</v>
          </cell>
        </row>
        <row r="12889">
          <cell r="I12889" t="str">
            <v>Bronstein</v>
          </cell>
        </row>
        <row r="12890">
          <cell r="I12890" t="str">
            <v>Breeze</v>
          </cell>
        </row>
        <row r="12891">
          <cell r="I12891" t="str">
            <v>Bradt</v>
          </cell>
        </row>
        <row r="12892">
          <cell r="I12892" t="str">
            <v>Boydston</v>
          </cell>
        </row>
        <row r="12893">
          <cell r="I12893" t="str">
            <v>Bostrom</v>
          </cell>
        </row>
        <row r="12894">
          <cell r="I12894" t="str">
            <v>Borel</v>
          </cell>
        </row>
        <row r="12895">
          <cell r="I12895" t="str">
            <v>Bolles</v>
          </cell>
        </row>
        <row r="12896">
          <cell r="I12896" t="str">
            <v>Blay</v>
          </cell>
        </row>
        <row r="12897">
          <cell r="I12897" t="str">
            <v>Blackwelder</v>
          </cell>
        </row>
        <row r="12898">
          <cell r="I12898" t="str">
            <v>Bissett</v>
          </cell>
        </row>
        <row r="12899">
          <cell r="I12899" t="str">
            <v>Bevers</v>
          </cell>
        </row>
        <row r="12900">
          <cell r="I12900" t="str">
            <v>Bester</v>
          </cell>
        </row>
        <row r="12901">
          <cell r="I12901" t="str">
            <v>Bernardino</v>
          </cell>
        </row>
        <row r="12902">
          <cell r="I12902" t="str">
            <v>Benefiel</v>
          </cell>
        </row>
        <row r="12903">
          <cell r="I12903" t="str">
            <v>Belote</v>
          </cell>
        </row>
        <row r="12904">
          <cell r="I12904" t="str">
            <v>Beedle</v>
          </cell>
        </row>
        <row r="12905">
          <cell r="I12905" t="str">
            <v>Beckles</v>
          </cell>
        </row>
        <row r="12906">
          <cell r="I12906" t="str">
            <v>Baysinger</v>
          </cell>
        </row>
        <row r="12907">
          <cell r="I12907" t="str">
            <v>Bassler</v>
          </cell>
        </row>
        <row r="12908">
          <cell r="I12908" t="str">
            <v>Bartee</v>
          </cell>
        </row>
        <row r="12909">
          <cell r="I12909" t="str">
            <v>Barlett</v>
          </cell>
        </row>
        <row r="12910">
          <cell r="I12910" t="str">
            <v>Bargas</v>
          </cell>
        </row>
        <row r="12911">
          <cell r="I12911" t="str">
            <v>Barefield</v>
          </cell>
        </row>
        <row r="12912">
          <cell r="I12912" t="str">
            <v>Baptista</v>
          </cell>
        </row>
        <row r="12913">
          <cell r="I12913" t="str">
            <v>Arterburn</v>
          </cell>
        </row>
        <row r="12914">
          <cell r="I12914" t="str">
            <v>Armas</v>
          </cell>
        </row>
        <row r="12915">
          <cell r="I12915" t="str">
            <v>Apperson</v>
          </cell>
        </row>
        <row r="12916">
          <cell r="I12916" t="str">
            <v>Amoroso</v>
          </cell>
        </row>
        <row r="12917">
          <cell r="I12917" t="str">
            <v>Amedee</v>
          </cell>
        </row>
        <row r="12918">
          <cell r="I12918" t="str">
            <v>Zullo</v>
          </cell>
        </row>
        <row r="12919">
          <cell r="I12919" t="str">
            <v>Zellner</v>
          </cell>
        </row>
        <row r="12920">
          <cell r="I12920" t="str">
            <v>Yelton</v>
          </cell>
        </row>
        <row r="12921">
          <cell r="I12921" t="str">
            <v>Willems</v>
          </cell>
        </row>
        <row r="12922">
          <cell r="I12922" t="str">
            <v>Wilkin</v>
          </cell>
        </row>
        <row r="12923">
          <cell r="I12923" t="str">
            <v>Wiggin</v>
          </cell>
        </row>
        <row r="12924">
          <cell r="I12924" t="str">
            <v>Widman</v>
          </cell>
        </row>
        <row r="12925">
          <cell r="I12925" t="str">
            <v>Welk</v>
          </cell>
        </row>
        <row r="12926">
          <cell r="I12926" t="str">
            <v>Weingarten</v>
          </cell>
        </row>
        <row r="12927">
          <cell r="I12927" t="str">
            <v>Walla</v>
          </cell>
        </row>
        <row r="12928">
          <cell r="I12928" t="str">
            <v>Viers</v>
          </cell>
        </row>
        <row r="12929">
          <cell r="I12929" t="str">
            <v>Vess</v>
          </cell>
        </row>
        <row r="12930">
          <cell r="I12930" t="str">
            <v>Verdi</v>
          </cell>
        </row>
        <row r="12931">
          <cell r="I12931" t="str">
            <v>Veazey</v>
          </cell>
        </row>
        <row r="12932">
          <cell r="I12932" t="str">
            <v>Vannote</v>
          </cell>
        </row>
        <row r="12933">
          <cell r="I12933" t="str">
            <v>Tullos</v>
          </cell>
        </row>
        <row r="12934">
          <cell r="I12934" t="str">
            <v>Trudell</v>
          </cell>
        </row>
        <row r="12935">
          <cell r="I12935" t="str">
            <v>Trower</v>
          </cell>
        </row>
        <row r="12936">
          <cell r="I12936" t="str">
            <v>Trosper</v>
          </cell>
        </row>
        <row r="12937">
          <cell r="I12937" t="str">
            <v>Trimm</v>
          </cell>
        </row>
        <row r="12938">
          <cell r="I12938" t="str">
            <v>Trew</v>
          </cell>
        </row>
        <row r="12939">
          <cell r="I12939" t="str">
            <v>Tousignant</v>
          </cell>
        </row>
        <row r="12940">
          <cell r="I12940" t="str">
            <v>Topp</v>
          </cell>
        </row>
        <row r="12941">
          <cell r="I12941" t="str">
            <v>Tocco</v>
          </cell>
        </row>
        <row r="12942">
          <cell r="I12942" t="str">
            <v>Thoreson</v>
          </cell>
        </row>
        <row r="12943">
          <cell r="I12943" t="str">
            <v>Terhune</v>
          </cell>
        </row>
        <row r="12944">
          <cell r="I12944" t="str">
            <v>Tatom</v>
          </cell>
        </row>
        <row r="12945">
          <cell r="I12945" t="str">
            <v>Suniga</v>
          </cell>
        </row>
        <row r="12946">
          <cell r="I12946" t="str">
            <v>Sumter</v>
          </cell>
        </row>
        <row r="12947">
          <cell r="I12947" t="str">
            <v>Steeves</v>
          </cell>
        </row>
        <row r="12948">
          <cell r="I12948" t="str">
            <v>Stansell</v>
          </cell>
        </row>
        <row r="12949">
          <cell r="I12949" t="str">
            <v>Soltis</v>
          </cell>
        </row>
        <row r="12950">
          <cell r="I12950" t="str">
            <v>Sloss</v>
          </cell>
        </row>
        <row r="12951">
          <cell r="I12951" t="str">
            <v>Slaven</v>
          </cell>
        </row>
        <row r="12952">
          <cell r="I12952" t="str">
            <v>Sing</v>
          </cell>
        </row>
        <row r="12953">
          <cell r="I12953" t="str">
            <v>Shisler</v>
          </cell>
        </row>
        <row r="12954">
          <cell r="I12954" t="str">
            <v>Sheriff</v>
          </cell>
        </row>
        <row r="12955">
          <cell r="I12955" t="str">
            <v>Shanley</v>
          </cell>
        </row>
        <row r="12956">
          <cell r="I12956" t="str">
            <v>Servantes</v>
          </cell>
        </row>
        <row r="12957">
          <cell r="I12957" t="str">
            <v>Selders</v>
          </cell>
        </row>
        <row r="12958">
          <cell r="I12958" t="str">
            <v>Segrest</v>
          </cell>
        </row>
        <row r="12959">
          <cell r="I12959" t="str">
            <v>Seese</v>
          </cell>
        </row>
        <row r="12960">
          <cell r="I12960" t="str">
            <v>Seeber</v>
          </cell>
        </row>
        <row r="12961">
          <cell r="I12961" t="str">
            <v>Schaible</v>
          </cell>
        </row>
        <row r="12962">
          <cell r="I12962" t="str">
            <v>Savala</v>
          </cell>
        </row>
        <row r="12963">
          <cell r="I12963" t="str">
            <v>Sartor</v>
          </cell>
        </row>
        <row r="12964">
          <cell r="I12964" t="str">
            <v>Rutt</v>
          </cell>
        </row>
        <row r="12965">
          <cell r="I12965" t="str">
            <v>Rumbaugh</v>
          </cell>
        </row>
        <row r="12966">
          <cell r="I12966" t="str">
            <v>Ruis</v>
          </cell>
        </row>
        <row r="12967">
          <cell r="I12967" t="str">
            <v>Roten</v>
          </cell>
        </row>
        <row r="12968">
          <cell r="I12968" t="str">
            <v>Roessler</v>
          </cell>
        </row>
        <row r="12969">
          <cell r="I12969" t="str">
            <v>Ritenour</v>
          </cell>
        </row>
        <row r="12970">
          <cell r="I12970" t="str">
            <v>Riney</v>
          </cell>
        </row>
        <row r="12971">
          <cell r="I12971" t="str">
            <v>Restivo</v>
          </cell>
        </row>
        <row r="12972">
          <cell r="I12972" t="str">
            <v>Rene</v>
          </cell>
        </row>
        <row r="12973">
          <cell r="I12973" t="str">
            <v>Renard</v>
          </cell>
        </row>
        <row r="12974">
          <cell r="I12974" t="str">
            <v>Rakestraw</v>
          </cell>
        </row>
        <row r="12975">
          <cell r="I12975" t="str">
            <v>Rake</v>
          </cell>
        </row>
        <row r="12976">
          <cell r="I12976" t="str">
            <v>Rachal</v>
          </cell>
        </row>
        <row r="12977">
          <cell r="I12977" t="str">
            <v>Quiros</v>
          </cell>
        </row>
        <row r="12978">
          <cell r="I12978" t="str">
            <v>Pullin</v>
          </cell>
        </row>
        <row r="12979">
          <cell r="I12979" t="str">
            <v>Prudhomme</v>
          </cell>
        </row>
        <row r="12980">
          <cell r="I12980" t="str">
            <v>Primeaux</v>
          </cell>
        </row>
        <row r="12981">
          <cell r="I12981" t="str">
            <v>Prestridge</v>
          </cell>
        </row>
        <row r="12982">
          <cell r="I12982" t="str">
            <v>Presswood</v>
          </cell>
        </row>
        <row r="12983">
          <cell r="I12983" t="str">
            <v>Ponte</v>
          </cell>
        </row>
        <row r="12984">
          <cell r="I12984" t="str">
            <v>Polzin</v>
          </cell>
        </row>
        <row r="12985">
          <cell r="I12985" t="str">
            <v>Poarch</v>
          </cell>
        </row>
        <row r="12986">
          <cell r="I12986" t="str">
            <v>Pittenger</v>
          </cell>
        </row>
        <row r="12987">
          <cell r="I12987" t="str">
            <v>Piggott</v>
          </cell>
        </row>
        <row r="12988">
          <cell r="I12988" t="str">
            <v>Pickell</v>
          </cell>
        </row>
        <row r="12989">
          <cell r="I12989" t="str">
            <v>Phaneuf</v>
          </cell>
        </row>
        <row r="12990">
          <cell r="I12990" t="str">
            <v>Parvin</v>
          </cell>
        </row>
        <row r="12991">
          <cell r="I12991" t="str">
            <v>Parmley</v>
          </cell>
        </row>
        <row r="12992">
          <cell r="I12992" t="str">
            <v>Palmeri</v>
          </cell>
        </row>
        <row r="12993">
          <cell r="I12993" t="str">
            <v>Paisley</v>
          </cell>
        </row>
        <row r="12994">
          <cell r="I12994" t="str">
            <v>Ozment</v>
          </cell>
        </row>
        <row r="12995">
          <cell r="I12995" t="str">
            <v>Ormond</v>
          </cell>
        </row>
        <row r="12996">
          <cell r="I12996" t="str">
            <v>Ordaz</v>
          </cell>
        </row>
        <row r="12997">
          <cell r="I12997" t="str">
            <v>Ono</v>
          </cell>
        </row>
        <row r="12998">
          <cell r="I12998" t="str">
            <v>Olea</v>
          </cell>
        </row>
        <row r="12999">
          <cell r="I12999" t="str">
            <v>Obanion</v>
          </cell>
        </row>
        <row r="13000">
          <cell r="I13000" t="str">
            <v>Oakman</v>
          </cell>
        </row>
        <row r="13001">
          <cell r="I13001" t="str">
            <v>Novick</v>
          </cell>
        </row>
        <row r="13002">
          <cell r="I13002" t="str">
            <v>Nicklas</v>
          </cell>
        </row>
        <row r="13003">
          <cell r="I13003" t="str">
            <v>Nemec</v>
          </cell>
        </row>
        <row r="13004">
          <cell r="I13004" t="str">
            <v>Nappi</v>
          </cell>
        </row>
        <row r="13005">
          <cell r="I13005" t="str">
            <v>Mund</v>
          </cell>
        </row>
        <row r="13006">
          <cell r="I13006" t="str">
            <v>Morfin</v>
          </cell>
        </row>
        <row r="13007">
          <cell r="I13007" t="str">
            <v>Mera</v>
          </cell>
        </row>
        <row r="13008">
          <cell r="I13008" t="str">
            <v>Melgoza</v>
          </cell>
        </row>
        <row r="13009">
          <cell r="I13009" t="str">
            <v>Melby</v>
          </cell>
        </row>
        <row r="13010">
          <cell r="I13010" t="str">
            <v>Mcgoldrick</v>
          </cell>
        </row>
        <row r="13011">
          <cell r="I13011" t="str">
            <v>Mcelwain</v>
          </cell>
        </row>
        <row r="13012">
          <cell r="I13012" t="str">
            <v>Mcchristian</v>
          </cell>
        </row>
        <row r="13013">
          <cell r="I13013" t="str">
            <v>Mccaw</v>
          </cell>
        </row>
        <row r="13014">
          <cell r="I13014" t="str">
            <v>Marquart</v>
          </cell>
        </row>
        <row r="13015">
          <cell r="I13015" t="str">
            <v>Marlatt</v>
          </cell>
        </row>
        <row r="13016">
          <cell r="I13016" t="str">
            <v>Markovich</v>
          </cell>
        </row>
        <row r="13017">
          <cell r="I13017" t="str">
            <v>Mahr</v>
          </cell>
        </row>
        <row r="13018">
          <cell r="I13018" t="str">
            <v>Lupton</v>
          </cell>
        </row>
        <row r="13019">
          <cell r="I13019" t="str">
            <v>Lucus</v>
          </cell>
        </row>
        <row r="13020">
          <cell r="I13020" t="str">
            <v>Lorusso</v>
          </cell>
        </row>
        <row r="13021">
          <cell r="I13021" t="str">
            <v>Lerman</v>
          </cell>
        </row>
        <row r="13022">
          <cell r="I13022" t="str">
            <v>Leddy</v>
          </cell>
        </row>
        <row r="13023">
          <cell r="I13023" t="str">
            <v>Leaman</v>
          </cell>
        </row>
        <row r="13024">
          <cell r="I13024" t="str">
            <v>Leachman</v>
          </cell>
        </row>
        <row r="13025">
          <cell r="I13025" t="str">
            <v>Lavalle</v>
          </cell>
        </row>
        <row r="13026">
          <cell r="I13026" t="str">
            <v>Laduke</v>
          </cell>
        </row>
        <row r="13027">
          <cell r="I13027" t="str">
            <v>Kummer</v>
          </cell>
        </row>
        <row r="13028">
          <cell r="I13028" t="str">
            <v>Koury</v>
          </cell>
        </row>
        <row r="13029">
          <cell r="I13029" t="str">
            <v>Konopka</v>
          </cell>
        </row>
        <row r="13030">
          <cell r="I13030" t="str">
            <v>Koh</v>
          </cell>
        </row>
        <row r="13031">
          <cell r="I13031" t="str">
            <v>Koepp</v>
          </cell>
        </row>
        <row r="13032">
          <cell r="I13032" t="str">
            <v>Kloss</v>
          </cell>
        </row>
        <row r="13033">
          <cell r="I13033" t="str">
            <v>Klock</v>
          </cell>
        </row>
        <row r="13034">
          <cell r="I13034" t="str">
            <v>Khalil</v>
          </cell>
        </row>
        <row r="13035">
          <cell r="I13035" t="str">
            <v>Kernan</v>
          </cell>
        </row>
        <row r="13036">
          <cell r="I13036" t="str">
            <v>Kappel</v>
          </cell>
        </row>
        <row r="13037">
          <cell r="I13037" t="str">
            <v>Jakes</v>
          </cell>
        </row>
        <row r="13038">
          <cell r="I13038" t="str">
            <v>Inoue</v>
          </cell>
        </row>
        <row r="13039">
          <cell r="I13039" t="str">
            <v>Hutsell</v>
          </cell>
        </row>
        <row r="13040">
          <cell r="I13040" t="str">
            <v>Howle</v>
          </cell>
        </row>
        <row r="13041">
          <cell r="I13041" t="str">
            <v>Honore</v>
          </cell>
        </row>
        <row r="13042">
          <cell r="I13042" t="str">
            <v>Hole</v>
          </cell>
        </row>
        <row r="13043">
          <cell r="I13043" t="str">
            <v>Hockman</v>
          </cell>
        </row>
        <row r="13044">
          <cell r="I13044" t="str">
            <v>Hockaday</v>
          </cell>
        </row>
        <row r="13045">
          <cell r="I13045" t="str">
            <v>Hiltz</v>
          </cell>
        </row>
        <row r="13046">
          <cell r="I13046" t="str">
            <v>Hetherington</v>
          </cell>
        </row>
        <row r="13047">
          <cell r="I13047" t="str">
            <v>Hesser</v>
          </cell>
        </row>
        <row r="13048">
          <cell r="I13048" t="str">
            <v>Hershman</v>
          </cell>
        </row>
        <row r="13049">
          <cell r="I13049" t="str">
            <v>Heng</v>
          </cell>
        </row>
        <row r="13050">
          <cell r="I13050" t="str">
            <v>Heffron</v>
          </cell>
        </row>
        <row r="13051">
          <cell r="I13051" t="str">
            <v>Headen</v>
          </cell>
        </row>
        <row r="13052">
          <cell r="I13052" t="str">
            <v>Haskett</v>
          </cell>
        </row>
        <row r="13053">
          <cell r="I13053" t="str">
            <v>Hartline</v>
          </cell>
        </row>
        <row r="13054">
          <cell r="I13054" t="str">
            <v>Harned</v>
          </cell>
        </row>
        <row r="13055">
          <cell r="I13055" t="str">
            <v>Guillemette</v>
          </cell>
        </row>
        <row r="13056">
          <cell r="I13056" t="str">
            <v>Guglielmo</v>
          </cell>
        </row>
        <row r="13057">
          <cell r="I13057" t="str">
            <v>Guercio</v>
          </cell>
        </row>
        <row r="13058">
          <cell r="I13058" t="str">
            <v>Greenbaum</v>
          </cell>
        </row>
        <row r="13059">
          <cell r="I13059" t="str">
            <v>Goris</v>
          </cell>
        </row>
        <row r="13060">
          <cell r="I13060" t="str">
            <v>Glines</v>
          </cell>
        </row>
        <row r="13061">
          <cell r="I13061" t="str">
            <v>Gilmour</v>
          </cell>
        </row>
        <row r="13062">
          <cell r="I13062" t="str">
            <v>Gardella</v>
          </cell>
        </row>
        <row r="13063">
          <cell r="I13063" t="str">
            <v>Gadd</v>
          </cell>
        </row>
        <row r="13064">
          <cell r="I13064" t="str">
            <v>Gabler</v>
          </cell>
        </row>
        <row r="13065">
          <cell r="I13065" t="str">
            <v>Gabbert</v>
          </cell>
        </row>
        <row r="13066">
          <cell r="I13066" t="str">
            <v>Fuselier</v>
          </cell>
        </row>
        <row r="13067">
          <cell r="I13067" t="str">
            <v>Freudenburg</v>
          </cell>
        </row>
        <row r="13068">
          <cell r="I13068" t="str">
            <v>Fragoso</v>
          </cell>
        </row>
        <row r="13069">
          <cell r="I13069" t="str">
            <v>Follis</v>
          </cell>
        </row>
        <row r="13070">
          <cell r="I13070" t="str">
            <v>Flemings</v>
          </cell>
        </row>
        <row r="13071">
          <cell r="I13071" t="str">
            <v>Feltman</v>
          </cell>
        </row>
        <row r="13072">
          <cell r="I13072" t="str">
            <v>Febus</v>
          </cell>
        </row>
        <row r="13073">
          <cell r="I13073" t="str">
            <v>Farren</v>
          </cell>
        </row>
        <row r="13074">
          <cell r="I13074" t="str">
            <v>Fallis</v>
          </cell>
        </row>
        <row r="13075">
          <cell r="I13075" t="str">
            <v>Evert</v>
          </cell>
        </row>
        <row r="13076">
          <cell r="I13076" t="str">
            <v>Ekstrom</v>
          </cell>
        </row>
        <row r="13077">
          <cell r="I13077" t="str">
            <v>Eastridge</v>
          </cell>
        </row>
        <row r="13078">
          <cell r="I13078" t="str">
            <v>Dyck</v>
          </cell>
        </row>
        <row r="13079">
          <cell r="I13079" t="str">
            <v>Dufault</v>
          </cell>
        </row>
        <row r="13080">
          <cell r="I13080" t="str">
            <v>Dubreuil</v>
          </cell>
        </row>
        <row r="13081">
          <cell r="I13081" t="str">
            <v>Dresser</v>
          </cell>
        </row>
        <row r="13082">
          <cell r="I13082" t="str">
            <v>Drapeau</v>
          </cell>
        </row>
        <row r="13083">
          <cell r="I13083" t="str">
            <v>Domingues</v>
          </cell>
        </row>
        <row r="13084">
          <cell r="I13084" t="str">
            <v>Dolezal</v>
          </cell>
        </row>
        <row r="13085">
          <cell r="I13085" t="str">
            <v>Dinkel</v>
          </cell>
        </row>
        <row r="13086">
          <cell r="I13086" t="str">
            <v>Didonato</v>
          </cell>
        </row>
        <row r="13087">
          <cell r="I13087" t="str">
            <v>Devitt</v>
          </cell>
        </row>
        <row r="13088">
          <cell r="I13088" t="str">
            <v>Devane</v>
          </cell>
        </row>
        <row r="13089">
          <cell r="I13089" t="str">
            <v>Demott</v>
          </cell>
        </row>
        <row r="13090">
          <cell r="I13090" t="str">
            <v>Daughtrey</v>
          </cell>
        </row>
        <row r="13091">
          <cell r="I13091" t="str">
            <v>Daubert</v>
          </cell>
        </row>
        <row r="13092">
          <cell r="I13092" t="str">
            <v>Das</v>
          </cell>
        </row>
        <row r="13093">
          <cell r="I13093" t="str">
            <v>Darrell</v>
          </cell>
        </row>
        <row r="13094">
          <cell r="I13094" t="str">
            <v>Creason</v>
          </cell>
        </row>
        <row r="13095">
          <cell r="I13095" t="str">
            <v>Crary</v>
          </cell>
        </row>
        <row r="13096">
          <cell r="I13096" t="str">
            <v>Costilla</v>
          </cell>
        </row>
        <row r="13097">
          <cell r="I13097" t="str">
            <v>Chipps</v>
          </cell>
        </row>
        <row r="13098">
          <cell r="I13098" t="str">
            <v>Cheatwood</v>
          </cell>
        </row>
        <row r="13099">
          <cell r="I13099" t="str">
            <v>Carmean</v>
          </cell>
        </row>
        <row r="13100">
          <cell r="I13100" t="str">
            <v>Canton</v>
          </cell>
        </row>
        <row r="13101">
          <cell r="I13101" t="str">
            <v>Caffrey</v>
          </cell>
        </row>
        <row r="13102">
          <cell r="I13102" t="str">
            <v>Burgher</v>
          </cell>
        </row>
        <row r="13103">
          <cell r="I13103" t="str">
            <v>Buker</v>
          </cell>
        </row>
        <row r="13104">
          <cell r="I13104" t="str">
            <v>Brunk</v>
          </cell>
        </row>
        <row r="13105">
          <cell r="I13105" t="str">
            <v>Brodbeck</v>
          </cell>
        </row>
        <row r="13106">
          <cell r="I13106" t="str">
            <v>Brantner</v>
          </cell>
        </row>
        <row r="13107">
          <cell r="I13107" t="str">
            <v>Brandy</v>
          </cell>
        </row>
        <row r="13108">
          <cell r="I13108" t="str">
            <v>Bolivar</v>
          </cell>
        </row>
        <row r="13109">
          <cell r="I13109" t="str">
            <v>Boerner</v>
          </cell>
        </row>
        <row r="13110">
          <cell r="I13110" t="str">
            <v>Bodkin</v>
          </cell>
        </row>
        <row r="13111">
          <cell r="I13111" t="str">
            <v>Biel</v>
          </cell>
        </row>
        <row r="13112">
          <cell r="I13112" t="str">
            <v>Betty</v>
          </cell>
        </row>
        <row r="13113">
          <cell r="I13113" t="str">
            <v>Bencomo</v>
          </cell>
        </row>
        <row r="13114">
          <cell r="I13114" t="str">
            <v>Bellino</v>
          </cell>
        </row>
        <row r="13115">
          <cell r="I13115" t="str">
            <v>Beliveau</v>
          </cell>
        </row>
        <row r="13116">
          <cell r="I13116" t="str">
            <v>Beauvais</v>
          </cell>
        </row>
        <row r="13117">
          <cell r="I13117" t="str">
            <v>Beaupre</v>
          </cell>
        </row>
        <row r="13118">
          <cell r="I13118" t="str">
            <v>Baylis</v>
          </cell>
        </row>
        <row r="13119">
          <cell r="I13119" t="str">
            <v>Baskett</v>
          </cell>
        </row>
        <row r="13120">
          <cell r="I13120" t="str">
            <v>Barcus</v>
          </cell>
        </row>
        <row r="13121">
          <cell r="I13121" t="str">
            <v>Barbera</v>
          </cell>
        </row>
        <row r="13122">
          <cell r="I13122" t="str">
            <v>Baltz</v>
          </cell>
        </row>
        <row r="13123">
          <cell r="I13123" t="str">
            <v>Asay</v>
          </cell>
        </row>
        <row r="13124">
          <cell r="I13124" t="str">
            <v>Arney</v>
          </cell>
        </row>
        <row r="13125">
          <cell r="I13125" t="str">
            <v>Arcuri</v>
          </cell>
        </row>
        <row r="13126">
          <cell r="I13126" t="str">
            <v>Ankney</v>
          </cell>
        </row>
        <row r="13127">
          <cell r="I13127" t="str">
            <v>Agostini</v>
          </cell>
        </row>
        <row r="13128">
          <cell r="I13128" t="str">
            <v>Addy</v>
          </cell>
        </row>
        <row r="13129">
          <cell r="I13129" t="str">
            <v>Zwilling</v>
          </cell>
        </row>
        <row r="13130">
          <cell r="I13130" t="str">
            <v>Zubia</v>
          </cell>
        </row>
        <row r="13131">
          <cell r="I13131" t="str">
            <v>Zollinger</v>
          </cell>
        </row>
        <row r="13132">
          <cell r="I13132" t="str">
            <v>Zeitz</v>
          </cell>
        </row>
        <row r="13133">
          <cell r="I13133" t="str">
            <v>Yard</v>
          </cell>
        </row>
        <row r="13134">
          <cell r="I13134" t="str">
            <v>Yanes</v>
          </cell>
        </row>
        <row r="13135">
          <cell r="I13135" t="str">
            <v>Winship</v>
          </cell>
        </row>
        <row r="13136">
          <cell r="I13136" t="str">
            <v>Winningham</v>
          </cell>
        </row>
        <row r="13137">
          <cell r="I13137" t="str">
            <v>Wickline</v>
          </cell>
        </row>
        <row r="13138">
          <cell r="I13138" t="str">
            <v>Webre</v>
          </cell>
        </row>
        <row r="13139">
          <cell r="I13139" t="str">
            <v>Waddington</v>
          </cell>
        </row>
        <row r="13140">
          <cell r="I13140" t="str">
            <v>Vosburgh</v>
          </cell>
        </row>
        <row r="13141">
          <cell r="I13141" t="str">
            <v>Vessels</v>
          </cell>
        </row>
        <row r="13142">
          <cell r="I13142" t="str">
            <v>Verrett</v>
          </cell>
        </row>
        <row r="13143">
          <cell r="I13143" t="str">
            <v>Vedder</v>
          </cell>
        </row>
        <row r="13144">
          <cell r="I13144" t="str">
            <v>Varnum</v>
          </cell>
        </row>
        <row r="13145">
          <cell r="I13145" t="str">
            <v>Vandeventer</v>
          </cell>
        </row>
        <row r="13146">
          <cell r="I13146" t="str">
            <v>Vacca</v>
          </cell>
        </row>
        <row r="13147">
          <cell r="I13147" t="str">
            <v>Usry</v>
          </cell>
        </row>
        <row r="13148">
          <cell r="I13148" t="str">
            <v>Towry</v>
          </cell>
        </row>
        <row r="13149">
          <cell r="I13149" t="str">
            <v>Touchet</v>
          </cell>
        </row>
        <row r="13150">
          <cell r="I13150" t="str">
            <v>Tookes</v>
          </cell>
        </row>
        <row r="13151">
          <cell r="I13151" t="str">
            <v>Tonkin</v>
          </cell>
        </row>
        <row r="13152">
          <cell r="I13152" t="str">
            <v>Timko</v>
          </cell>
        </row>
        <row r="13153">
          <cell r="I13153" t="str">
            <v>Tibbitts</v>
          </cell>
        </row>
        <row r="13154">
          <cell r="I13154" t="str">
            <v>Thedford</v>
          </cell>
        </row>
        <row r="13155">
          <cell r="I13155" t="str">
            <v>Tarleton</v>
          </cell>
        </row>
        <row r="13156">
          <cell r="I13156" t="str">
            <v>Talty</v>
          </cell>
        </row>
        <row r="13157">
          <cell r="I13157" t="str">
            <v>Talamantez</v>
          </cell>
        </row>
        <row r="13158">
          <cell r="I13158" t="str">
            <v>Tafolla</v>
          </cell>
        </row>
        <row r="13159">
          <cell r="I13159" t="str">
            <v>Sugg</v>
          </cell>
        </row>
        <row r="13160">
          <cell r="I13160" t="str">
            <v>Strecker</v>
          </cell>
        </row>
        <row r="13161">
          <cell r="I13161" t="str">
            <v>Stirling</v>
          </cell>
        </row>
        <row r="13162">
          <cell r="I13162" t="str">
            <v>Steffan</v>
          </cell>
        </row>
        <row r="13163">
          <cell r="I13163" t="str">
            <v>Spiva</v>
          </cell>
        </row>
        <row r="13164">
          <cell r="I13164" t="str">
            <v>Slape</v>
          </cell>
        </row>
        <row r="13165">
          <cell r="I13165" t="str">
            <v>Siemens</v>
          </cell>
        </row>
        <row r="13166">
          <cell r="I13166" t="str">
            <v>Shatzer</v>
          </cell>
        </row>
        <row r="13167">
          <cell r="I13167" t="str">
            <v>Seyler</v>
          </cell>
        </row>
        <row r="13168">
          <cell r="I13168" t="str">
            <v>Seamans</v>
          </cell>
        </row>
        <row r="13169">
          <cell r="I13169" t="str">
            <v>Schmaltz</v>
          </cell>
        </row>
        <row r="13170">
          <cell r="I13170" t="str">
            <v>Schipper</v>
          </cell>
        </row>
        <row r="13171">
          <cell r="I13171" t="str">
            <v>Sasso</v>
          </cell>
        </row>
        <row r="13172">
          <cell r="I13172" t="str">
            <v>Sailor</v>
          </cell>
        </row>
        <row r="13173">
          <cell r="I13173" t="str">
            <v>Ruppe</v>
          </cell>
        </row>
        <row r="13174">
          <cell r="I13174" t="str">
            <v>Runner</v>
          </cell>
        </row>
        <row r="13175">
          <cell r="I13175" t="str">
            <v>Royals</v>
          </cell>
        </row>
        <row r="13176">
          <cell r="I13176" t="str">
            <v>Roudebush</v>
          </cell>
        </row>
        <row r="13177">
          <cell r="I13177" t="str">
            <v>Ripple</v>
          </cell>
        </row>
        <row r="13178">
          <cell r="I13178" t="str">
            <v>Riemer</v>
          </cell>
        </row>
        <row r="13179">
          <cell r="I13179" t="str">
            <v>Richarson</v>
          </cell>
        </row>
        <row r="13180">
          <cell r="I13180" t="str">
            <v>Revilla</v>
          </cell>
        </row>
        <row r="13181">
          <cell r="I13181" t="str">
            <v>Reichenbach</v>
          </cell>
        </row>
        <row r="13182">
          <cell r="I13182" t="str">
            <v>Ratley</v>
          </cell>
        </row>
        <row r="13183">
          <cell r="I13183" t="str">
            <v>Railsback</v>
          </cell>
        </row>
        <row r="13184">
          <cell r="I13184" t="str">
            <v>Quayle</v>
          </cell>
        </row>
        <row r="13185">
          <cell r="I13185" t="str">
            <v>Poplin</v>
          </cell>
        </row>
        <row r="13186">
          <cell r="I13186" t="str">
            <v>Poorman</v>
          </cell>
        </row>
        <row r="13187">
          <cell r="I13187" t="str">
            <v>Ponton</v>
          </cell>
        </row>
        <row r="13188">
          <cell r="I13188" t="str">
            <v>Polo</v>
          </cell>
        </row>
        <row r="13189">
          <cell r="I13189" t="str">
            <v>Pollitt</v>
          </cell>
        </row>
        <row r="13190">
          <cell r="I13190" t="str">
            <v>Poitras</v>
          </cell>
        </row>
        <row r="13191">
          <cell r="I13191" t="str">
            <v>Piscitelli</v>
          </cell>
        </row>
        <row r="13192">
          <cell r="I13192" t="str">
            <v>Piedra</v>
          </cell>
        </row>
        <row r="13193">
          <cell r="I13193" t="str">
            <v>Pickles</v>
          </cell>
        </row>
        <row r="13194">
          <cell r="I13194" t="str">
            <v>Pew</v>
          </cell>
        </row>
        <row r="13195">
          <cell r="I13195" t="str">
            <v>Perera</v>
          </cell>
        </row>
        <row r="13196">
          <cell r="I13196" t="str">
            <v>People</v>
          </cell>
        </row>
        <row r="13197">
          <cell r="I13197" t="str">
            <v>Penwell</v>
          </cell>
        </row>
        <row r="13198">
          <cell r="I13198" t="str">
            <v>Pelt</v>
          </cell>
        </row>
        <row r="13199">
          <cell r="I13199" t="str">
            <v>Pauline</v>
          </cell>
        </row>
        <row r="13200">
          <cell r="I13200" t="str">
            <v>Parkhill</v>
          </cell>
        </row>
        <row r="13201">
          <cell r="I13201" t="str">
            <v>Paladino</v>
          </cell>
        </row>
        <row r="13202">
          <cell r="I13202" t="str">
            <v>Ore</v>
          </cell>
        </row>
        <row r="13203">
          <cell r="I13203" t="str">
            <v>Oram</v>
          </cell>
        </row>
        <row r="13204">
          <cell r="I13204" t="str">
            <v>Olmo</v>
          </cell>
        </row>
        <row r="13205">
          <cell r="I13205" t="str">
            <v>Oliveras</v>
          </cell>
        </row>
        <row r="13206">
          <cell r="I13206" t="str">
            <v>Olivarria</v>
          </cell>
        </row>
        <row r="13207">
          <cell r="I13207" t="str">
            <v>Ogorman</v>
          </cell>
        </row>
        <row r="13208">
          <cell r="I13208" t="str">
            <v>Near</v>
          </cell>
        </row>
        <row r="13209">
          <cell r="I13209" t="str">
            <v>Naron</v>
          </cell>
        </row>
        <row r="13210">
          <cell r="I13210" t="str">
            <v>Na</v>
          </cell>
        </row>
        <row r="13211">
          <cell r="I13211" t="str">
            <v>Muncie</v>
          </cell>
        </row>
        <row r="13212">
          <cell r="I13212" t="str">
            <v>Mowbray</v>
          </cell>
        </row>
        <row r="13213">
          <cell r="I13213" t="str">
            <v>Morones</v>
          </cell>
        </row>
        <row r="13214">
          <cell r="I13214" t="str">
            <v>Moretti</v>
          </cell>
        </row>
        <row r="13215">
          <cell r="I13215" t="str">
            <v>Monn</v>
          </cell>
        </row>
        <row r="13216">
          <cell r="I13216" t="str">
            <v>Mitts</v>
          </cell>
        </row>
        <row r="13217">
          <cell r="I13217" t="str">
            <v>Minks</v>
          </cell>
        </row>
        <row r="13218">
          <cell r="I13218" t="str">
            <v>Minarik</v>
          </cell>
        </row>
        <row r="13219">
          <cell r="I13219" t="str">
            <v>Mimms</v>
          </cell>
        </row>
        <row r="13220">
          <cell r="I13220" t="str">
            <v>Milliron</v>
          </cell>
        </row>
        <row r="13221">
          <cell r="I13221" t="str">
            <v>Millington</v>
          </cell>
        </row>
        <row r="13222">
          <cell r="I13222" t="str">
            <v>Millhouse</v>
          </cell>
        </row>
        <row r="13223">
          <cell r="I13223" t="str">
            <v>Messersmith</v>
          </cell>
        </row>
        <row r="13224">
          <cell r="I13224" t="str">
            <v>Mcnett</v>
          </cell>
        </row>
        <row r="13225">
          <cell r="I13225" t="str">
            <v>Mckinstry</v>
          </cell>
        </row>
        <row r="13226">
          <cell r="I13226" t="str">
            <v>Mcgeorge</v>
          </cell>
        </row>
        <row r="13227">
          <cell r="I13227" t="str">
            <v>Mcdill</v>
          </cell>
        </row>
        <row r="13228">
          <cell r="I13228" t="str">
            <v>Mcateer</v>
          </cell>
        </row>
        <row r="13229">
          <cell r="I13229" t="str">
            <v>Mazzeo</v>
          </cell>
        </row>
        <row r="13230">
          <cell r="I13230" t="str">
            <v>Matchett</v>
          </cell>
        </row>
        <row r="13231">
          <cell r="I13231" t="str">
            <v>Mahood</v>
          </cell>
        </row>
        <row r="13232">
          <cell r="I13232" t="str">
            <v>Mabery</v>
          </cell>
        </row>
        <row r="13233">
          <cell r="I13233" t="str">
            <v>Lundell</v>
          </cell>
        </row>
        <row r="13234">
          <cell r="I13234" t="str">
            <v>Louden</v>
          </cell>
        </row>
        <row r="13235">
          <cell r="I13235" t="str">
            <v>Losoya</v>
          </cell>
        </row>
        <row r="13236">
          <cell r="I13236" t="str">
            <v>Lisk</v>
          </cell>
        </row>
        <row r="13237">
          <cell r="I13237" t="str">
            <v>Lezama</v>
          </cell>
        </row>
        <row r="13238">
          <cell r="I13238" t="str">
            <v>Leib</v>
          </cell>
        </row>
        <row r="13239">
          <cell r="I13239" t="str">
            <v>Lebo</v>
          </cell>
        </row>
        <row r="13240">
          <cell r="I13240" t="str">
            <v>Lanoue</v>
          </cell>
        </row>
        <row r="13241">
          <cell r="I13241" t="str">
            <v>Lanford</v>
          </cell>
        </row>
        <row r="13242">
          <cell r="I13242" t="str">
            <v>Lafortune</v>
          </cell>
        </row>
        <row r="13243">
          <cell r="I13243" t="str">
            <v>Kump</v>
          </cell>
        </row>
        <row r="13244">
          <cell r="I13244" t="str">
            <v>Krone</v>
          </cell>
        </row>
        <row r="13245">
          <cell r="I13245" t="str">
            <v>Kreps</v>
          </cell>
        </row>
        <row r="13246">
          <cell r="I13246" t="str">
            <v>Kott</v>
          </cell>
        </row>
        <row r="13247">
          <cell r="I13247" t="str">
            <v>Kopecky</v>
          </cell>
        </row>
        <row r="13248">
          <cell r="I13248" t="str">
            <v>Kolodziej</v>
          </cell>
        </row>
        <row r="13249">
          <cell r="I13249" t="str">
            <v>Knuckles</v>
          </cell>
        </row>
        <row r="13250">
          <cell r="I13250" t="str">
            <v>Kinman</v>
          </cell>
        </row>
        <row r="13251">
          <cell r="I13251" t="str">
            <v>Kimmons</v>
          </cell>
        </row>
        <row r="13252">
          <cell r="I13252" t="str">
            <v>Kelty</v>
          </cell>
        </row>
        <row r="13253">
          <cell r="I13253" t="str">
            <v>Kaster</v>
          </cell>
        </row>
        <row r="13254">
          <cell r="I13254" t="str">
            <v>Karlson</v>
          </cell>
        </row>
        <row r="13255">
          <cell r="I13255" t="str">
            <v>Kania</v>
          </cell>
        </row>
        <row r="13256">
          <cell r="I13256" t="str">
            <v>Jules</v>
          </cell>
        </row>
        <row r="13257">
          <cell r="I13257" t="str">
            <v>Joyal</v>
          </cell>
        </row>
        <row r="13258">
          <cell r="I13258" t="str">
            <v>Job</v>
          </cell>
        </row>
        <row r="13259">
          <cell r="I13259" t="str">
            <v>Jenner</v>
          </cell>
        </row>
        <row r="13260">
          <cell r="I13260" t="str">
            <v>Jasinski</v>
          </cell>
        </row>
        <row r="13261">
          <cell r="I13261" t="str">
            <v>Jandreau</v>
          </cell>
        </row>
        <row r="13262">
          <cell r="I13262" t="str">
            <v>Isenhour</v>
          </cell>
        </row>
        <row r="13263">
          <cell r="I13263" t="str">
            <v>Hunziker</v>
          </cell>
        </row>
        <row r="13264">
          <cell r="I13264" t="str">
            <v>Huhn</v>
          </cell>
        </row>
        <row r="13265">
          <cell r="I13265" t="str">
            <v>Houde</v>
          </cell>
        </row>
        <row r="13266">
          <cell r="I13266" t="str">
            <v>Houchins</v>
          </cell>
        </row>
        <row r="13267">
          <cell r="I13267" t="str">
            <v>Holtman</v>
          </cell>
        </row>
        <row r="13268">
          <cell r="I13268" t="str">
            <v>Hodo</v>
          </cell>
        </row>
        <row r="13269">
          <cell r="I13269" t="str">
            <v>Heyman</v>
          </cell>
        </row>
        <row r="13270">
          <cell r="I13270" t="str">
            <v>Hentges</v>
          </cell>
        </row>
        <row r="13271">
          <cell r="I13271" t="str">
            <v>Hedberg</v>
          </cell>
        </row>
        <row r="13272">
          <cell r="I13272" t="str">
            <v>Hayne</v>
          </cell>
        </row>
        <row r="13273">
          <cell r="I13273" t="str">
            <v>Haycraft</v>
          </cell>
        </row>
        <row r="13274">
          <cell r="I13274" t="str">
            <v>Harshbarger</v>
          </cell>
        </row>
        <row r="13275">
          <cell r="I13275" t="str">
            <v>Harshaw</v>
          </cell>
        </row>
        <row r="13276">
          <cell r="I13276" t="str">
            <v>Harriss</v>
          </cell>
        </row>
        <row r="13277">
          <cell r="I13277" t="str">
            <v>Haring</v>
          </cell>
        </row>
        <row r="13278">
          <cell r="I13278" t="str">
            <v>Hansell</v>
          </cell>
        </row>
        <row r="13279">
          <cell r="I13279" t="str">
            <v>Hanford</v>
          </cell>
        </row>
        <row r="13280">
          <cell r="I13280" t="str">
            <v>Handler</v>
          </cell>
        </row>
        <row r="13281">
          <cell r="I13281" t="str">
            <v>Hamburg</v>
          </cell>
        </row>
        <row r="13282">
          <cell r="I13282" t="str">
            <v>Hamblen</v>
          </cell>
        </row>
        <row r="13283">
          <cell r="I13283" t="str">
            <v>Gunnell</v>
          </cell>
        </row>
        <row r="13284">
          <cell r="I13284" t="str">
            <v>Groat</v>
          </cell>
        </row>
        <row r="13285">
          <cell r="I13285" t="str">
            <v>Gorecki</v>
          </cell>
        </row>
        <row r="13286">
          <cell r="I13286" t="str">
            <v>Gochenour</v>
          </cell>
        </row>
        <row r="13287">
          <cell r="I13287" t="str">
            <v>Gleeson</v>
          </cell>
        </row>
        <row r="13288">
          <cell r="I13288" t="str">
            <v>Genest</v>
          </cell>
        </row>
        <row r="13289">
          <cell r="I13289" t="str">
            <v>Geiser</v>
          </cell>
        </row>
        <row r="13290">
          <cell r="I13290" t="str">
            <v>Gabriele</v>
          </cell>
        </row>
        <row r="13291">
          <cell r="I13291" t="str">
            <v>Fulghum</v>
          </cell>
        </row>
        <row r="13292">
          <cell r="I13292" t="str">
            <v>Friese</v>
          </cell>
        </row>
        <row r="13293">
          <cell r="I13293" t="str">
            <v>Fridley</v>
          </cell>
        </row>
        <row r="13294">
          <cell r="I13294" t="str">
            <v>Freeborn</v>
          </cell>
        </row>
        <row r="13295">
          <cell r="I13295" t="str">
            <v>Frailey</v>
          </cell>
        </row>
        <row r="13296">
          <cell r="I13296" t="str">
            <v>Flaugher</v>
          </cell>
        </row>
        <row r="13297">
          <cell r="I13297" t="str">
            <v>Fiala</v>
          </cell>
        </row>
        <row r="13298">
          <cell r="I13298" t="str">
            <v>Ettinger</v>
          </cell>
        </row>
        <row r="13299">
          <cell r="I13299" t="str">
            <v>Etheredge</v>
          </cell>
        </row>
        <row r="13300">
          <cell r="I13300" t="str">
            <v>Espitia</v>
          </cell>
        </row>
        <row r="13301">
          <cell r="I13301" t="str">
            <v>Eriksen</v>
          </cell>
        </row>
        <row r="13302">
          <cell r="I13302" t="str">
            <v>Engelbrecht</v>
          </cell>
        </row>
        <row r="13303">
          <cell r="I13303" t="str">
            <v>Engebretson</v>
          </cell>
        </row>
        <row r="13304">
          <cell r="I13304" t="str">
            <v>Elie</v>
          </cell>
        </row>
        <row r="13305">
          <cell r="I13305" t="str">
            <v>Eickhoff</v>
          </cell>
        </row>
        <row r="13306">
          <cell r="I13306" t="str">
            <v>Edney</v>
          </cell>
        </row>
        <row r="13307">
          <cell r="I13307" t="str">
            <v>Edelen</v>
          </cell>
        </row>
        <row r="13308">
          <cell r="I13308" t="str">
            <v>Eberhard</v>
          </cell>
        </row>
        <row r="13309">
          <cell r="I13309" t="str">
            <v>Eastin</v>
          </cell>
        </row>
        <row r="13310">
          <cell r="I13310" t="str">
            <v>Eakes</v>
          </cell>
        </row>
        <row r="13311">
          <cell r="I13311" t="str">
            <v>Driggs</v>
          </cell>
        </row>
        <row r="13312">
          <cell r="I13312" t="str">
            <v>Doner</v>
          </cell>
        </row>
        <row r="13313">
          <cell r="I13313" t="str">
            <v>Donaghy</v>
          </cell>
        </row>
        <row r="13314">
          <cell r="I13314" t="str">
            <v>Disalvo</v>
          </cell>
        </row>
        <row r="13315">
          <cell r="I13315" t="str">
            <v>Deshong</v>
          </cell>
        </row>
        <row r="13316">
          <cell r="I13316" t="str">
            <v>Dahms</v>
          </cell>
        </row>
        <row r="13317">
          <cell r="I13317" t="str">
            <v>Dahlquist</v>
          </cell>
        </row>
        <row r="13318">
          <cell r="I13318" t="str">
            <v>Curren</v>
          </cell>
        </row>
        <row r="13319">
          <cell r="I13319" t="str">
            <v>Cripe</v>
          </cell>
        </row>
        <row r="13320">
          <cell r="I13320" t="str">
            <v>Cree</v>
          </cell>
        </row>
        <row r="13321">
          <cell r="I13321" t="str">
            <v>Creager</v>
          </cell>
        </row>
        <row r="13322">
          <cell r="I13322" t="str">
            <v>Corle</v>
          </cell>
        </row>
        <row r="13323">
          <cell r="I13323" t="str">
            <v>Conatser</v>
          </cell>
        </row>
        <row r="13324">
          <cell r="I13324" t="str">
            <v>Commons</v>
          </cell>
        </row>
        <row r="13325">
          <cell r="I13325" t="str">
            <v>Coggin</v>
          </cell>
        </row>
        <row r="13326">
          <cell r="I13326" t="str">
            <v>Coder</v>
          </cell>
        </row>
        <row r="13327">
          <cell r="I13327" t="str">
            <v>Coaxum</v>
          </cell>
        </row>
        <row r="13328">
          <cell r="I13328" t="str">
            <v>Closson</v>
          </cell>
        </row>
        <row r="13329">
          <cell r="I13329" t="str">
            <v>Clodfelter</v>
          </cell>
        </row>
        <row r="13330">
          <cell r="I13330" t="str">
            <v>Classen</v>
          </cell>
        </row>
        <row r="13331">
          <cell r="I13331" t="str">
            <v>Chittenden</v>
          </cell>
        </row>
        <row r="13332">
          <cell r="I13332" t="str">
            <v>Castilleja</v>
          </cell>
        </row>
        <row r="13333">
          <cell r="I13333" t="str">
            <v>Casale</v>
          </cell>
        </row>
        <row r="13334">
          <cell r="I13334" t="str">
            <v>Cartee</v>
          </cell>
        </row>
        <row r="13335">
          <cell r="I13335" t="str">
            <v>Carriere</v>
          </cell>
        </row>
        <row r="13336">
          <cell r="I13336" t="str">
            <v>Canup</v>
          </cell>
        </row>
        <row r="13337">
          <cell r="I13337" t="str">
            <v>Canizales</v>
          </cell>
        </row>
        <row r="13338">
          <cell r="I13338" t="str">
            <v>Burgoon</v>
          </cell>
        </row>
        <row r="13339">
          <cell r="I13339" t="str">
            <v>Bunger</v>
          </cell>
        </row>
        <row r="13340">
          <cell r="I13340" t="str">
            <v>Bugarin</v>
          </cell>
        </row>
        <row r="13341">
          <cell r="I13341" t="str">
            <v>Buchanon</v>
          </cell>
        </row>
        <row r="13342">
          <cell r="I13342" t="str">
            <v>Bruning</v>
          </cell>
        </row>
        <row r="13343">
          <cell r="I13343" t="str">
            <v>Bruck</v>
          </cell>
        </row>
        <row r="13344">
          <cell r="I13344" t="str">
            <v>Brookes</v>
          </cell>
        </row>
        <row r="13345">
          <cell r="I13345" t="str">
            <v>Broadwell</v>
          </cell>
        </row>
        <row r="13346">
          <cell r="I13346" t="str">
            <v>Brier</v>
          </cell>
        </row>
        <row r="13347">
          <cell r="I13347" t="str">
            <v>Brekke</v>
          </cell>
        </row>
        <row r="13348">
          <cell r="I13348" t="str">
            <v>Breese</v>
          </cell>
        </row>
        <row r="13349">
          <cell r="I13349" t="str">
            <v>Bracero</v>
          </cell>
        </row>
        <row r="13350">
          <cell r="I13350" t="str">
            <v>Bowley</v>
          </cell>
        </row>
        <row r="13351">
          <cell r="I13351" t="str">
            <v>Bowersox</v>
          </cell>
        </row>
        <row r="13352">
          <cell r="I13352" t="str">
            <v>Bose</v>
          </cell>
        </row>
        <row r="13353">
          <cell r="I13353" t="str">
            <v>Bogar</v>
          </cell>
        </row>
        <row r="13354">
          <cell r="I13354" t="str">
            <v>Blossom</v>
          </cell>
        </row>
        <row r="13355">
          <cell r="I13355" t="str">
            <v>Blauser</v>
          </cell>
        </row>
        <row r="13356">
          <cell r="I13356" t="str">
            <v>Blacker</v>
          </cell>
        </row>
        <row r="13357">
          <cell r="I13357" t="str">
            <v>Bjorklund</v>
          </cell>
        </row>
        <row r="13358">
          <cell r="I13358" t="str">
            <v>Belair</v>
          </cell>
        </row>
        <row r="13359">
          <cell r="I13359" t="str">
            <v>Baumer</v>
          </cell>
        </row>
        <row r="13360">
          <cell r="I13360" t="str">
            <v>Basler</v>
          </cell>
        </row>
        <row r="13361">
          <cell r="I13361" t="str">
            <v>Barb</v>
          </cell>
        </row>
        <row r="13362">
          <cell r="I13362" t="str">
            <v>Baltimore</v>
          </cell>
        </row>
        <row r="13363">
          <cell r="I13363" t="str">
            <v>Baize</v>
          </cell>
        </row>
        <row r="13364">
          <cell r="I13364" t="str">
            <v>Baden</v>
          </cell>
        </row>
        <row r="13365">
          <cell r="I13365" t="str">
            <v>Auman</v>
          </cell>
        </row>
        <row r="13366">
          <cell r="I13366" t="str">
            <v>Amundsen</v>
          </cell>
        </row>
        <row r="13367">
          <cell r="I13367" t="str">
            <v>Amore</v>
          </cell>
        </row>
        <row r="13368">
          <cell r="I13368" t="str">
            <v>Alvarenga</v>
          </cell>
        </row>
        <row r="13369">
          <cell r="I13369" t="str">
            <v>Adan</v>
          </cell>
        </row>
        <row r="13370">
          <cell r="I13370" t="str">
            <v>Adamczyk</v>
          </cell>
        </row>
        <row r="13371">
          <cell r="I13371" t="str">
            <v>Yerkes</v>
          </cell>
        </row>
        <row r="13372">
          <cell r="I13372" t="str">
            <v>Yerby</v>
          </cell>
        </row>
        <row r="13373">
          <cell r="I13373" t="str">
            <v>Yawn</v>
          </cell>
        </row>
        <row r="13374">
          <cell r="I13374" t="str">
            <v>Yamaguchi</v>
          </cell>
        </row>
        <row r="13375">
          <cell r="I13375" t="str">
            <v>Worthey</v>
          </cell>
        </row>
        <row r="13376">
          <cell r="I13376" t="str">
            <v>Wolk</v>
          </cell>
        </row>
        <row r="13377">
          <cell r="I13377" t="str">
            <v>Wixom</v>
          </cell>
        </row>
        <row r="13378">
          <cell r="I13378" t="str">
            <v>Wiersma</v>
          </cell>
        </row>
        <row r="13379">
          <cell r="I13379" t="str">
            <v>Wieczorek</v>
          </cell>
        </row>
        <row r="13380">
          <cell r="I13380" t="str">
            <v>Whiddon</v>
          </cell>
        </row>
        <row r="13381">
          <cell r="I13381" t="str">
            <v>Weyer</v>
          </cell>
        </row>
        <row r="13382">
          <cell r="I13382" t="str">
            <v>Wetherington</v>
          </cell>
        </row>
        <row r="13383">
          <cell r="I13383" t="str">
            <v>Wein</v>
          </cell>
        </row>
        <row r="13384">
          <cell r="I13384" t="str">
            <v>Watchman</v>
          </cell>
        </row>
        <row r="13385">
          <cell r="I13385" t="str">
            <v>Warf</v>
          </cell>
        </row>
        <row r="13386">
          <cell r="I13386" t="str">
            <v>Wansley</v>
          </cell>
        </row>
        <row r="13387">
          <cell r="I13387" t="str">
            <v>Vesely</v>
          </cell>
        </row>
        <row r="13388">
          <cell r="I13388" t="str">
            <v>Velazco</v>
          </cell>
        </row>
        <row r="13389">
          <cell r="I13389" t="str">
            <v>Vannorman</v>
          </cell>
        </row>
        <row r="13390">
          <cell r="I13390" t="str">
            <v>Valasquez</v>
          </cell>
        </row>
        <row r="13391">
          <cell r="I13391" t="str">
            <v>Utz</v>
          </cell>
        </row>
        <row r="13392">
          <cell r="I13392" t="str">
            <v>Urso</v>
          </cell>
        </row>
        <row r="13393">
          <cell r="I13393" t="str">
            <v>Turco</v>
          </cell>
        </row>
        <row r="13394">
          <cell r="I13394" t="str">
            <v>Turbeville</v>
          </cell>
        </row>
        <row r="13395">
          <cell r="I13395" t="str">
            <v>Trivett</v>
          </cell>
        </row>
        <row r="13396">
          <cell r="I13396" t="str">
            <v>Torrance</v>
          </cell>
        </row>
        <row r="13397">
          <cell r="I13397" t="str">
            <v>Toothaker</v>
          </cell>
        </row>
        <row r="13398">
          <cell r="I13398" t="str">
            <v>Toohey</v>
          </cell>
        </row>
        <row r="13399">
          <cell r="I13399" t="str">
            <v>Tondreau</v>
          </cell>
        </row>
        <row r="13400">
          <cell r="I13400" t="str">
            <v>Thaler</v>
          </cell>
        </row>
        <row r="13401">
          <cell r="I13401" t="str">
            <v>Sylvain</v>
          </cell>
        </row>
        <row r="13402">
          <cell r="I13402" t="str">
            <v>Swindler</v>
          </cell>
        </row>
        <row r="13403">
          <cell r="I13403" t="str">
            <v>Swigert</v>
          </cell>
        </row>
        <row r="13404">
          <cell r="I13404" t="str">
            <v>Swider</v>
          </cell>
        </row>
        <row r="13405">
          <cell r="I13405" t="str">
            <v>Stiner</v>
          </cell>
        </row>
        <row r="13406">
          <cell r="I13406" t="str">
            <v>Stever</v>
          </cell>
        </row>
        <row r="13407">
          <cell r="I13407" t="str">
            <v>Steffes</v>
          </cell>
        </row>
        <row r="13408">
          <cell r="I13408" t="str">
            <v>Stampley</v>
          </cell>
        </row>
        <row r="13409">
          <cell r="I13409" t="str">
            <v>Stair</v>
          </cell>
        </row>
        <row r="13410">
          <cell r="I13410" t="str">
            <v>Smidt</v>
          </cell>
        </row>
        <row r="13411">
          <cell r="I13411" t="str">
            <v>Skeete</v>
          </cell>
        </row>
        <row r="13412">
          <cell r="I13412" t="str">
            <v>Silvestre</v>
          </cell>
        </row>
        <row r="13413">
          <cell r="I13413" t="str">
            <v>Shy</v>
          </cell>
        </row>
        <row r="13414">
          <cell r="I13414" t="str">
            <v>Shutts</v>
          </cell>
        </row>
        <row r="13415">
          <cell r="I13415" t="str">
            <v>Shock</v>
          </cell>
        </row>
        <row r="13416">
          <cell r="I13416" t="str">
            <v>Shealey</v>
          </cell>
        </row>
        <row r="13417">
          <cell r="I13417" t="str">
            <v>Seigler</v>
          </cell>
        </row>
        <row r="13418">
          <cell r="I13418" t="str">
            <v>Schweizer</v>
          </cell>
        </row>
        <row r="13419">
          <cell r="I13419" t="str">
            <v>Schuldt</v>
          </cell>
        </row>
        <row r="13420">
          <cell r="I13420" t="str">
            <v>Schlichting</v>
          </cell>
        </row>
        <row r="13421">
          <cell r="I13421" t="str">
            <v>Scherr</v>
          </cell>
        </row>
        <row r="13422">
          <cell r="I13422" t="str">
            <v>Saulsberry</v>
          </cell>
        </row>
        <row r="13423">
          <cell r="I13423" t="str">
            <v>Saner</v>
          </cell>
        </row>
        <row r="13424">
          <cell r="I13424" t="str">
            <v>Rosin</v>
          </cell>
        </row>
        <row r="13425">
          <cell r="I13425" t="str">
            <v>Rosato</v>
          </cell>
        </row>
        <row r="13426">
          <cell r="I13426" t="str">
            <v>Roling</v>
          </cell>
        </row>
        <row r="13427">
          <cell r="I13427" t="str">
            <v>Rohn</v>
          </cell>
        </row>
        <row r="13428">
          <cell r="I13428" t="str">
            <v>Rix</v>
          </cell>
        </row>
        <row r="13429">
          <cell r="I13429" t="str">
            <v>Rister</v>
          </cell>
        </row>
        <row r="13430">
          <cell r="I13430" t="str">
            <v>Remley</v>
          </cell>
        </row>
        <row r="13431">
          <cell r="I13431" t="str">
            <v>Remick</v>
          </cell>
        </row>
        <row r="13432">
          <cell r="I13432" t="str">
            <v>Recinos</v>
          </cell>
        </row>
        <row r="13433">
          <cell r="I13433" t="str">
            <v>Ramm</v>
          </cell>
        </row>
        <row r="13434">
          <cell r="I13434" t="str">
            <v>Raabe</v>
          </cell>
        </row>
        <row r="13435">
          <cell r="I13435" t="str">
            <v>Pursell</v>
          </cell>
        </row>
        <row r="13436">
          <cell r="I13436" t="str">
            <v>Poythress</v>
          </cell>
        </row>
        <row r="13437">
          <cell r="I13437" t="str">
            <v>Poli</v>
          </cell>
        </row>
        <row r="13438">
          <cell r="I13438" t="str">
            <v>Pokorny</v>
          </cell>
        </row>
        <row r="13439">
          <cell r="I13439" t="str">
            <v>Plum</v>
          </cell>
        </row>
        <row r="13440">
          <cell r="I13440" t="str">
            <v>Pettry</v>
          </cell>
        </row>
        <row r="13441">
          <cell r="I13441" t="str">
            <v>Petrey</v>
          </cell>
        </row>
        <row r="13442">
          <cell r="I13442" t="str">
            <v>Petitt</v>
          </cell>
        </row>
        <row r="13443">
          <cell r="I13443" t="str">
            <v>Penman</v>
          </cell>
        </row>
        <row r="13444">
          <cell r="I13444" t="str">
            <v>Payson</v>
          </cell>
        </row>
        <row r="13445">
          <cell r="I13445" t="str">
            <v>Paquet</v>
          </cell>
        </row>
        <row r="13446">
          <cell r="I13446" t="str">
            <v>Pappalardo</v>
          </cell>
        </row>
        <row r="13447">
          <cell r="I13447" t="str">
            <v>Outland</v>
          </cell>
        </row>
        <row r="13448">
          <cell r="I13448" t="str">
            <v>Oscar</v>
          </cell>
        </row>
        <row r="13449">
          <cell r="I13449" t="str">
            <v>Orenstein</v>
          </cell>
        </row>
        <row r="13450">
          <cell r="I13450" t="str">
            <v>Nuttall</v>
          </cell>
        </row>
        <row r="13451">
          <cell r="I13451" t="str">
            <v>Nuckols</v>
          </cell>
        </row>
        <row r="13452">
          <cell r="I13452" t="str">
            <v>Nott</v>
          </cell>
        </row>
        <row r="13453">
          <cell r="I13453" t="str">
            <v>Nimmo</v>
          </cell>
        </row>
        <row r="13454">
          <cell r="I13454" t="str">
            <v>Murtagh</v>
          </cell>
        </row>
        <row r="13455">
          <cell r="I13455" t="str">
            <v>Mousseau</v>
          </cell>
        </row>
        <row r="13456">
          <cell r="I13456" t="str">
            <v>Moulder</v>
          </cell>
        </row>
        <row r="13457">
          <cell r="I13457" t="str">
            <v>Mooneyhan</v>
          </cell>
        </row>
        <row r="13458">
          <cell r="I13458" t="str">
            <v>Moak</v>
          </cell>
        </row>
        <row r="13459">
          <cell r="I13459" t="str">
            <v>Minch</v>
          </cell>
        </row>
        <row r="13460">
          <cell r="I13460" t="str">
            <v>Miera</v>
          </cell>
        </row>
        <row r="13461">
          <cell r="I13461" t="str">
            <v>Mercuri</v>
          </cell>
        </row>
        <row r="13462">
          <cell r="I13462" t="str">
            <v>Meighan</v>
          </cell>
        </row>
        <row r="13463">
          <cell r="I13463" t="str">
            <v>Mcnelly</v>
          </cell>
        </row>
        <row r="13464">
          <cell r="I13464" t="str">
            <v>Mcguffin</v>
          </cell>
        </row>
        <row r="13465">
          <cell r="I13465" t="str">
            <v>Mccreery</v>
          </cell>
        </row>
        <row r="13466">
          <cell r="I13466" t="str">
            <v>Mcclaskey</v>
          </cell>
        </row>
        <row r="13467">
          <cell r="I13467" t="str">
            <v>Man</v>
          </cell>
        </row>
        <row r="13468">
          <cell r="I13468" t="str">
            <v>Mainor</v>
          </cell>
        </row>
        <row r="13469">
          <cell r="I13469" t="str">
            <v>Luongo</v>
          </cell>
        </row>
        <row r="13470">
          <cell r="I13470" t="str">
            <v>Lundstrom</v>
          </cell>
        </row>
        <row r="13471">
          <cell r="I13471" t="str">
            <v>Loughman</v>
          </cell>
        </row>
        <row r="13472">
          <cell r="I13472" t="str">
            <v>Loose</v>
          </cell>
        </row>
        <row r="13473">
          <cell r="I13473" t="str">
            <v>Lobo</v>
          </cell>
        </row>
        <row r="13474">
          <cell r="I13474" t="str">
            <v>Lobb</v>
          </cell>
        </row>
        <row r="13475">
          <cell r="I13475" t="str">
            <v>Linhart</v>
          </cell>
        </row>
        <row r="13476">
          <cell r="I13476" t="str">
            <v>Liberty</v>
          </cell>
        </row>
        <row r="13477">
          <cell r="I13477" t="str">
            <v>Lever</v>
          </cell>
        </row>
        <row r="13478">
          <cell r="I13478" t="str">
            <v>Leu</v>
          </cell>
        </row>
        <row r="13479">
          <cell r="I13479" t="str">
            <v>Leiter</v>
          </cell>
        </row>
        <row r="13480">
          <cell r="I13480" t="str">
            <v>Lehoux</v>
          </cell>
        </row>
        <row r="13481">
          <cell r="I13481" t="str">
            <v>Lehn</v>
          </cell>
        </row>
        <row r="13482">
          <cell r="I13482" t="str">
            <v>Lares</v>
          </cell>
        </row>
        <row r="13483">
          <cell r="I13483" t="str">
            <v>Lapan</v>
          </cell>
        </row>
        <row r="13484">
          <cell r="I13484" t="str">
            <v>Langhorne</v>
          </cell>
        </row>
        <row r="13485">
          <cell r="I13485" t="str">
            <v>Lamon</v>
          </cell>
        </row>
        <row r="13486">
          <cell r="I13486" t="str">
            <v>Ladwig</v>
          </cell>
        </row>
        <row r="13487">
          <cell r="I13487" t="str">
            <v>Ladson</v>
          </cell>
        </row>
        <row r="13488">
          <cell r="I13488" t="str">
            <v>Kuzma</v>
          </cell>
        </row>
        <row r="13489">
          <cell r="I13489" t="str">
            <v>Kreitzer</v>
          </cell>
        </row>
        <row r="13490">
          <cell r="I13490" t="str">
            <v>Knop</v>
          </cell>
        </row>
        <row r="13491">
          <cell r="I13491" t="str">
            <v>Keech</v>
          </cell>
        </row>
        <row r="13492">
          <cell r="I13492" t="str">
            <v>Kea</v>
          </cell>
        </row>
        <row r="13493">
          <cell r="I13493" t="str">
            <v>Kadlec</v>
          </cell>
        </row>
        <row r="13494">
          <cell r="I13494" t="str">
            <v>Jo</v>
          </cell>
        </row>
        <row r="13495">
          <cell r="I13495" t="str">
            <v>Jhonson</v>
          </cell>
        </row>
        <row r="13496">
          <cell r="I13496" t="str">
            <v>Jantz</v>
          </cell>
        </row>
        <row r="13497">
          <cell r="I13497" t="str">
            <v>Inglis</v>
          </cell>
        </row>
        <row r="13498">
          <cell r="I13498" t="str">
            <v>Husk</v>
          </cell>
        </row>
        <row r="13499">
          <cell r="I13499" t="str">
            <v>Hulme</v>
          </cell>
        </row>
        <row r="13500">
          <cell r="I13500" t="str">
            <v>Housel</v>
          </cell>
        </row>
        <row r="13501">
          <cell r="I13501" t="str">
            <v>Hofman</v>
          </cell>
        </row>
        <row r="13502">
          <cell r="I13502" t="str">
            <v>Hillery</v>
          </cell>
        </row>
        <row r="13503">
          <cell r="I13503" t="str">
            <v>Heidenreich</v>
          </cell>
        </row>
        <row r="13504">
          <cell r="I13504" t="str">
            <v>Heaps</v>
          </cell>
        </row>
        <row r="13505">
          <cell r="I13505" t="str">
            <v>Haslett</v>
          </cell>
        </row>
        <row r="13506">
          <cell r="I13506" t="str">
            <v>Harting</v>
          </cell>
        </row>
        <row r="13507">
          <cell r="I13507" t="str">
            <v>Hartig</v>
          </cell>
        </row>
        <row r="13508">
          <cell r="I13508" t="str">
            <v>Hamler</v>
          </cell>
        </row>
        <row r="13509">
          <cell r="I13509" t="str">
            <v>Halton</v>
          </cell>
        </row>
        <row r="13510">
          <cell r="I13510" t="str">
            <v>Hallum</v>
          </cell>
        </row>
        <row r="13511">
          <cell r="I13511" t="str">
            <v>Gutierres</v>
          </cell>
        </row>
        <row r="13512">
          <cell r="I13512" t="str">
            <v>Guida</v>
          </cell>
        </row>
        <row r="13513">
          <cell r="I13513" t="str">
            <v>Guerrier</v>
          </cell>
        </row>
        <row r="13514">
          <cell r="I13514" t="str">
            <v>Grossi</v>
          </cell>
        </row>
        <row r="13515">
          <cell r="I13515" t="str">
            <v>Gress</v>
          </cell>
        </row>
        <row r="13516">
          <cell r="I13516" t="str">
            <v>Greenhalgh</v>
          </cell>
        </row>
        <row r="13517">
          <cell r="I13517" t="str">
            <v>Gravelle</v>
          </cell>
        </row>
        <row r="13518">
          <cell r="I13518" t="str">
            <v>Gow</v>
          </cell>
        </row>
        <row r="13519">
          <cell r="I13519" t="str">
            <v>Goslin</v>
          </cell>
        </row>
        <row r="13520">
          <cell r="I13520" t="str">
            <v>Gonyea</v>
          </cell>
        </row>
        <row r="13521">
          <cell r="I13521" t="str">
            <v>Gipe</v>
          </cell>
        </row>
        <row r="13522">
          <cell r="I13522" t="str">
            <v>Gerstner</v>
          </cell>
        </row>
        <row r="13523">
          <cell r="I13523" t="str">
            <v>Gasser</v>
          </cell>
        </row>
        <row r="13524">
          <cell r="I13524" t="str">
            <v>Garceau</v>
          </cell>
        </row>
        <row r="13525">
          <cell r="I13525" t="str">
            <v>Gannaway</v>
          </cell>
        </row>
        <row r="13526">
          <cell r="I13526" t="str">
            <v>Gama</v>
          </cell>
        </row>
        <row r="13527">
          <cell r="I13527" t="str">
            <v>Gallop</v>
          </cell>
        </row>
        <row r="13528">
          <cell r="I13528" t="str">
            <v>Gaiser</v>
          </cell>
        </row>
        <row r="13529">
          <cell r="I13529" t="str">
            <v>Fullilove</v>
          </cell>
        </row>
        <row r="13530">
          <cell r="I13530" t="str">
            <v>Foutz</v>
          </cell>
        </row>
        <row r="13531">
          <cell r="I13531" t="str">
            <v>Fossum</v>
          </cell>
        </row>
        <row r="13532">
          <cell r="I13532" t="str">
            <v>Flannagan</v>
          </cell>
        </row>
        <row r="13533">
          <cell r="I13533" t="str">
            <v>Farrior</v>
          </cell>
        </row>
        <row r="13534">
          <cell r="I13534" t="str">
            <v>Faller</v>
          </cell>
        </row>
        <row r="13535">
          <cell r="I13535" t="str">
            <v>Ericksen</v>
          </cell>
        </row>
        <row r="13536">
          <cell r="I13536" t="str">
            <v>Entrekin</v>
          </cell>
        </row>
        <row r="13537">
          <cell r="I13537" t="str">
            <v>Enochs</v>
          </cell>
        </row>
        <row r="13538">
          <cell r="I13538" t="str">
            <v>Englund</v>
          </cell>
        </row>
        <row r="13539">
          <cell r="I13539" t="str">
            <v>Ellenberger</v>
          </cell>
        </row>
        <row r="13540">
          <cell r="I13540" t="str">
            <v>Eastland</v>
          </cell>
        </row>
        <row r="13541">
          <cell r="I13541" t="str">
            <v>Earwood</v>
          </cell>
        </row>
        <row r="13542">
          <cell r="I13542" t="str">
            <v>Dudash</v>
          </cell>
        </row>
        <row r="13543">
          <cell r="I13543" t="str">
            <v>Du</v>
          </cell>
        </row>
        <row r="13544">
          <cell r="I13544" t="str">
            <v>Drozd</v>
          </cell>
        </row>
        <row r="13545">
          <cell r="I13545" t="str">
            <v>Desoto</v>
          </cell>
        </row>
        <row r="13546">
          <cell r="I13546" t="str">
            <v>Delph</v>
          </cell>
        </row>
        <row r="13547">
          <cell r="I13547" t="str">
            <v>Dekker</v>
          </cell>
        </row>
        <row r="13548">
          <cell r="I13548" t="str">
            <v>Dejohn</v>
          </cell>
        </row>
        <row r="13549">
          <cell r="I13549" t="str">
            <v>Degarmo</v>
          </cell>
        </row>
        <row r="13550">
          <cell r="I13550" t="str">
            <v>Defeo</v>
          </cell>
        </row>
        <row r="13551">
          <cell r="I13551" t="str">
            <v>Defalco</v>
          </cell>
        </row>
        <row r="13552">
          <cell r="I13552" t="str">
            <v>Deblois</v>
          </cell>
        </row>
        <row r="13553">
          <cell r="I13553" t="str">
            <v>Dacus</v>
          </cell>
        </row>
        <row r="13554">
          <cell r="I13554" t="str">
            <v>Cudd</v>
          </cell>
        </row>
        <row r="13555">
          <cell r="I13555" t="str">
            <v>Crossen</v>
          </cell>
        </row>
        <row r="13556">
          <cell r="I13556" t="str">
            <v>Crooms</v>
          </cell>
        </row>
        <row r="13557">
          <cell r="I13557" t="str">
            <v>Cronan</v>
          </cell>
        </row>
        <row r="13558">
          <cell r="I13558" t="str">
            <v>Costin</v>
          </cell>
        </row>
        <row r="13559">
          <cell r="I13559" t="str">
            <v>Costanza</v>
          </cell>
        </row>
        <row r="13560">
          <cell r="I13560" t="str">
            <v>Cordray</v>
          </cell>
        </row>
        <row r="13561">
          <cell r="I13561" t="str">
            <v>Comerford</v>
          </cell>
        </row>
        <row r="13562">
          <cell r="I13562" t="str">
            <v>Collie</v>
          </cell>
        </row>
        <row r="13563">
          <cell r="I13563" t="str">
            <v>Colegrove</v>
          </cell>
        </row>
        <row r="13564">
          <cell r="I13564" t="str">
            <v>Coldwell</v>
          </cell>
        </row>
        <row r="13565">
          <cell r="I13565" t="str">
            <v>Claassen</v>
          </cell>
        </row>
        <row r="13566">
          <cell r="I13566" t="str">
            <v>Chartrand</v>
          </cell>
        </row>
        <row r="13567">
          <cell r="I13567" t="str">
            <v>Castiglione</v>
          </cell>
        </row>
        <row r="13568">
          <cell r="I13568" t="str">
            <v>Carte</v>
          </cell>
        </row>
        <row r="13569">
          <cell r="I13569" t="str">
            <v>Cardella</v>
          </cell>
        </row>
        <row r="13570">
          <cell r="I13570" t="str">
            <v>Carberry</v>
          </cell>
        </row>
        <row r="13571">
          <cell r="I13571" t="str">
            <v>Capp</v>
          </cell>
        </row>
        <row r="13572">
          <cell r="I13572" t="str">
            <v>Capobianco</v>
          </cell>
        </row>
        <row r="13573">
          <cell r="I13573" t="str">
            <v>Cangelosi</v>
          </cell>
        </row>
        <row r="13574">
          <cell r="I13574" t="str">
            <v>Buch</v>
          </cell>
        </row>
        <row r="13575">
          <cell r="I13575" t="str">
            <v>Brunell</v>
          </cell>
        </row>
        <row r="13576">
          <cell r="I13576" t="str">
            <v>Brucker</v>
          </cell>
        </row>
        <row r="13577">
          <cell r="I13577" t="str">
            <v>Brockett</v>
          </cell>
        </row>
        <row r="13578">
          <cell r="I13578" t="str">
            <v>Brizendine</v>
          </cell>
        </row>
        <row r="13579">
          <cell r="I13579" t="str">
            <v>Brinegar</v>
          </cell>
        </row>
        <row r="13580">
          <cell r="I13580" t="str">
            <v>Brimer</v>
          </cell>
        </row>
        <row r="13581">
          <cell r="I13581" t="str">
            <v>Brase</v>
          </cell>
        </row>
        <row r="13582">
          <cell r="I13582" t="str">
            <v>Bosque</v>
          </cell>
        </row>
        <row r="13583">
          <cell r="I13583" t="str">
            <v>Bonk</v>
          </cell>
        </row>
        <row r="13584">
          <cell r="I13584" t="str">
            <v>Bolger</v>
          </cell>
        </row>
        <row r="13585">
          <cell r="I13585" t="str">
            <v>Bohanon</v>
          </cell>
        </row>
        <row r="13586">
          <cell r="I13586" t="str">
            <v>Bohan</v>
          </cell>
        </row>
        <row r="13587">
          <cell r="I13587" t="str">
            <v>Blazek</v>
          </cell>
        </row>
        <row r="13588">
          <cell r="I13588" t="str">
            <v>Berning</v>
          </cell>
        </row>
        <row r="13589">
          <cell r="I13589" t="str">
            <v>Bergan</v>
          </cell>
        </row>
        <row r="13590">
          <cell r="I13590" t="str">
            <v>Bennette</v>
          </cell>
        </row>
        <row r="13591">
          <cell r="I13591" t="str">
            <v>Beauchemin</v>
          </cell>
        </row>
        <row r="13592">
          <cell r="I13592" t="str">
            <v>Battiste</v>
          </cell>
        </row>
        <row r="13593">
          <cell r="I13593" t="str">
            <v>Barra</v>
          </cell>
        </row>
        <row r="13594">
          <cell r="I13594" t="str">
            <v>Balogh</v>
          </cell>
        </row>
        <row r="13595">
          <cell r="I13595" t="str">
            <v>Avis</v>
          </cell>
        </row>
        <row r="13596">
          <cell r="I13596" t="str">
            <v>Avallone</v>
          </cell>
        </row>
        <row r="13597">
          <cell r="I13597" t="str">
            <v>Aubry</v>
          </cell>
        </row>
        <row r="13598">
          <cell r="I13598" t="str">
            <v>Ashcroft</v>
          </cell>
        </row>
        <row r="13599">
          <cell r="I13599" t="str">
            <v>Asencio</v>
          </cell>
        </row>
        <row r="13600">
          <cell r="I13600" t="str">
            <v>Arledge</v>
          </cell>
        </row>
        <row r="13601">
          <cell r="I13601" t="str">
            <v>Anchondo</v>
          </cell>
        </row>
        <row r="13602">
          <cell r="I13602" t="str">
            <v>Amy</v>
          </cell>
        </row>
        <row r="13603">
          <cell r="I13603" t="str">
            <v>Alvord</v>
          </cell>
        </row>
        <row r="13604">
          <cell r="I13604" t="str">
            <v>Acheson</v>
          </cell>
        </row>
        <row r="13605">
          <cell r="I13605" t="str">
            <v>Zaleski</v>
          </cell>
        </row>
        <row r="13606">
          <cell r="I13606" t="str">
            <v>Yonker</v>
          </cell>
        </row>
        <row r="13607">
          <cell r="I13607" t="str">
            <v>Wyss</v>
          </cell>
        </row>
        <row r="13608">
          <cell r="I13608" t="str">
            <v>Wycoff</v>
          </cell>
        </row>
        <row r="13609">
          <cell r="I13609" t="str">
            <v>Woodburn</v>
          </cell>
        </row>
        <row r="13610">
          <cell r="I13610" t="str">
            <v>Wininger</v>
          </cell>
        </row>
        <row r="13611">
          <cell r="I13611" t="str">
            <v>Winders</v>
          </cell>
        </row>
        <row r="13612">
          <cell r="I13612" t="str">
            <v>Willmon</v>
          </cell>
        </row>
        <row r="13613">
          <cell r="I13613" t="str">
            <v>Wiechmann</v>
          </cell>
        </row>
        <row r="13614">
          <cell r="I13614" t="str">
            <v>Westley</v>
          </cell>
        </row>
        <row r="13615">
          <cell r="I13615" t="str">
            <v>Weatherholt</v>
          </cell>
        </row>
        <row r="13616">
          <cell r="I13616" t="str">
            <v>Warnick</v>
          </cell>
        </row>
        <row r="13617">
          <cell r="I13617" t="str">
            <v>Wardle</v>
          </cell>
        </row>
        <row r="13618">
          <cell r="I13618" t="str">
            <v>Warburton</v>
          </cell>
        </row>
        <row r="13619">
          <cell r="I13619" t="str">
            <v>Volkert</v>
          </cell>
        </row>
        <row r="13620">
          <cell r="I13620" t="str">
            <v>Virgin</v>
          </cell>
        </row>
        <row r="13621">
          <cell r="I13621" t="str">
            <v>Villanveva</v>
          </cell>
        </row>
        <row r="13622">
          <cell r="I13622" t="str">
            <v>Veit</v>
          </cell>
        </row>
        <row r="13623">
          <cell r="I13623" t="str">
            <v>Vass</v>
          </cell>
        </row>
        <row r="13624">
          <cell r="I13624" t="str">
            <v>Vanallen</v>
          </cell>
        </row>
        <row r="13625">
          <cell r="I13625" t="str">
            <v>Tung</v>
          </cell>
        </row>
        <row r="13626">
          <cell r="I13626" t="str">
            <v>Toribio</v>
          </cell>
        </row>
        <row r="13627">
          <cell r="I13627" t="str">
            <v>Toothman</v>
          </cell>
        </row>
        <row r="13628">
          <cell r="I13628" t="str">
            <v>Tiggs</v>
          </cell>
        </row>
        <row r="13629">
          <cell r="I13629" t="str">
            <v>Thornsberry</v>
          </cell>
        </row>
        <row r="13630">
          <cell r="I13630" t="str">
            <v>Thome</v>
          </cell>
        </row>
        <row r="13631">
          <cell r="I13631" t="str">
            <v>Tepper</v>
          </cell>
        </row>
        <row r="13632">
          <cell r="I13632" t="str">
            <v>Teeple</v>
          </cell>
        </row>
        <row r="13633">
          <cell r="I13633" t="str">
            <v>Tebo</v>
          </cell>
        </row>
        <row r="13634">
          <cell r="I13634" t="str">
            <v>Tassone</v>
          </cell>
        </row>
        <row r="13635">
          <cell r="I13635" t="str">
            <v>Tann</v>
          </cell>
        </row>
        <row r="13636">
          <cell r="I13636" t="str">
            <v>Sultan</v>
          </cell>
        </row>
        <row r="13637">
          <cell r="I13637" t="str">
            <v>Stucker</v>
          </cell>
        </row>
        <row r="13638">
          <cell r="I13638" t="str">
            <v>Stotler</v>
          </cell>
        </row>
        <row r="13639">
          <cell r="I13639" t="str">
            <v>Stoneman</v>
          </cell>
        </row>
        <row r="13640">
          <cell r="I13640" t="str">
            <v>Stehle</v>
          </cell>
        </row>
        <row r="13641">
          <cell r="I13641" t="str">
            <v>Stanback</v>
          </cell>
        </row>
        <row r="13642">
          <cell r="I13642" t="str">
            <v>Stallcup</v>
          </cell>
        </row>
        <row r="13643">
          <cell r="I13643" t="str">
            <v>Spurr</v>
          </cell>
        </row>
        <row r="13644">
          <cell r="I13644" t="str">
            <v>Speers</v>
          </cell>
        </row>
        <row r="13645">
          <cell r="I13645" t="str">
            <v>Spada</v>
          </cell>
        </row>
        <row r="13646">
          <cell r="I13646" t="str">
            <v>Solum</v>
          </cell>
        </row>
        <row r="13647">
          <cell r="I13647" t="str">
            <v>Smolen</v>
          </cell>
        </row>
        <row r="13648">
          <cell r="I13648" t="str">
            <v>Sinn</v>
          </cell>
        </row>
        <row r="13649">
          <cell r="I13649" t="str">
            <v>Silvernail</v>
          </cell>
        </row>
        <row r="13650">
          <cell r="I13650" t="str">
            <v>Sholes</v>
          </cell>
        </row>
        <row r="13651">
          <cell r="I13651" t="str">
            <v>Shives</v>
          </cell>
        </row>
        <row r="13652">
          <cell r="I13652" t="str">
            <v>Shain</v>
          </cell>
        </row>
        <row r="13653">
          <cell r="I13653" t="str">
            <v>Secrest</v>
          </cell>
        </row>
        <row r="13654">
          <cell r="I13654" t="str">
            <v>Seagle</v>
          </cell>
        </row>
        <row r="13655">
          <cell r="I13655" t="str">
            <v>Schuette</v>
          </cell>
        </row>
        <row r="13656">
          <cell r="I13656" t="str">
            <v>Schoch</v>
          </cell>
        </row>
        <row r="13657">
          <cell r="I13657" t="str">
            <v>Schnieders</v>
          </cell>
        </row>
        <row r="13658">
          <cell r="I13658" t="str">
            <v>Schild</v>
          </cell>
        </row>
        <row r="13659">
          <cell r="I13659" t="str">
            <v>Schiavone</v>
          </cell>
        </row>
        <row r="13660">
          <cell r="I13660" t="str">
            <v>Schiavo</v>
          </cell>
        </row>
        <row r="13661">
          <cell r="I13661" t="str">
            <v>Scharff</v>
          </cell>
        </row>
        <row r="13662">
          <cell r="I13662" t="str">
            <v>Santee</v>
          </cell>
        </row>
        <row r="13663">
          <cell r="I13663" t="str">
            <v>Sandell</v>
          </cell>
        </row>
        <row r="13664">
          <cell r="I13664" t="str">
            <v>Salvo</v>
          </cell>
        </row>
        <row r="13665">
          <cell r="I13665" t="str">
            <v>Rollings</v>
          </cell>
        </row>
        <row r="13666">
          <cell r="I13666" t="str">
            <v>Rollin</v>
          </cell>
        </row>
        <row r="13667">
          <cell r="I13667" t="str">
            <v>Rivenburg</v>
          </cell>
        </row>
        <row r="13668">
          <cell r="I13668" t="str">
            <v>Ritzman</v>
          </cell>
        </row>
        <row r="13669">
          <cell r="I13669" t="str">
            <v>Rist</v>
          </cell>
        </row>
        <row r="13670">
          <cell r="I13670" t="str">
            <v>Rio</v>
          </cell>
        </row>
        <row r="13671">
          <cell r="I13671" t="str">
            <v>Ricardo</v>
          </cell>
        </row>
        <row r="13672">
          <cell r="I13672" t="str">
            <v>Reynosa</v>
          </cell>
        </row>
        <row r="13673">
          <cell r="I13673" t="str">
            <v>Retana</v>
          </cell>
        </row>
        <row r="13674">
          <cell r="I13674" t="str">
            <v>Reiber</v>
          </cell>
        </row>
        <row r="13675">
          <cell r="I13675" t="str">
            <v>Regnier</v>
          </cell>
        </row>
        <row r="13676">
          <cell r="I13676" t="str">
            <v>Rarick</v>
          </cell>
        </row>
        <row r="13677">
          <cell r="I13677" t="str">
            <v>Ransome</v>
          </cell>
        </row>
        <row r="13678">
          <cell r="I13678" t="str">
            <v>Rall</v>
          </cell>
        </row>
        <row r="13679">
          <cell r="I13679" t="str">
            <v>Propes</v>
          </cell>
        </row>
        <row r="13680">
          <cell r="I13680" t="str">
            <v>Prall</v>
          </cell>
        </row>
        <row r="13681">
          <cell r="I13681" t="str">
            <v>Poyner</v>
          </cell>
        </row>
        <row r="13682">
          <cell r="I13682" t="str">
            <v>Ponds</v>
          </cell>
        </row>
        <row r="13683">
          <cell r="I13683" t="str">
            <v>Poitra</v>
          </cell>
        </row>
        <row r="13684">
          <cell r="I13684" t="str">
            <v>Plaster</v>
          </cell>
        </row>
        <row r="13685">
          <cell r="I13685" t="str">
            <v>Pippins</v>
          </cell>
        </row>
        <row r="13686">
          <cell r="I13686" t="str">
            <v>Pinion</v>
          </cell>
        </row>
        <row r="13687">
          <cell r="I13687" t="str">
            <v>Piccolo</v>
          </cell>
        </row>
        <row r="13688">
          <cell r="I13688" t="str">
            <v>Phu</v>
          </cell>
        </row>
        <row r="13689">
          <cell r="I13689" t="str">
            <v>Perillo</v>
          </cell>
        </row>
        <row r="13690">
          <cell r="I13690" t="str">
            <v>Penrose</v>
          </cell>
        </row>
        <row r="13691">
          <cell r="I13691" t="str">
            <v>Pendergraft</v>
          </cell>
        </row>
        <row r="13692">
          <cell r="I13692" t="str">
            <v>Pelchat</v>
          </cell>
        </row>
        <row r="13693">
          <cell r="I13693" t="str">
            <v>Peed</v>
          </cell>
        </row>
        <row r="13694">
          <cell r="I13694" t="str">
            <v>Patenaude</v>
          </cell>
        </row>
        <row r="13695">
          <cell r="I13695" t="str">
            <v>Palko</v>
          </cell>
        </row>
        <row r="13696">
          <cell r="I13696" t="str">
            <v>Odoms</v>
          </cell>
        </row>
        <row r="13697">
          <cell r="I13697" t="str">
            <v>Oddo</v>
          </cell>
        </row>
        <row r="13698">
          <cell r="I13698" t="str">
            <v>Novoa</v>
          </cell>
        </row>
        <row r="13699">
          <cell r="I13699" t="str">
            <v>Noone</v>
          </cell>
        </row>
        <row r="13700">
          <cell r="I13700" t="str">
            <v>Newburn</v>
          </cell>
        </row>
        <row r="13701">
          <cell r="I13701" t="str">
            <v>Negri</v>
          </cell>
        </row>
        <row r="13702">
          <cell r="I13702" t="str">
            <v>Nantz</v>
          </cell>
        </row>
        <row r="13703">
          <cell r="I13703" t="str">
            <v>Mosser</v>
          </cell>
        </row>
        <row r="13704">
          <cell r="I13704" t="str">
            <v>Moshier</v>
          </cell>
        </row>
        <row r="13705">
          <cell r="I13705" t="str">
            <v>Molter</v>
          </cell>
        </row>
        <row r="13706">
          <cell r="I13706" t="str">
            <v>Molinari</v>
          </cell>
        </row>
        <row r="13707">
          <cell r="I13707" t="str">
            <v>Moler</v>
          </cell>
        </row>
        <row r="13708">
          <cell r="I13708" t="str">
            <v>Millman</v>
          </cell>
        </row>
        <row r="13709">
          <cell r="I13709" t="str">
            <v>Meurer</v>
          </cell>
        </row>
        <row r="13710">
          <cell r="I13710" t="str">
            <v>Mendel</v>
          </cell>
        </row>
        <row r="13711">
          <cell r="I13711" t="str">
            <v>Mcray</v>
          </cell>
        </row>
        <row r="13712">
          <cell r="I13712" t="str">
            <v>Mcnicholas</v>
          </cell>
        </row>
        <row r="13713">
          <cell r="I13713" t="str">
            <v>Mcnerney</v>
          </cell>
        </row>
        <row r="13714">
          <cell r="I13714" t="str">
            <v>Mckillip</v>
          </cell>
        </row>
        <row r="13715">
          <cell r="I13715" t="str">
            <v>Mcilvain</v>
          </cell>
        </row>
        <row r="13716">
          <cell r="I13716" t="str">
            <v>Mcadory</v>
          </cell>
        </row>
        <row r="13717">
          <cell r="I13717" t="str">
            <v>Matter</v>
          </cell>
        </row>
        <row r="13718">
          <cell r="I13718" t="str">
            <v>Master</v>
          </cell>
        </row>
        <row r="13719">
          <cell r="I13719" t="str">
            <v>Marmol</v>
          </cell>
        </row>
        <row r="13720">
          <cell r="I13720" t="str">
            <v>Marinez</v>
          </cell>
        </row>
        <row r="13721">
          <cell r="I13721" t="str">
            <v>Manzer</v>
          </cell>
        </row>
        <row r="13722">
          <cell r="I13722" t="str">
            <v>Mankin</v>
          </cell>
        </row>
        <row r="13723">
          <cell r="I13723" t="str">
            <v>Makris</v>
          </cell>
        </row>
        <row r="13724">
          <cell r="I13724" t="str">
            <v>Majeski</v>
          </cell>
        </row>
        <row r="13725">
          <cell r="I13725" t="str">
            <v>Magnus</v>
          </cell>
        </row>
        <row r="13726">
          <cell r="I13726" t="str">
            <v>Maffei</v>
          </cell>
        </row>
        <row r="13727">
          <cell r="I13727" t="str">
            <v>Luoma</v>
          </cell>
        </row>
        <row r="13728">
          <cell r="I13728" t="str">
            <v>Luman</v>
          </cell>
        </row>
        <row r="13729">
          <cell r="I13729" t="str">
            <v>Luebke</v>
          </cell>
        </row>
        <row r="13730">
          <cell r="I13730" t="str">
            <v>Luby</v>
          </cell>
        </row>
        <row r="13731">
          <cell r="I13731" t="str">
            <v>Lomonaco</v>
          </cell>
        </row>
        <row r="13732">
          <cell r="I13732" t="str">
            <v>Loar</v>
          </cell>
        </row>
        <row r="13733">
          <cell r="I13733" t="str">
            <v>Litchford</v>
          </cell>
        </row>
        <row r="13734">
          <cell r="I13734" t="str">
            <v>Lintz</v>
          </cell>
        </row>
        <row r="13735">
          <cell r="I13735" t="str">
            <v>Licht</v>
          </cell>
        </row>
        <row r="13736">
          <cell r="I13736" t="str">
            <v>Levenson</v>
          </cell>
        </row>
        <row r="13737">
          <cell r="I13737" t="str">
            <v>Legge</v>
          </cell>
        </row>
        <row r="13738">
          <cell r="I13738" t="str">
            <v>Laughter</v>
          </cell>
        </row>
        <row r="13739">
          <cell r="I13739" t="str">
            <v>Lanigan</v>
          </cell>
        </row>
        <row r="13740">
          <cell r="I13740" t="str">
            <v>Krom</v>
          </cell>
        </row>
        <row r="13741">
          <cell r="I13741" t="str">
            <v>Kreger</v>
          </cell>
        </row>
        <row r="13742">
          <cell r="I13742" t="str">
            <v>Koop</v>
          </cell>
        </row>
        <row r="13743">
          <cell r="I13743" t="str">
            <v>Kober</v>
          </cell>
        </row>
        <row r="13744">
          <cell r="I13744" t="str">
            <v>Klima</v>
          </cell>
        </row>
        <row r="13745">
          <cell r="I13745" t="str">
            <v>Kitterman</v>
          </cell>
        </row>
        <row r="13746">
          <cell r="I13746" t="str">
            <v>Kinkead</v>
          </cell>
        </row>
        <row r="13747">
          <cell r="I13747" t="str">
            <v>Kimbell</v>
          </cell>
        </row>
        <row r="13748">
          <cell r="I13748" t="str">
            <v>Kilian</v>
          </cell>
        </row>
        <row r="13749">
          <cell r="I13749" t="str">
            <v>Kibbe</v>
          </cell>
        </row>
        <row r="13750">
          <cell r="I13750" t="str">
            <v>Kendig</v>
          </cell>
        </row>
        <row r="13751">
          <cell r="I13751" t="str">
            <v>Kemmer</v>
          </cell>
        </row>
        <row r="13752">
          <cell r="I13752" t="str">
            <v>Kash</v>
          </cell>
        </row>
        <row r="13753">
          <cell r="I13753" t="str">
            <v>Jenkin</v>
          </cell>
        </row>
        <row r="13754">
          <cell r="I13754" t="str">
            <v>Inniss</v>
          </cell>
        </row>
        <row r="13755">
          <cell r="I13755" t="str">
            <v>Hurlbut</v>
          </cell>
        </row>
        <row r="13756">
          <cell r="I13756" t="str">
            <v>Hunsucker</v>
          </cell>
        </row>
        <row r="13757">
          <cell r="I13757" t="str">
            <v>Hugo</v>
          </cell>
        </row>
        <row r="13758">
          <cell r="I13758" t="str">
            <v>Huckabee</v>
          </cell>
        </row>
        <row r="13759">
          <cell r="I13759" t="str">
            <v>Hoxie</v>
          </cell>
        </row>
        <row r="13760">
          <cell r="I13760" t="str">
            <v>Hoglund</v>
          </cell>
        </row>
        <row r="13761">
          <cell r="I13761" t="str">
            <v>Hockensmith</v>
          </cell>
        </row>
        <row r="13762">
          <cell r="I13762" t="str">
            <v>Hoadley</v>
          </cell>
        </row>
        <row r="13763">
          <cell r="I13763" t="str">
            <v>Hinkel</v>
          </cell>
        </row>
        <row r="13764">
          <cell r="I13764" t="str">
            <v>Higuera</v>
          </cell>
        </row>
        <row r="13765">
          <cell r="I13765" t="str">
            <v>Herrman</v>
          </cell>
        </row>
        <row r="13766">
          <cell r="I13766" t="str">
            <v>Heiner</v>
          </cell>
        </row>
        <row r="13767">
          <cell r="I13767" t="str">
            <v>Hausmann</v>
          </cell>
        </row>
        <row r="13768">
          <cell r="I13768" t="str">
            <v>Haubrich</v>
          </cell>
        </row>
        <row r="13769">
          <cell r="I13769" t="str">
            <v>Hassen</v>
          </cell>
        </row>
        <row r="13770">
          <cell r="I13770" t="str">
            <v>Hanlin</v>
          </cell>
        </row>
        <row r="13771">
          <cell r="I13771" t="str">
            <v>Hallinan</v>
          </cell>
        </row>
        <row r="13772">
          <cell r="I13772" t="str">
            <v>Haglund</v>
          </cell>
        </row>
        <row r="13773">
          <cell r="I13773" t="str">
            <v>Hagberg</v>
          </cell>
        </row>
        <row r="13774">
          <cell r="I13774" t="str">
            <v>Gullo</v>
          </cell>
        </row>
        <row r="13775">
          <cell r="I13775" t="str">
            <v>Gullion</v>
          </cell>
        </row>
        <row r="13776">
          <cell r="I13776" t="str">
            <v>Groner</v>
          </cell>
        </row>
        <row r="13777">
          <cell r="I13777" t="str">
            <v>Greenwalt</v>
          </cell>
        </row>
        <row r="13778">
          <cell r="I13778" t="str">
            <v>Grand</v>
          </cell>
        </row>
        <row r="13779">
          <cell r="I13779" t="str">
            <v>Goodwill</v>
          </cell>
        </row>
        <row r="13780">
          <cell r="I13780" t="str">
            <v>Gong</v>
          </cell>
        </row>
        <row r="13781">
          <cell r="I13781" t="str">
            <v>Gobert</v>
          </cell>
        </row>
        <row r="13782">
          <cell r="I13782" t="str">
            <v>Glowacki</v>
          </cell>
        </row>
        <row r="13783">
          <cell r="I13783" t="str">
            <v>Glessner</v>
          </cell>
        </row>
        <row r="13784">
          <cell r="I13784" t="str">
            <v>Gines</v>
          </cell>
        </row>
        <row r="13785">
          <cell r="I13785" t="str">
            <v>Gildersleeve</v>
          </cell>
        </row>
        <row r="13786">
          <cell r="I13786" t="str">
            <v>Gildea</v>
          </cell>
        </row>
        <row r="13787">
          <cell r="I13787" t="str">
            <v>Gerke</v>
          </cell>
        </row>
        <row r="13788">
          <cell r="I13788" t="str">
            <v>Gerhard</v>
          </cell>
        </row>
        <row r="13789">
          <cell r="I13789" t="str">
            <v>Gebhard</v>
          </cell>
        </row>
        <row r="13790">
          <cell r="I13790" t="str">
            <v>Gatton</v>
          </cell>
        </row>
        <row r="13791">
          <cell r="I13791" t="str">
            <v>Gately</v>
          </cell>
        </row>
        <row r="13792">
          <cell r="I13792" t="str">
            <v>Galasso</v>
          </cell>
        </row>
        <row r="13793">
          <cell r="I13793" t="str">
            <v>Fralick</v>
          </cell>
        </row>
        <row r="13794">
          <cell r="I13794" t="str">
            <v>Fouse</v>
          </cell>
        </row>
        <row r="13795">
          <cell r="I13795" t="str">
            <v>Fluharty</v>
          </cell>
        </row>
        <row r="13796">
          <cell r="I13796" t="str">
            <v>Faucette</v>
          </cell>
        </row>
        <row r="13797">
          <cell r="I13797" t="str">
            <v>Fairfax</v>
          </cell>
        </row>
        <row r="13798">
          <cell r="I13798" t="str">
            <v>Evanoff</v>
          </cell>
        </row>
        <row r="13799">
          <cell r="I13799" t="str">
            <v>Elser</v>
          </cell>
        </row>
        <row r="13800">
          <cell r="I13800" t="str">
            <v>Ellard</v>
          </cell>
        </row>
        <row r="13801">
          <cell r="I13801" t="str">
            <v>Egerton</v>
          </cell>
        </row>
        <row r="13802">
          <cell r="I13802" t="str">
            <v>Edie</v>
          </cell>
        </row>
        <row r="13803">
          <cell r="I13803" t="str">
            <v>Ector</v>
          </cell>
        </row>
        <row r="13804">
          <cell r="I13804" t="str">
            <v>Ebling</v>
          </cell>
        </row>
        <row r="13805">
          <cell r="I13805" t="str">
            <v>Dunkel</v>
          </cell>
        </row>
        <row r="13806">
          <cell r="I13806" t="str">
            <v>Duhart</v>
          </cell>
        </row>
        <row r="13807">
          <cell r="I13807" t="str">
            <v>Drysdale</v>
          </cell>
        </row>
        <row r="13808">
          <cell r="I13808" t="str">
            <v>Dostal</v>
          </cell>
        </row>
        <row r="13809">
          <cell r="I13809" t="str">
            <v>Dorey</v>
          </cell>
        </row>
        <row r="13810">
          <cell r="I13810" t="str">
            <v>Dolph</v>
          </cell>
        </row>
        <row r="13811">
          <cell r="I13811" t="str">
            <v>Doles</v>
          </cell>
        </row>
        <row r="13812">
          <cell r="I13812" t="str">
            <v>Dismukes</v>
          </cell>
        </row>
        <row r="13813">
          <cell r="I13813" t="str">
            <v>Digregorio</v>
          </cell>
        </row>
        <row r="13814">
          <cell r="I13814" t="str">
            <v>Digby</v>
          </cell>
        </row>
        <row r="13815">
          <cell r="I13815" t="str">
            <v>Dewees</v>
          </cell>
        </row>
        <row r="13816">
          <cell r="I13816" t="str">
            <v>Deramus</v>
          </cell>
        </row>
        <row r="13817">
          <cell r="I13817" t="str">
            <v>Denniston</v>
          </cell>
        </row>
        <row r="13818">
          <cell r="I13818" t="str">
            <v>Dennett</v>
          </cell>
        </row>
        <row r="13819">
          <cell r="I13819" t="str">
            <v>Deloney</v>
          </cell>
        </row>
        <row r="13820">
          <cell r="I13820" t="str">
            <v>Delaughter</v>
          </cell>
        </row>
        <row r="13821">
          <cell r="I13821" t="str">
            <v>Darcy</v>
          </cell>
        </row>
        <row r="13822">
          <cell r="I13822" t="str">
            <v>Cuneo</v>
          </cell>
        </row>
        <row r="13823">
          <cell r="I13823" t="str">
            <v>Cumberland</v>
          </cell>
        </row>
        <row r="13824">
          <cell r="I13824" t="str">
            <v>Crotts</v>
          </cell>
        </row>
        <row r="13825">
          <cell r="I13825" t="str">
            <v>Crosswhite</v>
          </cell>
        </row>
        <row r="13826">
          <cell r="I13826" t="str">
            <v>Cremeans</v>
          </cell>
        </row>
        <row r="13827">
          <cell r="I13827" t="str">
            <v>Creasey</v>
          </cell>
        </row>
        <row r="13828">
          <cell r="I13828" t="str">
            <v>Cottman</v>
          </cell>
        </row>
        <row r="13829">
          <cell r="I13829" t="str">
            <v>Cothern</v>
          </cell>
        </row>
        <row r="13830">
          <cell r="I13830" t="str">
            <v>Costales</v>
          </cell>
        </row>
        <row r="13831">
          <cell r="I13831" t="str">
            <v>Cosner</v>
          </cell>
        </row>
        <row r="13832">
          <cell r="I13832" t="str">
            <v>Corpus</v>
          </cell>
        </row>
        <row r="13833">
          <cell r="I13833" t="str">
            <v>Cora</v>
          </cell>
        </row>
        <row r="13834">
          <cell r="I13834" t="str">
            <v>Constable</v>
          </cell>
        </row>
        <row r="13835">
          <cell r="I13835" t="str">
            <v>Colligan</v>
          </cell>
        </row>
        <row r="13836">
          <cell r="I13836" t="str">
            <v>Cobble</v>
          </cell>
        </row>
        <row r="13837">
          <cell r="I13837" t="str">
            <v>Clutter</v>
          </cell>
        </row>
        <row r="13838">
          <cell r="I13838" t="str">
            <v>Chupp</v>
          </cell>
        </row>
        <row r="13839">
          <cell r="I13839" t="str">
            <v>Chevez</v>
          </cell>
        </row>
        <row r="13840">
          <cell r="I13840" t="str">
            <v>Chatmon</v>
          </cell>
        </row>
        <row r="13841">
          <cell r="I13841" t="str">
            <v>Chaires</v>
          </cell>
        </row>
        <row r="13842">
          <cell r="I13842" t="str">
            <v>Caplan</v>
          </cell>
        </row>
        <row r="13843">
          <cell r="I13843" t="str">
            <v>Caffee</v>
          </cell>
        </row>
        <row r="13844">
          <cell r="I13844" t="str">
            <v>Cabana</v>
          </cell>
        </row>
        <row r="13845">
          <cell r="I13845" t="str">
            <v>Burrough</v>
          </cell>
        </row>
        <row r="13846">
          <cell r="I13846" t="str">
            <v>Burditt</v>
          </cell>
        </row>
        <row r="13847">
          <cell r="I13847" t="str">
            <v>Buckler</v>
          </cell>
        </row>
        <row r="13848">
          <cell r="I13848" t="str">
            <v>Brunswick</v>
          </cell>
        </row>
        <row r="13849">
          <cell r="I13849" t="str">
            <v>Brouillard</v>
          </cell>
        </row>
        <row r="13850">
          <cell r="I13850" t="str">
            <v>Broady</v>
          </cell>
        </row>
        <row r="13851">
          <cell r="I13851" t="str">
            <v>Bowlby</v>
          </cell>
        </row>
        <row r="13852">
          <cell r="I13852" t="str">
            <v>Bouley</v>
          </cell>
        </row>
        <row r="13853">
          <cell r="I13853" t="str">
            <v>Borgman</v>
          </cell>
        </row>
        <row r="13854">
          <cell r="I13854" t="str">
            <v>Boltz</v>
          </cell>
        </row>
        <row r="13855">
          <cell r="I13855" t="str">
            <v>Boddy</v>
          </cell>
        </row>
        <row r="13856">
          <cell r="I13856" t="str">
            <v>Blackston</v>
          </cell>
        </row>
        <row r="13857">
          <cell r="I13857" t="str">
            <v>Birdsell</v>
          </cell>
        </row>
        <row r="13858">
          <cell r="I13858" t="str">
            <v>Bedgood</v>
          </cell>
        </row>
        <row r="13859">
          <cell r="I13859" t="str">
            <v>Bate</v>
          </cell>
        </row>
        <row r="13860">
          <cell r="I13860" t="str">
            <v>Basil</v>
          </cell>
        </row>
        <row r="13861">
          <cell r="I13861" t="str">
            <v>Bartos</v>
          </cell>
        </row>
        <row r="13862">
          <cell r="I13862" t="str">
            <v>Barriga</v>
          </cell>
        </row>
        <row r="13863">
          <cell r="I13863" t="str">
            <v>Barrie</v>
          </cell>
        </row>
        <row r="13864">
          <cell r="I13864" t="str">
            <v>Barna</v>
          </cell>
        </row>
        <row r="13865">
          <cell r="I13865" t="str">
            <v>Barcenas</v>
          </cell>
        </row>
        <row r="13866">
          <cell r="I13866" t="str">
            <v>Banach</v>
          </cell>
        </row>
        <row r="13867">
          <cell r="I13867" t="str">
            <v>Baccus</v>
          </cell>
        </row>
        <row r="13868">
          <cell r="I13868" t="str">
            <v>Auclair</v>
          </cell>
        </row>
        <row r="13869">
          <cell r="I13869" t="str">
            <v>Ashman</v>
          </cell>
        </row>
        <row r="13870">
          <cell r="I13870" t="str">
            <v>Arter</v>
          </cell>
        </row>
        <row r="13871">
          <cell r="I13871" t="str">
            <v>Arendt</v>
          </cell>
        </row>
        <row r="13872">
          <cell r="I13872" t="str">
            <v>Ansell</v>
          </cell>
        </row>
        <row r="13873">
          <cell r="I13873" t="str">
            <v>Allums</v>
          </cell>
        </row>
        <row r="13874">
          <cell r="I13874" t="str">
            <v>Allsop</v>
          </cell>
        </row>
        <row r="13875">
          <cell r="I13875" t="str">
            <v>Allender</v>
          </cell>
        </row>
        <row r="13876">
          <cell r="I13876" t="str">
            <v>Alber</v>
          </cell>
        </row>
        <row r="13877">
          <cell r="I13877" t="str">
            <v>Albarran</v>
          </cell>
        </row>
        <row r="13878">
          <cell r="I13878" t="str">
            <v>Adelson</v>
          </cell>
        </row>
        <row r="13879">
          <cell r="I13879" t="str">
            <v>Zoll</v>
          </cell>
        </row>
        <row r="13880">
          <cell r="I13880" t="str">
            <v>Wysong</v>
          </cell>
        </row>
        <row r="13881">
          <cell r="I13881" t="str">
            <v>Wimbley</v>
          </cell>
        </row>
        <row r="13882">
          <cell r="I13882" t="str">
            <v>Wildes</v>
          </cell>
        </row>
        <row r="13883">
          <cell r="I13883" t="str">
            <v>Whitis</v>
          </cell>
        </row>
        <row r="13884">
          <cell r="I13884" t="str">
            <v>Whitehill</v>
          </cell>
        </row>
        <row r="13885">
          <cell r="I13885" t="str">
            <v>Whicker</v>
          </cell>
        </row>
        <row r="13886">
          <cell r="I13886" t="str">
            <v>Weymouth</v>
          </cell>
        </row>
        <row r="13887">
          <cell r="I13887" t="str">
            <v>Well</v>
          </cell>
        </row>
        <row r="13888">
          <cell r="I13888" t="str">
            <v>Weldy</v>
          </cell>
        </row>
        <row r="13889">
          <cell r="I13889" t="str">
            <v>Wark</v>
          </cell>
        </row>
        <row r="13890">
          <cell r="I13890" t="str">
            <v>Wareham</v>
          </cell>
        </row>
        <row r="13891">
          <cell r="I13891" t="str">
            <v>Waddy</v>
          </cell>
        </row>
        <row r="13892">
          <cell r="I13892" t="str">
            <v>Viveiros</v>
          </cell>
        </row>
        <row r="13893">
          <cell r="I13893" t="str">
            <v>Vito</v>
          </cell>
        </row>
        <row r="13894">
          <cell r="I13894" t="str">
            <v>Vides</v>
          </cell>
        </row>
        <row r="13895">
          <cell r="I13895" t="str">
            <v>Vecchio</v>
          </cell>
        </row>
        <row r="13896">
          <cell r="I13896" t="str">
            <v>Vath</v>
          </cell>
        </row>
        <row r="13897">
          <cell r="I13897" t="str">
            <v>Vandoren</v>
          </cell>
        </row>
        <row r="13898">
          <cell r="I13898" t="str">
            <v>Vanderhoof</v>
          </cell>
        </row>
        <row r="13899">
          <cell r="I13899" t="str">
            <v>Unrein</v>
          </cell>
        </row>
        <row r="13900">
          <cell r="I13900" t="str">
            <v>Uecker</v>
          </cell>
        </row>
        <row r="13901">
          <cell r="I13901" t="str">
            <v>Tsan</v>
          </cell>
        </row>
        <row r="13902">
          <cell r="I13902" t="str">
            <v>Trepanier</v>
          </cell>
        </row>
        <row r="13903">
          <cell r="I13903" t="str">
            <v>Tregre</v>
          </cell>
        </row>
        <row r="13904">
          <cell r="I13904" t="str">
            <v>Torkelson</v>
          </cell>
        </row>
        <row r="13905">
          <cell r="I13905" t="str">
            <v>Ton</v>
          </cell>
        </row>
        <row r="13906">
          <cell r="I13906" t="str">
            <v>Tobler</v>
          </cell>
        </row>
        <row r="13907">
          <cell r="I13907" t="str">
            <v>Tineo</v>
          </cell>
        </row>
        <row r="13908">
          <cell r="I13908" t="str">
            <v>Timmer</v>
          </cell>
        </row>
        <row r="13909">
          <cell r="I13909" t="str">
            <v>Swopes</v>
          </cell>
        </row>
        <row r="13910">
          <cell r="I13910" t="str">
            <v>Swofford</v>
          </cell>
        </row>
        <row r="13911">
          <cell r="I13911" t="str">
            <v>Sweeten</v>
          </cell>
        </row>
        <row r="13912">
          <cell r="I13912" t="str">
            <v>Swarts</v>
          </cell>
        </row>
        <row r="13913">
          <cell r="I13913" t="str">
            <v>Summerfield</v>
          </cell>
        </row>
        <row r="13914">
          <cell r="I13914" t="str">
            <v>Sumler</v>
          </cell>
        </row>
        <row r="13915">
          <cell r="I13915" t="str">
            <v>Stucky</v>
          </cell>
        </row>
        <row r="13916">
          <cell r="I13916" t="str">
            <v>Strozier</v>
          </cell>
        </row>
        <row r="13917">
          <cell r="I13917" t="str">
            <v>Stigall</v>
          </cell>
        </row>
        <row r="13918">
          <cell r="I13918" t="str">
            <v>Stickel</v>
          </cell>
        </row>
        <row r="13919">
          <cell r="I13919" t="str">
            <v>Stennis</v>
          </cell>
        </row>
        <row r="13920">
          <cell r="I13920" t="str">
            <v>Stelzer</v>
          </cell>
        </row>
        <row r="13921">
          <cell r="I13921" t="str">
            <v>Steely</v>
          </cell>
        </row>
        <row r="13922">
          <cell r="I13922" t="str">
            <v>Solar</v>
          </cell>
        </row>
        <row r="13923">
          <cell r="I13923" t="str">
            <v>Slayden</v>
          </cell>
        </row>
        <row r="13924">
          <cell r="I13924" t="str">
            <v>Skillern</v>
          </cell>
        </row>
        <row r="13925">
          <cell r="I13925" t="str">
            <v>Shurtz</v>
          </cell>
        </row>
        <row r="13926">
          <cell r="I13926" t="str">
            <v>Shelor</v>
          </cell>
        </row>
        <row r="13927">
          <cell r="I13927" t="str">
            <v>Shellenbarger</v>
          </cell>
        </row>
        <row r="13928">
          <cell r="I13928" t="str">
            <v>Shand</v>
          </cell>
        </row>
        <row r="13929">
          <cell r="I13929" t="str">
            <v>Shabazz</v>
          </cell>
        </row>
        <row r="13930">
          <cell r="I13930" t="str">
            <v>Seo</v>
          </cell>
        </row>
        <row r="13931">
          <cell r="I13931" t="str">
            <v>Scroggs</v>
          </cell>
        </row>
        <row r="13932">
          <cell r="I13932" t="str">
            <v>Schwandt</v>
          </cell>
        </row>
        <row r="13933">
          <cell r="I13933" t="str">
            <v>Schrecengost</v>
          </cell>
        </row>
        <row r="13934">
          <cell r="I13934" t="str">
            <v>Schoenrock</v>
          </cell>
        </row>
        <row r="13935">
          <cell r="I13935" t="str">
            <v>Schirmer</v>
          </cell>
        </row>
        <row r="13936">
          <cell r="I13936" t="str">
            <v>Sandridge</v>
          </cell>
        </row>
        <row r="13937">
          <cell r="I13937" t="str">
            <v>Ruzicka</v>
          </cell>
        </row>
        <row r="13938">
          <cell r="I13938" t="str">
            <v>Rozek</v>
          </cell>
        </row>
        <row r="13939">
          <cell r="I13939" t="str">
            <v>Rowlands</v>
          </cell>
        </row>
        <row r="13940">
          <cell r="I13940" t="str">
            <v>Roser</v>
          </cell>
        </row>
        <row r="13941">
          <cell r="I13941" t="str">
            <v>Rosendahl</v>
          </cell>
        </row>
        <row r="13942">
          <cell r="I13942" t="str">
            <v>Romanowski</v>
          </cell>
        </row>
        <row r="13943">
          <cell r="I13943" t="str">
            <v>Romaine</v>
          </cell>
        </row>
        <row r="13944">
          <cell r="I13944" t="str">
            <v>Rolston</v>
          </cell>
        </row>
        <row r="13945">
          <cell r="I13945" t="str">
            <v>Rink</v>
          </cell>
        </row>
        <row r="13946">
          <cell r="I13946" t="str">
            <v>Riggio</v>
          </cell>
        </row>
        <row r="13947">
          <cell r="I13947" t="str">
            <v>Reichman</v>
          </cell>
        </row>
        <row r="13948">
          <cell r="I13948" t="str">
            <v>Redondo</v>
          </cell>
        </row>
        <row r="13949">
          <cell r="I13949" t="str">
            <v>Reay</v>
          </cell>
        </row>
        <row r="13950">
          <cell r="I13950" t="str">
            <v>Rawlinson</v>
          </cell>
        </row>
        <row r="13951">
          <cell r="I13951" t="str">
            <v>Raskin</v>
          </cell>
        </row>
        <row r="13952">
          <cell r="I13952" t="str">
            <v>Raine</v>
          </cell>
        </row>
        <row r="13953">
          <cell r="I13953" t="str">
            <v>Quandt</v>
          </cell>
        </row>
        <row r="13954">
          <cell r="I13954" t="str">
            <v>Purpura</v>
          </cell>
        </row>
        <row r="13955">
          <cell r="I13955" t="str">
            <v>Purdue</v>
          </cell>
        </row>
        <row r="13956">
          <cell r="I13956" t="str">
            <v>Pruneda</v>
          </cell>
        </row>
        <row r="13957">
          <cell r="I13957" t="str">
            <v>Prevatte</v>
          </cell>
        </row>
        <row r="13958">
          <cell r="I13958" t="str">
            <v>Prettyman</v>
          </cell>
        </row>
        <row r="13959">
          <cell r="I13959" t="str">
            <v>Pinedo</v>
          </cell>
        </row>
        <row r="13960">
          <cell r="I13960" t="str">
            <v>Pierro</v>
          </cell>
        </row>
        <row r="13961">
          <cell r="I13961" t="str">
            <v>Pidgeon</v>
          </cell>
        </row>
        <row r="13962">
          <cell r="I13962" t="str">
            <v>Phillippi</v>
          </cell>
        </row>
        <row r="13963">
          <cell r="I13963" t="str">
            <v>Pfeil</v>
          </cell>
        </row>
        <row r="13964">
          <cell r="I13964" t="str">
            <v>Penix</v>
          </cell>
        </row>
        <row r="13965">
          <cell r="I13965" t="str">
            <v>Peasley</v>
          </cell>
        </row>
        <row r="13966">
          <cell r="I13966" t="str">
            <v>Paro</v>
          </cell>
        </row>
        <row r="13967">
          <cell r="I13967" t="str">
            <v>Overall</v>
          </cell>
        </row>
        <row r="13968">
          <cell r="I13968" t="str">
            <v>Ospina</v>
          </cell>
        </row>
        <row r="13969">
          <cell r="I13969" t="str">
            <v>Ortegon</v>
          </cell>
        </row>
        <row r="13970">
          <cell r="I13970" t="str">
            <v>Ogata</v>
          </cell>
        </row>
        <row r="13971">
          <cell r="I13971" t="str">
            <v>Ogara</v>
          </cell>
        </row>
        <row r="13972">
          <cell r="I13972" t="str">
            <v>Normandin</v>
          </cell>
        </row>
        <row r="13973">
          <cell r="I13973" t="str">
            <v>Nordman</v>
          </cell>
        </row>
        <row r="13974">
          <cell r="I13974" t="str">
            <v>Nims</v>
          </cell>
        </row>
        <row r="13975">
          <cell r="I13975" t="str">
            <v>Nassar</v>
          </cell>
        </row>
        <row r="13976">
          <cell r="I13976" t="str">
            <v>Motz</v>
          </cell>
        </row>
        <row r="13977">
          <cell r="I13977" t="str">
            <v>Morlan</v>
          </cell>
        </row>
        <row r="13978">
          <cell r="I13978" t="str">
            <v>Mooring</v>
          </cell>
        </row>
        <row r="13979">
          <cell r="I13979" t="str">
            <v>Moles</v>
          </cell>
        </row>
        <row r="13980">
          <cell r="I13980" t="str">
            <v>Moir</v>
          </cell>
        </row>
        <row r="13981">
          <cell r="I13981" t="str">
            <v>Mizrahi</v>
          </cell>
        </row>
        <row r="13982">
          <cell r="I13982" t="str">
            <v>Mire</v>
          </cell>
        </row>
        <row r="13983">
          <cell r="I13983" t="str">
            <v>Minaya</v>
          </cell>
        </row>
        <row r="13984">
          <cell r="I13984" t="str">
            <v>Millwood</v>
          </cell>
        </row>
        <row r="13985">
          <cell r="I13985" t="str">
            <v>Mikula</v>
          </cell>
        </row>
        <row r="13986">
          <cell r="I13986" t="str">
            <v>Messmer</v>
          </cell>
        </row>
        <row r="13987">
          <cell r="I13987" t="str">
            <v>Meikle</v>
          </cell>
        </row>
        <row r="13988">
          <cell r="I13988" t="str">
            <v>Mctaggart</v>
          </cell>
        </row>
        <row r="13989">
          <cell r="I13989" t="str">
            <v>Mcgonagle</v>
          </cell>
        </row>
        <row r="13990">
          <cell r="I13990" t="str">
            <v>Mcewan</v>
          </cell>
        </row>
        <row r="13991">
          <cell r="I13991" t="str">
            <v>Mccasland</v>
          </cell>
        </row>
        <row r="13992">
          <cell r="I13992" t="str">
            <v>Mccane</v>
          </cell>
        </row>
        <row r="13993">
          <cell r="I13993" t="str">
            <v>Mccaffery</v>
          </cell>
        </row>
        <row r="13994">
          <cell r="I13994" t="str">
            <v>Mcalexander</v>
          </cell>
        </row>
        <row r="13995">
          <cell r="I13995" t="str">
            <v>Mattocks</v>
          </cell>
        </row>
        <row r="13996">
          <cell r="I13996" t="str">
            <v>Mattie</v>
          </cell>
        </row>
        <row r="13997">
          <cell r="I13997" t="str">
            <v>Matranga</v>
          </cell>
        </row>
        <row r="13998">
          <cell r="I13998" t="str">
            <v>Martone</v>
          </cell>
        </row>
        <row r="13999">
          <cell r="I13999" t="str">
            <v>Markland</v>
          </cell>
        </row>
        <row r="14000">
          <cell r="I14000" t="str">
            <v>Maravilla</v>
          </cell>
        </row>
        <row r="14001">
          <cell r="I14001" t="str">
            <v>Manno</v>
          </cell>
        </row>
        <row r="14002">
          <cell r="I14002" t="str">
            <v>Manly</v>
          </cell>
        </row>
        <row r="14003">
          <cell r="I14003" t="str">
            <v>Mancha</v>
          </cell>
        </row>
        <row r="14004">
          <cell r="I14004" t="str">
            <v>Mallery</v>
          </cell>
        </row>
        <row r="14005">
          <cell r="I14005" t="str">
            <v>Magno</v>
          </cell>
        </row>
        <row r="14006">
          <cell r="I14006" t="str">
            <v>Lorentz</v>
          </cell>
        </row>
        <row r="14007">
          <cell r="I14007" t="str">
            <v>Locklin</v>
          </cell>
        </row>
        <row r="14008">
          <cell r="I14008" t="str">
            <v>Livingstone</v>
          </cell>
        </row>
        <row r="14009">
          <cell r="I14009" t="str">
            <v>Lipford</v>
          </cell>
        </row>
        <row r="14010">
          <cell r="I14010" t="str">
            <v>Lininger</v>
          </cell>
        </row>
        <row r="14011">
          <cell r="I14011" t="str">
            <v>Line</v>
          </cell>
        </row>
        <row r="14012">
          <cell r="I14012" t="str">
            <v>Liao</v>
          </cell>
        </row>
        <row r="14013">
          <cell r="I14013" t="str">
            <v>Lepley</v>
          </cell>
        </row>
        <row r="14014">
          <cell r="I14014" t="str">
            <v>Leming</v>
          </cell>
        </row>
        <row r="14015">
          <cell r="I14015" t="str">
            <v>Lemelin</v>
          </cell>
        </row>
        <row r="14016">
          <cell r="I14016" t="str">
            <v>Leadbetter</v>
          </cell>
        </row>
        <row r="14017">
          <cell r="I14017" t="str">
            <v>Lawhon</v>
          </cell>
        </row>
        <row r="14018">
          <cell r="I14018" t="str">
            <v>Lattin</v>
          </cell>
        </row>
        <row r="14019">
          <cell r="I14019" t="str">
            <v>Langworthy</v>
          </cell>
        </row>
        <row r="14020">
          <cell r="I14020" t="str">
            <v>Lampman</v>
          </cell>
        </row>
        <row r="14021">
          <cell r="I14021" t="str">
            <v>Lambeth</v>
          </cell>
        </row>
        <row r="14022">
          <cell r="I14022" t="str">
            <v>Lamarr</v>
          </cell>
        </row>
        <row r="14023">
          <cell r="I14023" t="str">
            <v>Lahey</v>
          </cell>
        </row>
        <row r="14024">
          <cell r="I14024" t="str">
            <v>Krajewski</v>
          </cell>
        </row>
        <row r="14025">
          <cell r="I14025" t="str">
            <v>Klopp</v>
          </cell>
        </row>
        <row r="14026">
          <cell r="I14026" t="str">
            <v>Kinnison</v>
          </cell>
        </row>
        <row r="14027">
          <cell r="I14027" t="str">
            <v>Kestner</v>
          </cell>
        </row>
        <row r="14028">
          <cell r="I14028" t="str">
            <v>Kerry</v>
          </cell>
        </row>
        <row r="14029">
          <cell r="I14029" t="str">
            <v>Kennell</v>
          </cell>
        </row>
        <row r="14030">
          <cell r="I14030" t="str">
            <v>Karim</v>
          </cell>
        </row>
        <row r="14031">
          <cell r="I14031" t="str">
            <v>Jozwiak</v>
          </cell>
        </row>
        <row r="14032">
          <cell r="I14032" t="str">
            <v>Jakubowski</v>
          </cell>
        </row>
        <row r="14033">
          <cell r="I14033" t="str">
            <v>Jagger</v>
          </cell>
        </row>
        <row r="14034">
          <cell r="I14034" t="str">
            <v>Ivery</v>
          </cell>
        </row>
        <row r="14035">
          <cell r="I14035" t="str">
            <v>Ishmael</v>
          </cell>
        </row>
        <row r="14036">
          <cell r="I14036" t="str">
            <v>Iliff</v>
          </cell>
        </row>
        <row r="14037">
          <cell r="I14037" t="str">
            <v>Iddings</v>
          </cell>
        </row>
        <row r="14038">
          <cell r="I14038" t="str">
            <v>Hudkins</v>
          </cell>
        </row>
        <row r="14039">
          <cell r="I14039" t="str">
            <v>Houseman</v>
          </cell>
        </row>
        <row r="14040">
          <cell r="I14040" t="str">
            <v>Holz</v>
          </cell>
        </row>
        <row r="14041">
          <cell r="I14041" t="str">
            <v>Holderman</v>
          </cell>
        </row>
        <row r="14042">
          <cell r="I14042" t="str">
            <v>Hoehne</v>
          </cell>
        </row>
        <row r="14043">
          <cell r="I14043" t="str">
            <v>Highfill</v>
          </cell>
        </row>
        <row r="14044">
          <cell r="I14044" t="str">
            <v>Hiett</v>
          </cell>
        </row>
        <row r="14045">
          <cell r="I14045" t="str">
            <v>Heskett</v>
          </cell>
        </row>
        <row r="14046">
          <cell r="I14046" t="str">
            <v>Heldt</v>
          </cell>
        </row>
        <row r="14047">
          <cell r="I14047" t="str">
            <v>Hedman</v>
          </cell>
        </row>
        <row r="14048">
          <cell r="I14048" t="str">
            <v>Hayslett</v>
          </cell>
        </row>
        <row r="14049">
          <cell r="I14049" t="str">
            <v>Hatchell</v>
          </cell>
        </row>
        <row r="14050">
          <cell r="I14050" t="str">
            <v>Hasse</v>
          </cell>
        </row>
        <row r="14051">
          <cell r="I14051" t="str">
            <v>Hamon</v>
          </cell>
        </row>
        <row r="14052">
          <cell r="I14052" t="str">
            <v>Hamada</v>
          </cell>
        </row>
        <row r="14053">
          <cell r="I14053" t="str">
            <v>Hakala</v>
          </cell>
        </row>
        <row r="14054">
          <cell r="I14054" t="str">
            <v>Haislip</v>
          </cell>
        </row>
        <row r="14055">
          <cell r="I14055" t="str">
            <v>Haffey</v>
          </cell>
        </row>
        <row r="14056">
          <cell r="I14056" t="str">
            <v>Hackbarth</v>
          </cell>
        </row>
        <row r="14057">
          <cell r="I14057" t="str">
            <v>Guo</v>
          </cell>
        </row>
        <row r="14058">
          <cell r="I14058" t="str">
            <v>Gullickson</v>
          </cell>
        </row>
        <row r="14059">
          <cell r="I14059" t="str">
            <v>Guerrette</v>
          </cell>
        </row>
        <row r="14060">
          <cell r="I14060" t="str">
            <v>Guan</v>
          </cell>
        </row>
        <row r="14061">
          <cell r="I14061" t="str">
            <v>Greenblatt</v>
          </cell>
        </row>
        <row r="14062">
          <cell r="I14062" t="str">
            <v>Goudreau</v>
          </cell>
        </row>
        <row r="14063">
          <cell r="I14063" t="str">
            <v>Gongora</v>
          </cell>
        </row>
        <row r="14064">
          <cell r="I14064" t="str">
            <v>Godbout</v>
          </cell>
        </row>
        <row r="14065">
          <cell r="I14065" t="str">
            <v>Glaude</v>
          </cell>
        </row>
        <row r="14066">
          <cell r="I14066" t="str">
            <v>Gills</v>
          </cell>
        </row>
        <row r="14067">
          <cell r="I14067" t="str">
            <v>Gillison</v>
          </cell>
        </row>
        <row r="14068">
          <cell r="I14068" t="str">
            <v>Gigliotti</v>
          </cell>
        </row>
        <row r="14069">
          <cell r="I14069" t="str">
            <v>Gargano</v>
          </cell>
        </row>
        <row r="14070">
          <cell r="I14070" t="str">
            <v>Gallucci</v>
          </cell>
        </row>
        <row r="14071">
          <cell r="I14071" t="str">
            <v>Galli</v>
          </cell>
        </row>
        <row r="14072">
          <cell r="I14072" t="str">
            <v>Galante</v>
          </cell>
        </row>
        <row r="14073">
          <cell r="I14073" t="str">
            <v>Frasure</v>
          </cell>
        </row>
        <row r="14074">
          <cell r="I14074" t="str">
            <v>Fodor</v>
          </cell>
        </row>
        <row r="14075">
          <cell r="I14075" t="str">
            <v>Fizer</v>
          </cell>
        </row>
        <row r="14076">
          <cell r="I14076" t="str">
            <v>Fishburn</v>
          </cell>
        </row>
        <row r="14077">
          <cell r="I14077" t="str">
            <v>Finkbeiner</v>
          </cell>
        </row>
        <row r="14078">
          <cell r="I14078" t="str">
            <v>Finck</v>
          </cell>
        </row>
        <row r="14079">
          <cell r="I14079" t="str">
            <v>Fager</v>
          </cell>
        </row>
        <row r="14080">
          <cell r="I14080" t="str">
            <v>Estey</v>
          </cell>
        </row>
        <row r="14081">
          <cell r="I14081" t="str">
            <v>Espiritu</v>
          </cell>
        </row>
        <row r="14082">
          <cell r="I14082" t="str">
            <v>Eppinger</v>
          </cell>
        </row>
        <row r="14083">
          <cell r="I14083" t="str">
            <v>Epperly</v>
          </cell>
        </row>
        <row r="14084">
          <cell r="I14084" t="str">
            <v>Emig</v>
          </cell>
        </row>
        <row r="14085">
          <cell r="I14085" t="str">
            <v>Eckley</v>
          </cell>
        </row>
        <row r="14086">
          <cell r="I14086" t="str">
            <v>Dray</v>
          </cell>
        </row>
        <row r="14087">
          <cell r="I14087" t="str">
            <v>Dorsch</v>
          </cell>
        </row>
        <row r="14088">
          <cell r="I14088" t="str">
            <v>Dille</v>
          </cell>
        </row>
        <row r="14089">
          <cell r="I14089" t="str">
            <v>Devita</v>
          </cell>
        </row>
        <row r="14090">
          <cell r="I14090" t="str">
            <v>Deslauriers</v>
          </cell>
        </row>
        <row r="14091">
          <cell r="I14091" t="str">
            <v>Demery</v>
          </cell>
        </row>
        <row r="14092">
          <cell r="I14092" t="str">
            <v>Delorme</v>
          </cell>
        </row>
        <row r="14093">
          <cell r="I14093" t="str">
            <v>Delbosque</v>
          </cell>
        </row>
        <row r="14094">
          <cell r="I14094" t="str">
            <v>Dauphin</v>
          </cell>
        </row>
        <row r="14095">
          <cell r="I14095" t="str">
            <v>Dantonio</v>
          </cell>
        </row>
        <row r="14096">
          <cell r="I14096" t="str">
            <v>Curd</v>
          </cell>
        </row>
        <row r="14097">
          <cell r="I14097" t="str">
            <v>Crume</v>
          </cell>
        </row>
        <row r="14098">
          <cell r="I14098" t="str">
            <v>Crown</v>
          </cell>
        </row>
        <row r="14099">
          <cell r="I14099" t="str">
            <v>Cozad</v>
          </cell>
        </row>
        <row r="14100">
          <cell r="I14100" t="str">
            <v>Cossette</v>
          </cell>
        </row>
        <row r="14101">
          <cell r="I14101" t="str">
            <v>Comacho</v>
          </cell>
        </row>
        <row r="14102">
          <cell r="I14102" t="str">
            <v>Climer</v>
          </cell>
        </row>
        <row r="14103">
          <cell r="I14103" t="str">
            <v>Chadbourne</v>
          </cell>
        </row>
        <row r="14104">
          <cell r="I14104" t="str">
            <v>Cespedes</v>
          </cell>
        </row>
        <row r="14105">
          <cell r="I14105" t="str">
            <v>Cayton</v>
          </cell>
        </row>
        <row r="14106">
          <cell r="I14106" t="str">
            <v>Castaldo</v>
          </cell>
        </row>
        <row r="14107">
          <cell r="I14107" t="str">
            <v>Carpino</v>
          </cell>
        </row>
        <row r="14108">
          <cell r="I14108" t="str">
            <v>Carls</v>
          </cell>
        </row>
        <row r="14109">
          <cell r="I14109" t="str">
            <v>Capozzi</v>
          </cell>
        </row>
        <row r="14110">
          <cell r="I14110" t="str">
            <v>Canela</v>
          </cell>
        </row>
        <row r="14111">
          <cell r="I14111" t="str">
            <v>Cadet</v>
          </cell>
        </row>
        <row r="14112">
          <cell r="I14112" t="str">
            <v>Buzard</v>
          </cell>
        </row>
        <row r="14113">
          <cell r="I14113" t="str">
            <v>Busick</v>
          </cell>
        </row>
        <row r="14114">
          <cell r="I14114" t="str">
            <v>Burlison</v>
          </cell>
        </row>
        <row r="14115">
          <cell r="I14115" t="str">
            <v>Brinkmann</v>
          </cell>
        </row>
        <row r="14116">
          <cell r="I14116" t="str">
            <v>Bridgeforth</v>
          </cell>
        </row>
        <row r="14117">
          <cell r="I14117" t="str">
            <v>Bourbeau</v>
          </cell>
        </row>
        <row r="14118">
          <cell r="I14118" t="str">
            <v>Bornstein</v>
          </cell>
        </row>
        <row r="14119">
          <cell r="I14119" t="str">
            <v>Boots</v>
          </cell>
        </row>
        <row r="14120">
          <cell r="I14120" t="str">
            <v>Bonfiglio</v>
          </cell>
        </row>
        <row r="14121">
          <cell r="I14121" t="str">
            <v>Boice</v>
          </cell>
        </row>
        <row r="14122">
          <cell r="I14122" t="str">
            <v>Boese</v>
          </cell>
        </row>
        <row r="14123">
          <cell r="I14123" t="str">
            <v>Biondi</v>
          </cell>
        </row>
        <row r="14124">
          <cell r="I14124" t="str">
            <v>Bilski</v>
          </cell>
        </row>
        <row r="14125">
          <cell r="I14125" t="str">
            <v>Betton</v>
          </cell>
        </row>
        <row r="14126">
          <cell r="I14126" t="str">
            <v>Berwick</v>
          </cell>
        </row>
        <row r="14127">
          <cell r="I14127" t="str">
            <v>Berlanga</v>
          </cell>
        </row>
        <row r="14128">
          <cell r="I14128" t="str">
            <v>Behan</v>
          </cell>
        </row>
        <row r="14129">
          <cell r="I14129" t="str">
            <v>Becraft</v>
          </cell>
        </row>
        <row r="14130">
          <cell r="I14130" t="str">
            <v>Barrientez</v>
          </cell>
        </row>
        <row r="14131">
          <cell r="I14131" t="str">
            <v>Banh</v>
          </cell>
        </row>
        <row r="14132">
          <cell r="I14132" t="str">
            <v>Balke</v>
          </cell>
        </row>
        <row r="14133">
          <cell r="I14133" t="str">
            <v>Balderrama</v>
          </cell>
        </row>
        <row r="14134">
          <cell r="I14134" t="str">
            <v>Bahe</v>
          </cell>
        </row>
        <row r="14135">
          <cell r="I14135" t="str">
            <v>Bachand</v>
          </cell>
        </row>
        <row r="14136">
          <cell r="I14136" t="str">
            <v>Atlas</v>
          </cell>
        </row>
        <row r="14137">
          <cell r="I14137" t="str">
            <v>Armer</v>
          </cell>
        </row>
        <row r="14138">
          <cell r="I14138" t="str">
            <v>Arceo</v>
          </cell>
        </row>
        <row r="14139">
          <cell r="I14139" t="str">
            <v>Aliff</v>
          </cell>
        </row>
        <row r="14140">
          <cell r="I14140" t="str">
            <v>Alatorre</v>
          </cell>
        </row>
        <row r="14141">
          <cell r="I14141" t="str">
            <v>Zermeno</v>
          </cell>
        </row>
        <row r="14142">
          <cell r="I14142" t="str">
            <v>Zane</v>
          </cell>
        </row>
        <row r="14143">
          <cell r="I14143" t="str">
            <v>Younce</v>
          </cell>
        </row>
        <row r="14144">
          <cell r="I14144" t="str">
            <v>You</v>
          </cell>
        </row>
        <row r="14145">
          <cell r="I14145" t="str">
            <v>Yeoman</v>
          </cell>
        </row>
        <row r="14146">
          <cell r="I14146" t="str">
            <v>Yamasaki</v>
          </cell>
        </row>
        <row r="14147">
          <cell r="I14147" t="str">
            <v>Wroten</v>
          </cell>
        </row>
        <row r="14148">
          <cell r="I14148" t="str">
            <v>Worm</v>
          </cell>
        </row>
        <row r="14149">
          <cell r="I14149" t="str">
            <v>Woodby</v>
          </cell>
        </row>
        <row r="14150">
          <cell r="I14150" t="str">
            <v>Winer</v>
          </cell>
        </row>
        <row r="14151">
          <cell r="I14151" t="str">
            <v>Wilmer</v>
          </cell>
        </row>
        <row r="14152">
          <cell r="I14152" t="str">
            <v>Willits</v>
          </cell>
        </row>
        <row r="14153">
          <cell r="I14153" t="str">
            <v>Wilcoxon</v>
          </cell>
        </row>
        <row r="14154">
          <cell r="I14154" t="str">
            <v>Wehmeyer</v>
          </cell>
        </row>
        <row r="14155">
          <cell r="I14155" t="str">
            <v>Waterbury</v>
          </cell>
        </row>
        <row r="14156">
          <cell r="I14156" t="str">
            <v>Wass</v>
          </cell>
        </row>
        <row r="14157">
          <cell r="I14157" t="str">
            <v>Wann</v>
          </cell>
        </row>
        <row r="14158">
          <cell r="I14158" t="str">
            <v>Wake</v>
          </cell>
        </row>
        <row r="14159">
          <cell r="I14159" t="str">
            <v>Wachtel</v>
          </cell>
        </row>
        <row r="14160">
          <cell r="I14160" t="str">
            <v>Vizcarra</v>
          </cell>
        </row>
        <row r="14161">
          <cell r="I14161" t="str">
            <v>Vince</v>
          </cell>
        </row>
        <row r="14162">
          <cell r="I14162" t="str">
            <v>Victory</v>
          </cell>
        </row>
        <row r="14163">
          <cell r="I14163" t="str">
            <v>Veitch</v>
          </cell>
        </row>
        <row r="14164">
          <cell r="I14164" t="str">
            <v>Vanderbilt</v>
          </cell>
        </row>
        <row r="14165">
          <cell r="I14165" t="str">
            <v>Vallone</v>
          </cell>
        </row>
        <row r="14166">
          <cell r="I14166" t="str">
            <v>Vallery</v>
          </cell>
        </row>
        <row r="14167">
          <cell r="I14167" t="str">
            <v>Ureno</v>
          </cell>
        </row>
        <row r="14168">
          <cell r="I14168" t="str">
            <v>Tyer</v>
          </cell>
        </row>
        <row r="14169">
          <cell r="I14169" t="str">
            <v>Tipps</v>
          </cell>
        </row>
        <row r="14170">
          <cell r="I14170" t="str">
            <v>Tiedeman</v>
          </cell>
        </row>
        <row r="14171">
          <cell r="I14171" t="str">
            <v>Theberge</v>
          </cell>
        </row>
        <row r="14172">
          <cell r="I14172" t="str">
            <v>Texeira</v>
          </cell>
        </row>
        <row r="14173">
          <cell r="I14173" t="str">
            <v>Taub</v>
          </cell>
        </row>
        <row r="14174">
          <cell r="I14174" t="str">
            <v>Tapscott</v>
          </cell>
        </row>
        <row r="14175">
          <cell r="I14175" t="str">
            <v>Stutts</v>
          </cell>
        </row>
        <row r="14176">
          <cell r="I14176" t="str">
            <v>Stults</v>
          </cell>
        </row>
        <row r="14177">
          <cell r="I14177" t="str">
            <v>Stukes</v>
          </cell>
        </row>
        <row r="14178">
          <cell r="I14178" t="str">
            <v>Staff</v>
          </cell>
        </row>
        <row r="14179">
          <cell r="I14179" t="str">
            <v>Spink</v>
          </cell>
        </row>
        <row r="14180">
          <cell r="I14180" t="str">
            <v>Sottile</v>
          </cell>
        </row>
        <row r="14181">
          <cell r="I14181" t="str">
            <v>Smithwick</v>
          </cell>
        </row>
        <row r="14182">
          <cell r="I14182" t="str">
            <v>Slane</v>
          </cell>
        </row>
        <row r="14183">
          <cell r="I14183" t="str">
            <v>Simeone</v>
          </cell>
        </row>
        <row r="14184">
          <cell r="I14184" t="str">
            <v>Silvester</v>
          </cell>
        </row>
        <row r="14185">
          <cell r="I14185" t="str">
            <v>Siegrist</v>
          </cell>
        </row>
        <row r="14186">
          <cell r="I14186" t="str">
            <v>Shiffer</v>
          </cell>
        </row>
        <row r="14187">
          <cell r="I14187" t="str">
            <v>Sheedy</v>
          </cell>
        </row>
        <row r="14188">
          <cell r="I14188" t="str">
            <v>Sheaffer</v>
          </cell>
        </row>
        <row r="14189">
          <cell r="I14189" t="str">
            <v>Severin</v>
          </cell>
        </row>
        <row r="14190">
          <cell r="I14190" t="str">
            <v>Sellman</v>
          </cell>
        </row>
        <row r="14191">
          <cell r="I14191" t="str">
            <v>Scotto</v>
          </cell>
        </row>
        <row r="14192">
          <cell r="I14192" t="str">
            <v>Schupp</v>
          </cell>
        </row>
        <row r="14193">
          <cell r="I14193" t="str">
            <v>Schueller</v>
          </cell>
        </row>
        <row r="14194">
          <cell r="I14194" t="str">
            <v>Schreier</v>
          </cell>
        </row>
        <row r="14195">
          <cell r="I14195" t="str">
            <v>Schoolcraft</v>
          </cell>
        </row>
        <row r="14196">
          <cell r="I14196" t="str">
            <v>Schoenberger</v>
          </cell>
        </row>
        <row r="14197">
          <cell r="I14197" t="str">
            <v>Schnabel</v>
          </cell>
        </row>
        <row r="14198">
          <cell r="I14198" t="str">
            <v>Sangster</v>
          </cell>
        </row>
        <row r="14199">
          <cell r="I14199" t="str">
            <v>Samford</v>
          </cell>
        </row>
        <row r="14200">
          <cell r="I14200" t="str">
            <v>Saliba</v>
          </cell>
        </row>
        <row r="14201">
          <cell r="I14201" t="str">
            <v>Ryles</v>
          </cell>
        </row>
        <row r="14202">
          <cell r="I14202" t="str">
            <v>Ryans</v>
          </cell>
        </row>
        <row r="14203">
          <cell r="I14203" t="str">
            <v>Rossetti</v>
          </cell>
        </row>
        <row r="14204">
          <cell r="I14204" t="str">
            <v>Rodriguz</v>
          </cell>
        </row>
        <row r="14205">
          <cell r="I14205" t="str">
            <v>Risch</v>
          </cell>
        </row>
        <row r="14206">
          <cell r="I14206" t="str">
            <v>Riel</v>
          </cell>
        </row>
        <row r="14207">
          <cell r="I14207" t="str">
            <v>Rezendes</v>
          </cell>
        </row>
        <row r="14208">
          <cell r="I14208" t="str">
            <v>Rester</v>
          </cell>
        </row>
        <row r="14209">
          <cell r="I14209" t="str">
            <v>Rencher</v>
          </cell>
        </row>
        <row r="14210">
          <cell r="I14210" t="str">
            <v>Recker</v>
          </cell>
        </row>
        <row r="14211">
          <cell r="I14211" t="str">
            <v>Rathjen</v>
          </cell>
        </row>
        <row r="14212">
          <cell r="I14212" t="str">
            <v>Profitt</v>
          </cell>
        </row>
        <row r="14213">
          <cell r="I14213" t="str">
            <v>Poteete</v>
          </cell>
        </row>
        <row r="14214">
          <cell r="I14214" t="str">
            <v>Polizzi</v>
          </cell>
        </row>
        <row r="14215">
          <cell r="I14215" t="str">
            <v>Perrigo</v>
          </cell>
        </row>
        <row r="14216">
          <cell r="I14216" t="str">
            <v>Patridge</v>
          </cell>
        </row>
        <row r="14217">
          <cell r="I14217" t="str">
            <v>Osby</v>
          </cell>
        </row>
        <row r="14218">
          <cell r="I14218" t="str">
            <v>Orvis</v>
          </cell>
        </row>
        <row r="14219">
          <cell r="I14219" t="str">
            <v>Opperman</v>
          </cell>
        </row>
        <row r="14220">
          <cell r="I14220" t="str">
            <v>Oppenheim</v>
          </cell>
        </row>
        <row r="14221">
          <cell r="I14221" t="str">
            <v>Onorato</v>
          </cell>
        </row>
        <row r="14222">
          <cell r="I14222" t="str">
            <v>Olaughlin</v>
          </cell>
        </row>
        <row r="14223">
          <cell r="I14223" t="str">
            <v>Ohagan</v>
          </cell>
        </row>
        <row r="14224">
          <cell r="I14224" t="str">
            <v>Ogles</v>
          </cell>
        </row>
        <row r="14225">
          <cell r="I14225" t="str">
            <v>Oehler</v>
          </cell>
        </row>
        <row r="14226">
          <cell r="I14226" t="str">
            <v>Obyrne</v>
          </cell>
        </row>
        <row r="14227">
          <cell r="I14227" t="str">
            <v>Nuzzo</v>
          </cell>
        </row>
        <row r="14228">
          <cell r="I14228" t="str">
            <v>Nickle</v>
          </cell>
        </row>
        <row r="14229">
          <cell r="I14229" t="str">
            <v>Nease</v>
          </cell>
        </row>
        <row r="14230">
          <cell r="I14230" t="str">
            <v>Neagle</v>
          </cell>
        </row>
        <row r="14231">
          <cell r="I14231" t="str">
            <v>Navarette</v>
          </cell>
        </row>
        <row r="14232">
          <cell r="I14232" t="str">
            <v>Nagata</v>
          </cell>
        </row>
        <row r="14233">
          <cell r="I14233" t="str">
            <v>Musto</v>
          </cell>
        </row>
        <row r="14234">
          <cell r="I14234" t="str">
            <v>Morning</v>
          </cell>
        </row>
        <row r="14235">
          <cell r="I14235" t="str">
            <v>Morison</v>
          </cell>
        </row>
        <row r="14236">
          <cell r="I14236" t="str">
            <v>Montz</v>
          </cell>
        </row>
        <row r="14237">
          <cell r="I14237" t="str">
            <v>Mogensen</v>
          </cell>
        </row>
        <row r="14238">
          <cell r="I14238" t="str">
            <v>Mizer</v>
          </cell>
        </row>
        <row r="14239">
          <cell r="I14239" t="str">
            <v>Miraglia</v>
          </cell>
        </row>
        <row r="14240">
          <cell r="I14240" t="str">
            <v>Mingus</v>
          </cell>
        </row>
        <row r="14241">
          <cell r="I14241" t="str">
            <v>Migliore</v>
          </cell>
        </row>
        <row r="14242">
          <cell r="I14242" t="str">
            <v>Merideth</v>
          </cell>
        </row>
        <row r="14243">
          <cell r="I14243" t="str">
            <v>Menges</v>
          </cell>
        </row>
        <row r="14244">
          <cell r="I14244" t="str">
            <v>Mellor</v>
          </cell>
        </row>
        <row r="14245">
          <cell r="I14245" t="str">
            <v>Mcnear</v>
          </cell>
        </row>
        <row r="14246">
          <cell r="I14246" t="str">
            <v>Mcnab</v>
          </cell>
        </row>
        <row r="14247">
          <cell r="I14247" t="str">
            <v>Mcloud</v>
          </cell>
        </row>
        <row r="14248">
          <cell r="I14248" t="str">
            <v>Mcelligott</v>
          </cell>
        </row>
        <row r="14249">
          <cell r="I14249" t="str">
            <v>Mccollom</v>
          </cell>
        </row>
        <row r="14250">
          <cell r="I14250" t="str">
            <v>Maynes</v>
          </cell>
        </row>
        <row r="14251">
          <cell r="I14251" t="str">
            <v>Marquette</v>
          </cell>
        </row>
        <row r="14252">
          <cell r="I14252" t="str">
            <v>Markowski</v>
          </cell>
        </row>
        <row r="14253">
          <cell r="I14253" t="str">
            <v>Marcantonio</v>
          </cell>
        </row>
        <row r="14254">
          <cell r="I14254" t="str">
            <v>Mar</v>
          </cell>
        </row>
        <row r="14255">
          <cell r="I14255" t="str">
            <v>Maldanado</v>
          </cell>
        </row>
        <row r="14256">
          <cell r="I14256" t="str">
            <v>Makin</v>
          </cell>
        </row>
        <row r="14257">
          <cell r="I14257" t="str">
            <v>Macey</v>
          </cell>
        </row>
        <row r="14258">
          <cell r="I14258" t="str">
            <v>Lundeen</v>
          </cell>
        </row>
        <row r="14259">
          <cell r="I14259" t="str">
            <v>Lovin</v>
          </cell>
        </row>
        <row r="14260">
          <cell r="I14260" t="str">
            <v>Longino</v>
          </cell>
        </row>
        <row r="14261">
          <cell r="I14261" t="str">
            <v>Lisle</v>
          </cell>
        </row>
        <row r="14262">
          <cell r="I14262" t="str">
            <v>Linthicum</v>
          </cell>
        </row>
        <row r="14263">
          <cell r="I14263" t="str">
            <v>Limones</v>
          </cell>
        </row>
        <row r="14264">
          <cell r="I14264" t="str">
            <v>Lesure</v>
          </cell>
        </row>
        <row r="14265">
          <cell r="I14265" t="str">
            <v>Lesage</v>
          </cell>
        </row>
        <row r="14266">
          <cell r="I14266" t="str">
            <v>Leisure</v>
          </cell>
        </row>
        <row r="14267">
          <cell r="I14267" t="str">
            <v>Lauver</v>
          </cell>
        </row>
        <row r="14268">
          <cell r="I14268" t="str">
            <v>Laubach</v>
          </cell>
        </row>
        <row r="14269">
          <cell r="I14269" t="str">
            <v>Latshaw</v>
          </cell>
        </row>
        <row r="14270">
          <cell r="I14270" t="str">
            <v>Lary</v>
          </cell>
        </row>
        <row r="14271">
          <cell r="I14271" t="str">
            <v>Lapham</v>
          </cell>
        </row>
        <row r="14272">
          <cell r="I14272" t="str">
            <v>Lacoste</v>
          </cell>
        </row>
        <row r="14273">
          <cell r="I14273" t="str">
            <v>Lacher</v>
          </cell>
        </row>
        <row r="14274">
          <cell r="I14274" t="str">
            <v>Kutcher</v>
          </cell>
        </row>
        <row r="14275">
          <cell r="I14275" t="str">
            <v>Knickerbocker</v>
          </cell>
        </row>
        <row r="14276">
          <cell r="I14276" t="str">
            <v>Klos</v>
          </cell>
        </row>
        <row r="14277">
          <cell r="I14277" t="str">
            <v>Klingler</v>
          </cell>
        </row>
        <row r="14278">
          <cell r="I14278" t="str">
            <v>Kleiman</v>
          </cell>
        </row>
        <row r="14279">
          <cell r="I14279" t="str">
            <v>Kittleson</v>
          </cell>
        </row>
        <row r="14280">
          <cell r="I14280" t="str">
            <v>Kimbrel</v>
          </cell>
        </row>
        <row r="14281">
          <cell r="I14281" t="str">
            <v>Kimberly</v>
          </cell>
        </row>
        <row r="14282">
          <cell r="I14282" t="str">
            <v>Kemmerer</v>
          </cell>
        </row>
        <row r="14283">
          <cell r="I14283" t="str">
            <v>Kelson</v>
          </cell>
        </row>
        <row r="14284">
          <cell r="I14284" t="str">
            <v>Keese</v>
          </cell>
        </row>
        <row r="14285">
          <cell r="I14285" t="str">
            <v>Kam</v>
          </cell>
        </row>
        <row r="14286">
          <cell r="I14286" t="str">
            <v>Kallas</v>
          </cell>
        </row>
        <row r="14287">
          <cell r="I14287" t="str">
            <v>Jurgensen</v>
          </cell>
        </row>
        <row r="14288">
          <cell r="I14288" t="str">
            <v>Junkins</v>
          </cell>
        </row>
        <row r="14289">
          <cell r="I14289" t="str">
            <v>Juneau</v>
          </cell>
        </row>
        <row r="14290">
          <cell r="I14290" t="str">
            <v>Juergens</v>
          </cell>
        </row>
        <row r="14291">
          <cell r="I14291" t="str">
            <v>Jolliff</v>
          </cell>
        </row>
        <row r="14292">
          <cell r="I14292" t="str">
            <v>Jelks</v>
          </cell>
        </row>
        <row r="14293">
          <cell r="I14293" t="str">
            <v>Janicki</v>
          </cell>
        </row>
        <row r="14294">
          <cell r="I14294" t="str">
            <v>Jang</v>
          </cell>
        </row>
        <row r="14295">
          <cell r="I14295" t="str">
            <v>Innocent</v>
          </cell>
        </row>
        <row r="14296">
          <cell r="I14296" t="str">
            <v>Ingles</v>
          </cell>
        </row>
        <row r="14297">
          <cell r="I14297" t="str">
            <v>Inge</v>
          </cell>
        </row>
        <row r="14298">
          <cell r="I14298" t="str">
            <v>Huguley</v>
          </cell>
        </row>
        <row r="14299">
          <cell r="I14299" t="str">
            <v>Huggard</v>
          </cell>
        </row>
        <row r="14300">
          <cell r="I14300" t="str">
            <v>Howton</v>
          </cell>
        </row>
        <row r="14301">
          <cell r="I14301" t="str">
            <v>Hone</v>
          </cell>
        </row>
        <row r="14302">
          <cell r="I14302" t="str">
            <v>Holford</v>
          </cell>
        </row>
        <row r="14303">
          <cell r="I14303" t="str">
            <v>Holding</v>
          </cell>
        </row>
        <row r="14304">
          <cell r="I14304" t="str">
            <v>Hogle</v>
          </cell>
        </row>
        <row r="14305">
          <cell r="I14305" t="str">
            <v>Hipple</v>
          </cell>
        </row>
        <row r="14306">
          <cell r="I14306" t="str">
            <v>Heimbach</v>
          </cell>
        </row>
        <row r="14307">
          <cell r="I14307" t="str">
            <v>Heider</v>
          </cell>
        </row>
        <row r="14308">
          <cell r="I14308" t="str">
            <v>Heidel</v>
          </cell>
        </row>
        <row r="14309">
          <cell r="I14309" t="str">
            <v>Havener</v>
          </cell>
        </row>
        <row r="14310">
          <cell r="I14310" t="str">
            <v>Hattaway</v>
          </cell>
        </row>
        <row r="14311">
          <cell r="I14311" t="str">
            <v>Harrah</v>
          </cell>
        </row>
        <row r="14312">
          <cell r="I14312" t="str">
            <v>Hanscom</v>
          </cell>
        </row>
        <row r="14313">
          <cell r="I14313" t="str">
            <v>Hankinson</v>
          </cell>
        </row>
        <row r="14314">
          <cell r="I14314" t="str">
            <v>Hamdan</v>
          </cell>
        </row>
        <row r="14315">
          <cell r="I14315" t="str">
            <v>Gridley</v>
          </cell>
        </row>
        <row r="14316">
          <cell r="I14316" t="str">
            <v>Goulette</v>
          </cell>
        </row>
        <row r="14317">
          <cell r="I14317" t="str">
            <v>Goulart</v>
          </cell>
        </row>
        <row r="14318">
          <cell r="I14318" t="str">
            <v>Goodspeed</v>
          </cell>
        </row>
        <row r="14319">
          <cell r="I14319" t="str">
            <v>Goodrow</v>
          </cell>
        </row>
        <row r="14320">
          <cell r="I14320" t="str">
            <v>Go</v>
          </cell>
        </row>
        <row r="14321">
          <cell r="I14321" t="str">
            <v>Girardi</v>
          </cell>
        </row>
        <row r="14322">
          <cell r="I14322" t="str">
            <v>Gent</v>
          </cell>
        </row>
        <row r="14323">
          <cell r="I14323" t="str">
            <v>Gautreau</v>
          </cell>
        </row>
        <row r="14324">
          <cell r="I14324" t="str">
            <v>Ganz</v>
          </cell>
        </row>
        <row r="14325">
          <cell r="I14325" t="str">
            <v>Gandara</v>
          </cell>
        </row>
        <row r="14326">
          <cell r="I14326" t="str">
            <v>Gamblin</v>
          </cell>
        </row>
        <row r="14327">
          <cell r="I14327" t="str">
            <v>Galipeau</v>
          </cell>
        </row>
        <row r="14328">
          <cell r="I14328" t="str">
            <v>Fyffe</v>
          </cell>
        </row>
        <row r="14329">
          <cell r="I14329" t="str">
            <v>Furrow</v>
          </cell>
        </row>
        <row r="14330">
          <cell r="I14330" t="str">
            <v>Fulp</v>
          </cell>
        </row>
        <row r="14331">
          <cell r="I14331" t="str">
            <v>Fricks</v>
          </cell>
        </row>
        <row r="14332">
          <cell r="I14332" t="str">
            <v>Frase</v>
          </cell>
        </row>
        <row r="14333">
          <cell r="I14333" t="str">
            <v>Frandsen</v>
          </cell>
        </row>
        <row r="14334">
          <cell r="I14334" t="str">
            <v>Fout</v>
          </cell>
        </row>
        <row r="14335">
          <cell r="I14335" t="str">
            <v>Foulks</v>
          </cell>
        </row>
        <row r="14336">
          <cell r="I14336" t="str">
            <v>Fouche</v>
          </cell>
        </row>
        <row r="14337">
          <cell r="I14337" t="str">
            <v>Foskey</v>
          </cell>
        </row>
        <row r="14338">
          <cell r="I14338" t="str">
            <v>Forgey</v>
          </cell>
        </row>
        <row r="14339">
          <cell r="I14339" t="str">
            <v>Foor</v>
          </cell>
        </row>
        <row r="14340">
          <cell r="I14340" t="str">
            <v>Fobbs</v>
          </cell>
        </row>
        <row r="14341">
          <cell r="I14341" t="str">
            <v>Finklea</v>
          </cell>
        </row>
        <row r="14342">
          <cell r="I14342" t="str">
            <v>Fincham</v>
          </cell>
        </row>
        <row r="14343">
          <cell r="I14343" t="str">
            <v>Figueiredo</v>
          </cell>
        </row>
        <row r="14344">
          <cell r="I14344" t="str">
            <v>Festa</v>
          </cell>
        </row>
        <row r="14345">
          <cell r="I14345" t="str">
            <v>Ferrier</v>
          </cell>
        </row>
        <row r="14346">
          <cell r="I14346" t="str">
            <v>Fellman</v>
          </cell>
        </row>
        <row r="14347">
          <cell r="I14347" t="str">
            <v>Eslick</v>
          </cell>
        </row>
        <row r="14348">
          <cell r="I14348" t="str">
            <v>Eilerman</v>
          </cell>
        </row>
        <row r="14349">
          <cell r="I14349" t="str">
            <v>Eckart</v>
          </cell>
        </row>
        <row r="14350">
          <cell r="I14350" t="str">
            <v>Eaglin</v>
          </cell>
        </row>
        <row r="14351">
          <cell r="I14351" t="str">
            <v>Dunfee</v>
          </cell>
        </row>
        <row r="14352">
          <cell r="I14352" t="str">
            <v>Dumond</v>
          </cell>
        </row>
        <row r="14353">
          <cell r="I14353" t="str">
            <v>Drewry</v>
          </cell>
        </row>
        <row r="14354">
          <cell r="I14354" t="str">
            <v>Douse</v>
          </cell>
        </row>
        <row r="14355">
          <cell r="I14355" t="str">
            <v>Domino</v>
          </cell>
        </row>
        <row r="14356">
          <cell r="I14356" t="str">
            <v>Dimick</v>
          </cell>
        </row>
        <row r="14357">
          <cell r="I14357" t="str">
            <v>Diener</v>
          </cell>
        </row>
        <row r="14358">
          <cell r="I14358" t="str">
            <v>Dickert</v>
          </cell>
        </row>
        <row r="14359">
          <cell r="I14359" t="str">
            <v>Deines</v>
          </cell>
        </row>
        <row r="14360">
          <cell r="I14360" t="str">
            <v>Degree</v>
          </cell>
        </row>
        <row r="14361">
          <cell r="I14361" t="str">
            <v>Declue</v>
          </cell>
        </row>
        <row r="14362">
          <cell r="I14362" t="str">
            <v>Daw</v>
          </cell>
        </row>
        <row r="14363">
          <cell r="I14363" t="str">
            <v>Dattilo</v>
          </cell>
        </row>
        <row r="14364">
          <cell r="I14364" t="str">
            <v>Danko</v>
          </cell>
        </row>
        <row r="14365">
          <cell r="I14365" t="str">
            <v>Custodio</v>
          </cell>
        </row>
        <row r="14366">
          <cell r="I14366" t="str">
            <v>Cuccia</v>
          </cell>
        </row>
        <row r="14367">
          <cell r="I14367" t="str">
            <v>Crunk</v>
          </cell>
        </row>
        <row r="14368">
          <cell r="I14368" t="str">
            <v>Crispin</v>
          </cell>
        </row>
        <row r="14369">
          <cell r="I14369" t="str">
            <v>Corp</v>
          </cell>
        </row>
        <row r="14370">
          <cell r="I14370" t="str">
            <v>Cornwall</v>
          </cell>
        </row>
        <row r="14371">
          <cell r="I14371" t="str">
            <v>Corea</v>
          </cell>
        </row>
        <row r="14372">
          <cell r="I14372" t="str">
            <v>Coppin</v>
          </cell>
        </row>
        <row r="14373">
          <cell r="I14373" t="str">
            <v>Considine</v>
          </cell>
        </row>
        <row r="14374">
          <cell r="I14374" t="str">
            <v>Coniglio</v>
          </cell>
        </row>
        <row r="14375">
          <cell r="I14375" t="str">
            <v>Conboy</v>
          </cell>
        </row>
        <row r="14376">
          <cell r="I14376" t="str">
            <v>Collar</v>
          </cell>
        </row>
        <row r="14377">
          <cell r="I14377" t="str">
            <v>Cockrum</v>
          </cell>
        </row>
        <row r="14378">
          <cell r="I14378" t="str">
            <v>Clute</v>
          </cell>
        </row>
        <row r="14379">
          <cell r="I14379" t="str">
            <v>Clewis</v>
          </cell>
        </row>
        <row r="14380">
          <cell r="I14380" t="str">
            <v>Claude</v>
          </cell>
        </row>
        <row r="14381">
          <cell r="I14381" t="str">
            <v>Christiano</v>
          </cell>
        </row>
        <row r="14382">
          <cell r="I14382" t="str">
            <v>Channell</v>
          </cell>
        </row>
        <row r="14383">
          <cell r="I14383" t="str">
            <v>Channel</v>
          </cell>
        </row>
        <row r="14384">
          <cell r="I14384" t="str">
            <v>Cerrato</v>
          </cell>
        </row>
        <row r="14385">
          <cell r="I14385" t="str">
            <v>Cecere</v>
          </cell>
        </row>
        <row r="14386">
          <cell r="I14386" t="str">
            <v>Catoe</v>
          </cell>
        </row>
        <row r="14387">
          <cell r="I14387" t="str">
            <v>Castillon</v>
          </cell>
        </row>
        <row r="14388">
          <cell r="I14388" t="str">
            <v>Castile</v>
          </cell>
        </row>
        <row r="14389">
          <cell r="I14389" t="str">
            <v>Carstarphen</v>
          </cell>
        </row>
        <row r="14390">
          <cell r="I14390" t="str">
            <v>Carmouche</v>
          </cell>
        </row>
        <row r="14391">
          <cell r="I14391" t="str">
            <v>Caperton</v>
          </cell>
        </row>
        <row r="14392">
          <cell r="I14392" t="str">
            <v>Buteau</v>
          </cell>
        </row>
        <row r="14393">
          <cell r="I14393" t="str">
            <v>Bury</v>
          </cell>
        </row>
        <row r="14394">
          <cell r="I14394" t="str">
            <v>Bumpers</v>
          </cell>
        </row>
        <row r="14395">
          <cell r="I14395" t="str">
            <v>Brey</v>
          </cell>
        </row>
        <row r="14396">
          <cell r="I14396" t="str">
            <v>Brenton</v>
          </cell>
        </row>
        <row r="14397">
          <cell r="I14397" t="str">
            <v>Brazeal</v>
          </cell>
        </row>
        <row r="14398">
          <cell r="I14398" t="str">
            <v>Brassard</v>
          </cell>
        </row>
        <row r="14399">
          <cell r="I14399" t="str">
            <v>Brass</v>
          </cell>
        </row>
        <row r="14400">
          <cell r="I14400" t="str">
            <v>Braga</v>
          </cell>
        </row>
        <row r="14401">
          <cell r="I14401" t="str">
            <v>Bradham</v>
          </cell>
        </row>
        <row r="14402">
          <cell r="I14402" t="str">
            <v>Bourget</v>
          </cell>
        </row>
        <row r="14403">
          <cell r="I14403" t="str">
            <v>Borrelli</v>
          </cell>
        </row>
        <row r="14404">
          <cell r="I14404" t="str">
            <v>Borba</v>
          </cell>
        </row>
        <row r="14405">
          <cell r="I14405" t="str">
            <v>Boothby</v>
          </cell>
        </row>
        <row r="14406">
          <cell r="I14406" t="str">
            <v>Bohr</v>
          </cell>
        </row>
        <row r="14407">
          <cell r="I14407" t="str">
            <v>Bohm</v>
          </cell>
        </row>
        <row r="14408">
          <cell r="I14408" t="str">
            <v>Boehme</v>
          </cell>
        </row>
        <row r="14409">
          <cell r="I14409" t="str">
            <v>Bodin</v>
          </cell>
        </row>
        <row r="14410">
          <cell r="I14410" t="str">
            <v>Bloss</v>
          </cell>
        </row>
        <row r="14411">
          <cell r="I14411" t="str">
            <v>Blocher</v>
          </cell>
        </row>
        <row r="14412">
          <cell r="I14412" t="str">
            <v>Bizzell</v>
          </cell>
        </row>
        <row r="14413">
          <cell r="I14413" t="str">
            <v>Bieker</v>
          </cell>
        </row>
        <row r="14414">
          <cell r="I14414" t="str">
            <v>Berthelot</v>
          </cell>
        </row>
        <row r="14415">
          <cell r="I14415" t="str">
            <v>Bernardini</v>
          </cell>
        </row>
        <row r="14416">
          <cell r="I14416" t="str">
            <v>Berends</v>
          </cell>
        </row>
        <row r="14417">
          <cell r="I14417" t="str">
            <v>Benard</v>
          </cell>
        </row>
        <row r="14418">
          <cell r="I14418" t="str">
            <v>Belser</v>
          </cell>
        </row>
        <row r="14419">
          <cell r="I14419" t="str">
            <v>Baze</v>
          </cell>
        </row>
        <row r="14420">
          <cell r="I14420" t="str">
            <v>Bartling</v>
          </cell>
        </row>
        <row r="14421">
          <cell r="I14421" t="str">
            <v>Barrientes</v>
          </cell>
        </row>
        <row r="14422">
          <cell r="I14422" t="str">
            <v>Barras</v>
          </cell>
        </row>
        <row r="14423">
          <cell r="I14423" t="str">
            <v>Barcia</v>
          </cell>
        </row>
        <row r="14424">
          <cell r="I14424" t="str">
            <v>Banfield</v>
          </cell>
        </row>
        <row r="14425">
          <cell r="I14425" t="str">
            <v>Aurand</v>
          </cell>
        </row>
        <row r="14426">
          <cell r="I14426" t="str">
            <v>Artman</v>
          </cell>
        </row>
        <row r="14427">
          <cell r="I14427" t="str">
            <v>Arnott</v>
          </cell>
        </row>
        <row r="14428">
          <cell r="I14428" t="str">
            <v>Arend</v>
          </cell>
        </row>
        <row r="14429">
          <cell r="I14429" t="str">
            <v>Ardis</v>
          </cell>
        </row>
        <row r="14430">
          <cell r="I14430" t="str">
            <v>Amon</v>
          </cell>
        </row>
        <row r="14431">
          <cell r="I14431" t="str">
            <v>Almaguer</v>
          </cell>
        </row>
        <row r="14432">
          <cell r="I14432" t="str">
            <v>Allee</v>
          </cell>
        </row>
        <row r="14433">
          <cell r="I14433" t="str">
            <v>Albarado</v>
          </cell>
        </row>
        <row r="14434">
          <cell r="I14434" t="str">
            <v>Alameda</v>
          </cell>
        </row>
        <row r="14435">
          <cell r="I14435" t="str">
            <v>Abdo</v>
          </cell>
        </row>
        <row r="14436">
          <cell r="I14436" t="str">
            <v>Zuehlke</v>
          </cell>
        </row>
        <row r="14437">
          <cell r="I14437" t="str">
            <v>Zoeller</v>
          </cell>
        </row>
        <row r="14438">
          <cell r="I14438" t="str">
            <v>Yokoyama</v>
          </cell>
        </row>
        <row r="14439">
          <cell r="I14439" t="str">
            <v>Yocom</v>
          </cell>
        </row>
        <row r="14440">
          <cell r="I14440" t="str">
            <v>Wyllie</v>
          </cell>
        </row>
        <row r="14441">
          <cell r="I14441" t="str">
            <v>Woolum</v>
          </cell>
        </row>
        <row r="14442">
          <cell r="I14442" t="str">
            <v>Wint</v>
          </cell>
        </row>
        <row r="14443">
          <cell r="I14443" t="str">
            <v>Winland</v>
          </cell>
        </row>
        <row r="14444">
          <cell r="I14444" t="str">
            <v>Wink</v>
          </cell>
        </row>
        <row r="14445">
          <cell r="I14445" t="str">
            <v>Wilner</v>
          </cell>
        </row>
        <row r="14446">
          <cell r="I14446" t="str">
            <v>Wilmes</v>
          </cell>
        </row>
        <row r="14447">
          <cell r="I14447" t="str">
            <v>Whitlatch</v>
          </cell>
        </row>
        <row r="14448">
          <cell r="I14448" t="str">
            <v>Westervelt</v>
          </cell>
        </row>
        <row r="14449">
          <cell r="I14449" t="str">
            <v>Walthall</v>
          </cell>
        </row>
        <row r="14450">
          <cell r="I14450" t="str">
            <v>Walkowiak</v>
          </cell>
        </row>
        <row r="14451">
          <cell r="I14451" t="str">
            <v>Walburn</v>
          </cell>
        </row>
        <row r="14452">
          <cell r="I14452" t="str">
            <v>Viviano</v>
          </cell>
        </row>
        <row r="14453">
          <cell r="I14453" t="str">
            <v>Vanderhoff</v>
          </cell>
        </row>
        <row r="14454">
          <cell r="I14454" t="str">
            <v>Valez</v>
          </cell>
        </row>
        <row r="14455">
          <cell r="I14455" t="str">
            <v>Ugalde</v>
          </cell>
        </row>
        <row r="14456">
          <cell r="I14456" t="str">
            <v>Trumbull</v>
          </cell>
        </row>
        <row r="14457">
          <cell r="I14457" t="str">
            <v>Todaro</v>
          </cell>
        </row>
        <row r="14458">
          <cell r="I14458" t="str">
            <v>Tilford</v>
          </cell>
        </row>
        <row r="14459">
          <cell r="I14459" t="str">
            <v>Tidd</v>
          </cell>
        </row>
        <row r="14460">
          <cell r="I14460" t="str">
            <v>Tibbits</v>
          </cell>
        </row>
        <row r="14461">
          <cell r="I14461" t="str">
            <v>Terranova</v>
          </cell>
        </row>
        <row r="14462">
          <cell r="I14462" t="str">
            <v>Templeman</v>
          </cell>
        </row>
        <row r="14463">
          <cell r="I14463" t="str">
            <v>Tannenbaum</v>
          </cell>
        </row>
        <row r="14464">
          <cell r="I14464" t="str">
            <v>Talmage</v>
          </cell>
        </row>
        <row r="14465">
          <cell r="I14465" t="str">
            <v>Tabarez</v>
          </cell>
        </row>
        <row r="14466">
          <cell r="I14466" t="str">
            <v>Swearengin</v>
          </cell>
        </row>
        <row r="14467">
          <cell r="I14467" t="str">
            <v>Swartwood</v>
          </cell>
        </row>
        <row r="14468">
          <cell r="I14468" t="str">
            <v>Svendsen</v>
          </cell>
        </row>
        <row r="14469">
          <cell r="I14469" t="str">
            <v>Strum</v>
          </cell>
        </row>
        <row r="14470">
          <cell r="I14470" t="str">
            <v>Strack</v>
          </cell>
        </row>
        <row r="14471">
          <cell r="I14471" t="str">
            <v>Storie</v>
          </cell>
        </row>
        <row r="14472">
          <cell r="I14472" t="str">
            <v>Stockard</v>
          </cell>
        </row>
        <row r="14473">
          <cell r="I14473" t="str">
            <v>Steinbeck</v>
          </cell>
        </row>
        <row r="14474">
          <cell r="I14474" t="str">
            <v>Starns</v>
          </cell>
        </row>
        <row r="14475">
          <cell r="I14475" t="str">
            <v>Stanko</v>
          </cell>
        </row>
        <row r="14476">
          <cell r="I14476" t="str">
            <v>Stankiewicz</v>
          </cell>
        </row>
        <row r="14477">
          <cell r="I14477" t="str">
            <v>Stacks</v>
          </cell>
        </row>
        <row r="14478">
          <cell r="I14478" t="str">
            <v>Stach</v>
          </cell>
        </row>
        <row r="14479">
          <cell r="I14479" t="str">
            <v>Sproles</v>
          </cell>
        </row>
        <row r="14480">
          <cell r="I14480" t="str">
            <v>Spenser</v>
          </cell>
        </row>
        <row r="14481">
          <cell r="I14481" t="str">
            <v>Smotherman</v>
          </cell>
        </row>
        <row r="14482">
          <cell r="I14482" t="str">
            <v>Slusser</v>
          </cell>
        </row>
        <row r="14483">
          <cell r="I14483" t="str">
            <v>Sinha</v>
          </cell>
        </row>
        <row r="14484">
          <cell r="I14484" t="str">
            <v>Silber</v>
          </cell>
        </row>
        <row r="14485">
          <cell r="I14485" t="str">
            <v>Siefert</v>
          </cell>
        </row>
        <row r="14486">
          <cell r="I14486" t="str">
            <v>Siddiqui</v>
          </cell>
        </row>
        <row r="14487">
          <cell r="I14487" t="str">
            <v>Shuff</v>
          </cell>
        </row>
        <row r="14488">
          <cell r="I14488" t="str">
            <v>Sherburne</v>
          </cell>
        </row>
        <row r="14489">
          <cell r="I14489" t="str">
            <v>Seldon</v>
          </cell>
        </row>
        <row r="14490">
          <cell r="I14490" t="str">
            <v>Seddon</v>
          </cell>
        </row>
        <row r="14491">
          <cell r="I14491" t="str">
            <v>Schweigert</v>
          </cell>
        </row>
        <row r="14492">
          <cell r="I14492" t="str">
            <v>Schroeter</v>
          </cell>
        </row>
        <row r="14493">
          <cell r="I14493" t="str">
            <v>Schmucker</v>
          </cell>
        </row>
        <row r="14494">
          <cell r="I14494" t="str">
            <v>Saffold</v>
          </cell>
        </row>
        <row r="14495">
          <cell r="I14495" t="str">
            <v>Rutz</v>
          </cell>
        </row>
        <row r="14496">
          <cell r="I14496" t="str">
            <v>Rundle</v>
          </cell>
        </row>
        <row r="14497">
          <cell r="I14497" t="str">
            <v>Rosinski</v>
          </cell>
        </row>
        <row r="14498">
          <cell r="I14498" t="str">
            <v>Rosenow</v>
          </cell>
        </row>
        <row r="14499">
          <cell r="I14499" t="str">
            <v>Rogalski</v>
          </cell>
        </row>
        <row r="14500">
          <cell r="I14500" t="str">
            <v>Ridout</v>
          </cell>
        </row>
        <row r="14501">
          <cell r="I14501" t="str">
            <v>Rhymer</v>
          </cell>
        </row>
        <row r="14502">
          <cell r="I14502" t="str">
            <v>Replogle</v>
          </cell>
        </row>
        <row r="14503">
          <cell r="I14503" t="str">
            <v>Regina</v>
          </cell>
        </row>
        <row r="14504">
          <cell r="I14504" t="str">
            <v>Reda</v>
          </cell>
        </row>
        <row r="14505">
          <cell r="I14505" t="str">
            <v>Raygoza</v>
          </cell>
        </row>
        <row r="14506">
          <cell r="I14506" t="str">
            <v>Ratner</v>
          </cell>
        </row>
        <row r="14507">
          <cell r="I14507" t="str">
            <v>Rascoe</v>
          </cell>
        </row>
        <row r="14508">
          <cell r="I14508" t="str">
            <v>Rahm</v>
          </cell>
        </row>
        <row r="14509">
          <cell r="I14509" t="str">
            <v>Quincy</v>
          </cell>
        </row>
        <row r="14510">
          <cell r="I14510" t="str">
            <v>Quast</v>
          </cell>
        </row>
        <row r="14511">
          <cell r="I14511" t="str">
            <v>Pry</v>
          </cell>
        </row>
        <row r="14512">
          <cell r="I14512" t="str">
            <v>Pressnell</v>
          </cell>
        </row>
        <row r="14513">
          <cell r="I14513" t="str">
            <v>Predmore</v>
          </cell>
        </row>
        <row r="14514">
          <cell r="I14514" t="str">
            <v>Pou</v>
          </cell>
        </row>
        <row r="14515">
          <cell r="I14515" t="str">
            <v>Porto</v>
          </cell>
        </row>
        <row r="14516">
          <cell r="I14516" t="str">
            <v>Pleasants</v>
          </cell>
        </row>
        <row r="14517">
          <cell r="I14517" t="str">
            <v>Pigford</v>
          </cell>
        </row>
        <row r="14518">
          <cell r="I14518" t="str">
            <v>Pavone</v>
          </cell>
        </row>
        <row r="14519">
          <cell r="I14519" t="str">
            <v>Patnaude</v>
          </cell>
        </row>
        <row r="14520">
          <cell r="I14520" t="str">
            <v>Parramore</v>
          </cell>
        </row>
        <row r="14521">
          <cell r="I14521" t="str">
            <v>Papadopoulos</v>
          </cell>
        </row>
        <row r="14522">
          <cell r="I14522" t="str">
            <v>Palmatier</v>
          </cell>
        </row>
        <row r="14523">
          <cell r="I14523" t="str">
            <v>Ouzts</v>
          </cell>
        </row>
        <row r="14524">
          <cell r="I14524" t="str">
            <v>Oshields</v>
          </cell>
        </row>
        <row r="14525">
          <cell r="I14525" t="str">
            <v>Ortis</v>
          </cell>
        </row>
        <row r="14526">
          <cell r="I14526" t="str">
            <v>Olmeda</v>
          </cell>
        </row>
        <row r="14527">
          <cell r="I14527" t="str">
            <v>Olden</v>
          </cell>
        </row>
        <row r="14528">
          <cell r="I14528" t="str">
            <v>Okamoto</v>
          </cell>
        </row>
        <row r="14529">
          <cell r="I14529" t="str">
            <v>Norby</v>
          </cell>
        </row>
        <row r="14530">
          <cell r="I14530" t="str">
            <v>Nitz</v>
          </cell>
        </row>
        <row r="14531">
          <cell r="I14531" t="str">
            <v>Niebuhr</v>
          </cell>
        </row>
        <row r="14532">
          <cell r="I14532" t="str">
            <v>Nevius</v>
          </cell>
        </row>
        <row r="14533">
          <cell r="I14533" t="str">
            <v>Neiman</v>
          </cell>
        </row>
        <row r="14534">
          <cell r="I14534" t="str">
            <v>Neidig</v>
          </cell>
        </row>
        <row r="14535">
          <cell r="I14535" t="str">
            <v>Neece</v>
          </cell>
        </row>
        <row r="14536">
          <cell r="I14536" t="str">
            <v>Murawski</v>
          </cell>
        </row>
        <row r="14537">
          <cell r="I14537" t="str">
            <v>Mroz</v>
          </cell>
        </row>
        <row r="14538">
          <cell r="I14538" t="str">
            <v>Moylan</v>
          </cell>
        </row>
        <row r="14539">
          <cell r="I14539" t="str">
            <v>Moultry</v>
          </cell>
        </row>
        <row r="14540">
          <cell r="I14540" t="str">
            <v>Mosteller</v>
          </cell>
        </row>
        <row r="14541">
          <cell r="I14541" t="str">
            <v>Moring</v>
          </cell>
        </row>
        <row r="14542">
          <cell r="I14542" t="str">
            <v>Morganti</v>
          </cell>
        </row>
        <row r="14543">
          <cell r="I14543" t="str">
            <v>Mook</v>
          </cell>
        </row>
        <row r="14544">
          <cell r="I14544" t="str">
            <v>Moffet</v>
          </cell>
        </row>
        <row r="14545">
          <cell r="I14545" t="str">
            <v>Mettler</v>
          </cell>
        </row>
        <row r="14546">
          <cell r="I14546" t="str">
            <v>Merlo</v>
          </cell>
        </row>
        <row r="14547">
          <cell r="I14547" t="str">
            <v>Mengel</v>
          </cell>
        </row>
        <row r="14548">
          <cell r="I14548" t="str">
            <v>Mendelsohn</v>
          </cell>
        </row>
        <row r="14549">
          <cell r="I14549" t="str">
            <v>Meli</v>
          </cell>
        </row>
        <row r="14550">
          <cell r="I14550" t="str">
            <v>Melchior</v>
          </cell>
        </row>
        <row r="14551">
          <cell r="I14551" t="str">
            <v>Mcmeans</v>
          </cell>
        </row>
        <row r="14552">
          <cell r="I14552" t="str">
            <v>Mcfaddin</v>
          </cell>
        </row>
        <row r="14553">
          <cell r="I14553" t="str">
            <v>Mccullers</v>
          </cell>
        </row>
        <row r="14554">
          <cell r="I14554" t="str">
            <v>Mccollister</v>
          </cell>
        </row>
        <row r="14555">
          <cell r="I14555" t="str">
            <v>Mccloy</v>
          </cell>
        </row>
        <row r="14556">
          <cell r="I14556" t="str">
            <v>Mcclaine</v>
          </cell>
        </row>
        <row r="14557">
          <cell r="I14557" t="str">
            <v>Maury</v>
          </cell>
        </row>
        <row r="14558">
          <cell r="I14558" t="str">
            <v>Maser</v>
          </cell>
        </row>
        <row r="14559">
          <cell r="I14559" t="str">
            <v>Martelli</v>
          </cell>
        </row>
        <row r="14560">
          <cell r="I14560" t="str">
            <v>Manthey</v>
          </cell>
        </row>
        <row r="14561">
          <cell r="I14561" t="str">
            <v>Malkin</v>
          </cell>
        </row>
        <row r="14562">
          <cell r="I14562" t="str">
            <v>Maio</v>
          </cell>
        </row>
        <row r="14563">
          <cell r="I14563" t="str">
            <v>Magwood</v>
          </cell>
        </row>
        <row r="14564">
          <cell r="I14564" t="str">
            <v>Maginnis</v>
          </cell>
        </row>
        <row r="14565">
          <cell r="I14565" t="str">
            <v>Mabon</v>
          </cell>
        </row>
        <row r="14566">
          <cell r="I14566" t="str">
            <v>Luton</v>
          </cell>
        </row>
        <row r="14567">
          <cell r="I14567" t="str">
            <v>Lusher</v>
          </cell>
        </row>
        <row r="14568">
          <cell r="I14568" t="str">
            <v>Lucht</v>
          </cell>
        </row>
        <row r="14569">
          <cell r="I14569" t="str">
            <v>Lobato</v>
          </cell>
        </row>
        <row r="14570">
          <cell r="I14570" t="str">
            <v>Levis</v>
          </cell>
        </row>
        <row r="14571">
          <cell r="I14571" t="str">
            <v>Letellier</v>
          </cell>
        </row>
        <row r="14572">
          <cell r="I14572" t="str">
            <v>Legendre</v>
          </cell>
        </row>
        <row r="14573">
          <cell r="I14573" t="str">
            <v>Laurel</v>
          </cell>
        </row>
        <row r="14574">
          <cell r="I14574" t="str">
            <v>Latson</v>
          </cell>
        </row>
        <row r="14575">
          <cell r="I14575" t="str">
            <v>Larmon</v>
          </cell>
        </row>
        <row r="14576">
          <cell r="I14576" t="str">
            <v>Largo</v>
          </cell>
        </row>
        <row r="14577">
          <cell r="I14577" t="str">
            <v>Landreneau</v>
          </cell>
        </row>
        <row r="14578">
          <cell r="I14578" t="str">
            <v>Landgraf</v>
          </cell>
        </row>
        <row r="14579">
          <cell r="I14579" t="str">
            <v>Lamberson</v>
          </cell>
        </row>
        <row r="14580">
          <cell r="I14580" t="str">
            <v>Kurland</v>
          </cell>
        </row>
        <row r="14581">
          <cell r="I14581" t="str">
            <v>Kresge</v>
          </cell>
        </row>
        <row r="14582">
          <cell r="I14582" t="str">
            <v>Korman</v>
          </cell>
        </row>
        <row r="14583">
          <cell r="I14583" t="str">
            <v>Korando</v>
          </cell>
        </row>
        <row r="14584">
          <cell r="I14584" t="str">
            <v>Klapper</v>
          </cell>
        </row>
        <row r="14585">
          <cell r="I14585" t="str">
            <v>Kitson</v>
          </cell>
        </row>
        <row r="14586">
          <cell r="I14586" t="str">
            <v>Kinyon</v>
          </cell>
        </row>
        <row r="14587">
          <cell r="I14587" t="str">
            <v>Kincheloe</v>
          </cell>
        </row>
        <row r="14588">
          <cell r="I14588" t="str">
            <v>Kawamoto</v>
          </cell>
        </row>
        <row r="14589">
          <cell r="I14589" t="str">
            <v>Kawakami</v>
          </cell>
        </row>
        <row r="14590">
          <cell r="I14590" t="str">
            <v>Jenney</v>
          </cell>
        </row>
        <row r="14591">
          <cell r="I14591" t="str">
            <v>Jeanpierre</v>
          </cell>
        </row>
        <row r="14592">
          <cell r="I14592" t="str">
            <v>Ivers</v>
          </cell>
        </row>
        <row r="14593">
          <cell r="I14593" t="str">
            <v>Issa</v>
          </cell>
        </row>
        <row r="14594">
          <cell r="I14594" t="str">
            <v>Ince</v>
          </cell>
        </row>
        <row r="14595">
          <cell r="I14595" t="str">
            <v>Hugh</v>
          </cell>
        </row>
        <row r="14596">
          <cell r="I14596" t="str">
            <v>Hug</v>
          </cell>
        </row>
        <row r="14597">
          <cell r="I14597" t="str">
            <v>Honda</v>
          </cell>
        </row>
        <row r="14598">
          <cell r="I14598" t="str">
            <v>Hollier</v>
          </cell>
        </row>
        <row r="14599">
          <cell r="I14599" t="str">
            <v>Hollars</v>
          </cell>
        </row>
        <row r="14600">
          <cell r="I14600" t="str">
            <v>Hoerner</v>
          </cell>
        </row>
        <row r="14601">
          <cell r="I14601" t="str">
            <v>Hodgkinson</v>
          </cell>
        </row>
        <row r="14602">
          <cell r="I14602" t="str">
            <v>Hiott</v>
          </cell>
        </row>
        <row r="14603">
          <cell r="I14603" t="str">
            <v>Hibbitts</v>
          </cell>
        </row>
        <row r="14604">
          <cell r="I14604" t="str">
            <v>Herlihy</v>
          </cell>
        </row>
        <row r="14605">
          <cell r="I14605" t="str">
            <v>Henricks</v>
          </cell>
        </row>
        <row r="14606">
          <cell r="I14606" t="str">
            <v>Heavner</v>
          </cell>
        </row>
        <row r="14607">
          <cell r="I14607" t="str">
            <v>Hayhurst</v>
          </cell>
        </row>
        <row r="14608">
          <cell r="I14608" t="str">
            <v>Harvill</v>
          </cell>
        </row>
        <row r="14609">
          <cell r="I14609" t="str">
            <v>Harewood</v>
          </cell>
        </row>
        <row r="14610">
          <cell r="I14610" t="str">
            <v>Hanselman</v>
          </cell>
        </row>
        <row r="14611">
          <cell r="I14611" t="str">
            <v>Hanning</v>
          </cell>
        </row>
        <row r="14612">
          <cell r="I14612" t="str">
            <v>Gwyn</v>
          </cell>
        </row>
        <row r="14613">
          <cell r="I14613" t="str">
            <v>Gustavson</v>
          </cell>
        </row>
        <row r="14614">
          <cell r="I14614" t="str">
            <v>Grounds</v>
          </cell>
        </row>
        <row r="14615">
          <cell r="I14615" t="str">
            <v>Grizzard</v>
          </cell>
        </row>
        <row r="14616">
          <cell r="I14616" t="str">
            <v>Grinder</v>
          </cell>
        </row>
        <row r="14617">
          <cell r="I14617" t="str">
            <v>Graybeal</v>
          </cell>
        </row>
        <row r="14618">
          <cell r="I14618" t="str">
            <v>Gravley</v>
          </cell>
        </row>
        <row r="14619">
          <cell r="I14619" t="str">
            <v>Gorney</v>
          </cell>
        </row>
        <row r="14620">
          <cell r="I14620" t="str">
            <v>Goll</v>
          </cell>
        </row>
        <row r="14621">
          <cell r="I14621" t="str">
            <v>Goehring</v>
          </cell>
        </row>
        <row r="14622">
          <cell r="I14622" t="str">
            <v>Godines</v>
          </cell>
        </row>
        <row r="14623">
          <cell r="I14623" t="str">
            <v>Gobeil</v>
          </cell>
        </row>
        <row r="14624">
          <cell r="I14624" t="str">
            <v>Glickman</v>
          </cell>
        </row>
        <row r="14625">
          <cell r="I14625" t="str">
            <v>Giuliano</v>
          </cell>
        </row>
        <row r="14626">
          <cell r="I14626" t="str">
            <v>Gimbel</v>
          </cell>
        </row>
        <row r="14627">
          <cell r="I14627" t="str">
            <v>Gift</v>
          </cell>
        </row>
        <row r="14628">
          <cell r="I14628" t="str">
            <v>Geib</v>
          </cell>
        </row>
        <row r="14629">
          <cell r="I14629" t="str">
            <v>Gayhart</v>
          </cell>
        </row>
        <row r="14630">
          <cell r="I14630" t="str">
            <v>Gatti</v>
          </cell>
        </row>
        <row r="14631">
          <cell r="I14631" t="str">
            <v>Gains</v>
          </cell>
        </row>
        <row r="14632">
          <cell r="I14632" t="str">
            <v>Gadberry</v>
          </cell>
        </row>
        <row r="14633">
          <cell r="I14633" t="str">
            <v>Frei</v>
          </cell>
        </row>
        <row r="14634">
          <cell r="I14634" t="str">
            <v>Fraise</v>
          </cell>
        </row>
        <row r="14635">
          <cell r="I14635" t="str">
            <v>Fouch</v>
          </cell>
        </row>
        <row r="14636">
          <cell r="I14636" t="str">
            <v>Forst</v>
          </cell>
        </row>
        <row r="14637">
          <cell r="I14637" t="str">
            <v>Forsman</v>
          </cell>
        </row>
        <row r="14638">
          <cell r="I14638" t="str">
            <v>Folden</v>
          </cell>
        </row>
        <row r="14639">
          <cell r="I14639" t="str">
            <v>Fogleman</v>
          </cell>
        </row>
        <row r="14640">
          <cell r="I14640" t="str">
            <v>Figaro</v>
          </cell>
        </row>
        <row r="14641">
          <cell r="I14641" t="str">
            <v>Fetty</v>
          </cell>
        </row>
        <row r="14642">
          <cell r="I14642" t="str">
            <v>Feely</v>
          </cell>
        </row>
        <row r="14643">
          <cell r="I14643" t="str">
            <v>Fabry</v>
          </cell>
        </row>
        <row r="14644">
          <cell r="I14644" t="str">
            <v>Eury</v>
          </cell>
        </row>
        <row r="14645">
          <cell r="I14645" t="str">
            <v>Estill</v>
          </cell>
        </row>
        <row r="14646">
          <cell r="I14646" t="str">
            <v>Epling</v>
          </cell>
        </row>
        <row r="14647">
          <cell r="I14647" t="str">
            <v>Elamin</v>
          </cell>
        </row>
        <row r="14648">
          <cell r="I14648" t="str">
            <v>Echavarria</v>
          </cell>
        </row>
        <row r="14649">
          <cell r="I14649" t="str">
            <v>Dutil</v>
          </cell>
        </row>
        <row r="14650">
          <cell r="I14650" t="str">
            <v>Duryea</v>
          </cell>
        </row>
        <row r="14651">
          <cell r="I14651" t="str">
            <v>Dumais</v>
          </cell>
        </row>
        <row r="14652">
          <cell r="I14652" t="str">
            <v>Drago</v>
          </cell>
        </row>
        <row r="14653">
          <cell r="I14653" t="str">
            <v>Downard</v>
          </cell>
        </row>
        <row r="14654">
          <cell r="I14654" t="str">
            <v>Douthit</v>
          </cell>
        </row>
        <row r="14655">
          <cell r="I14655" t="str">
            <v>Doolin</v>
          </cell>
        </row>
        <row r="14656">
          <cell r="I14656" t="str">
            <v>Dobos</v>
          </cell>
        </row>
        <row r="14657">
          <cell r="I14657" t="str">
            <v>Dison</v>
          </cell>
        </row>
        <row r="14658">
          <cell r="I14658" t="str">
            <v>Dinges</v>
          </cell>
        </row>
        <row r="14659">
          <cell r="I14659" t="str">
            <v>Diebold</v>
          </cell>
        </row>
        <row r="14660">
          <cell r="I14660" t="str">
            <v>Desilets</v>
          </cell>
        </row>
        <row r="14661">
          <cell r="I14661" t="str">
            <v>Deshazo</v>
          </cell>
        </row>
        <row r="14662">
          <cell r="I14662" t="str">
            <v>Depaz</v>
          </cell>
        </row>
        <row r="14663">
          <cell r="I14663" t="str">
            <v>Degennaro</v>
          </cell>
        </row>
        <row r="14664">
          <cell r="I14664" t="str">
            <v>Dall</v>
          </cell>
        </row>
        <row r="14665">
          <cell r="I14665" t="str">
            <v>Cyphers</v>
          </cell>
        </row>
        <row r="14666">
          <cell r="I14666" t="str">
            <v>Cryer</v>
          </cell>
        </row>
        <row r="14667">
          <cell r="I14667" t="str">
            <v>Croce</v>
          </cell>
        </row>
        <row r="14668">
          <cell r="I14668" t="str">
            <v>Crisman</v>
          </cell>
        </row>
        <row r="14669">
          <cell r="I14669" t="str">
            <v>Credle</v>
          </cell>
        </row>
        <row r="14670">
          <cell r="I14670" t="str">
            <v>Coriell</v>
          </cell>
        </row>
        <row r="14671">
          <cell r="I14671" t="str">
            <v>Copp</v>
          </cell>
        </row>
        <row r="14672">
          <cell r="I14672" t="str">
            <v>Coop</v>
          </cell>
        </row>
        <row r="14673">
          <cell r="I14673" t="str">
            <v>Compos</v>
          </cell>
        </row>
        <row r="14674">
          <cell r="I14674" t="str">
            <v>Colmenero</v>
          </cell>
        </row>
        <row r="14675">
          <cell r="I14675" t="str">
            <v>Cogar</v>
          </cell>
        </row>
        <row r="14676">
          <cell r="I14676" t="str">
            <v>Cliff</v>
          </cell>
        </row>
        <row r="14677">
          <cell r="I14677" t="str">
            <v>Chapel</v>
          </cell>
        </row>
        <row r="14678">
          <cell r="I14678" t="str">
            <v>Carnevale</v>
          </cell>
        </row>
        <row r="14679">
          <cell r="I14679" t="str">
            <v>Campanella</v>
          </cell>
        </row>
        <row r="14680">
          <cell r="I14680" t="str">
            <v>Caley</v>
          </cell>
        </row>
        <row r="14681">
          <cell r="I14681" t="str">
            <v>Calderone</v>
          </cell>
        </row>
        <row r="14682">
          <cell r="I14682" t="str">
            <v>Burtch</v>
          </cell>
        </row>
        <row r="14683">
          <cell r="I14683" t="str">
            <v>Brouwer</v>
          </cell>
        </row>
        <row r="14684">
          <cell r="I14684" t="str">
            <v>Brehmer</v>
          </cell>
        </row>
        <row r="14685">
          <cell r="I14685" t="str">
            <v>Brassell</v>
          </cell>
        </row>
        <row r="14686">
          <cell r="I14686" t="str">
            <v>Brafford</v>
          </cell>
        </row>
        <row r="14687">
          <cell r="I14687" t="str">
            <v>Bourquin</v>
          </cell>
        </row>
        <row r="14688">
          <cell r="I14688" t="str">
            <v>Bourn</v>
          </cell>
        </row>
        <row r="14689">
          <cell r="I14689" t="str">
            <v>Bohnert</v>
          </cell>
        </row>
        <row r="14690">
          <cell r="I14690" t="str">
            <v>Blewett</v>
          </cell>
        </row>
        <row r="14691">
          <cell r="I14691" t="str">
            <v>Blass</v>
          </cell>
        </row>
        <row r="14692">
          <cell r="I14692" t="str">
            <v>Blakes</v>
          </cell>
        </row>
        <row r="14693">
          <cell r="I14693" t="str">
            <v>Bhakta</v>
          </cell>
        </row>
        <row r="14694">
          <cell r="I14694" t="str">
            <v>Besser</v>
          </cell>
        </row>
        <row r="14695">
          <cell r="I14695" t="str">
            <v>Berge</v>
          </cell>
        </row>
        <row r="14696">
          <cell r="I14696" t="str">
            <v>Bellis</v>
          </cell>
        </row>
        <row r="14697">
          <cell r="I14697" t="str">
            <v>Balfour</v>
          </cell>
        </row>
        <row r="14698">
          <cell r="I14698" t="str">
            <v>Avera</v>
          </cell>
        </row>
        <row r="14699">
          <cell r="I14699" t="str">
            <v>Austria</v>
          </cell>
        </row>
        <row r="14700">
          <cell r="I14700" t="str">
            <v>Applin</v>
          </cell>
        </row>
        <row r="14701">
          <cell r="I14701" t="str">
            <v>Ammon</v>
          </cell>
        </row>
        <row r="14702">
          <cell r="I14702" t="str">
            <v>Alsop</v>
          </cell>
        </row>
        <row r="14703">
          <cell r="I14703" t="str">
            <v>Aleshire</v>
          </cell>
        </row>
        <row r="14704">
          <cell r="I14704" t="str">
            <v>Akbar</v>
          </cell>
        </row>
        <row r="14705">
          <cell r="I14705" t="str">
            <v>Zoller</v>
          </cell>
        </row>
        <row r="14706">
          <cell r="I14706" t="str">
            <v>Zapien</v>
          </cell>
        </row>
        <row r="14707">
          <cell r="I14707" t="str">
            <v>Wymore</v>
          </cell>
        </row>
        <row r="14708">
          <cell r="I14708" t="str">
            <v>Wyble</v>
          </cell>
        </row>
        <row r="14709">
          <cell r="I14709" t="str">
            <v>Wolken</v>
          </cell>
        </row>
        <row r="14710">
          <cell r="I14710" t="str">
            <v>Wix</v>
          </cell>
        </row>
        <row r="14711">
          <cell r="I14711" t="str">
            <v>Wickstrom</v>
          </cell>
        </row>
        <row r="14712">
          <cell r="I14712" t="str">
            <v>Whobrey</v>
          </cell>
        </row>
        <row r="14713">
          <cell r="I14713" t="str">
            <v>Whigham</v>
          </cell>
        </row>
        <row r="14714">
          <cell r="I14714" t="str">
            <v>Westerlund</v>
          </cell>
        </row>
        <row r="14715">
          <cell r="I14715" t="str">
            <v>Welsch</v>
          </cell>
        </row>
        <row r="14716">
          <cell r="I14716" t="str">
            <v>Weisser</v>
          </cell>
        </row>
        <row r="14717">
          <cell r="I14717" t="str">
            <v>Weisner</v>
          </cell>
        </row>
        <row r="14718">
          <cell r="I14718" t="str">
            <v>Weinstock</v>
          </cell>
        </row>
        <row r="14719">
          <cell r="I14719" t="str">
            <v>Wehner</v>
          </cell>
        </row>
        <row r="14720">
          <cell r="I14720" t="str">
            <v>Watlington</v>
          </cell>
        </row>
        <row r="14721">
          <cell r="I14721" t="str">
            <v>Wakeland</v>
          </cell>
        </row>
        <row r="14722">
          <cell r="I14722" t="str">
            <v>Wafer</v>
          </cell>
        </row>
        <row r="14723">
          <cell r="I14723" t="str">
            <v>Virgen</v>
          </cell>
        </row>
        <row r="14724">
          <cell r="I14724" t="str">
            <v>Victorino</v>
          </cell>
        </row>
        <row r="14725">
          <cell r="I14725" t="str">
            <v>Veltri</v>
          </cell>
        </row>
        <row r="14726">
          <cell r="I14726" t="str">
            <v>Veith</v>
          </cell>
        </row>
        <row r="14727">
          <cell r="I14727" t="str">
            <v>Urich</v>
          </cell>
        </row>
        <row r="14728">
          <cell r="I14728" t="str">
            <v>Uresti</v>
          </cell>
        </row>
        <row r="14729">
          <cell r="I14729" t="str">
            <v>Umberger</v>
          </cell>
        </row>
        <row r="14730">
          <cell r="I14730" t="str">
            <v>Twedt</v>
          </cell>
        </row>
        <row r="14731">
          <cell r="I14731" t="str">
            <v>Tuohy</v>
          </cell>
        </row>
        <row r="14732">
          <cell r="I14732" t="str">
            <v>Tschida</v>
          </cell>
        </row>
        <row r="14733">
          <cell r="I14733" t="str">
            <v>Trumble</v>
          </cell>
        </row>
        <row r="14734">
          <cell r="I14734" t="str">
            <v>Troia</v>
          </cell>
        </row>
        <row r="14735">
          <cell r="I14735" t="str">
            <v>Tristan</v>
          </cell>
        </row>
        <row r="14736">
          <cell r="I14736" t="str">
            <v>Trimmer</v>
          </cell>
        </row>
        <row r="14737">
          <cell r="I14737" t="str">
            <v>Topps</v>
          </cell>
        </row>
        <row r="14738">
          <cell r="I14738" t="str">
            <v>Tonn</v>
          </cell>
        </row>
        <row r="14739">
          <cell r="I14739" t="str">
            <v>Tiernan</v>
          </cell>
        </row>
        <row r="14740">
          <cell r="I14740" t="str">
            <v>Threet</v>
          </cell>
        </row>
        <row r="14741">
          <cell r="I14741" t="str">
            <v>Thrall</v>
          </cell>
        </row>
        <row r="14742">
          <cell r="I14742" t="str">
            <v>Thetford</v>
          </cell>
        </row>
        <row r="14743">
          <cell r="I14743" t="str">
            <v>Teneyck</v>
          </cell>
        </row>
        <row r="14744">
          <cell r="I14744" t="str">
            <v>Tartaglia</v>
          </cell>
        </row>
        <row r="14745">
          <cell r="I14745" t="str">
            <v>Swords</v>
          </cell>
        </row>
        <row r="14746">
          <cell r="I14746" t="str">
            <v>Strohl</v>
          </cell>
        </row>
        <row r="14747">
          <cell r="I14747" t="str">
            <v>Streater</v>
          </cell>
        </row>
        <row r="14748">
          <cell r="I14748" t="str">
            <v>Strausbaugh</v>
          </cell>
        </row>
        <row r="14749">
          <cell r="I14749" t="str">
            <v>Stradley</v>
          </cell>
        </row>
        <row r="14750">
          <cell r="I14750" t="str">
            <v>Stonecipher</v>
          </cell>
        </row>
        <row r="14751">
          <cell r="I14751" t="str">
            <v>Steadham</v>
          </cell>
        </row>
        <row r="14752">
          <cell r="I14752" t="str">
            <v>Stansel</v>
          </cell>
        </row>
        <row r="14753">
          <cell r="I14753" t="str">
            <v>Stalcup</v>
          </cell>
        </row>
        <row r="14754">
          <cell r="I14754" t="str">
            <v>Stabile</v>
          </cell>
        </row>
        <row r="14755">
          <cell r="I14755" t="str">
            <v>Sprenger</v>
          </cell>
        </row>
        <row r="14756">
          <cell r="I14756" t="str">
            <v>Spradley</v>
          </cell>
        </row>
        <row r="14757">
          <cell r="I14757" t="str">
            <v>Speier</v>
          </cell>
        </row>
        <row r="14758">
          <cell r="I14758" t="str">
            <v>Southwood</v>
          </cell>
        </row>
        <row r="14759">
          <cell r="I14759" t="str">
            <v>Sorrels</v>
          </cell>
        </row>
        <row r="14760">
          <cell r="I14760" t="str">
            <v>Slezak</v>
          </cell>
        </row>
        <row r="14761">
          <cell r="I14761" t="str">
            <v>Skow</v>
          </cell>
        </row>
        <row r="14762">
          <cell r="I14762" t="str">
            <v>Sirmans</v>
          </cell>
        </row>
        <row r="14763">
          <cell r="I14763" t="str">
            <v>Simental</v>
          </cell>
        </row>
        <row r="14764">
          <cell r="I14764" t="str">
            <v>Silk</v>
          </cell>
        </row>
        <row r="14765">
          <cell r="I14765" t="str">
            <v>Sifford</v>
          </cell>
        </row>
        <row r="14766">
          <cell r="I14766" t="str">
            <v>Sievert</v>
          </cell>
        </row>
        <row r="14767">
          <cell r="I14767" t="str">
            <v>Shover</v>
          </cell>
        </row>
        <row r="14768">
          <cell r="I14768" t="str">
            <v>Sheley</v>
          </cell>
        </row>
        <row r="14769">
          <cell r="I14769" t="str">
            <v>Selzer</v>
          </cell>
        </row>
        <row r="14770">
          <cell r="I14770" t="str">
            <v>Scriven</v>
          </cell>
        </row>
        <row r="14771">
          <cell r="I14771" t="str">
            <v>Schwindt</v>
          </cell>
        </row>
        <row r="14772">
          <cell r="I14772" t="str">
            <v>Schwan</v>
          </cell>
        </row>
        <row r="14773">
          <cell r="I14773" t="str">
            <v>Schroth</v>
          </cell>
        </row>
        <row r="14774">
          <cell r="I14774" t="str">
            <v>Saylors</v>
          </cell>
        </row>
        <row r="14775">
          <cell r="I14775" t="str">
            <v>Saragosa</v>
          </cell>
        </row>
        <row r="14776">
          <cell r="I14776" t="str">
            <v>Sant</v>
          </cell>
        </row>
        <row r="14777">
          <cell r="I14777" t="str">
            <v>Salaam</v>
          </cell>
        </row>
        <row r="14778">
          <cell r="I14778" t="str">
            <v>Saephan</v>
          </cell>
        </row>
        <row r="14779">
          <cell r="I14779" t="str">
            <v>Routt</v>
          </cell>
        </row>
        <row r="14780">
          <cell r="I14780" t="str">
            <v>Rousey</v>
          </cell>
        </row>
        <row r="14781">
          <cell r="I14781" t="str">
            <v>Ros</v>
          </cell>
        </row>
        <row r="14782">
          <cell r="I14782" t="str">
            <v>Rolfes</v>
          </cell>
        </row>
        <row r="14783">
          <cell r="I14783" t="str">
            <v>Rieke</v>
          </cell>
        </row>
        <row r="14784">
          <cell r="I14784" t="str">
            <v>Rieder</v>
          </cell>
        </row>
        <row r="14785">
          <cell r="I14785" t="str">
            <v>Richeson</v>
          </cell>
        </row>
        <row r="14786">
          <cell r="I14786" t="str">
            <v>Redinger</v>
          </cell>
        </row>
        <row r="14787">
          <cell r="I14787" t="str">
            <v>Rasnick</v>
          </cell>
        </row>
        <row r="14788">
          <cell r="I14788" t="str">
            <v>Rapoza</v>
          </cell>
        </row>
        <row r="14789">
          <cell r="I14789" t="str">
            <v>Rambert</v>
          </cell>
        </row>
        <row r="14790">
          <cell r="I14790" t="str">
            <v>Rafael</v>
          </cell>
        </row>
        <row r="14791">
          <cell r="I14791" t="str">
            <v>Quist</v>
          </cell>
        </row>
        <row r="14792">
          <cell r="I14792" t="str">
            <v>Pyron</v>
          </cell>
        </row>
        <row r="14793">
          <cell r="I14793" t="str">
            <v>Punch</v>
          </cell>
        </row>
        <row r="14794">
          <cell r="I14794" t="str">
            <v>Pullman</v>
          </cell>
        </row>
        <row r="14795">
          <cell r="I14795" t="str">
            <v>Przybylski</v>
          </cell>
        </row>
        <row r="14796">
          <cell r="I14796" t="str">
            <v>Pridmore</v>
          </cell>
        </row>
        <row r="14797">
          <cell r="I14797" t="str">
            <v>Pooley</v>
          </cell>
        </row>
        <row r="14798">
          <cell r="I14798" t="str">
            <v>Pines</v>
          </cell>
        </row>
        <row r="14799">
          <cell r="I14799" t="str">
            <v>Perkinson</v>
          </cell>
        </row>
        <row r="14800">
          <cell r="I14800" t="str">
            <v>Perine</v>
          </cell>
        </row>
        <row r="14801">
          <cell r="I14801" t="str">
            <v>Perham</v>
          </cell>
        </row>
        <row r="14802">
          <cell r="I14802" t="str">
            <v>Pecor</v>
          </cell>
        </row>
        <row r="14803">
          <cell r="I14803" t="str">
            <v>Peavler</v>
          </cell>
        </row>
        <row r="14804">
          <cell r="I14804" t="str">
            <v>Partington</v>
          </cell>
        </row>
        <row r="14805">
          <cell r="I14805" t="str">
            <v>Panton</v>
          </cell>
        </row>
        <row r="14806">
          <cell r="I14806" t="str">
            <v>Oliverio</v>
          </cell>
        </row>
        <row r="14807">
          <cell r="I14807" t="str">
            <v>Olague</v>
          </cell>
        </row>
        <row r="14808">
          <cell r="I14808" t="str">
            <v>Ohman</v>
          </cell>
        </row>
        <row r="14809">
          <cell r="I14809" t="str">
            <v>Ohearn</v>
          </cell>
        </row>
        <row r="14810">
          <cell r="I14810" t="str">
            <v>Noyola</v>
          </cell>
        </row>
        <row r="14811">
          <cell r="I14811" t="str">
            <v>Nicolai</v>
          </cell>
        </row>
        <row r="14812">
          <cell r="I14812" t="str">
            <v>Nebel</v>
          </cell>
        </row>
        <row r="14813">
          <cell r="I14813" t="str">
            <v>Murtha</v>
          </cell>
        </row>
        <row r="14814">
          <cell r="I14814" t="str">
            <v>Muff</v>
          </cell>
        </row>
        <row r="14815">
          <cell r="I14815" t="str">
            <v>Mowrey</v>
          </cell>
        </row>
        <row r="14816">
          <cell r="I14816" t="str">
            <v>Moroney</v>
          </cell>
        </row>
        <row r="14817">
          <cell r="I14817" t="str">
            <v>Morgenstern</v>
          </cell>
        </row>
        <row r="14818">
          <cell r="I14818" t="str">
            <v>Morant</v>
          </cell>
        </row>
        <row r="14819">
          <cell r="I14819" t="str">
            <v>Monty</v>
          </cell>
        </row>
        <row r="14820">
          <cell r="I14820" t="str">
            <v>Monsour</v>
          </cell>
        </row>
        <row r="14821">
          <cell r="I14821" t="str">
            <v>Mohammad</v>
          </cell>
        </row>
        <row r="14822">
          <cell r="I14822" t="str">
            <v>Moffit</v>
          </cell>
        </row>
        <row r="14823">
          <cell r="I14823" t="str">
            <v>Mijares</v>
          </cell>
        </row>
        <row r="14824">
          <cell r="I14824" t="str">
            <v>Meriwether</v>
          </cell>
        </row>
        <row r="14825">
          <cell r="I14825" t="str">
            <v>Mendieta</v>
          </cell>
        </row>
        <row r="14826">
          <cell r="I14826" t="str">
            <v>Melendrez</v>
          </cell>
        </row>
        <row r="14827">
          <cell r="I14827" t="str">
            <v>Mejorado</v>
          </cell>
        </row>
        <row r="14828">
          <cell r="I14828" t="str">
            <v>Mckittrick</v>
          </cell>
        </row>
        <row r="14829">
          <cell r="I14829" t="str">
            <v>Mckey</v>
          </cell>
        </row>
        <row r="14830">
          <cell r="I14830" t="str">
            <v>Mckenny</v>
          </cell>
        </row>
        <row r="14831">
          <cell r="I14831" t="str">
            <v>Mckelvy</v>
          </cell>
        </row>
        <row r="14832">
          <cell r="I14832" t="str">
            <v>Mckechnie</v>
          </cell>
        </row>
        <row r="14833">
          <cell r="I14833" t="str">
            <v>Mcelvain</v>
          </cell>
        </row>
        <row r="14834">
          <cell r="I14834" t="str">
            <v>Mccoin</v>
          </cell>
        </row>
        <row r="14835">
          <cell r="I14835" t="str">
            <v>Mazzarella</v>
          </cell>
        </row>
        <row r="14836">
          <cell r="I14836" t="str">
            <v>Mazon</v>
          </cell>
        </row>
        <row r="14837">
          <cell r="I14837" t="str">
            <v>Maurin</v>
          </cell>
        </row>
        <row r="14838">
          <cell r="I14838" t="str">
            <v>Matthies</v>
          </cell>
        </row>
        <row r="14839">
          <cell r="I14839" t="str">
            <v>Maston</v>
          </cell>
        </row>
        <row r="14840">
          <cell r="I14840" t="str">
            <v>Maske</v>
          </cell>
        </row>
        <row r="14841">
          <cell r="I14841" t="str">
            <v>Marzano</v>
          </cell>
        </row>
        <row r="14842">
          <cell r="I14842" t="str">
            <v>Marmon</v>
          </cell>
        </row>
        <row r="14843">
          <cell r="I14843" t="str">
            <v>Marburger</v>
          </cell>
        </row>
        <row r="14844">
          <cell r="I14844" t="str">
            <v>Mangus</v>
          </cell>
        </row>
        <row r="14845">
          <cell r="I14845" t="str">
            <v>Mangino</v>
          </cell>
        </row>
        <row r="14846">
          <cell r="I14846" t="str">
            <v>Mallet</v>
          </cell>
        </row>
        <row r="14847">
          <cell r="I14847" t="str">
            <v>Luo</v>
          </cell>
        </row>
        <row r="14848">
          <cell r="I14848" t="str">
            <v>Losada</v>
          </cell>
        </row>
        <row r="14849">
          <cell r="I14849" t="str">
            <v>Londono</v>
          </cell>
        </row>
        <row r="14850">
          <cell r="I14850" t="str">
            <v>Lobdell</v>
          </cell>
        </row>
        <row r="14851">
          <cell r="I14851" t="str">
            <v>Lipson</v>
          </cell>
        </row>
        <row r="14852">
          <cell r="I14852" t="str">
            <v>Lesniak</v>
          </cell>
        </row>
        <row r="14853">
          <cell r="I14853" t="str">
            <v>Leighty</v>
          </cell>
        </row>
        <row r="14854">
          <cell r="I14854" t="str">
            <v>Lei</v>
          </cell>
        </row>
        <row r="14855">
          <cell r="I14855" t="str">
            <v>League</v>
          </cell>
        </row>
        <row r="14856">
          <cell r="I14856" t="str">
            <v>Lavallie</v>
          </cell>
        </row>
        <row r="14857">
          <cell r="I14857" t="str">
            <v>Lareau</v>
          </cell>
        </row>
        <row r="14858">
          <cell r="I14858" t="str">
            <v>Laperle</v>
          </cell>
        </row>
        <row r="14859">
          <cell r="I14859" t="str">
            <v>Lape</v>
          </cell>
        </row>
        <row r="14860">
          <cell r="I14860" t="str">
            <v>Laforce</v>
          </cell>
        </row>
        <row r="14861">
          <cell r="I14861" t="str">
            <v>Laffey</v>
          </cell>
        </row>
        <row r="14862">
          <cell r="I14862" t="str">
            <v>Kuehner</v>
          </cell>
        </row>
        <row r="14863">
          <cell r="I14863" t="str">
            <v>Kravitz</v>
          </cell>
        </row>
        <row r="14864">
          <cell r="I14864" t="str">
            <v>Kowalsky</v>
          </cell>
        </row>
        <row r="14865">
          <cell r="I14865" t="str">
            <v>Kohr</v>
          </cell>
        </row>
        <row r="14866">
          <cell r="I14866" t="str">
            <v>Kinsman</v>
          </cell>
        </row>
        <row r="14867">
          <cell r="I14867" t="str">
            <v>Keppler</v>
          </cell>
        </row>
        <row r="14868">
          <cell r="I14868" t="str">
            <v>Kennemer</v>
          </cell>
        </row>
        <row r="14869">
          <cell r="I14869" t="str">
            <v>Keiper</v>
          </cell>
        </row>
        <row r="14870">
          <cell r="I14870" t="str">
            <v>Keely</v>
          </cell>
        </row>
        <row r="14871">
          <cell r="I14871" t="str">
            <v>Kaler</v>
          </cell>
        </row>
        <row r="14872">
          <cell r="I14872" t="str">
            <v>Jun</v>
          </cell>
        </row>
        <row r="14873">
          <cell r="I14873" t="str">
            <v>Jelinek</v>
          </cell>
        </row>
        <row r="14874">
          <cell r="I14874" t="str">
            <v>Jarnagin</v>
          </cell>
        </row>
        <row r="14875">
          <cell r="I14875" t="str">
            <v>Issac</v>
          </cell>
        </row>
        <row r="14876">
          <cell r="I14876" t="str">
            <v>Isakson</v>
          </cell>
        </row>
        <row r="14877">
          <cell r="I14877" t="str">
            <v>Hypes</v>
          </cell>
        </row>
        <row r="14878">
          <cell r="I14878" t="str">
            <v>Hutzler</v>
          </cell>
        </row>
        <row r="14879">
          <cell r="I14879" t="str">
            <v>Huls</v>
          </cell>
        </row>
        <row r="14880">
          <cell r="I14880" t="str">
            <v>Horak</v>
          </cell>
        </row>
        <row r="14881">
          <cell r="I14881" t="str">
            <v>Hitz</v>
          </cell>
        </row>
        <row r="14882">
          <cell r="I14882" t="str">
            <v>Hice</v>
          </cell>
        </row>
        <row r="14883">
          <cell r="I14883" t="str">
            <v>Herrell</v>
          </cell>
        </row>
        <row r="14884">
          <cell r="I14884" t="str">
            <v>Henslee</v>
          </cell>
        </row>
        <row r="14885">
          <cell r="I14885" t="str">
            <v>Heitz</v>
          </cell>
        </row>
        <row r="14886">
          <cell r="I14886" t="str">
            <v>Heiss</v>
          </cell>
        </row>
        <row r="14887">
          <cell r="I14887" t="str">
            <v>Heiman</v>
          </cell>
        </row>
        <row r="14888">
          <cell r="I14888" t="str">
            <v>Hasting</v>
          </cell>
        </row>
        <row r="14889">
          <cell r="I14889" t="str">
            <v>Hartwick</v>
          </cell>
        </row>
        <row r="14890">
          <cell r="I14890" t="str">
            <v>Harmer</v>
          </cell>
        </row>
        <row r="14891">
          <cell r="I14891" t="str">
            <v>Harland</v>
          </cell>
        </row>
        <row r="14892">
          <cell r="I14892" t="str">
            <v>Hammontree</v>
          </cell>
        </row>
        <row r="14893">
          <cell r="I14893" t="str">
            <v>Haldeman</v>
          </cell>
        </row>
        <row r="14894">
          <cell r="I14894" t="str">
            <v>Hakes</v>
          </cell>
        </row>
        <row r="14895">
          <cell r="I14895" t="str">
            <v>Guse</v>
          </cell>
        </row>
        <row r="14896">
          <cell r="I14896" t="str">
            <v>Guillotte</v>
          </cell>
        </row>
        <row r="14897">
          <cell r="I14897" t="str">
            <v>Guard</v>
          </cell>
        </row>
        <row r="14898">
          <cell r="I14898" t="str">
            <v>Groleau</v>
          </cell>
        </row>
        <row r="14899">
          <cell r="I14899" t="str">
            <v>Greve</v>
          </cell>
        </row>
        <row r="14900">
          <cell r="I14900" t="str">
            <v>Greenough</v>
          </cell>
        </row>
        <row r="14901">
          <cell r="I14901" t="str">
            <v>Golub</v>
          </cell>
        </row>
        <row r="14902">
          <cell r="I14902" t="str">
            <v>Golson</v>
          </cell>
        </row>
        <row r="14903">
          <cell r="I14903" t="str">
            <v>Goldschmidt</v>
          </cell>
        </row>
        <row r="14904">
          <cell r="I14904" t="str">
            <v>Golder</v>
          </cell>
        </row>
        <row r="14905">
          <cell r="I14905" t="str">
            <v>Godbolt</v>
          </cell>
        </row>
        <row r="14906">
          <cell r="I14906" t="str">
            <v>Gilmartin</v>
          </cell>
        </row>
        <row r="14907">
          <cell r="I14907" t="str">
            <v>Gies</v>
          </cell>
        </row>
        <row r="14908">
          <cell r="I14908" t="str">
            <v>Gibby</v>
          </cell>
        </row>
        <row r="14909">
          <cell r="I14909" t="str">
            <v>Geren</v>
          </cell>
        </row>
        <row r="14910">
          <cell r="I14910" t="str">
            <v>Genthner</v>
          </cell>
        </row>
        <row r="14911">
          <cell r="I14911" t="str">
            <v>Gendreau</v>
          </cell>
        </row>
        <row r="14912">
          <cell r="I14912" t="str">
            <v>Gemmill</v>
          </cell>
        </row>
        <row r="14913">
          <cell r="I14913" t="str">
            <v>Gaymon</v>
          </cell>
        </row>
        <row r="14914">
          <cell r="I14914" t="str">
            <v>Galyean</v>
          </cell>
        </row>
        <row r="14915">
          <cell r="I14915" t="str">
            <v>Galeano</v>
          </cell>
        </row>
        <row r="14916">
          <cell r="I14916" t="str">
            <v>Friar</v>
          </cell>
        </row>
        <row r="14917">
          <cell r="I14917" t="str">
            <v>Folkerts</v>
          </cell>
        </row>
        <row r="14918">
          <cell r="I14918" t="str">
            <v>Fleeman</v>
          </cell>
        </row>
        <row r="14919">
          <cell r="I14919" t="str">
            <v>Fitzgibbons</v>
          </cell>
        </row>
        <row r="14920">
          <cell r="I14920" t="str">
            <v>Ferranti</v>
          </cell>
        </row>
        <row r="14921">
          <cell r="I14921" t="str">
            <v>Felan</v>
          </cell>
        </row>
        <row r="14922">
          <cell r="I14922" t="str">
            <v>Farrand</v>
          </cell>
        </row>
        <row r="14923">
          <cell r="I14923" t="str">
            <v>Eoff</v>
          </cell>
        </row>
        <row r="14924">
          <cell r="I14924" t="str">
            <v>Enger</v>
          </cell>
        </row>
        <row r="14925">
          <cell r="I14925" t="str">
            <v>Engels</v>
          </cell>
        </row>
        <row r="14926">
          <cell r="I14926" t="str">
            <v>Ducksworth</v>
          </cell>
        </row>
        <row r="14927">
          <cell r="I14927" t="str">
            <v>Duby</v>
          </cell>
        </row>
        <row r="14928">
          <cell r="I14928" t="str">
            <v>Dry</v>
          </cell>
        </row>
        <row r="14929">
          <cell r="I14929" t="str">
            <v>Drumheller</v>
          </cell>
        </row>
        <row r="14930">
          <cell r="I14930" t="str">
            <v>Douthitt</v>
          </cell>
        </row>
        <row r="14931">
          <cell r="I14931" t="str">
            <v>Doris</v>
          </cell>
        </row>
        <row r="14932">
          <cell r="I14932" t="str">
            <v>Donis</v>
          </cell>
        </row>
        <row r="14933">
          <cell r="I14933" t="str">
            <v>Dixion</v>
          </cell>
        </row>
        <row r="14934">
          <cell r="I14934" t="str">
            <v>Dittrich</v>
          </cell>
        </row>
        <row r="14935">
          <cell r="I14935" t="str">
            <v>Dials</v>
          </cell>
        </row>
        <row r="14936">
          <cell r="I14936" t="str">
            <v>Dessert</v>
          </cell>
        </row>
        <row r="14937">
          <cell r="I14937" t="str">
            <v>Descoteaux</v>
          </cell>
        </row>
        <row r="14938">
          <cell r="I14938" t="str">
            <v>Depaul</v>
          </cell>
        </row>
        <row r="14939">
          <cell r="I14939" t="str">
            <v>Denker</v>
          </cell>
        </row>
        <row r="14940">
          <cell r="I14940" t="str">
            <v>Demuth</v>
          </cell>
        </row>
        <row r="14941">
          <cell r="I14941" t="str">
            <v>Demelo</v>
          </cell>
        </row>
        <row r="14942">
          <cell r="I14942" t="str">
            <v>Delacerda</v>
          </cell>
        </row>
        <row r="14943">
          <cell r="I14943" t="str">
            <v>Deforge</v>
          </cell>
        </row>
        <row r="14944">
          <cell r="I14944" t="str">
            <v>Danos</v>
          </cell>
        </row>
        <row r="14945">
          <cell r="I14945" t="str">
            <v>Dalley</v>
          </cell>
        </row>
        <row r="14946">
          <cell r="I14946" t="str">
            <v>Daigneault</v>
          </cell>
        </row>
        <row r="14947">
          <cell r="I14947" t="str">
            <v>Cybulski</v>
          </cell>
        </row>
        <row r="14948">
          <cell r="I14948" t="str">
            <v>Crystal</v>
          </cell>
        </row>
        <row r="14949">
          <cell r="I14949" t="str">
            <v>Cristobal</v>
          </cell>
        </row>
        <row r="14950">
          <cell r="I14950" t="str">
            <v>Cothren</v>
          </cell>
        </row>
        <row r="14951">
          <cell r="I14951" t="str">
            <v>Corns</v>
          </cell>
        </row>
        <row r="14952">
          <cell r="I14952" t="str">
            <v>Corkery</v>
          </cell>
        </row>
        <row r="14953">
          <cell r="I14953" t="str">
            <v>Copas</v>
          </cell>
        </row>
        <row r="14954">
          <cell r="I14954" t="str">
            <v>Coco</v>
          </cell>
        </row>
        <row r="14955">
          <cell r="I14955" t="str">
            <v>Clubb</v>
          </cell>
        </row>
        <row r="14956">
          <cell r="I14956" t="str">
            <v>Clore</v>
          </cell>
        </row>
        <row r="14957">
          <cell r="I14957" t="str">
            <v>Chitty</v>
          </cell>
        </row>
        <row r="14958">
          <cell r="I14958" t="str">
            <v>Chichester</v>
          </cell>
        </row>
        <row r="14959">
          <cell r="I14959" t="str">
            <v>Chery</v>
          </cell>
        </row>
        <row r="14960">
          <cell r="I14960" t="str">
            <v>Charon</v>
          </cell>
        </row>
        <row r="14961">
          <cell r="I14961" t="str">
            <v>Chamber</v>
          </cell>
        </row>
        <row r="14962">
          <cell r="I14962" t="str">
            <v>Chace</v>
          </cell>
        </row>
        <row r="14963">
          <cell r="I14963" t="str">
            <v>Catanzaro</v>
          </cell>
        </row>
        <row r="14964">
          <cell r="I14964" t="str">
            <v>Castonguay</v>
          </cell>
        </row>
        <row r="14965">
          <cell r="I14965" t="str">
            <v>Cassella</v>
          </cell>
        </row>
        <row r="14966">
          <cell r="I14966" t="str">
            <v>Caroll</v>
          </cell>
        </row>
        <row r="14967">
          <cell r="I14967" t="str">
            <v>Carlberg</v>
          </cell>
        </row>
        <row r="14968">
          <cell r="I14968" t="str">
            <v>Cammarata</v>
          </cell>
        </row>
        <row r="14969">
          <cell r="I14969" t="str">
            <v>Calle</v>
          </cell>
        </row>
        <row r="14970">
          <cell r="I14970" t="str">
            <v>Cajigas</v>
          </cell>
        </row>
        <row r="14971">
          <cell r="I14971" t="str">
            <v>Byas</v>
          </cell>
        </row>
        <row r="14972">
          <cell r="I14972" t="str">
            <v>Buzbee</v>
          </cell>
        </row>
        <row r="14973">
          <cell r="I14973" t="str">
            <v>Busey</v>
          </cell>
        </row>
        <row r="14974">
          <cell r="I14974" t="str">
            <v>Burling</v>
          </cell>
        </row>
        <row r="14975">
          <cell r="I14975" t="str">
            <v>Bufkin</v>
          </cell>
        </row>
        <row r="14976">
          <cell r="I14976" t="str">
            <v>Brzezinski</v>
          </cell>
        </row>
        <row r="14977">
          <cell r="I14977" t="str">
            <v>Brun</v>
          </cell>
        </row>
        <row r="14978">
          <cell r="I14978" t="str">
            <v>Brickner</v>
          </cell>
        </row>
        <row r="14979">
          <cell r="I14979" t="str">
            <v>Brabham</v>
          </cell>
        </row>
        <row r="14980">
          <cell r="I14980" t="str">
            <v>Boller</v>
          </cell>
        </row>
        <row r="14981">
          <cell r="I14981" t="str">
            <v>Bodily</v>
          </cell>
        </row>
        <row r="14982">
          <cell r="I14982" t="str">
            <v>Bockman</v>
          </cell>
        </row>
        <row r="14983">
          <cell r="I14983" t="str">
            <v>Bleich</v>
          </cell>
        </row>
        <row r="14984">
          <cell r="I14984" t="str">
            <v>Blakeman</v>
          </cell>
        </row>
        <row r="14985">
          <cell r="I14985" t="str">
            <v>Bisbee</v>
          </cell>
        </row>
        <row r="14986">
          <cell r="I14986" t="str">
            <v>Bier</v>
          </cell>
        </row>
        <row r="14987">
          <cell r="I14987" t="str">
            <v>Bezanson</v>
          </cell>
        </row>
        <row r="14988">
          <cell r="I14988" t="str">
            <v>Bevilacqua</v>
          </cell>
        </row>
        <row r="14989">
          <cell r="I14989" t="str">
            <v>Besaw</v>
          </cell>
        </row>
        <row r="14990">
          <cell r="I14990" t="str">
            <v>Berrian</v>
          </cell>
        </row>
        <row r="14991">
          <cell r="I14991" t="str">
            <v>Berkeley</v>
          </cell>
        </row>
        <row r="14992">
          <cell r="I14992" t="str">
            <v>Bequette</v>
          </cell>
        </row>
        <row r="14993">
          <cell r="I14993" t="str">
            <v>Beauford</v>
          </cell>
        </row>
        <row r="14994">
          <cell r="I14994" t="str">
            <v>Baumgarten</v>
          </cell>
        </row>
        <row r="14995">
          <cell r="I14995" t="str">
            <v>Baudoin</v>
          </cell>
        </row>
        <row r="14996">
          <cell r="I14996" t="str">
            <v>Batie</v>
          </cell>
        </row>
        <row r="14997">
          <cell r="I14997" t="str">
            <v>Basaldua</v>
          </cell>
        </row>
        <row r="14998">
          <cell r="I14998" t="str">
            <v>Bardin</v>
          </cell>
        </row>
        <row r="14999">
          <cell r="I14999" t="str">
            <v>Bangert</v>
          </cell>
        </row>
        <row r="15000">
          <cell r="I15000" t="str">
            <v>Banes</v>
          </cell>
        </row>
        <row r="15001">
          <cell r="I15001" t="str">
            <v>Backlund</v>
          </cell>
        </row>
        <row r="15002">
          <cell r="I15002" t="str">
            <v>Avitia</v>
          </cell>
        </row>
        <row r="15003">
          <cell r="I15003" t="str">
            <v>Artz</v>
          </cell>
        </row>
        <row r="15004">
          <cell r="I15004" t="str">
            <v>Archey</v>
          </cell>
        </row>
        <row r="15005">
          <cell r="I15005" t="str">
            <v>Apel</v>
          </cell>
        </row>
        <row r="15006">
          <cell r="I15006" t="str">
            <v>Amico</v>
          </cell>
        </row>
        <row r="15007">
          <cell r="I15007" t="str">
            <v>Alam</v>
          </cell>
        </row>
        <row r="15008">
          <cell r="I15008" t="str">
            <v>Aden</v>
          </cell>
        </row>
        <row r="15009">
          <cell r="I15009" t="str">
            <v>Zebrowski</v>
          </cell>
        </row>
        <row r="15010">
          <cell r="I15010" t="str">
            <v>Yokota</v>
          </cell>
        </row>
        <row r="15011">
          <cell r="I15011" t="str">
            <v>Wormley</v>
          </cell>
        </row>
        <row r="15012">
          <cell r="I15012" t="str">
            <v>Wootton</v>
          </cell>
        </row>
        <row r="15013">
          <cell r="I15013" t="str">
            <v>Woodie</v>
          </cell>
        </row>
        <row r="15014">
          <cell r="I15014" t="str">
            <v>Womac</v>
          </cell>
        </row>
        <row r="15015">
          <cell r="I15015" t="str">
            <v>Wiltz</v>
          </cell>
        </row>
        <row r="15016">
          <cell r="I15016" t="str">
            <v>Wigington</v>
          </cell>
        </row>
        <row r="15017">
          <cell r="I15017" t="str">
            <v>Whitehorn</v>
          </cell>
        </row>
        <row r="15018">
          <cell r="I15018" t="str">
            <v>Whisman</v>
          </cell>
        </row>
        <row r="15019">
          <cell r="I15019" t="str">
            <v>Weisgerber</v>
          </cell>
        </row>
        <row r="15020">
          <cell r="I15020" t="str">
            <v>Weigle</v>
          </cell>
        </row>
        <row r="15021">
          <cell r="I15021" t="str">
            <v>Weedman</v>
          </cell>
        </row>
        <row r="15022">
          <cell r="I15022" t="str">
            <v>Watkin</v>
          </cell>
        </row>
        <row r="15023">
          <cell r="I15023" t="str">
            <v>Wasilewski</v>
          </cell>
        </row>
        <row r="15024">
          <cell r="I15024" t="str">
            <v>Wadlington</v>
          </cell>
        </row>
        <row r="15025">
          <cell r="I15025" t="str">
            <v>Wadkins</v>
          </cell>
        </row>
        <row r="15026">
          <cell r="I15026" t="str">
            <v>Viverette</v>
          </cell>
        </row>
        <row r="15027">
          <cell r="I15027" t="str">
            <v>Vidaurri</v>
          </cell>
        </row>
        <row r="15028">
          <cell r="I15028" t="str">
            <v>Vidales</v>
          </cell>
        </row>
        <row r="15029">
          <cell r="I15029" t="str">
            <v>Vezina</v>
          </cell>
        </row>
        <row r="15030">
          <cell r="I15030" t="str">
            <v>Vanleer</v>
          </cell>
        </row>
        <row r="15031">
          <cell r="I15031" t="str">
            <v>Vanhoy</v>
          </cell>
        </row>
        <row r="15032">
          <cell r="I15032" t="str">
            <v>Vanguilder</v>
          </cell>
        </row>
        <row r="15033">
          <cell r="I15033" t="str">
            <v>Vanbrunt</v>
          </cell>
        </row>
        <row r="15034">
          <cell r="I15034" t="str">
            <v>Uy</v>
          </cell>
        </row>
        <row r="15035">
          <cell r="I15035" t="str">
            <v>Updegraff</v>
          </cell>
        </row>
        <row r="15036">
          <cell r="I15036" t="str">
            <v>Tylor</v>
          </cell>
        </row>
        <row r="15037">
          <cell r="I15037" t="str">
            <v>Trinkle</v>
          </cell>
        </row>
        <row r="15038">
          <cell r="I15038" t="str">
            <v>Touchette</v>
          </cell>
        </row>
        <row r="15039">
          <cell r="I15039" t="str">
            <v>Tilson</v>
          </cell>
        </row>
        <row r="15040">
          <cell r="I15040" t="str">
            <v>Tilman</v>
          </cell>
        </row>
        <row r="15041">
          <cell r="I15041" t="str">
            <v>Tengan</v>
          </cell>
        </row>
        <row r="15042">
          <cell r="I15042" t="str">
            <v>Tarkington</v>
          </cell>
        </row>
        <row r="15043">
          <cell r="I15043" t="str">
            <v>Surrett</v>
          </cell>
        </row>
        <row r="15044">
          <cell r="I15044" t="str">
            <v>Super</v>
          </cell>
        </row>
        <row r="15045">
          <cell r="I15045" t="str">
            <v>Summy</v>
          </cell>
        </row>
        <row r="15046">
          <cell r="I15046" t="str">
            <v>Streetman</v>
          </cell>
        </row>
        <row r="15047">
          <cell r="I15047" t="str">
            <v>Straughter</v>
          </cell>
        </row>
        <row r="15048">
          <cell r="I15048" t="str">
            <v>Steere</v>
          </cell>
        </row>
        <row r="15049">
          <cell r="I15049" t="str">
            <v>Stalling</v>
          </cell>
        </row>
        <row r="15050">
          <cell r="I15050" t="str">
            <v>Spruell</v>
          </cell>
        </row>
        <row r="15051">
          <cell r="I15051" t="str">
            <v>Spadaro</v>
          </cell>
        </row>
        <row r="15052">
          <cell r="I15052" t="str">
            <v>Solley</v>
          </cell>
        </row>
        <row r="15053">
          <cell r="I15053" t="str">
            <v>Smathers</v>
          </cell>
        </row>
        <row r="15054">
          <cell r="I15054" t="str">
            <v>Silvera</v>
          </cell>
        </row>
        <row r="15055">
          <cell r="I15055" t="str">
            <v>Siems</v>
          </cell>
        </row>
        <row r="15056">
          <cell r="I15056" t="str">
            <v>Shreffler</v>
          </cell>
        </row>
        <row r="15057">
          <cell r="I15057" t="str">
            <v>Sholar</v>
          </cell>
        </row>
        <row r="15058">
          <cell r="I15058" t="str">
            <v>Selden</v>
          </cell>
        </row>
        <row r="15059">
          <cell r="I15059" t="str">
            <v>Schaper</v>
          </cell>
        </row>
        <row r="15060">
          <cell r="I15060" t="str">
            <v>Samayoa</v>
          </cell>
        </row>
        <row r="15061">
          <cell r="I15061" t="str">
            <v>Ruggeri</v>
          </cell>
        </row>
        <row r="15062">
          <cell r="I15062" t="str">
            <v>Rowen</v>
          </cell>
        </row>
        <row r="15063">
          <cell r="I15063" t="str">
            <v>Rosso</v>
          </cell>
        </row>
        <row r="15064">
          <cell r="I15064" t="str">
            <v>Rosenbalm</v>
          </cell>
        </row>
        <row r="15065">
          <cell r="I15065" t="str">
            <v>Roosevelt</v>
          </cell>
        </row>
        <row r="15066">
          <cell r="I15066" t="str">
            <v>Roose</v>
          </cell>
        </row>
        <row r="15067">
          <cell r="I15067" t="str">
            <v>Ronquillo</v>
          </cell>
        </row>
        <row r="15068">
          <cell r="I15068" t="str">
            <v>Rogowski</v>
          </cell>
        </row>
        <row r="15069">
          <cell r="I15069" t="str">
            <v>Rexford</v>
          </cell>
        </row>
        <row r="15070">
          <cell r="I15070" t="str">
            <v>Repass</v>
          </cell>
        </row>
        <row r="15071">
          <cell r="I15071" t="str">
            <v>Renzi</v>
          </cell>
        </row>
        <row r="15072">
          <cell r="I15072" t="str">
            <v>Renick</v>
          </cell>
        </row>
        <row r="15073">
          <cell r="I15073" t="str">
            <v>Renda</v>
          </cell>
        </row>
        <row r="15074">
          <cell r="I15074" t="str">
            <v>Rehberg</v>
          </cell>
        </row>
        <row r="15075">
          <cell r="I15075" t="str">
            <v>Reaper</v>
          </cell>
        </row>
        <row r="15076">
          <cell r="I15076" t="str">
            <v>Ranck</v>
          </cell>
        </row>
        <row r="15077">
          <cell r="I15077" t="str">
            <v>Raffa</v>
          </cell>
        </row>
        <row r="15078">
          <cell r="I15078" t="str">
            <v>Rackers</v>
          </cell>
        </row>
        <row r="15079">
          <cell r="I15079" t="str">
            <v>Raap</v>
          </cell>
        </row>
        <row r="15080">
          <cell r="I15080" t="str">
            <v>Pugsley</v>
          </cell>
        </row>
        <row r="15081">
          <cell r="I15081" t="str">
            <v>Puglisi</v>
          </cell>
        </row>
        <row r="15082">
          <cell r="I15082" t="str">
            <v>Prinz</v>
          </cell>
        </row>
        <row r="15083">
          <cell r="I15083" t="str">
            <v>Primus</v>
          </cell>
        </row>
        <row r="15084">
          <cell r="I15084" t="str">
            <v>Pounders</v>
          </cell>
        </row>
        <row r="15085">
          <cell r="I15085" t="str">
            <v>Pon</v>
          </cell>
        </row>
        <row r="15086">
          <cell r="I15086" t="str">
            <v>Pompa</v>
          </cell>
        </row>
        <row r="15087">
          <cell r="I15087" t="str">
            <v>Plasencia</v>
          </cell>
        </row>
        <row r="15088">
          <cell r="I15088" t="str">
            <v>Pipkins</v>
          </cell>
        </row>
        <row r="15089">
          <cell r="I15089" t="str">
            <v>Pillar</v>
          </cell>
        </row>
        <row r="15090">
          <cell r="I15090" t="str">
            <v>Petrosky</v>
          </cell>
        </row>
        <row r="15091">
          <cell r="I15091" t="str">
            <v>Pelley</v>
          </cell>
        </row>
        <row r="15092">
          <cell r="I15092" t="str">
            <v>Pauls</v>
          </cell>
        </row>
        <row r="15093">
          <cell r="I15093" t="str">
            <v>Pauli</v>
          </cell>
        </row>
        <row r="15094">
          <cell r="I15094" t="str">
            <v>Parkison</v>
          </cell>
        </row>
        <row r="15095">
          <cell r="I15095" t="str">
            <v>Parisien</v>
          </cell>
        </row>
        <row r="15096">
          <cell r="I15096" t="str">
            <v>Pangle</v>
          </cell>
        </row>
        <row r="15097">
          <cell r="I15097" t="str">
            <v>Pancoast</v>
          </cell>
        </row>
        <row r="15098">
          <cell r="I15098" t="str">
            <v>Palazzolo</v>
          </cell>
        </row>
        <row r="15099">
          <cell r="I15099" t="str">
            <v>Owenby</v>
          </cell>
        </row>
        <row r="15100">
          <cell r="I15100" t="str">
            <v>Overbay</v>
          </cell>
        </row>
        <row r="15101">
          <cell r="I15101" t="str">
            <v>Orris</v>
          </cell>
        </row>
        <row r="15102">
          <cell r="I15102" t="str">
            <v>Orlowski</v>
          </cell>
        </row>
        <row r="15103">
          <cell r="I15103" t="str">
            <v>Nipp</v>
          </cell>
        </row>
        <row r="15104">
          <cell r="I15104" t="str">
            <v>Newbern</v>
          </cell>
        </row>
        <row r="15105">
          <cell r="I15105" t="str">
            <v>Nedd</v>
          </cell>
        </row>
        <row r="15106">
          <cell r="I15106" t="str">
            <v>Nealon</v>
          </cell>
        </row>
        <row r="15107">
          <cell r="I15107" t="str">
            <v>Najar</v>
          </cell>
        </row>
        <row r="15108">
          <cell r="I15108" t="str">
            <v>Mysliwiec</v>
          </cell>
        </row>
        <row r="15109">
          <cell r="I15109" t="str">
            <v>Myron</v>
          </cell>
        </row>
        <row r="15110">
          <cell r="I15110" t="str">
            <v>Myres</v>
          </cell>
        </row>
        <row r="15111">
          <cell r="I15111" t="str">
            <v>Musson</v>
          </cell>
        </row>
        <row r="15112">
          <cell r="I15112" t="str">
            <v>Murrieta</v>
          </cell>
        </row>
        <row r="15113">
          <cell r="I15113" t="str">
            <v>Munsell</v>
          </cell>
        </row>
        <row r="15114">
          <cell r="I15114" t="str">
            <v>Mumma</v>
          </cell>
        </row>
        <row r="15115">
          <cell r="I15115" t="str">
            <v>Muldowney</v>
          </cell>
        </row>
        <row r="15116">
          <cell r="I15116" t="str">
            <v>Moyle</v>
          </cell>
        </row>
        <row r="15117">
          <cell r="I15117" t="str">
            <v>Mowen</v>
          </cell>
        </row>
        <row r="15118">
          <cell r="I15118" t="str">
            <v>Mose</v>
          </cell>
        </row>
        <row r="15119">
          <cell r="I15119" t="str">
            <v>Morejon</v>
          </cell>
        </row>
        <row r="15120">
          <cell r="I15120" t="str">
            <v>Moodie</v>
          </cell>
        </row>
        <row r="15121">
          <cell r="I15121" t="str">
            <v>Monier</v>
          </cell>
        </row>
        <row r="15122">
          <cell r="I15122" t="str">
            <v>Mikkelsen</v>
          </cell>
        </row>
        <row r="15123">
          <cell r="I15123" t="str">
            <v>Miers</v>
          </cell>
        </row>
        <row r="15124">
          <cell r="I15124" t="str">
            <v>Metzinger</v>
          </cell>
        </row>
        <row r="15125">
          <cell r="I15125" t="str">
            <v>Melin</v>
          </cell>
        </row>
        <row r="15126">
          <cell r="I15126" t="str">
            <v>Mcquay</v>
          </cell>
        </row>
        <row r="15127">
          <cell r="I15127" t="str">
            <v>Mcpeek</v>
          </cell>
        </row>
        <row r="15128">
          <cell r="I15128" t="str">
            <v>Mcneeley</v>
          </cell>
        </row>
        <row r="15129">
          <cell r="I15129" t="str">
            <v>Mcglothin</v>
          </cell>
        </row>
        <row r="15130">
          <cell r="I15130" t="str">
            <v>Mcghie</v>
          </cell>
        </row>
        <row r="15131">
          <cell r="I15131" t="str">
            <v>Mcdonell</v>
          </cell>
        </row>
        <row r="15132">
          <cell r="I15132" t="str">
            <v>Mccumber</v>
          </cell>
        </row>
        <row r="15133">
          <cell r="I15133" t="str">
            <v>Mccranie</v>
          </cell>
        </row>
        <row r="15134">
          <cell r="I15134" t="str">
            <v>Mcbean</v>
          </cell>
        </row>
        <row r="15135">
          <cell r="I15135" t="str">
            <v>Mayhugh</v>
          </cell>
        </row>
        <row r="15136">
          <cell r="I15136" t="str">
            <v>Marts</v>
          </cell>
        </row>
        <row r="15137">
          <cell r="I15137" t="str">
            <v>Marenco</v>
          </cell>
        </row>
        <row r="15138">
          <cell r="I15138" t="str">
            <v>Manges</v>
          </cell>
        </row>
        <row r="15139">
          <cell r="I15139" t="str">
            <v>Lynam</v>
          </cell>
        </row>
        <row r="15140">
          <cell r="I15140" t="str">
            <v>Lupien</v>
          </cell>
        </row>
        <row r="15141">
          <cell r="I15141" t="str">
            <v>Luff</v>
          </cell>
        </row>
        <row r="15142">
          <cell r="I15142" t="str">
            <v>Luebbert</v>
          </cell>
        </row>
        <row r="15143">
          <cell r="I15143" t="str">
            <v>Loh</v>
          </cell>
        </row>
        <row r="15144">
          <cell r="I15144" t="str">
            <v>Loflin</v>
          </cell>
        </row>
        <row r="15145">
          <cell r="I15145" t="str">
            <v>Lococo</v>
          </cell>
        </row>
        <row r="15146">
          <cell r="I15146" t="str">
            <v>Loch</v>
          </cell>
        </row>
        <row r="15147">
          <cell r="I15147" t="str">
            <v>Lis</v>
          </cell>
        </row>
        <row r="15148">
          <cell r="I15148" t="str">
            <v>Linke</v>
          </cell>
        </row>
        <row r="15149">
          <cell r="I15149" t="str">
            <v>Lightle</v>
          </cell>
        </row>
        <row r="15150">
          <cell r="I15150" t="str">
            <v>Lewellyn</v>
          </cell>
        </row>
        <row r="15151">
          <cell r="I15151" t="str">
            <v>Leishman</v>
          </cell>
        </row>
        <row r="15152">
          <cell r="I15152" t="str">
            <v>Lebow</v>
          </cell>
        </row>
        <row r="15153">
          <cell r="I15153" t="str">
            <v>Lebouef</v>
          </cell>
        </row>
        <row r="15154">
          <cell r="I15154" t="str">
            <v>Leanos</v>
          </cell>
        </row>
        <row r="15155">
          <cell r="I15155" t="str">
            <v>Lanz</v>
          </cell>
        </row>
        <row r="15156">
          <cell r="I15156" t="str">
            <v>Landy</v>
          </cell>
        </row>
        <row r="15157">
          <cell r="I15157" t="str">
            <v>Landaverde</v>
          </cell>
        </row>
        <row r="15158">
          <cell r="I15158" t="str">
            <v>Lacefield</v>
          </cell>
        </row>
        <row r="15159">
          <cell r="I15159" t="str">
            <v>Kyler</v>
          </cell>
        </row>
        <row r="15160">
          <cell r="I15160" t="str">
            <v>Kuebler</v>
          </cell>
        </row>
        <row r="15161">
          <cell r="I15161" t="str">
            <v>Kropf</v>
          </cell>
        </row>
        <row r="15162">
          <cell r="I15162" t="str">
            <v>Kroeker</v>
          </cell>
        </row>
        <row r="15163">
          <cell r="I15163" t="str">
            <v>Kluesner</v>
          </cell>
        </row>
        <row r="15164">
          <cell r="I15164" t="str">
            <v>Klass</v>
          </cell>
        </row>
        <row r="15165">
          <cell r="I15165" t="str">
            <v>Kimberling</v>
          </cell>
        </row>
        <row r="15166">
          <cell r="I15166" t="str">
            <v>Kilkenny</v>
          </cell>
        </row>
        <row r="15167">
          <cell r="I15167" t="str">
            <v>Kiker</v>
          </cell>
        </row>
        <row r="15168">
          <cell r="I15168" t="str">
            <v>Ketter</v>
          </cell>
        </row>
        <row r="15169">
          <cell r="I15169" t="str">
            <v>Kelemen</v>
          </cell>
        </row>
        <row r="15170">
          <cell r="I15170" t="str">
            <v>Keasler</v>
          </cell>
        </row>
        <row r="15171">
          <cell r="I15171" t="str">
            <v>Kawamura</v>
          </cell>
        </row>
        <row r="15172">
          <cell r="I15172" t="str">
            <v>Karst</v>
          </cell>
        </row>
        <row r="15173">
          <cell r="I15173" t="str">
            <v>Kardos</v>
          </cell>
        </row>
        <row r="15174">
          <cell r="I15174" t="str">
            <v>Jeremiah</v>
          </cell>
        </row>
        <row r="15175">
          <cell r="I15175" t="str">
            <v>Jared</v>
          </cell>
        </row>
        <row r="15176">
          <cell r="I15176" t="str">
            <v>Igo</v>
          </cell>
        </row>
        <row r="15177">
          <cell r="I15177" t="str">
            <v>Huseman</v>
          </cell>
        </row>
        <row r="15178">
          <cell r="I15178" t="str">
            <v>Huseby</v>
          </cell>
        </row>
        <row r="15179">
          <cell r="I15179" t="str">
            <v>Hurlbert</v>
          </cell>
        </row>
        <row r="15180">
          <cell r="I15180" t="str">
            <v>Huard</v>
          </cell>
        </row>
        <row r="15181">
          <cell r="I15181" t="str">
            <v>Hottinger</v>
          </cell>
        </row>
        <row r="15182">
          <cell r="I15182" t="str">
            <v>Hornberger</v>
          </cell>
        </row>
        <row r="15183">
          <cell r="I15183" t="str">
            <v>Hopps</v>
          </cell>
        </row>
        <row r="15184">
          <cell r="I15184" t="str">
            <v>Holdsworth</v>
          </cell>
        </row>
        <row r="15185">
          <cell r="I15185" t="str">
            <v>Hensen</v>
          </cell>
        </row>
        <row r="15186">
          <cell r="I15186" t="str">
            <v>Heilig</v>
          </cell>
        </row>
        <row r="15187">
          <cell r="I15187" t="str">
            <v>Heeter</v>
          </cell>
        </row>
        <row r="15188">
          <cell r="I15188" t="str">
            <v>Harpole</v>
          </cell>
        </row>
        <row r="15189">
          <cell r="I15189" t="str">
            <v>Haak</v>
          </cell>
        </row>
        <row r="15190">
          <cell r="I15190" t="str">
            <v>Gutowski</v>
          </cell>
        </row>
        <row r="15191">
          <cell r="I15191" t="str">
            <v>Gunnels</v>
          </cell>
        </row>
        <row r="15192">
          <cell r="I15192" t="str">
            <v>Grimmer</v>
          </cell>
        </row>
        <row r="15193">
          <cell r="I15193" t="str">
            <v>Grieve</v>
          </cell>
        </row>
        <row r="15194">
          <cell r="I15194" t="str">
            <v>Gravatt</v>
          </cell>
        </row>
        <row r="15195">
          <cell r="I15195" t="str">
            <v>Granderson</v>
          </cell>
        </row>
        <row r="15196">
          <cell r="I15196" t="str">
            <v>Gotcher</v>
          </cell>
        </row>
        <row r="15197">
          <cell r="I15197" t="str">
            <v>Gleaves</v>
          </cell>
        </row>
        <row r="15198">
          <cell r="I15198" t="str">
            <v>Genao</v>
          </cell>
        </row>
        <row r="15199">
          <cell r="I15199" t="str">
            <v>Garfinkel</v>
          </cell>
        </row>
        <row r="15200">
          <cell r="I15200" t="str">
            <v>Frerichs</v>
          </cell>
        </row>
        <row r="15201">
          <cell r="I15201" t="str">
            <v>Foushee</v>
          </cell>
        </row>
        <row r="15202">
          <cell r="I15202" t="str">
            <v>Flanery</v>
          </cell>
        </row>
        <row r="15203">
          <cell r="I15203" t="str">
            <v>Finnie</v>
          </cell>
        </row>
        <row r="15204">
          <cell r="I15204" t="str">
            <v>Feldt</v>
          </cell>
        </row>
        <row r="15205">
          <cell r="I15205" t="str">
            <v>Fagin</v>
          </cell>
        </row>
        <row r="15206">
          <cell r="I15206" t="str">
            <v>Ewalt</v>
          </cell>
        </row>
        <row r="15207">
          <cell r="I15207" t="str">
            <v>Ellefson</v>
          </cell>
        </row>
        <row r="15208">
          <cell r="I15208" t="str">
            <v>Eiler</v>
          </cell>
        </row>
        <row r="15209">
          <cell r="I15209" t="str">
            <v>Eckhart</v>
          </cell>
        </row>
        <row r="15210">
          <cell r="I15210" t="str">
            <v>Eastep</v>
          </cell>
        </row>
        <row r="15211">
          <cell r="I15211" t="str">
            <v>Dwight</v>
          </cell>
        </row>
        <row r="15212">
          <cell r="I15212" t="str">
            <v>Digirolamo</v>
          </cell>
        </row>
        <row r="15213">
          <cell r="I15213" t="str">
            <v>Didomenico</v>
          </cell>
        </row>
        <row r="15214">
          <cell r="I15214" t="str">
            <v>Devera</v>
          </cell>
        </row>
        <row r="15215">
          <cell r="I15215" t="str">
            <v>Delavega</v>
          </cell>
        </row>
        <row r="15216">
          <cell r="I15216" t="str">
            <v>Defilippo</v>
          </cell>
        </row>
        <row r="15217">
          <cell r="I15217" t="str">
            <v>Debusk</v>
          </cell>
        </row>
        <row r="15218">
          <cell r="I15218" t="str">
            <v>Daub</v>
          </cell>
        </row>
        <row r="15219">
          <cell r="I15219" t="str">
            <v>Damiani</v>
          </cell>
        </row>
        <row r="15220">
          <cell r="I15220" t="str">
            <v>Cupples</v>
          </cell>
        </row>
        <row r="15221">
          <cell r="I15221" t="str">
            <v>Cuddy</v>
          </cell>
        </row>
        <row r="15222">
          <cell r="I15222" t="str">
            <v>Crofoot</v>
          </cell>
        </row>
        <row r="15223">
          <cell r="I15223" t="str">
            <v>Courter</v>
          </cell>
        </row>
        <row r="15224">
          <cell r="I15224" t="str">
            <v>Coto</v>
          </cell>
        </row>
        <row r="15225">
          <cell r="I15225" t="str">
            <v>Costigan</v>
          </cell>
        </row>
        <row r="15226">
          <cell r="I15226" t="str">
            <v>Corning</v>
          </cell>
        </row>
        <row r="15227">
          <cell r="I15227" t="str">
            <v>Corman</v>
          </cell>
        </row>
        <row r="15228">
          <cell r="I15228" t="str">
            <v>Corlett</v>
          </cell>
        </row>
        <row r="15229">
          <cell r="I15229" t="str">
            <v>Cooperman</v>
          </cell>
        </row>
        <row r="15230">
          <cell r="I15230" t="str">
            <v>Collison</v>
          </cell>
        </row>
        <row r="15231">
          <cell r="I15231" t="str">
            <v>Coghlan</v>
          </cell>
        </row>
        <row r="15232">
          <cell r="I15232" t="str">
            <v>Cobbins</v>
          </cell>
        </row>
        <row r="15233">
          <cell r="I15233" t="str">
            <v>Coady</v>
          </cell>
        </row>
        <row r="15234">
          <cell r="I15234" t="str">
            <v>Coachman</v>
          </cell>
        </row>
        <row r="15235">
          <cell r="I15235" t="str">
            <v>Clothier</v>
          </cell>
        </row>
        <row r="15236">
          <cell r="I15236" t="str">
            <v>Client</v>
          </cell>
        </row>
        <row r="15237">
          <cell r="I15237" t="str">
            <v>Clear</v>
          </cell>
        </row>
        <row r="15238">
          <cell r="I15238" t="str">
            <v>Cipolla</v>
          </cell>
        </row>
        <row r="15239">
          <cell r="I15239" t="str">
            <v>Chmielewski</v>
          </cell>
        </row>
        <row r="15240">
          <cell r="I15240" t="str">
            <v>Chiodo</v>
          </cell>
        </row>
        <row r="15241">
          <cell r="I15241" t="str">
            <v>Chatterton</v>
          </cell>
        </row>
        <row r="15242">
          <cell r="I15242" t="str">
            <v>Chappelle</v>
          </cell>
        </row>
        <row r="15243">
          <cell r="I15243" t="str">
            <v>Chairez</v>
          </cell>
        </row>
        <row r="15244">
          <cell r="I15244" t="str">
            <v>Ceron</v>
          </cell>
        </row>
        <row r="15245">
          <cell r="I15245" t="str">
            <v>Casperson</v>
          </cell>
        </row>
        <row r="15246">
          <cell r="I15246" t="str">
            <v>Casler</v>
          </cell>
        </row>
        <row r="15247">
          <cell r="I15247" t="str">
            <v>Casados</v>
          </cell>
        </row>
        <row r="15248">
          <cell r="I15248" t="str">
            <v>Carrow</v>
          </cell>
        </row>
        <row r="15249">
          <cell r="I15249" t="str">
            <v>Carolina</v>
          </cell>
        </row>
        <row r="15250">
          <cell r="I15250" t="str">
            <v>Carlino</v>
          </cell>
        </row>
        <row r="15251">
          <cell r="I15251" t="str">
            <v>Carico</v>
          </cell>
        </row>
        <row r="15252">
          <cell r="I15252" t="str">
            <v>Cardillo</v>
          </cell>
        </row>
        <row r="15253">
          <cell r="I15253" t="str">
            <v>Caouette</v>
          </cell>
        </row>
        <row r="15254">
          <cell r="I15254" t="str">
            <v>Canto</v>
          </cell>
        </row>
        <row r="15255">
          <cell r="I15255" t="str">
            <v>Canavan</v>
          </cell>
        </row>
        <row r="15256">
          <cell r="I15256" t="str">
            <v>Cambra</v>
          </cell>
        </row>
        <row r="15257">
          <cell r="I15257" t="str">
            <v>Byard</v>
          </cell>
        </row>
        <row r="15258">
          <cell r="I15258" t="str">
            <v>Buterbaugh</v>
          </cell>
        </row>
        <row r="15259">
          <cell r="I15259" t="str">
            <v>Buse</v>
          </cell>
        </row>
        <row r="15260">
          <cell r="I15260" t="str">
            <v>Bucy</v>
          </cell>
        </row>
        <row r="15261">
          <cell r="I15261" t="str">
            <v>Buckwalter</v>
          </cell>
        </row>
        <row r="15262">
          <cell r="I15262" t="str">
            <v>Bubb</v>
          </cell>
        </row>
        <row r="15263">
          <cell r="I15263" t="str">
            <v>Bryd</v>
          </cell>
        </row>
        <row r="15264">
          <cell r="I15264" t="str">
            <v>Brissette</v>
          </cell>
        </row>
        <row r="15265">
          <cell r="I15265" t="str">
            <v>Brault</v>
          </cell>
        </row>
        <row r="15266">
          <cell r="I15266" t="str">
            <v>Bradwell</v>
          </cell>
        </row>
        <row r="15267">
          <cell r="I15267" t="str">
            <v>Boshears</v>
          </cell>
        </row>
        <row r="15268">
          <cell r="I15268" t="str">
            <v>Borchert</v>
          </cell>
        </row>
        <row r="15269">
          <cell r="I15269" t="str">
            <v>Blansett</v>
          </cell>
        </row>
        <row r="15270">
          <cell r="I15270" t="str">
            <v>Blanch</v>
          </cell>
        </row>
        <row r="15271">
          <cell r="I15271" t="str">
            <v>Blade</v>
          </cell>
        </row>
        <row r="15272">
          <cell r="I15272" t="str">
            <v>Biondo</v>
          </cell>
        </row>
        <row r="15273">
          <cell r="I15273" t="str">
            <v>Bilbo</v>
          </cell>
        </row>
        <row r="15274">
          <cell r="I15274" t="str">
            <v>Biehl</v>
          </cell>
        </row>
        <row r="15275">
          <cell r="I15275" t="str">
            <v>Bessey</v>
          </cell>
        </row>
        <row r="15276">
          <cell r="I15276" t="str">
            <v>Berta</v>
          </cell>
        </row>
        <row r="15277">
          <cell r="I15277" t="str">
            <v>Belles</v>
          </cell>
        </row>
        <row r="15278">
          <cell r="I15278" t="str">
            <v>Bella</v>
          </cell>
        </row>
        <row r="15279">
          <cell r="I15279" t="str">
            <v>Beeks</v>
          </cell>
        </row>
        <row r="15280">
          <cell r="I15280" t="str">
            <v>Beekman</v>
          </cell>
        </row>
        <row r="15281">
          <cell r="I15281" t="str">
            <v>Beaufort</v>
          </cell>
        </row>
        <row r="15282">
          <cell r="I15282" t="str">
            <v>Bayliss</v>
          </cell>
        </row>
        <row r="15283">
          <cell r="I15283" t="str">
            <v>Bardsley</v>
          </cell>
        </row>
        <row r="15284">
          <cell r="I15284" t="str">
            <v>Avilla</v>
          </cell>
        </row>
        <row r="15285">
          <cell r="I15285" t="str">
            <v>Astudillo</v>
          </cell>
        </row>
        <row r="15286">
          <cell r="I15286" t="str">
            <v>Ardito</v>
          </cell>
        </row>
        <row r="15287">
          <cell r="I15287" t="str">
            <v>Anwar</v>
          </cell>
        </row>
        <row r="15288">
          <cell r="I15288" t="str">
            <v>Antunez</v>
          </cell>
        </row>
        <row r="15289">
          <cell r="I15289" t="str">
            <v>Amen</v>
          </cell>
        </row>
        <row r="15290">
          <cell r="I15290" t="str">
            <v>Aderholt</v>
          </cell>
        </row>
        <row r="15291">
          <cell r="I15291" t="str">
            <v>Abate</v>
          </cell>
        </row>
        <row r="15292">
          <cell r="I15292" t="str">
            <v>Yowell</v>
          </cell>
        </row>
        <row r="15293">
          <cell r="I15293" t="str">
            <v>Yin</v>
          </cell>
        </row>
        <row r="15294">
          <cell r="I15294" t="str">
            <v>Yearby</v>
          </cell>
        </row>
        <row r="15295">
          <cell r="I15295" t="str">
            <v>Ye</v>
          </cell>
        </row>
        <row r="15296">
          <cell r="I15296" t="str">
            <v>Wurst</v>
          </cell>
        </row>
        <row r="15297">
          <cell r="I15297" t="str">
            <v>Woolverton</v>
          </cell>
        </row>
        <row r="15298">
          <cell r="I15298" t="str">
            <v>Woolbright</v>
          </cell>
        </row>
        <row r="15299">
          <cell r="I15299" t="str">
            <v>Wildermuth</v>
          </cell>
        </row>
        <row r="15300">
          <cell r="I15300" t="str">
            <v>Whittenburg</v>
          </cell>
        </row>
        <row r="15301">
          <cell r="I15301" t="str">
            <v>Whitely</v>
          </cell>
        </row>
        <row r="15302">
          <cell r="I15302" t="str">
            <v>Wetter</v>
          </cell>
        </row>
        <row r="15303">
          <cell r="I15303" t="str">
            <v>Wetherbee</v>
          </cell>
        </row>
        <row r="15304">
          <cell r="I15304" t="str">
            <v>Wenz</v>
          </cell>
        </row>
        <row r="15305">
          <cell r="I15305" t="str">
            <v>Welliver</v>
          </cell>
        </row>
        <row r="15306">
          <cell r="I15306" t="str">
            <v>Welling</v>
          </cell>
        </row>
        <row r="15307">
          <cell r="I15307" t="str">
            <v>Welcome</v>
          </cell>
        </row>
        <row r="15308">
          <cell r="I15308" t="str">
            <v>Wason</v>
          </cell>
        </row>
        <row r="15309">
          <cell r="I15309" t="str">
            <v>Warrior</v>
          </cell>
        </row>
        <row r="15310">
          <cell r="I15310" t="str">
            <v>Warlick</v>
          </cell>
        </row>
        <row r="15311">
          <cell r="I15311" t="str">
            <v>Voorhies</v>
          </cell>
        </row>
        <row r="15312">
          <cell r="I15312" t="str">
            <v>Vivier</v>
          </cell>
        </row>
        <row r="15313">
          <cell r="I15313" t="str">
            <v>Villines</v>
          </cell>
        </row>
        <row r="15314">
          <cell r="I15314" t="str">
            <v>Vida</v>
          </cell>
        </row>
        <row r="15315">
          <cell r="I15315" t="str">
            <v>Verde</v>
          </cell>
        </row>
        <row r="15316">
          <cell r="I15316" t="str">
            <v>Veiga</v>
          </cell>
        </row>
        <row r="15317">
          <cell r="I15317" t="str">
            <v>Varghese</v>
          </cell>
        </row>
        <row r="15318">
          <cell r="I15318" t="str">
            <v>Vanwyk</v>
          </cell>
        </row>
        <row r="15319">
          <cell r="I15319" t="str">
            <v>Vanwingerden</v>
          </cell>
        </row>
        <row r="15320">
          <cell r="I15320" t="str">
            <v>Vanhorne</v>
          </cell>
        </row>
        <row r="15321">
          <cell r="I15321" t="str">
            <v>Umstead</v>
          </cell>
        </row>
        <row r="15322">
          <cell r="I15322" t="str">
            <v>Twiggs</v>
          </cell>
        </row>
        <row r="15323">
          <cell r="I15323" t="str">
            <v>Tusing</v>
          </cell>
        </row>
        <row r="15324">
          <cell r="I15324" t="str">
            <v>Trego</v>
          </cell>
        </row>
        <row r="15325">
          <cell r="I15325" t="str">
            <v>Tompson</v>
          </cell>
        </row>
        <row r="15326">
          <cell r="I15326" t="str">
            <v>Tinkle</v>
          </cell>
        </row>
        <row r="15327">
          <cell r="I15327" t="str">
            <v>Thoman</v>
          </cell>
        </row>
        <row r="15328">
          <cell r="I15328" t="str">
            <v>Thole</v>
          </cell>
        </row>
        <row r="15329">
          <cell r="I15329" t="str">
            <v>Tatman</v>
          </cell>
        </row>
        <row r="15330">
          <cell r="I15330" t="str">
            <v>Tartt</v>
          </cell>
        </row>
        <row r="15331">
          <cell r="I15331" t="str">
            <v>Suda</v>
          </cell>
        </row>
        <row r="15332">
          <cell r="I15332" t="str">
            <v>Studley</v>
          </cell>
        </row>
        <row r="15333">
          <cell r="I15333" t="str">
            <v>Strock</v>
          </cell>
        </row>
        <row r="15334">
          <cell r="I15334" t="str">
            <v>Strawbridge</v>
          </cell>
        </row>
        <row r="15335">
          <cell r="I15335" t="str">
            <v>Stokely</v>
          </cell>
        </row>
        <row r="15336">
          <cell r="I15336" t="str">
            <v>Stec</v>
          </cell>
        </row>
        <row r="15337">
          <cell r="I15337" t="str">
            <v>Stang</v>
          </cell>
        </row>
        <row r="15338">
          <cell r="I15338" t="str">
            <v>Stalter</v>
          </cell>
        </row>
        <row r="15339">
          <cell r="I15339" t="str">
            <v>Speidel</v>
          </cell>
        </row>
        <row r="15340">
          <cell r="I15340" t="str">
            <v>Spafford</v>
          </cell>
        </row>
        <row r="15341">
          <cell r="I15341" t="str">
            <v>Spade</v>
          </cell>
        </row>
        <row r="15342">
          <cell r="I15342" t="str">
            <v>Sontag</v>
          </cell>
        </row>
        <row r="15343">
          <cell r="I15343" t="str">
            <v>Sokolowski</v>
          </cell>
        </row>
        <row r="15344">
          <cell r="I15344" t="str">
            <v>Skillman</v>
          </cell>
        </row>
        <row r="15345">
          <cell r="I15345" t="str">
            <v>Skelley</v>
          </cell>
        </row>
        <row r="15346">
          <cell r="I15346" t="str">
            <v>Skalski</v>
          </cell>
        </row>
        <row r="15347">
          <cell r="I15347" t="str">
            <v>Sison</v>
          </cell>
        </row>
        <row r="15348">
          <cell r="I15348" t="str">
            <v>Sippel</v>
          </cell>
        </row>
        <row r="15349">
          <cell r="I15349" t="str">
            <v>Sinquefield</v>
          </cell>
        </row>
        <row r="15350">
          <cell r="I15350" t="str">
            <v>Sin</v>
          </cell>
        </row>
        <row r="15351">
          <cell r="I15351" t="str">
            <v>Siegle</v>
          </cell>
        </row>
        <row r="15352">
          <cell r="I15352" t="str">
            <v>Sher</v>
          </cell>
        </row>
        <row r="15353">
          <cell r="I15353" t="str">
            <v>Sharrow</v>
          </cell>
        </row>
        <row r="15354">
          <cell r="I15354" t="str">
            <v>Setliff</v>
          </cell>
        </row>
        <row r="15355">
          <cell r="I15355" t="str">
            <v>Sera</v>
          </cell>
        </row>
        <row r="15356">
          <cell r="I15356" t="str">
            <v>Sellner</v>
          </cell>
        </row>
        <row r="15357">
          <cell r="I15357" t="str">
            <v>Selig</v>
          </cell>
        </row>
        <row r="15358">
          <cell r="I15358" t="str">
            <v>Seibold</v>
          </cell>
        </row>
        <row r="15359">
          <cell r="I15359" t="str">
            <v>Seery</v>
          </cell>
        </row>
        <row r="15360">
          <cell r="I15360" t="str">
            <v>Scriber</v>
          </cell>
        </row>
        <row r="15361">
          <cell r="I15361" t="str">
            <v>Schull</v>
          </cell>
        </row>
        <row r="15362">
          <cell r="I15362" t="str">
            <v>Schrupp</v>
          </cell>
        </row>
        <row r="15363">
          <cell r="I15363" t="str">
            <v>Schippers</v>
          </cell>
        </row>
        <row r="15364">
          <cell r="I15364" t="str">
            <v>Say</v>
          </cell>
        </row>
        <row r="15365">
          <cell r="I15365" t="str">
            <v>Saulsbury</v>
          </cell>
        </row>
        <row r="15366">
          <cell r="I15366" t="str">
            <v>Sao</v>
          </cell>
        </row>
        <row r="15367">
          <cell r="I15367" t="str">
            <v>Santillo</v>
          </cell>
        </row>
        <row r="15368">
          <cell r="I15368" t="str">
            <v>Sanor</v>
          </cell>
        </row>
        <row r="15369">
          <cell r="I15369" t="str">
            <v>Sancho</v>
          </cell>
        </row>
        <row r="15370">
          <cell r="I15370" t="str">
            <v>Rufus</v>
          </cell>
        </row>
        <row r="15371">
          <cell r="I15371" t="str">
            <v>Rubalcaba</v>
          </cell>
        </row>
        <row r="15372">
          <cell r="I15372" t="str">
            <v>Roosa</v>
          </cell>
        </row>
        <row r="15373">
          <cell r="I15373" t="str">
            <v>Ronk</v>
          </cell>
        </row>
        <row r="15374">
          <cell r="I15374" t="str">
            <v>Robbs</v>
          </cell>
        </row>
        <row r="15375">
          <cell r="I15375" t="str">
            <v>Roache</v>
          </cell>
        </row>
        <row r="15376">
          <cell r="I15376" t="str">
            <v>River</v>
          </cell>
        </row>
        <row r="15377">
          <cell r="I15377" t="str">
            <v>Riebe</v>
          </cell>
        </row>
        <row r="15378">
          <cell r="I15378" t="str">
            <v>Reinoso</v>
          </cell>
        </row>
        <row r="15379">
          <cell r="I15379" t="str">
            <v>Quin</v>
          </cell>
        </row>
        <row r="15380">
          <cell r="I15380" t="str">
            <v>Prude</v>
          </cell>
        </row>
        <row r="15381">
          <cell r="I15381" t="str">
            <v>Preuss</v>
          </cell>
        </row>
        <row r="15382">
          <cell r="I15382" t="str">
            <v>Pottorff</v>
          </cell>
        </row>
        <row r="15383">
          <cell r="I15383" t="str">
            <v>Pontiff</v>
          </cell>
        </row>
        <row r="15384">
          <cell r="I15384" t="str">
            <v>Plouffe</v>
          </cell>
        </row>
        <row r="15385">
          <cell r="I15385" t="str">
            <v>Picou</v>
          </cell>
        </row>
        <row r="15386">
          <cell r="I15386" t="str">
            <v>Picklesimer</v>
          </cell>
        </row>
        <row r="15387">
          <cell r="I15387" t="str">
            <v>Pettyjohn</v>
          </cell>
        </row>
        <row r="15388">
          <cell r="I15388" t="str">
            <v>Petti</v>
          </cell>
        </row>
        <row r="15389">
          <cell r="I15389" t="str">
            <v>Penaloza</v>
          </cell>
        </row>
        <row r="15390">
          <cell r="I15390" t="str">
            <v>Parmelee</v>
          </cell>
        </row>
        <row r="15391">
          <cell r="I15391" t="str">
            <v>Pardee</v>
          </cell>
        </row>
        <row r="15392">
          <cell r="I15392" t="str">
            <v>Palazzo</v>
          </cell>
        </row>
        <row r="15393">
          <cell r="I15393" t="str">
            <v>Overholt</v>
          </cell>
        </row>
        <row r="15394">
          <cell r="I15394" t="str">
            <v>Ogawa</v>
          </cell>
        </row>
        <row r="15395">
          <cell r="I15395" t="str">
            <v>Ofarrell</v>
          </cell>
        </row>
        <row r="15396">
          <cell r="I15396" t="str">
            <v>Nova</v>
          </cell>
        </row>
        <row r="15397">
          <cell r="I15397" t="str">
            <v>Nolting</v>
          </cell>
        </row>
        <row r="15398">
          <cell r="I15398" t="str">
            <v>Noda</v>
          </cell>
        </row>
        <row r="15399">
          <cell r="I15399" t="str">
            <v>Nicola</v>
          </cell>
        </row>
        <row r="15400">
          <cell r="I15400" t="str">
            <v>Nickson</v>
          </cell>
        </row>
        <row r="15401">
          <cell r="I15401" t="str">
            <v>Nevitt</v>
          </cell>
        </row>
        <row r="15402">
          <cell r="I15402" t="str">
            <v>Neveu</v>
          </cell>
        </row>
        <row r="15403">
          <cell r="I15403" t="str">
            <v>Navarre</v>
          </cell>
        </row>
        <row r="15404">
          <cell r="I15404" t="str">
            <v>Nam</v>
          </cell>
        </row>
        <row r="15405">
          <cell r="I15405" t="str">
            <v>Murrow</v>
          </cell>
        </row>
        <row r="15406">
          <cell r="I15406" t="str">
            <v>Munz</v>
          </cell>
        </row>
        <row r="15407">
          <cell r="I15407" t="str">
            <v>Mulloy</v>
          </cell>
        </row>
        <row r="15408">
          <cell r="I15408" t="str">
            <v>Monzo</v>
          </cell>
        </row>
        <row r="15409">
          <cell r="I15409" t="str">
            <v>Milliman</v>
          </cell>
        </row>
        <row r="15410">
          <cell r="I15410" t="str">
            <v>Metivier</v>
          </cell>
        </row>
        <row r="15411">
          <cell r="I15411" t="str">
            <v>Merlino</v>
          </cell>
        </row>
        <row r="15412">
          <cell r="I15412" t="str">
            <v>Mcpeters</v>
          </cell>
        </row>
        <row r="15413">
          <cell r="I15413" t="str">
            <v>Mckissack</v>
          </cell>
        </row>
        <row r="15414">
          <cell r="I15414" t="str">
            <v>Mckeen</v>
          </cell>
        </row>
        <row r="15415">
          <cell r="I15415" t="str">
            <v>Mcgurk</v>
          </cell>
        </row>
        <row r="15416">
          <cell r="I15416" t="str">
            <v>Mcfee</v>
          </cell>
        </row>
        <row r="15417">
          <cell r="I15417" t="str">
            <v>Mcfarren</v>
          </cell>
        </row>
        <row r="15418">
          <cell r="I15418" t="str">
            <v>Mcelwee</v>
          </cell>
        </row>
        <row r="15419">
          <cell r="I15419" t="str">
            <v>Mceachin</v>
          </cell>
        </row>
        <row r="15420">
          <cell r="I15420" t="str">
            <v>Mcdonagh</v>
          </cell>
        </row>
        <row r="15421">
          <cell r="I15421" t="str">
            <v>Mccarville</v>
          </cell>
        </row>
        <row r="15422">
          <cell r="I15422" t="str">
            <v>Mayhall</v>
          </cell>
        </row>
        <row r="15423">
          <cell r="I15423" t="str">
            <v>Mattoon</v>
          </cell>
        </row>
        <row r="15424">
          <cell r="I15424" t="str">
            <v>Martello</v>
          </cell>
        </row>
        <row r="15425">
          <cell r="I15425" t="str">
            <v>Marconi</v>
          </cell>
        </row>
        <row r="15426">
          <cell r="I15426" t="str">
            <v>Marbury</v>
          </cell>
        </row>
        <row r="15427">
          <cell r="I15427" t="str">
            <v>Mao</v>
          </cell>
        </row>
        <row r="15428">
          <cell r="I15428" t="str">
            <v>Manzella</v>
          </cell>
        </row>
        <row r="15429">
          <cell r="I15429" t="str">
            <v>Maly</v>
          </cell>
        </row>
        <row r="15430">
          <cell r="I15430" t="str">
            <v>Malec</v>
          </cell>
        </row>
        <row r="15431">
          <cell r="I15431" t="str">
            <v>Maitland</v>
          </cell>
        </row>
        <row r="15432">
          <cell r="I15432" t="str">
            <v>Maheu</v>
          </cell>
        </row>
        <row r="15433">
          <cell r="I15433" t="str">
            <v>Maclennan</v>
          </cell>
        </row>
        <row r="15434">
          <cell r="I15434" t="str">
            <v>Lyke</v>
          </cell>
        </row>
        <row r="15435">
          <cell r="I15435" t="str">
            <v>Luera</v>
          </cell>
        </row>
        <row r="15436">
          <cell r="I15436" t="str">
            <v>Loyola</v>
          </cell>
        </row>
        <row r="15437">
          <cell r="I15437" t="str">
            <v>Lowenstein</v>
          </cell>
        </row>
        <row r="15438">
          <cell r="I15438" t="str">
            <v>Losh</v>
          </cell>
        </row>
        <row r="15439">
          <cell r="I15439" t="str">
            <v>Lopiccolo</v>
          </cell>
        </row>
        <row r="15440">
          <cell r="I15440" t="str">
            <v>Longacre</v>
          </cell>
        </row>
        <row r="15441">
          <cell r="I15441" t="str">
            <v>Loman</v>
          </cell>
        </row>
        <row r="15442">
          <cell r="I15442" t="str">
            <v>Loden</v>
          </cell>
        </row>
        <row r="15443">
          <cell r="I15443" t="str">
            <v>Loaiza</v>
          </cell>
        </row>
        <row r="15444">
          <cell r="I15444" t="str">
            <v>Lieber</v>
          </cell>
        </row>
        <row r="15445">
          <cell r="I15445" t="str">
            <v>Libbey</v>
          </cell>
        </row>
        <row r="15446">
          <cell r="I15446" t="str">
            <v>Lenhardt</v>
          </cell>
        </row>
        <row r="15447">
          <cell r="I15447" t="str">
            <v>Lefebre</v>
          </cell>
        </row>
        <row r="15448">
          <cell r="I15448" t="str">
            <v>Lauterbach</v>
          </cell>
        </row>
        <row r="15449">
          <cell r="I15449" t="str">
            <v>Lauritsen</v>
          </cell>
        </row>
        <row r="15450">
          <cell r="I15450" t="str">
            <v>Lass</v>
          </cell>
        </row>
        <row r="15451">
          <cell r="I15451" t="str">
            <v>Larocco</v>
          </cell>
        </row>
        <row r="15452">
          <cell r="I15452" t="str">
            <v>Larimer</v>
          </cell>
        </row>
        <row r="15453">
          <cell r="I15453" t="str">
            <v>Lansford</v>
          </cell>
        </row>
        <row r="15454">
          <cell r="I15454" t="str">
            <v>Lanclos</v>
          </cell>
        </row>
        <row r="15455">
          <cell r="I15455" t="str">
            <v>Lamay</v>
          </cell>
        </row>
        <row r="15456">
          <cell r="I15456" t="str">
            <v>Lal</v>
          </cell>
        </row>
        <row r="15457">
          <cell r="I15457" t="str">
            <v>Kulikowski</v>
          </cell>
        </row>
        <row r="15458">
          <cell r="I15458" t="str">
            <v>Kriebel</v>
          </cell>
        </row>
        <row r="15459">
          <cell r="I15459" t="str">
            <v>Kosinski</v>
          </cell>
        </row>
        <row r="15460">
          <cell r="I15460" t="str">
            <v>Kleinman</v>
          </cell>
        </row>
        <row r="15461">
          <cell r="I15461" t="str">
            <v>Kleiner</v>
          </cell>
        </row>
        <row r="15462">
          <cell r="I15462" t="str">
            <v>Kleckner</v>
          </cell>
        </row>
        <row r="15463">
          <cell r="I15463" t="str">
            <v>Kistner</v>
          </cell>
        </row>
        <row r="15464">
          <cell r="I15464" t="str">
            <v>Kissner</v>
          </cell>
        </row>
        <row r="15465">
          <cell r="I15465" t="str">
            <v>Kissell</v>
          </cell>
        </row>
        <row r="15466">
          <cell r="I15466" t="str">
            <v>Kilroy</v>
          </cell>
        </row>
        <row r="15467">
          <cell r="I15467" t="str">
            <v>Kenna</v>
          </cell>
        </row>
        <row r="15468">
          <cell r="I15468" t="str">
            <v>Keisler</v>
          </cell>
        </row>
        <row r="15469">
          <cell r="I15469" t="str">
            <v>Keeble</v>
          </cell>
        </row>
        <row r="15470">
          <cell r="I15470" t="str">
            <v>Keaney</v>
          </cell>
        </row>
        <row r="15471">
          <cell r="I15471" t="str">
            <v>Kale</v>
          </cell>
        </row>
        <row r="15472">
          <cell r="I15472" t="str">
            <v>Joly</v>
          </cell>
        </row>
        <row r="15473">
          <cell r="I15473" t="str">
            <v>Jimison</v>
          </cell>
        </row>
        <row r="15474">
          <cell r="I15474" t="str">
            <v>Jeans</v>
          </cell>
        </row>
        <row r="15475">
          <cell r="I15475" t="str">
            <v>Ikner</v>
          </cell>
        </row>
        <row r="15476">
          <cell r="I15476" t="str">
            <v>Hursey</v>
          </cell>
        </row>
        <row r="15477">
          <cell r="I15477" t="str">
            <v>Hruska</v>
          </cell>
        </row>
        <row r="15478">
          <cell r="I15478" t="str">
            <v>Hove</v>
          </cell>
        </row>
        <row r="15479">
          <cell r="I15479" t="str">
            <v>Hou</v>
          </cell>
        </row>
        <row r="15480">
          <cell r="I15480" t="str">
            <v>Host</v>
          </cell>
        </row>
        <row r="15481">
          <cell r="I15481" t="str">
            <v>Hosking</v>
          </cell>
        </row>
        <row r="15482">
          <cell r="I15482" t="str">
            <v>Hoose</v>
          </cell>
        </row>
        <row r="15483">
          <cell r="I15483" t="str">
            <v>Holle</v>
          </cell>
        </row>
        <row r="15484">
          <cell r="I15484" t="str">
            <v>Hoeppner</v>
          </cell>
        </row>
        <row r="15485">
          <cell r="I15485" t="str">
            <v>Hittle</v>
          </cell>
        </row>
        <row r="15486">
          <cell r="I15486" t="str">
            <v>Hitchens</v>
          </cell>
        </row>
        <row r="15487">
          <cell r="I15487" t="str">
            <v>Hirth</v>
          </cell>
        </row>
        <row r="15488">
          <cell r="I15488" t="str">
            <v>Hinerman</v>
          </cell>
        </row>
        <row r="15489">
          <cell r="I15489" t="str">
            <v>Hilario</v>
          </cell>
        </row>
        <row r="15490">
          <cell r="I15490" t="str">
            <v>Higby</v>
          </cell>
        </row>
        <row r="15491">
          <cell r="I15491" t="str">
            <v>Hertzog</v>
          </cell>
        </row>
        <row r="15492">
          <cell r="I15492" t="str">
            <v>Hentz</v>
          </cell>
        </row>
        <row r="15493">
          <cell r="I15493" t="str">
            <v>Hensler</v>
          </cell>
        </row>
        <row r="15494">
          <cell r="I15494" t="str">
            <v>Heist</v>
          </cell>
        </row>
        <row r="15495">
          <cell r="I15495" t="str">
            <v>Heier</v>
          </cell>
        </row>
        <row r="15496">
          <cell r="I15496" t="str">
            <v>Hegg</v>
          </cell>
        </row>
        <row r="15497">
          <cell r="I15497" t="str">
            <v>Hassel</v>
          </cell>
        </row>
        <row r="15498">
          <cell r="I15498" t="str">
            <v>Harpe</v>
          </cell>
        </row>
        <row r="15499">
          <cell r="I15499" t="str">
            <v>Hara</v>
          </cell>
        </row>
        <row r="15500">
          <cell r="I15500" t="str">
            <v>Hank</v>
          </cell>
        </row>
        <row r="15501">
          <cell r="I15501" t="str">
            <v>Hain</v>
          </cell>
        </row>
        <row r="15502">
          <cell r="I15502" t="str">
            <v>Hagopian</v>
          </cell>
        </row>
        <row r="15503">
          <cell r="I15503" t="str">
            <v>Grimshaw</v>
          </cell>
        </row>
        <row r="15504">
          <cell r="I15504" t="str">
            <v>Grado</v>
          </cell>
        </row>
        <row r="15505">
          <cell r="I15505" t="str">
            <v>Gowin</v>
          </cell>
        </row>
        <row r="15506">
          <cell r="I15506" t="str">
            <v>Gowans</v>
          </cell>
        </row>
        <row r="15507">
          <cell r="I15507" t="str">
            <v>Googe</v>
          </cell>
        </row>
        <row r="15508">
          <cell r="I15508" t="str">
            <v>Goodlow</v>
          </cell>
        </row>
        <row r="15509">
          <cell r="I15509" t="str">
            <v>Goering</v>
          </cell>
        </row>
        <row r="15510">
          <cell r="I15510" t="str">
            <v>Gleaton</v>
          </cell>
        </row>
        <row r="15511">
          <cell r="I15511" t="str">
            <v>Gidley</v>
          </cell>
        </row>
        <row r="15512">
          <cell r="I15512" t="str">
            <v>Giannone</v>
          </cell>
        </row>
        <row r="15513">
          <cell r="I15513" t="str">
            <v>Gascon</v>
          </cell>
        </row>
        <row r="15514">
          <cell r="I15514" t="str">
            <v>Garneau</v>
          </cell>
        </row>
        <row r="15515">
          <cell r="I15515" t="str">
            <v>Gambrel</v>
          </cell>
        </row>
        <row r="15516">
          <cell r="I15516" t="str">
            <v>Galaz</v>
          </cell>
        </row>
        <row r="15517">
          <cell r="I15517" t="str">
            <v>Fuentez</v>
          </cell>
        </row>
        <row r="15518">
          <cell r="I15518" t="str">
            <v>Frisina</v>
          </cell>
        </row>
        <row r="15519">
          <cell r="I15519" t="str">
            <v>Fresquez</v>
          </cell>
        </row>
        <row r="15520">
          <cell r="I15520" t="str">
            <v>Fraher</v>
          </cell>
        </row>
        <row r="15521">
          <cell r="I15521" t="str">
            <v>Fitting</v>
          </cell>
        </row>
        <row r="15522">
          <cell r="I15522" t="str">
            <v>Feuerstein</v>
          </cell>
        </row>
        <row r="15523">
          <cell r="I15523" t="str">
            <v>Felten</v>
          </cell>
        </row>
        <row r="15524">
          <cell r="I15524" t="str">
            <v>Everman</v>
          </cell>
        </row>
        <row r="15525">
          <cell r="I15525" t="str">
            <v>Estell</v>
          </cell>
        </row>
        <row r="15526">
          <cell r="I15526" t="str">
            <v>Ertel</v>
          </cell>
        </row>
        <row r="15527">
          <cell r="I15527" t="str">
            <v>Erazo</v>
          </cell>
        </row>
        <row r="15528">
          <cell r="I15528" t="str">
            <v>Ensign</v>
          </cell>
        </row>
        <row r="15529">
          <cell r="I15529" t="str">
            <v>Endo</v>
          </cell>
        </row>
        <row r="15530">
          <cell r="I15530" t="str">
            <v>Ellerman</v>
          </cell>
        </row>
        <row r="15531">
          <cell r="I15531" t="str">
            <v>Eichorn</v>
          </cell>
        </row>
        <row r="15532">
          <cell r="I15532" t="str">
            <v>Edgell</v>
          </cell>
        </row>
        <row r="15533">
          <cell r="I15533" t="str">
            <v>Ebron</v>
          </cell>
        </row>
        <row r="15534">
          <cell r="I15534" t="str">
            <v>Eaker</v>
          </cell>
        </row>
        <row r="15535">
          <cell r="I15535" t="str">
            <v>Dundas</v>
          </cell>
        </row>
        <row r="15536">
          <cell r="I15536" t="str">
            <v>Duncanson</v>
          </cell>
        </row>
        <row r="15537">
          <cell r="I15537" t="str">
            <v>Duchene</v>
          </cell>
        </row>
        <row r="15538">
          <cell r="I15538" t="str">
            <v>Ducan</v>
          </cell>
        </row>
        <row r="15539">
          <cell r="I15539" t="str">
            <v>Dombroski</v>
          </cell>
        </row>
        <row r="15540">
          <cell r="I15540" t="str">
            <v>Doman</v>
          </cell>
        </row>
        <row r="15541">
          <cell r="I15541" t="str">
            <v>Dock</v>
          </cell>
        </row>
        <row r="15542">
          <cell r="I15542" t="str">
            <v>Dickison</v>
          </cell>
        </row>
        <row r="15543">
          <cell r="I15543" t="str">
            <v>Dewoody</v>
          </cell>
        </row>
        <row r="15544">
          <cell r="I15544" t="str">
            <v>Deloera</v>
          </cell>
        </row>
        <row r="15545">
          <cell r="I15545" t="str">
            <v>Delahoussaye</v>
          </cell>
        </row>
        <row r="15546">
          <cell r="I15546" t="str">
            <v>Dejean</v>
          </cell>
        </row>
        <row r="15547">
          <cell r="I15547" t="str">
            <v>Degroat</v>
          </cell>
        </row>
        <row r="15548">
          <cell r="I15548" t="str">
            <v>Decaro</v>
          </cell>
        </row>
        <row r="15549">
          <cell r="I15549" t="str">
            <v>Dearmond</v>
          </cell>
        </row>
        <row r="15550">
          <cell r="I15550" t="str">
            <v>Dashner</v>
          </cell>
        </row>
        <row r="15551">
          <cell r="I15551" t="str">
            <v>Dales</v>
          </cell>
        </row>
        <row r="15552">
          <cell r="I15552" t="str">
            <v>Crossett</v>
          </cell>
        </row>
        <row r="15553">
          <cell r="I15553" t="str">
            <v>Cressey</v>
          </cell>
        </row>
        <row r="15554">
          <cell r="I15554" t="str">
            <v>Cowger</v>
          </cell>
        </row>
        <row r="15555">
          <cell r="I15555" t="str">
            <v>Courts</v>
          </cell>
        </row>
        <row r="15556">
          <cell r="I15556" t="str">
            <v>Court</v>
          </cell>
        </row>
        <row r="15557">
          <cell r="I15557" t="str">
            <v>Cornette</v>
          </cell>
        </row>
        <row r="15558">
          <cell r="I15558" t="str">
            <v>Corbo</v>
          </cell>
        </row>
        <row r="15559">
          <cell r="I15559" t="str">
            <v>Coplin</v>
          </cell>
        </row>
        <row r="15560">
          <cell r="I15560" t="str">
            <v>Coover</v>
          </cell>
        </row>
        <row r="15561">
          <cell r="I15561" t="str">
            <v>Condie</v>
          </cell>
        </row>
        <row r="15562">
          <cell r="I15562" t="str">
            <v>Cokley</v>
          </cell>
        </row>
        <row r="15563">
          <cell r="I15563" t="str">
            <v>Cicero</v>
          </cell>
        </row>
        <row r="15564">
          <cell r="I15564" t="str">
            <v>Ceaser</v>
          </cell>
        </row>
        <row r="15565">
          <cell r="I15565" t="str">
            <v>Cannaday</v>
          </cell>
        </row>
        <row r="15566">
          <cell r="I15566" t="str">
            <v>Callanan</v>
          </cell>
        </row>
        <row r="15567">
          <cell r="I15567" t="str">
            <v>Cadle</v>
          </cell>
        </row>
        <row r="15568">
          <cell r="I15568" t="str">
            <v>Buscher</v>
          </cell>
        </row>
        <row r="15569">
          <cell r="I15569" t="str">
            <v>Bullion</v>
          </cell>
        </row>
        <row r="15570">
          <cell r="I15570" t="str">
            <v>Bucklin</v>
          </cell>
        </row>
        <row r="15571">
          <cell r="I15571" t="str">
            <v>Bruening</v>
          </cell>
        </row>
        <row r="15572">
          <cell r="I15572" t="str">
            <v>Bruckner</v>
          </cell>
        </row>
        <row r="15573">
          <cell r="I15573" t="str">
            <v>Brose</v>
          </cell>
        </row>
        <row r="15574">
          <cell r="I15574" t="str">
            <v>Branan</v>
          </cell>
        </row>
        <row r="15575">
          <cell r="I15575" t="str">
            <v>Bradway</v>
          </cell>
        </row>
        <row r="15576">
          <cell r="I15576" t="str">
            <v>Botsford</v>
          </cell>
        </row>
        <row r="15577">
          <cell r="I15577" t="str">
            <v>Bortz</v>
          </cell>
        </row>
        <row r="15578">
          <cell r="I15578" t="str">
            <v>Borelli</v>
          </cell>
        </row>
        <row r="15579">
          <cell r="I15579" t="str">
            <v>Bonetti</v>
          </cell>
        </row>
        <row r="15580">
          <cell r="I15580" t="str">
            <v>Bolan</v>
          </cell>
        </row>
        <row r="15581">
          <cell r="I15581" t="str">
            <v>Boerger</v>
          </cell>
        </row>
        <row r="15582">
          <cell r="I15582" t="str">
            <v>Bloomberg</v>
          </cell>
        </row>
        <row r="15583">
          <cell r="I15583" t="str">
            <v>Bingman</v>
          </cell>
        </row>
        <row r="15584">
          <cell r="I15584" t="str">
            <v>Bilger</v>
          </cell>
        </row>
        <row r="15585">
          <cell r="I15585" t="str">
            <v>Berns</v>
          </cell>
        </row>
        <row r="15586">
          <cell r="I15586" t="str">
            <v>Beringer</v>
          </cell>
        </row>
        <row r="15587">
          <cell r="I15587" t="str">
            <v>Beres</v>
          </cell>
        </row>
        <row r="15588">
          <cell r="I15588" t="str">
            <v>Beets</v>
          </cell>
        </row>
        <row r="15589">
          <cell r="I15589" t="str">
            <v>Beede</v>
          </cell>
        </row>
        <row r="15590">
          <cell r="I15590" t="str">
            <v>Beaudet</v>
          </cell>
        </row>
        <row r="15591">
          <cell r="I15591" t="str">
            <v>Beachum</v>
          </cell>
        </row>
        <row r="15592">
          <cell r="I15592" t="str">
            <v>Baughn</v>
          </cell>
        </row>
        <row r="15593">
          <cell r="I15593" t="str">
            <v>Bator</v>
          </cell>
        </row>
        <row r="15594">
          <cell r="I15594" t="str">
            <v>Bastien</v>
          </cell>
        </row>
        <row r="15595">
          <cell r="I15595" t="str">
            <v>Basquez</v>
          </cell>
        </row>
        <row r="15596">
          <cell r="I15596" t="str">
            <v>Barreiro</v>
          </cell>
        </row>
        <row r="15597">
          <cell r="I15597" t="str">
            <v>Barga</v>
          </cell>
        </row>
        <row r="15598">
          <cell r="I15598" t="str">
            <v>Baratta</v>
          </cell>
        </row>
        <row r="15599">
          <cell r="I15599" t="str">
            <v>Balser</v>
          </cell>
        </row>
        <row r="15600">
          <cell r="I15600" t="str">
            <v>Baillie</v>
          </cell>
        </row>
        <row r="15601">
          <cell r="I15601" t="str">
            <v>Axford</v>
          </cell>
        </row>
        <row r="15602">
          <cell r="I15602" t="str">
            <v>Attebery</v>
          </cell>
        </row>
        <row r="15603">
          <cell r="I15603" t="str">
            <v>Arakaki</v>
          </cell>
        </row>
        <row r="15604">
          <cell r="I15604" t="str">
            <v>Annunziata</v>
          </cell>
        </row>
        <row r="15605">
          <cell r="I15605" t="str">
            <v>Andrzejewski</v>
          </cell>
        </row>
        <row r="15606">
          <cell r="I15606" t="str">
            <v>Ament</v>
          </cell>
        </row>
        <row r="15607">
          <cell r="I15607" t="str">
            <v>Amendola</v>
          </cell>
        </row>
        <row r="15608">
          <cell r="I15608" t="str">
            <v>Adcox</v>
          </cell>
        </row>
        <row r="15609">
          <cell r="I15609" t="str">
            <v>Abril</v>
          </cell>
        </row>
        <row r="15610">
          <cell r="I15610" t="str">
            <v>Zenon</v>
          </cell>
        </row>
        <row r="15611">
          <cell r="I15611" t="str">
            <v>Zeitler</v>
          </cell>
        </row>
        <row r="15612">
          <cell r="I15612" t="str">
            <v>Zang</v>
          </cell>
        </row>
        <row r="15613">
          <cell r="I15613" t="str">
            <v>Zambrana</v>
          </cell>
        </row>
        <row r="15614">
          <cell r="I15614" t="str">
            <v>Ybanez</v>
          </cell>
        </row>
        <row r="15615">
          <cell r="I15615" t="str">
            <v>Yagi</v>
          </cell>
        </row>
        <row r="15616">
          <cell r="I15616" t="str">
            <v>Wolak</v>
          </cell>
        </row>
        <row r="15617">
          <cell r="I15617" t="str">
            <v>Wilcoxson</v>
          </cell>
        </row>
        <row r="15618">
          <cell r="I15618" t="str">
            <v>Whitesel</v>
          </cell>
        </row>
        <row r="15619">
          <cell r="I15619" t="str">
            <v>Whitehair</v>
          </cell>
        </row>
        <row r="15620">
          <cell r="I15620" t="str">
            <v>Weyand</v>
          </cell>
        </row>
        <row r="15621">
          <cell r="I15621" t="str">
            <v>Westendorf</v>
          </cell>
        </row>
        <row r="15622">
          <cell r="I15622" t="str">
            <v>Welke</v>
          </cell>
        </row>
        <row r="15623">
          <cell r="I15623" t="str">
            <v>Weinmann</v>
          </cell>
        </row>
        <row r="15624">
          <cell r="I15624" t="str">
            <v>Wei</v>
          </cell>
        </row>
        <row r="15625">
          <cell r="I15625" t="str">
            <v>Weesner</v>
          </cell>
        </row>
        <row r="15626">
          <cell r="I15626" t="str">
            <v>Weekes</v>
          </cell>
        </row>
        <row r="15627">
          <cell r="I15627" t="str">
            <v>Wedel</v>
          </cell>
        </row>
        <row r="15628">
          <cell r="I15628" t="str">
            <v>Wedding</v>
          </cell>
        </row>
        <row r="15629">
          <cell r="I15629" t="str">
            <v>Weatherall</v>
          </cell>
        </row>
        <row r="15630">
          <cell r="I15630" t="str">
            <v>Warthen</v>
          </cell>
        </row>
        <row r="15631">
          <cell r="I15631" t="str">
            <v>Vose</v>
          </cell>
        </row>
        <row r="15632">
          <cell r="I15632" t="str">
            <v>Villalta</v>
          </cell>
        </row>
        <row r="15633">
          <cell r="I15633" t="str">
            <v>Vila</v>
          </cell>
        </row>
        <row r="15634">
          <cell r="I15634" t="str">
            <v>Viator</v>
          </cell>
        </row>
        <row r="15635">
          <cell r="I15635" t="str">
            <v>Vaz</v>
          </cell>
        </row>
        <row r="15636">
          <cell r="I15636" t="str">
            <v>Valtierra</v>
          </cell>
        </row>
        <row r="15637">
          <cell r="I15637" t="str">
            <v>Urbanek</v>
          </cell>
        </row>
        <row r="15638">
          <cell r="I15638" t="str">
            <v>Tulley</v>
          </cell>
        </row>
        <row r="15639">
          <cell r="I15639" t="str">
            <v>Trojanowski</v>
          </cell>
        </row>
        <row r="15640">
          <cell r="I15640" t="str">
            <v>Trapani</v>
          </cell>
        </row>
        <row r="15641">
          <cell r="I15641" t="str">
            <v>Toups</v>
          </cell>
        </row>
        <row r="15642">
          <cell r="I15642" t="str">
            <v>Torpey</v>
          </cell>
        </row>
        <row r="15643">
          <cell r="I15643" t="str">
            <v>Tomita</v>
          </cell>
        </row>
        <row r="15644">
          <cell r="I15644" t="str">
            <v>Tindal</v>
          </cell>
        </row>
        <row r="15645">
          <cell r="I15645" t="str">
            <v>Tieman</v>
          </cell>
        </row>
        <row r="15646">
          <cell r="I15646" t="str">
            <v>Tevis</v>
          </cell>
        </row>
        <row r="15647">
          <cell r="I15647" t="str">
            <v>Tedrow</v>
          </cell>
        </row>
        <row r="15648">
          <cell r="I15648" t="str">
            <v>Taul</v>
          </cell>
        </row>
        <row r="15649">
          <cell r="I15649" t="str">
            <v>Tash</v>
          </cell>
        </row>
        <row r="15650">
          <cell r="I15650" t="str">
            <v>Tammaro</v>
          </cell>
        </row>
        <row r="15651">
          <cell r="I15651" t="str">
            <v>Sylva</v>
          </cell>
        </row>
        <row r="15652">
          <cell r="I15652" t="str">
            <v>Swiderski</v>
          </cell>
        </row>
        <row r="15653">
          <cell r="I15653" t="str">
            <v>Sweeting</v>
          </cell>
        </row>
        <row r="15654">
          <cell r="I15654" t="str">
            <v>Sund</v>
          </cell>
        </row>
        <row r="15655">
          <cell r="I15655" t="str">
            <v>Stutler</v>
          </cell>
        </row>
        <row r="15656">
          <cell r="I15656" t="str">
            <v>Stocking</v>
          </cell>
        </row>
        <row r="15657">
          <cell r="I15657" t="str">
            <v>Stich</v>
          </cell>
        </row>
        <row r="15658">
          <cell r="I15658" t="str">
            <v>Sterns</v>
          </cell>
        </row>
        <row r="15659">
          <cell r="I15659" t="str">
            <v>Stegner</v>
          </cell>
        </row>
        <row r="15660">
          <cell r="I15660" t="str">
            <v>Stalder</v>
          </cell>
        </row>
        <row r="15661">
          <cell r="I15661" t="str">
            <v>Splawn</v>
          </cell>
        </row>
        <row r="15662">
          <cell r="I15662" t="str">
            <v>Speirs</v>
          </cell>
        </row>
        <row r="15663">
          <cell r="I15663" t="str">
            <v>Southwell</v>
          </cell>
        </row>
        <row r="15664">
          <cell r="I15664" t="str">
            <v>Soltys</v>
          </cell>
        </row>
        <row r="15665">
          <cell r="I15665" t="str">
            <v>Smead</v>
          </cell>
        </row>
        <row r="15666">
          <cell r="I15666" t="str">
            <v>Slye</v>
          </cell>
        </row>
        <row r="15667">
          <cell r="I15667" t="str">
            <v>Skipworth</v>
          </cell>
        </row>
        <row r="15668">
          <cell r="I15668" t="str">
            <v>Sipos</v>
          </cell>
        </row>
        <row r="15669">
          <cell r="I15669" t="str">
            <v>Simmerman</v>
          </cell>
        </row>
        <row r="15670">
          <cell r="I15670" t="str">
            <v>Sigmund</v>
          </cell>
        </row>
        <row r="15671">
          <cell r="I15671" t="str">
            <v>Sidhu</v>
          </cell>
        </row>
        <row r="15672">
          <cell r="I15672" t="str">
            <v>Shuffler</v>
          </cell>
        </row>
        <row r="15673">
          <cell r="I15673" t="str">
            <v>Shingleton</v>
          </cell>
        </row>
        <row r="15674">
          <cell r="I15674" t="str">
            <v>Shadwick</v>
          </cell>
        </row>
        <row r="15675">
          <cell r="I15675" t="str">
            <v>Sermons</v>
          </cell>
        </row>
        <row r="15676">
          <cell r="I15676" t="str">
            <v>Seefeldt</v>
          </cell>
        </row>
        <row r="15677">
          <cell r="I15677" t="str">
            <v>Scipio</v>
          </cell>
        </row>
        <row r="15678">
          <cell r="I15678" t="str">
            <v>Schwanke</v>
          </cell>
        </row>
        <row r="15679">
          <cell r="I15679" t="str">
            <v>Schreffler</v>
          </cell>
        </row>
        <row r="15680">
          <cell r="I15680" t="str">
            <v>Schiro</v>
          </cell>
        </row>
        <row r="15681">
          <cell r="I15681" t="str">
            <v>Scheiber</v>
          </cell>
        </row>
        <row r="15682">
          <cell r="I15682" t="str">
            <v>Sandoz</v>
          </cell>
        </row>
        <row r="15683">
          <cell r="I15683" t="str">
            <v>Samsel</v>
          </cell>
        </row>
        <row r="15684">
          <cell r="I15684" t="str">
            <v>Ruddell</v>
          </cell>
        </row>
        <row r="15685">
          <cell r="I15685" t="str">
            <v>Royse</v>
          </cell>
        </row>
        <row r="15686">
          <cell r="I15686" t="str">
            <v>Rouillard</v>
          </cell>
        </row>
        <row r="15687">
          <cell r="I15687" t="str">
            <v>Rotella</v>
          </cell>
        </row>
        <row r="15688">
          <cell r="I15688" t="str">
            <v>Rosalez</v>
          </cell>
        </row>
        <row r="15689">
          <cell r="I15689" t="str">
            <v>Romriell</v>
          </cell>
        </row>
        <row r="15690">
          <cell r="I15690" t="str">
            <v>Rommel</v>
          </cell>
        </row>
        <row r="15691">
          <cell r="I15691" t="str">
            <v>Rizer</v>
          </cell>
        </row>
        <row r="15692">
          <cell r="I15692" t="str">
            <v>Riner</v>
          </cell>
        </row>
        <row r="15693">
          <cell r="I15693" t="str">
            <v>Rickards</v>
          </cell>
        </row>
        <row r="15694">
          <cell r="I15694" t="str">
            <v>Rhoton</v>
          </cell>
        </row>
        <row r="15695">
          <cell r="I15695" t="str">
            <v>Rhem</v>
          </cell>
        </row>
        <row r="15696">
          <cell r="I15696" t="str">
            <v>Reppert</v>
          </cell>
        </row>
        <row r="15697">
          <cell r="I15697" t="str">
            <v>Rayl</v>
          </cell>
        </row>
        <row r="15698">
          <cell r="I15698" t="str">
            <v>Raulston</v>
          </cell>
        </row>
        <row r="15699">
          <cell r="I15699" t="str">
            <v>Raposo</v>
          </cell>
        </row>
        <row r="15700">
          <cell r="I15700" t="str">
            <v>Rapier</v>
          </cell>
        </row>
        <row r="15701">
          <cell r="I15701" t="str">
            <v>Rainville</v>
          </cell>
        </row>
        <row r="15702">
          <cell r="I15702" t="str">
            <v>Radel</v>
          </cell>
        </row>
        <row r="15703">
          <cell r="I15703" t="str">
            <v>Quinney</v>
          </cell>
        </row>
        <row r="15704">
          <cell r="I15704" t="str">
            <v>Purdie</v>
          </cell>
        </row>
        <row r="15705">
          <cell r="I15705" t="str">
            <v>Puffer</v>
          </cell>
        </row>
        <row r="15706">
          <cell r="I15706" t="str">
            <v>Pizzo</v>
          </cell>
        </row>
        <row r="15707">
          <cell r="I15707" t="str">
            <v>Pincus</v>
          </cell>
        </row>
        <row r="15708">
          <cell r="I15708" t="str">
            <v>Petrus</v>
          </cell>
        </row>
        <row r="15709">
          <cell r="I15709" t="str">
            <v>Pendelton</v>
          </cell>
        </row>
        <row r="15710">
          <cell r="I15710" t="str">
            <v>Pendarvis</v>
          </cell>
        </row>
        <row r="15711">
          <cell r="I15711" t="str">
            <v>Peltz</v>
          </cell>
        </row>
        <row r="15712">
          <cell r="I15712" t="str">
            <v>Peguero</v>
          </cell>
        </row>
        <row r="15713">
          <cell r="I15713" t="str">
            <v>Peete</v>
          </cell>
        </row>
        <row r="15714">
          <cell r="I15714" t="str">
            <v>Patricio</v>
          </cell>
        </row>
        <row r="15715">
          <cell r="I15715" t="str">
            <v>Patchett</v>
          </cell>
        </row>
        <row r="15716">
          <cell r="I15716" t="str">
            <v>Parrino</v>
          </cell>
        </row>
        <row r="15717">
          <cell r="I15717" t="str">
            <v>Papke</v>
          </cell>
        </row>
        <row r="15718">
          <cell r="I15718" t="str">
            <v>Pam</v>
          </cell>
        </row>
        <row r="15719">
          <cell r="I15719" t="str">
            <v>Palafox</v>
          </cell>
        </row>
        <row r="15720">
          <cell r="I15720" t="str">
            <v>Ottley</v>
          </cell>
        </row>
        <row r="15721">
          <cell r="I15721" t="str">
            <v>Ostby</v>
          </cell>
        </row>
        <row r="15722">
          <cell r="I15722" t="str">
            <v>Oritz</v>
          </cell>
        </row>
        <row r="15723">
          <cell r="I15723" t="str">
            <v>Oren</v>
          </cell>
        </row>
        <row r="15724">
          <cell r="I15724" t="str">
            <v>Ogan</v>
          </cell>
        </row>
        <row r="15725">
          <cell r="I15725" t="str">
            <v>Odegaard</v>
          </cell>
        </row>
        <row r="15726">
          <cell r="I15726" t="str">
            <v>Oatman</v>
          </cell>
        </row>
        <row r="15727">
          <cell r="I15727" t="str">
            <v>Noell</v>
          </cell>
        </row>
        <row r="15728">
          <cell r="I15728" t="str">
            <v>Nida</v>
          </cell>
        </row>
        <row r="15729">
          <cell r="I15729" t="str">
            <v>Nicoll</v>
          </cell>
        </row>
        <row r="15730">
          <cell r="I15730" t="str">
            <v>Newhall</v>
          </cell>
        </row>
        <row r="15731">
          <cell r="I15731" t="str">
            <v>Newbill</v>
          </cell>
        </row>
        <row r="15732">
          <cell r="I15732" t="str">
            <v>Netzer</v>
          </cell>
        </row>
        <row r="15733">
          <cell r="I15733" t="str">
            <v>Nettleton</v>
          </cell>
        </row>
        <row r="15734">
          <cell r="I15734" t="str">
            <v>Neblett</v>
          </cell>
        </row>
        <row r="15735">
          <cell r="I15735" t="str">
            <v>Murley</v>
          </cell>
        </row>
        <row r="15736">
          <cell r="I15736" t="str">
            <v>Mungo</v>
          </cell>
        </row>
        <row r="15737">
          <cell r="I15737" t="str">
            <v>Mulhall</v>
          </cell>
        </row>
        <row r="15738">
          <cell r="I15738" t="str">
            <v>Mosca</v>
          </cell>
        </row>
        <row r="15739">
          <cell r="I15739" t="str">
            <v>Morissette</v>
          </cell>
        </row>
        <row r="15740">
          <cell r="I15740" t="str">
            <v>Morford</v>
          </cell>
        </row>
        <row r="15741">
          <cell r="I15741" t="str">
            <v>Montag</v>
          </cell>
        </row>
        <row r="15742">
          <cell r="I15742" t="str">
            <v>Monsen</v>
          </cell>
        </row>
        <row r="15743">
          <cell r="I15743" t="str">
            <v>Mitzel</v>
          </cell>
        </row>
        <row r="15744">
          <cell r="I15744" t="str">
            <v>Miskell</v>
          </cell>
        </row>
        <row r="15745">
          <cell r="I15745" t="str">
            <v>Minder</v>
          </cell>
        </row>
        <row r="15746">
          <cell r="I15746" t="str">
            <v>Mehaffey</v>
          </cell>
        </row>
        <row r="15747">
          <cell r="I15747" t="str">
            <v>Mcquillen</v>
          </cell>
        </row>
        <row r="15748">
          <cell r="I15748" t="str">
            <v>Mclennan</v>
          </cell>
        </row>
        <row r="15749">
          <cell r="I15749" t="str">
            <v>Mcgrail</v>
          </cell>
        </row>
        <row r="15750">
          <cell r="I15750" t="str">
            <v>Mccreight</v>
          </cell>
        </row>
        <row r="15751">
          <cell r="I15751" t="str">
            <v>Mayville</v>
          </cell>
        </row>
        <row r="15752">
          <cell r="I15752" t="str">
            <v>Maysonet</v>
          </cell>
        </row>
        <row r="15753">
          <cell r="I15753" t="str">
            <v>Maust</v>
          </cell>
        </row>
        <row r="15754">
          <cell r="I15754" t="str">
            <v>Mathieson</v>
          </cell>
        </row>
        <row r="15755">
          <cell r="I15755" t="str">
            <v>Mastrangelo</v>
          </cell>
        </row>
        <row r="15756">
          <cell r="I15756" t="str">
            <v>Maskell</v>
          </cell>
        </row>
        <row r="15757">
          <cell r="I15757" t="str">
            <v>Martina</v>
          </cell>
        </row>
        <row r="15758">
          <cell r="I15758" t="str">
            <v>Manz</v>
          </cell>
        </row>
        <row r="15759">
          <cell r="I15759" t="str">
            <v>Malmberg</v>
          </cell>
        </row>
        <row r="15760">
          <cell r="I15760" t="str">
            <v>Makela</v>
          </cell>
        </row>
        <row r="15761">
          <cell r="I15761" t="str">
            <v>Madruga</v>
          </cell>
        </row>
        <row r="15762">
          <cell r="I15762" t="str">
            <v>Luz</v>
          </cell>
        </row>
        <row r="15763">
          <cell r="I15763" t="str">
            <v>Lotts</v>
          </cell>
        </row>
        <row r="15764">
          <cell r="I15764" t="str">
            <v>Longnecker</v>
          </cell>
        </row>
        <row r="15765">
          <cell r="I15765" t="str">
            <v>Logston</v>
          </cell>
        </row>
        <row r="15766">
          <cell r="I15766" t="str">
            <v>Littell</v>
          </cell>
        </row>
        <row r="15767">
          <cell r="I15767" t="str">
            <v>Liska</v>
          </cell>
        </row>
        <row r="15768">
          <cell r="I15768" t="str">
            <v>Lindauer</v>
          </cell>
        </row>
        <row r="15769">
          <cell r="I15769" t="str">
            <v>Lillibridge</v>
          </cell>
        </row>
        <row r="15770">
          <cell r="I15770" t="str">
            <v>Levron</v>
          </cell>
        </row>
        <row r="15771">
          <cell r="I15771" t="str">
            <v>Letchworth</v>
          </cell>
        </row>
        <row r="15772">
          <cell r="I15772" t="str">
            <v>Lesh</v>
          </cell>
        </row>
        <row r="15773">
          <cell r="I15773" t="str">
            <v>Leffel</v>
          </cell>
        </row>
        <row r="15774">
          <cell r="I15774" t="str">
            <v>Leday</v>
          </cell>
        </row>
        <row r="15775">
          <cell r="I15775" t="str">
            <v>Leamon</v>
          </cell>
        </row>
        <row r="15776">
          <cell r="I15776" t="str">
            <v>Laura</v>
          </cell>
        </row>
        <row r="15777">
          <cell r="I15777" t="str">
            <v>Kulas</v>
          </cell>
        </row>
        <row r="15778">
          <cell r="I15778" t="str">
            <v>Kula</v>
          </cell>
        </row>
        <row r="15779">
          <cell r="I15779" t="str">
            <v>Kucharski</v>
          </cell>
        </row>
        <row r="15780">
          <cell r="I15780" t="str">
            <v>Kromer</v>
          </cell>
        </row>
        <row r="15781">
          <cell r="I15781" t="str">
            <v>Kraatz</v>
          </cell>
        </row>
        <row r="15782">
          <cell r="I15782" t="str">
            <v>Konieczny</v>
          </cell>
        </row>
        <row r="15783">
          <cell r="I15783" t="str">
            <v>Konen</v>
          </cell>
        </row>
        <row r="15784">
          <cell r="I15784" t="str">
            <v>Komar</v>
          </cell>
        </row>
        <row r="15785">
          <cell r="I15785" t="str">
            <v>Kivett</v>
          </cell>
        </row>
        <row r="15786">
          <cell r="I15786" t="str">
            <v>Kirts</v>
          </cell>
        </row>
        <row r="15787">
          <cell r="I15787" t="str">
            <v>Kinnear</v>
          </cell>
        </row>
        <row r="15788">
          <cell r="I15788" t="str">
            <v>Kersh</v>
          </cell>
        </row>
        <row r="15789">
          <cell r="I15789" t="str">
            <v>Keithley</v>
          </cell>
        </row>
        <row r="15790">
          <cell r="I15790" t="str">
            <v>Keifer</v>
          </cell>
        </row>
        <row r="15791">
          <cell r="I15791" t="str">
            <v>Judah</v>
          </cell>
        </row>
        <row r="15792">
          <cell r="I15792" t="str">
            <v>Jimenes</v>
          </cell>
        </row>
        <row r="15793">
          <cell r="I15793" t="str">
            <v>Jeppesen</v>
          </cell>
        </row>
        <row r="15794">
          <cell r="I15794" t="str">
            <v>Jasmin</v>
          </cell>
        </row>
        <row r="15795">
          <cell r="I15795" t="str">
            <v>Jansson</v>
          </cell>
        </row>
        <row r="15796">
          <cell r="I15796" t="str">
            <v>Huntsberry</v>
          </cell>
        </row>
        <row r="15797">
          <cell r="I15797" t="str">
            <v>Hund</v>
          </cell>
        </row>
        <row r="15798">
          <cell r="I15798" t="str">
            <v>Huitt</v>
          </cell>
        </row>
        <row r="15799">
          <cell r="I15799" t="str">
            <v>Huffine</v>
          </cell>
        </row>
        <row r="15800">
          <cell r="I15800" t="str">
            <v>Hosford</v>
          </cell>
        </row>
        <row r="15801">
          <cell r="I15801" t="str">
            <v>Hopes</v>
          </cell>
        </row>
        <row r="15802">
          <cell r="I15802" t="str">
            <v>Holmstrom</v>
          </cell>
        </row>
        <row r="15803">
          <cell r="I15803" t="str">
            <v>Hollen</v>
          </cell>
        </row>
        <row r="15804">
          <cell r="I15804" t="str">
            <v>Hodgin</v>
          </cell>
        </row>
        <row r="15805">
          <cell r="I15805" t="str">
            <v>Hirschman</v>
          </cell>
        </row>
        <row r="15806">
          <cell r="I15806" t="str">
            <v>Hiltner</v>
          </cell>
        </row>
        <row r="15807">
          <cell r="I15807" t="str">
            <v>Hilliker</v>
          </cell>
        </row>
        <row r="15808">
          <cell r="I15808" t="str">
            <v>Hibner</v>
          </cell>
        </row>
        <row r="15809">
          <cell r="I15809" t="str">
            <v>Hennis</v>
          </cell>
        </row>
        <row r="15810">
          <cell r="I15810" t="str">
            <v>Helt</v>
          </cell>
        </row>
        <row r="15811">
          <cell r="I15811" t="str">
            <v>Heidelberg</v>
          </cell>
        </row>
        <row r="15812">
          <cell r="I15812" t="str">
            <v>Heger</v>
          </cell>
        </row>
        <row r="15813">
          <cell r="I15813" t="str">
            <v>Heer</v>
          </cell>
        </row>
        <row r="15814">
          <cell r="I15814" t="str">
            <v>Hartness</v>
          </cell>
        </row>
        <row r="15815">
          <cell r="I15815" t="str">
            <v>Hardrick</v>
          </cell>
        </row>
        <row r="15816">
          <cell r="I15816" t="str">
            <v>Halladay</v>
          </cell>
        </row>
        <row r="15817">
          <cell r="I15817" t="str">
            <v>Gula</v>
          </cell>
        </row>
        <row r="15818">
          <cell r="I15818" t="str">
            <v>Guillaume</v>
          </cell>
        </row>
        <row r="15819">
          <cell r="I15819" t="str">
            <v>Guerriero</v>
          </cell>
        </row>
        <row r="15820">
          <cell r="I15820" t="str">
            <v>Grunewald</v>
          </cell>
        </row>
        <row r="15821">
          <cell r="I15821" t="str">
            <v>Grosse</v>
          </cell>
        </row>
        <row r="15822">
          <cell r="I15822" t="str">
            <v>Griffeth</v>
          </cell>
        </row>
        <row r="15823">
          <cell r="I15823" t="str">
            <v>Grenz</v>
          </cell>
        </row>
        <row r="15824">
          <cell r="I15824" t="str">
            <v>Grassi</v>
          </cell>
        </row>
        <row r="15825">
          <cell r="I15825" t="str">
            <v>Grandison</v>
          </cell>
        </row>
        <row r="15826">
          <cell r="I15826" t="str">
            <v>Ginther</v>
          </cell>
        </row>
        <row r="15827">
          <cell r="I15827" t="str">
            <v>Gimenez</v>
          </cell>
        </row>
        <row r="15828">
          <cell r="I15828" t="str">
            <v>Gillingham</v>
          </cell>
        </row>
        <row r="15829">
          <cell r="I15829" t="str">
            <v>Gillham</v>
          </cell>
        </row>
        <row r="15830">
          <cell r="I15830" t="str">
            <v>Gess</v>
          </cell>
        </row>
        <row r="15831">
          <cell r="I15831" t="str">
            <v>Gelman</v>
          </cell>
        </row>
        <row r="15832">
          <cell r="I15832" t="str">
            <v>Gearheart</v>
          </cell>
        </row>
        <row r="15833">
          <cell r="I15833" t="str">
            <v>Gaskell</v>
          </cell>
        </row>
        <row r="15834">
          <cell r="I15834" t="str">
            <v>Gariepy</v>
          </cell>
        </row>
        <row r="15835">
          <cell r="I15835" t="str">
            <v>Gamino</v>
          </cell>
        </row>
        <row r="15836">
          <cell r="I15836" t="str">
            <v>Gallien</v>
          </cell>
        </row>
        <row r="15837">
          <cell r="I15837" t="str">
            <v>Galentine</v>
          </cell>
        </row>
        <row r="15838">
          <cell r="I15838" t="str">
            <v>Fuquay</v>
          </cell>
        </row>
        <row r="15839">
          <cell r="I15839" t="str">
            <v>Froman</v>
          </cell>
        </row>
        <row r="15840">
          <cell r="I15840" t="str">
            <v>Froelich</v>
          </cell>
        </row>
        <row r="15841">
          <cell r="I15841" t="str">
            <v>Friedel</v>
          </cell>
        </row>
        <row r="15842">
          <cell r="I15842" t="str">
            <v>Foos</v>
          </cell>
        </row>
        <row r="15843">
          <cell r="I15843" t="str">
            <v>Fomby</v>
          </cell>
        </row>
        <row r="15844">
          <cell r="I15844" t="str">
            <v>Focht</v>
          </cell>
        </row>
        <row r="15845">
          <cell r="I15845" t="str">
            <v>Flythe</v>
          </cell>
        </row>
        <row r="15846">
          <cell r="I15846" t="str">
            <v>Fiqueroa</v>
          </cell>
        </row>
        <row r="15847">
          <cell r="I15847" t="str">
            <v>Filson</v>
          </cell>
        </row>
        <row r="15848">
          <cell r="I15848" t="str">
            <v>Filip</v>
          </cell>
        </row>
        <row r="15849">
          <cell r="I15849" t="str">
            <v>Fierros</v>
          </cell>
        </row>
        <row r="15850">
          <cell r="I15850" t="str">
            <v>Fett</v>
          </cell>
        </row>
        <row r="15851">
          <cell r="I15851" t="str">
            <v>Fedele</v>
          </cell>
        </row>
        <row r="15852">
          <cell r="I15852" t="str">
            <v>Fasching</v>
          </cell>
        </row>
        <row r="15853">
          <cell r="I15853" t="str">
            <v>Farney</v>
          </cell>
        </row>
        <row r="15854">
          <cell r="I15854" t="str">
            <v>Fargo</v>
          </cell>
        </row>
        <row r="15855">
          <cell r="I15855" t="str">
            <v>Everts</v>
          </cell>
        </row>
        <row r="15856">
          <cell r="I15856" t="str">
            <v>Even</v>
          </cell>
        </row>
        <row r="15857">
          <cell r="I15857" t="str">
            <v>Etzel</v>
          </cell>
        </row>
        <row r="15858">
          <cell r="I15858" t="str">
            <v>Elzey</v>
          </cell>
        </row>
        <row r="15859">
          <cell r="I15859" t="str">
            <v>Eichner</v>
          </cell>
        </row>
        <row r="15860">
          <cell r="I15860" t="str">
            <v>Eger</v>
          </cell>
        </row>
        <row r="15861">
          <cell r="I15861" t="str">
            <v>Eatman</v>
          </cell>
        </row>
        <row r="15862">
          <cell r="I15862" t="str">
            <v>Ducker</v>
          </cell>
        </row>
        <row r="15863">
          <cell r="I15863" t="str">
            <v>Duchesne</v>
          </cell>
        </row>
        <row r="15864">
          <cell r="I15864" t="str">
            <v>Donati</v>
          </cell>
        </row>
        <row r="15865">
          <cell r="I15865" t="str">
            <v>Domenech</v>
          </cell>
        </row>
        <row r="15866">
          <cell r="I15866" t="str">
            <v>Dollard</v>
          </cell>
        </row>
        <row r="15867">
          <cell r="I15867" t="str">
            <v>Dodrill</v>
          </cell>
        </row>
        <row r="15868">
          <cell r="I15868" t="str">
            <v>Dinapoli</v>
          </cell>
        </row>
        <row r="15869">
          <cell r="I15869" t="str">
            <v>Denn</v>
          </cell>
        </row>
        <row r="15870">
          <cell r="I15870" t="str">
            <v>Delfino</v>
          </cell>
        </row>
        <row r="15871">
          <cell r="I15871" t="str">
            <v>Delcid</v>
          </cell>
        </row>
        <row r="15872">
          <cell r="I15872" t="str">
            <v>Delaune</v>
          </cell>
        </row>
        <row r="15873">
          <cell r="I15873" t="str">
            <v>Delatte</v>
          </cell>
        </row>
        <row r="15874">
          <cell r="I15874" t="str">
            <v>Deems</v>
          </cell>
        </row>
        <row r="15875">
          <cell r="I15875" t="str">
            <v>Daluz</v>
          </cell>
        </row>
        <row r="15876">
          <cell r="I15876" t="str">
            <v>Cusson</v>
          </cell>
        </row>
        <row r="15877">
          <cell r="I15877" t="str">
            <v>Cullison</v>
          </cell>
        </row>
        <row r="15878">
          <cell r="I15878" t="str">
            <v>Cue</v>
          </cell>
        </row>
        <row r="15879">
          <cell r="I15879" t="str">
            <v>Cuadrado</v>
          </cell>
        </row>
        <row r="15880">
          <cell r="I15880" t="str">
            <v>Crumrine</v>
          </cell>
        </row>
        <row r="15881">
          <cell r="I15881" t="str">
            <v>Cruickshank</v>
          </cell>
        </row>
        <row r="15882">
          <cell r="I15882" t="str">
            <v>Crosland</v>
          </cell>
        </row>
        <row r="15883">
          <cell r="I15883" t="str">
            <v>Croll</v>
          </cell>
        </row>
        <row r="15884">
          <cell r="I15884" t="str">
            <v>Criddle</v>
          </cell>
        </row>
        <row r="15885">
          <cell r="I15885" t="str">
            <v>Crepeau</v>
          </cell>
        </row>
        <row r="15886">
          <cell r="I15886" t="str">
            <v>Coutu</v>
          </cell>
        </row>
        <row r="15887">
          <cell r="I15887" t="str">
            <v>Couey</v>
          </cell>
        </row>
        <row r="15888">
          <cell r="I15888" t="str">
            <v>Cort</v>
          </cell>
        </row>
        <row r="15889">
          <cell r="I15889" t="str">
            <v>Coppinger</v>
          </cell>
        </row>
        <row r="15890">
          <cell r="I15890" t="str">
            <v>Collman</v>
          </cell>
        </row>
        <row r="15891">
          <cell r="I15891" t="str">
            <v>Cockburn</v>
          </cell>
        </row>
        <row r="15892">
          <cell r="I15892" t="str">
            <v>Coca</v>
          </cell>
        </row>
        <row r="15893">
          <cell r="I15893" t="str">
            <v>Clayborne</v>
          </cell>
        </row>
        <row r="15894">
          <cell r="I15894" t="str">
            <v>Claflin</v>
          </cell>
        </row>
        <row r="15895">
          <cell r="I15895" t="str">
            <v>Cissell</v>
          </cell>
        </row>
        <row r="15896">
          <cell r="I15896" t="str">
            <v>Chowdhury</v>
          </cell>
        </row>
        <row r="15897">
          <cell r="I15897" t="str">
            <v>Chicoine</v>
          </cell>
        </row>
        <row r="15898">
          <cell r="I15898" t="str">
            <v>Chenier</v>
          </cell>
        </row>
        <row r="15899">
          <cell r="I15899" t="str">
            <v>Causby</v>
          </cell>
        </row>
        <row r="15900">
          <cell r="I15900" t="str">
            <v>Caulder</v>
          </cell>
        </row>
        <row r="15901">
          <cell r="I15901" t="str">
            <v>Cassano</v>
          </cell>
        </row>
        <row r="15902">
          <cell r="I15902" t="str">
            <v>Casner</v>
          </cell>
        </row>
        <row r="15903">
          <cell r="I15903" t="str">
            <v>Cardiel</v>
          </cell>
        </row>
        <row r="15904">
          <cell r="I15904" t="str">
            <v>Burner</v>
          </cell>
        </row>
        <row r="15905">
          <cell r="I15905" t="str">
            <v>Brunton</v>
          </cell>
        </row>
        <row r="15906">
          <cell r="I15906" t="str">
            <v>Bruch</v>
          </cell>
        </row>
        <row r="15907">
          <cell r="I15907" t="str">
            <v>Broxton</v>
          </cell>
        </row>
        <row r="15908">
          <cell r="I15908" t="str">
            <v>Brosius</v>
          </cell>
        </row>
        <row r="15909">
          <cell r="I15909" t="str">
            <v>Brooking</v>
          </cell>
        </row>
        <row r="15910">
          <cell r="I15910" t="str">
            <v>Branco</v>
          </cell>
        </row>
        <row r="15911">
          <cell r="I15911" t="str">
            <v>Bracco</v>
          </cell>
        </row>
        <row r="15912">
          <cell r="I15912" t="str">
            <v>Bourgault</v>
          </cell>
        </row>
        <row r="15913">
          <cell r="I15913" t="str">
            <v>Bosserman</v>
          </cell>
        </row>
        <row r="15914">
          <cell r="I15914" t="str">
            <v>Books</v>
          </cell>
        </row>
        <row r="15915">
          <cell r="I15915" t="str">
            <v>Bonet</v>
          </cell>
        </row>
        <row r="15916">
          <cell r="I15916" t="str">
            <v>Bolds</v>
          </cell>
        </row>
        <row r="15917">
          <cell r="I15917" t="str">
            <v>Bolander</v>
          </cell>
        </row>
        <row r="15918">
          <cell r="I15918" t="str">
            <v>Bohman</v>
          </cell>
        </row>
        <row r="15919">
          <cell r="I15919" t="str">
            <v>Boelter</v>
          </cell>
        </row>
        <row r="15920">
          <cell r="I15920" t="str">
            <v>Blohm</v>
          </cell>
        </row>
        <row r="15921">
          <cell r="I15921" t="str">
            <v>Blea</v>
          </cell>
        </row>
        <row r="15922">
          <cell r="I15922" t="str">
            <v>Blaise</v>
          </cell>
        </row>
        <row r="15923">
          <cell r="I15923" t="str">
            <v>Bischof</v>
          </cell>
        </row>
        <row r="15924">
          <cell r="I15924" t="str">
            <v>Billie</v>
          </cell>
        </row>
        <row r="15925">
          <cell r="I15925" t="str">
            <v>Beus</v>
          </cell>
        </row>
        <row r="15926">
          <cell r="I15926" t="str">
            <v>Bellew</v>
          </cell>
        </row>
        <row r="15927">
          <cell r="I15927" t="str">
            <v>Bastarache</v>
          </cell>
        </row>
        <row r="15928">
          <cell r="I15928" t="str">
            <v>Bast</v>
          </cell>
        </row>
        <row r="15929">
          <cell r="I15929" t="str">
            <v>Bartolome</v>
          </cell>
        </row>
        <row r="15930">
          <cell r="I15930" t="str">
            <v>Bark</v>
          </cell>
        </row>
        <row r="15931">
          <cell r="I15931" t="str">
            <v>Barcomb</v>
          </cell>
        </row>
        <row r="15932">
          <cell r="I15932" t="str">
            <v>Barco</v>
          </cell>
        </row>
        <row r="15933">
          <cell r="I15933" t="str">
            <v>Balls</v>
          </cell>
        </row>
        <row r="15934">
          <cell r="I15934" t="str">
            <v>Balk</v>
          </cell>
        </row>
        <row r="15935">
          <cell r="I15935" t="str">
            <v>Balas</v>
          </cell>
        </row>
        <row r="15936">
          <cell r="I15936" t="str">
            <v>Bakos</v>
          </cell>
        </row>
        <row r="15937">
          <cell r="I15937" t="str">
            <v>Avey</v>
          </cell>
        </row>
        <row r="15938">
          <cell r="I15938" t="str">
            <v>Atnip</v>
          </cell>
        </row>
        <row r="15939">
          <cell r="I15939" t="str">
            <v>Ashbrook</v>
          </cell>
        </row>
        <row r="15940">
          <cell r="I15940" t="str">
            <v>Arno</v>
          </cell>
        </row>
        <row r="15941">
          <cell r="I15941" t="str">
            <v>Arbour</v>
          </cell>
        </row>
        <row r="15942">
          <cell r="I15942" t="str">
            <v>Aquirre</v>
          </cell>
        </row>
        <row r="15943">
          <cell r="I15943" t="str">
            <v>Appell</v>
          </cell>
        </row>
        <row r="15944">
          <cell r="I15944" t="str">
            <v>Aldaco</v>
          </cell>
        </row>
        <row r="15945">
          <cell r="I15945" t="str">
            <v>Alcazar</v>
          </cell>
        </row>
        <row r="15946">
          <cell r="I15946" t="str">
            <v>Alban</v>
          </cell>
        </row>
        <row r="15947">
          <cell r="I15947" t="str">
            <v>Ahlstrom</v>
          </cell>
        </row>
        <row r="15948">
          <cell r="I15948" t="str">
            <v>Abadie</v>
          </cell>
        </row>
        <row r="15949">
          <cell r="I15949" t="str">
            <v>Zylstra</v>
          </cell>
        </row>
        <row r="15950">
          <cell r="I15950" t="str">
            <v>Zick</v>
          </cell>
        </row>
        <row r="15951">
          <cell r="I15951" t="str">
            <v>Zheng</v>
          </cell>
        </row>
        <row r="15952">
          <cell r="I15952" t="str">
            <v>Yother</v>
          </cell>
        </row>
        <row r="15953">
          <cell r="I15953" t="str">
            <v>Wyse</v>
          </cell>
        </row>
        <row r="15954">
          <cell r="I15954" t="str">
            <v>Wunsch</v>
          </cell>
        </row>
        <row r="15955">
          <cell r="I15955" t="str">
            <v>Whitty</v>
          </cell>
        </row>
        <row r="15956">
          <cell r="I15956" t="str">
            <v>Weist</v>
          </cell>
        </row>
        <row r="15957">
          <cell r="I15957" t="str">
            <v>Vrooman</v>
          </cell>
        </row>
        <row r="15958">
          <cell r="I15958" t="str">
            <v>Vine</v>
          </cell>
        </row>
        <row r="15959">
          <cell r="I15959" t="str">
            <v>Villalon</v>
          </cell>
        </row>
        <row r="15960">
          <cell r="I15960" t="str">
            <v>Vidrio</v>
          </cell>
        </row>
        <row r="15961">
          <cell r="I15961" t="str">
            <v>Vavra</v>
          </cell>
        </row>
        <row r="15962">
          <cell r="I15962" t="str">
            <v>Vasbinder</v>
          </cell>
        </row>
        <row r="15963">
          <cell r="I15963" t="str">
            <v>Vanmatre</v>
          </cell>
        </row>
        <row r="15964">
          <cell r="I15964" t="str">
            <v>Vandorn</v>
          </cell>
        </row>
        <row r="15965">
          <cell r="I15965" t="str">
            <v>Ugarte</v>
          </cell>
        </row>
        <row r="15966">
          <cell r="I15966" t="str">
            <v>Turberville</v>
          </cell>
        </row>
        <row r="15967">
          <cell r="I15967" t="str">
            <v>Tuel</v>
          </cell>
        </row>
        <row r="15968">
          <cell r="I15968" t="str">
            <v>Trogdon</v>
          </cell>
        </row>
        <row r="15969">
          <cell r="I15969" t="str">
            <v>Town</v>
          </cell>
        </row>
        <row r="15970">
          <cell r="I15970" t="str">
            <v>Toupin</v>
          </cell>
        </row>
        <row r="15971">
          <cell r="I15971" t="str">
            <v>Toone</v>
          </cell>
        </row>
        <row r="15972">
          <cell r="I15972" t="str">
            <v>Tolleson</v>
          </cell>
        </row>
        <row r="15973">
          <cell r="I15973" t="str">
            <v>Tinkham</v>
          </cell>
        </row>
        <row r="15974">
          <cell r="I15974" t="str">
            <v>Tinch</v>
          </cell>
        </row>
        <row r="15975">
          <cell r="I15975" t="str">
            <v>Tiano</v>
          </cell>
        </row>
        <row r="15976">
          <cell r="I15976" t="str">
            <v>Teston</v>
          </cell>
        </row>
        <row r="15977">
          <cell r="I15977" t="str">
            <v>Teer</v>
          </cell>
        </row>
        <row r="15978">
          <cell r="I15978" t="str">
            <v>Tea</v>
          </cell>
        </row>
        <row r="15979">
          <cell r="I15979" t="str">
            <v>Tawney</v>
          </cell>
        </row>
        <row r="15980">
          <cell r="I15980" t="str">
            <v>Taplin</v>
          </cell>
        </row>
        <row r="15981">
          <cell r="I15981" t="str">
            <v>Tant</v>
          </cell>
        </row>
        <row r="15982">
          <cell r="I15982" t="str">
            <v>Tansey</v>
          </cell>
        </row>
        <row r="15983">
          <cell r="I15983" t="str">
            <v>Swayne</v>
          </cell>
        </row>
        <row r="15984">
          <cell r="I15984" t="str">
            <v>Sutcliffe</v>
          </cell>
        </row>
        <row r="15985">
          <cell r="I15985" t="str">
            <v>Sunderman</v>
          </cell>
        </row>
        <row r="15986">
          <cell r="I15986" t="str">
            <v>Suits</v>
          </cell>
        </row>
        <row r="15987">
          <cell r="I15987" t="str">
            <v>Strothers</v>
          </cell>
        </row>
        <row r="15988">
          <cell r="I15988" t="str">
            <v>Stromain</v>
          </cell>
        </row>
        <row r="15989">
          <cell r="I15989" t="str">
            <v>Stork</v>
          </cell>
        </row>
        <row r="15990">
          <cell r="I15990" t="str">
            <v>Stoneburner</v>
          </cell>
        </row>
        <row r="15991">
          <cell r="I15991" t="str">
            <v>Stolte</v>
          </cell>
        </row>
        <row r="15992">
          <cell r="I15992" t="str">
            <v>Stolp</v>
          </cell>
        </row>
        <row r="15993">
          <cell r="I15993" t="str">
            <v>Stoehr</v>
          </cell>
        </row>
        <row r="15994">
          <cell r="I15994" t="str">
            <v>Stingley</v>
          </cell>
        </row>
        <row r="15995">
          <cell r="I15995" t="str">
            <v>Stegman</v>
          </cell>
        </row>
        <row r="15996">
          <cell r="I15996" t="str">
            <v>Stangl</v>
          </cell>
        </row>
        <row r="15997">
          <cell r="I15997" t="str">
            <v>Spinella</v>
          </cell>
        </row>
        <row r="15998">
          <cell r="I15998" t="str">
            <v>Spier</v>
          </cell>
        </row>
        <row r="15999">
          <cell r="I15999" t="str">
            <v>Soules</v>
          </cell>
        </row>
        <row r="16000">
          <cell r="I16000" t="str">
            <v>Sommerfield</v>
          </cell>
        </row>
        <row r="16001">
          <cell r="I16001" t="str">
            <v>Sipp</v>
          </cell>
        </row>
        <row r="16002">
          <cell r="I16002" t="str">
            <v>Simek</v>
          </cell>
        </row>
        <row r="16003">
          <cell r="I16003" t="str">
            <v>Siders</v>
          </cell>
        </row>
        <row r="16004">
          <cell r="I16004" t="str">
            <v>Shufelt</v>
          </cell>
        </row>
        <row r="16005">
          <cell r="I16005" t="str">
            <v>Shue</v>
          </cell>
        </row>
        <row r="16006">
          <cell r="I16006" t="str">
            <v>Shor</v>
          </cell>
        </row>
        <row r="16007">
          <cell r="I16007" t="str">
            <v>Shires</v>
          </cell>
        </row>
        <row r="16008">
          <cell r="I16008" t="str">
            <v>Shellenberger</v>
          </cell>
        </row>
        <row r="16009">
          <cell r="I16009" t="str">
            <v>Sheely</v>
          </cell>
        </row>
        <row r="16010">
          <cell r="I16010" t="str">
            <v>Service</v>
          </cell>
        </row>
        <row r="16011">
          <cell r="I16011" t="str">
            <v>Sepe</v>
          </cell>
        </row>
        <row r="16012">
          <cell r="I16012" t="str">
            <v>Seaberg</v>
          </cell>
        </row>
        <row r="16013">
          <cell r="I16013" t="str">
            <v>Schwing</v>
          </cell>
        </row>
        <row r="16014">
          <cell r="I16014" t="str">
            <v>Scherrer</v>
          </cell>
        </row>
        <row r="16015">
          <cell r="I16015" t="str">
            <v>Scalzo</v>
          </cell>
        </row>
        <row r="16016">
          <cell r="I16016" t="str">
            <v>Saver</v>
          </cell>
        </row>
        <row r="16017">
          <cell r="I16017" t="str">
            <v>Sasse</v>
          </cell>
        </row>
        <row r="16018">
          <cell r="I16018" t="str">
            <v>Sarvis</v>
          </cell>
        </row>
        <row r="16019">
          <cell r="I16019" t="str">
            <v>Santora</v>
          </cell>
        </row>
        <row r="16020">
          <cell r="I16020" t="str">
            <v>Sansbury</v>
          </cell>
        </row>
        <row r="16021">
          <cell r="I16021" t="str">
            <v>Salls</v>
          </cell>
        </row>
        <row r="16022">
          <cell r="I16022" t="str">
            <v>Saleem</v>
          </cell>
        </row>
        <row r="16023">
          <cell r="I16023" t="str">
            <v>Ryland</v>
          </cell>
        </row>
        <row r="16024">
          <cell r="I16024" t="str">
            <v>Rybicki</v>
          </cell>
        </row>
        <row r="16025">
          <cell r="I16025" t="str">
            <v>Ruggieri</v>
          </cell>
        </row>
        <row r="16026">
          <cell r="I16026" t="str">
            <v>Rothenberg</v>
          </cell>
        </row>
        <row r="16027">
          <cell r="I16027" t="str">
            <v>Rosenstein</v>
          </cell>
        </row>
        <row r="16028">
          <cell r="I16028" t="str">
            <v>Roquemore</v>
          </cell>
        </row>
        <row r="16029">
          <cell r="I16029" t="str">
            <v>Rollison</v>
          </cell>
        </row>
        <row r="16030">
          <cell r="I16030" t="str">
            <v>Rodden</v>
          </cell>
        </row>
        <row r="16031">
          <cell r="I16031" t="str">
            <v>Rivet</v>
          </cell>
        </row>
        <row r="16032">
          <cell r="I16032" t="str">
            <v>Rita</v>
          </cell>
        </row>
        <row r="16033">
          <cell r="I16033" t="str">
            <v>Ridlon</v>
          </cell>
        </row>
        <row r="16034">
          <cell r="I16034" t="str">
            <v>Riche</v>
          </cell>
        </row>
        <row r="16035">
          <cell r="I16035" t="str">
            <v>Riccardi</v>
          </cell>
        </row>
        <row r="16036">
          <cell r="I16036" t="str">
            <v>Reiley</v>
          </cell>
        </row>
        <row r="16037">
          <cell r="I16037" t="str">
            <v>Regner</v>
          </cell>
        </row>
        <row r="16038">
          <cell r="I16038" t="str">
            <v>Rech</v>
          </cell>
        </row>
        <row r="16039">
          <cell r="I16039" t="str">
            <v>Rayo</v>
          </cell>
        </row>
        <row r="16040">
          <cell r="I16040" t="str">
            <v>Rawley</v>
          </cell>
        </row>
        <row r="16041">
          <cell r="I16041" t="str">
            <v>Ranger</v>
          </cell>
        </row>
        <row r="16042">
          <cell r="I16042" t="str">
            <v>Raff</v>
          </cell>
        </row>
        <row r="16043">
          <cell r="I16043" t="str">
            <v>Radabaugh</v>
          </cell>
        </row>
        <row r="16044">
          <cell r="I16044" t="str">
            <v>Quon</v>
          </cell>
        </row>
        <row r="16045">
          <cell r="I16045" t="str">
            <v>Quill</v>
          </cell>
        </row>
        <row r="16046">
          <cell r="I16046" t="str">
            <v>Privette</v>
          </cell>
        </row>
        <row r="16047">
          <cell r="I16047" t="str">
            <v>Prange</v>
          </cell>
        </row>
        <row r="16048">
          <cell r="I16048" t="str">
            <v>Pickrell</v>
          </cell>
        </row>
        <row r="16049">
          <cell r="I16049" t="str">
            <v>Perino</v>
          </cell>
        </row>
        <row r="16050">
          <cell r="I16050" t="str">
            <v>Penning</v>
          </cell>
        </row>
        <row r="16051">
          <cell r="I16051" t="str">
            <v>Pankratz</v>
          </cell>
        </row>
        <row r="16052">
          <cell r="I16052" t="str">
            <v>Orlandi</v>
          </cell>
        </row>
        <row r="16053">
          <cell r="I16053" t="str">
            <v>Nyquist</v>
          </cell>
        </row>
        <row r="16054">
          <cell r="I16054" t="str">
            <v>Norrell</v>
          </cell>
        </row>
        <row r="16055">
          <cell r="I16055" t="str">
            <v>Noren</v>
          </cell>
        </row>
        <row r="16056">
          <cell r="I16056" t="str">
            <v>Naples</v>
          </cell>
        </row>
        <row r="16057">
          <cell r="I16057" t="str">
            <v>Nale</v>
          </cell>
        </row>
        <row r="16058">
          <cell r="I16058" t="str">
            <v>Nakashima</v>
          </cell>
        </row>
        <row r="16059">
          <cell r="I16059" t="str">
            <v>Musselwhite</v>
          </cell>
        </row>
        <row r="16060">
          <cell r="I16060" t="str">
            <v>Murrin</v>
          </cell>
        </row>
        <row r="16061">
          <cell r="I16061" t="str">
            <v>Murch</v>
          </cell>
        </row>
        <row r="16062">
          <cell r="I16062" t="str">
            <v>Mullinix</v>
          </cell>
        </row>
        <row r="16063">
          <cell r="I16063" t="str">
            <v>Mullican</v>
          </cell>
        </row>
        <row r="16064">
          <cell r="I16064" t="str">
            <v>Mullan</v>
          </cell>
        </row>
        <row r="16065">
          <cell r="I16065" t="str">
            <v>Morneau</v>
          </cell>
        </row>
        <row r="16066">
          <cell r="I16066" t="str">
            <v>Mondor</v>
          </cell>
        </row>
        <row r="16067">
          <cell r="I16067" t="str">
            <v>Molinar</v>
          </cell>
        </row>
        <row r="16068">
          <cell r="I16068" t="str">
            <v>Mo</v>
          </cell>
        </row>
        <row r="16069">
          <cell r="I16069" t="str">
            <v>Minjares</v>
          </cell>
        </row>
        <row r="16070">
          <cell r="I16070" t="str">
            <v>Minix</v>
          </cell>
        </row>
        <row r="16071">
          <cell r="I16071" t="str">
            <v>Mingle</v>
          </cell>
        </row>
        <row r="16072">
          <cell r="I16072" t="str">
            <v>Minchew</v>
          </cell>
        </row>
        <row r="16073">
          <cell r="I16073" t="str">
            <v>Mill</v>
          </cell>
        </row>
        <row r="16074">
          <cell r="I16074" t="str">
            <v>Milewski</v>
          </cell>
        </row>
        <row r="16075">
          <cell r="I16075" t="str">
            <v>Mikkelson</v>
          </cell>
        </row>
        <row r="16076">
          <cell r="I16076" t="str">
            <v>Mifflin</v>
          </cell>
        </row>
        <row r="16077">
          <cell r="I16077" t="str">
            <v>Messing</v>
          </cell>
        </row>
        <row r="16078">
          <cell r="I16078" t="str">
            <v>Merkley</v>
          </cell>
        </row>
        <row r="16079">
          <cell r="I16079" t="str">
            <v>Meis</v>
          </cell>
        </row>
        <row r="16080">
          <cell r="I16080" t="str">
            <v>Meas</v>
          </cell>
        </row>
        <row r="16081">
          <cell r="I16081" t="str">
            <v>Mcroy</v>
          </cell>
        </row>
        <row r="16082">
          <cell r="I16082" t="str">
            <v>Mcphearson</v>
          </cell>
        </row>
        <row r="16083">
          <cell r="I16083" t="str">
            <v>Mcneel</v>
          </cell>
        </row>
        <row r="16084">
          <cell r="I16084" t="str">
            <v>Mcmunn</v>
          </cell>
        </row>
        <row r="16085">
          <cell r="I16085" t="str">
            <v>Mcmorrow</v>
          </cell>
        </row>
        <row r="16086">
          <cell r="I16086" t="str">
            <v>Mcdorman</v>
          </cell>
        </row>
        <row r="16087">
          <cell r="I16087" t="str">
            <v>Mccroskey</v>
          </cell>
        </row>
        <row r="16088">
          <cell r="I16088" t="str">
            <v>Mccoll</v>
          </cell>
        </row>
        <row r="16089">
          <cell r="I16089" t="str">
            <v>Mcclusky</v>
          </cell>
        </row>
        <row r="16090">
          <cell r="I16090" t="str">
            <v>Mcclaran</v>
          </cell>
        </row>
        <row r="16091">
          <cell r="I16091" t="str">
            <v>Mccampbell</v>
          </cell>
        </row>
        <row r="16092">
          <cell r="I16092" t="str">
            <v>Mazzariello</v>
          </cell>
        </row>
        <row r="16093">
          <cell r="I16093" t="str">
            <v>Mauzy</v>
          </cell>
        </row>
        <row r="16094">
          <cell r="I16094" t="str">
            <v>Mauch</v>
          </cell>
        </row>
        <row r="16095">
          <cell r="I16095" t="str">
            <v>Mastro</v>
          </cell>
        </row>
        <row r="16096">
          <cell r="I16096" t="str">
            <v>Martinek</v>
          </cell>
        </row>
        <row r="16097">
          <cell r="I16097" t="str">
            <v>Marsala</v>
          </cell>
        </row>
        <row r="16098">
          <cell r="I16098" t="str">
            <v>Marcantel</v>
          </cell>
        </row>
        <row r="16099">
          <cell r="I16099" t="str">
            <v>Mahle</v>
          </cell>
        </row>
        <row r="16100">
          <cell r="I16100" t="str">
            <v>Lyda</v>
          </cell>
        </row>
        <row r="16101">
          <cell r="I16101" t="str">
            <v>Lucius</v>
          </cell>
        </row>
        <row r="16102">
          <cell r="I16102" t="str">
            <v>Luciani</v>
          </cell>
        </row>
        <row r="16103">
          <cell r="I16103" t="str">
            <v>Lubbers</v>
          </cell>
        </row>
        <row r="16104">
          <cell r="I16104" t="str">
            <v>Louder</v>
          </cell>
        </row>
        <row r="16105">
          <cell r="I16105" t="str">
            <v>Lobel</v>
          </cell>
        </row>
        <row r="16106">
          <cell r="I16106" t="str">
            <v>Linsey</v>
          </cell>
        </row>
        <row r="16107">
          <cell r="I16107" t="str">
            <v>Linch</v>
          </cell>
        </row>
        <row r="16108">
          <cell r="I16108" t="str">
            <v>Liller</v>
          </cell>
        </row>
        <row r="16109">
          <cell r="I16109" t="str">
            <v>Legros</v>
          </cell>
        </row>
        <row r="16110">
          <cell r="I16110" t="str">
            <v>Layden</v>
          </cell>
        </row>
        <row r="16111">
          <cell r="I16111" t="str">
            <v>Lapine</v>
          </cell>
        </row>
        <row r="16112">
          <cell r="I16112" t="str">
            <v>Lansberry</v>
          </cell>
        </row>
        <row r="16113">
          <cell r="I16113" t="str">
            <v>Lage</v>
          </cell>
        </row>
        <row r="16114">
          <cell r="I16114" t="str">
            <v>Laforest</v>
          </cell>
        </row>
        <row r="16115">
          <cell r="I16115" t="str">
            <v>Labriola</v>
          </cell>
        </row>
        <row r="16116">
          <cell r="I16116" t="str">
            <v>Koga</v>
          </cell>
        </row>
        <row r="16117">
          <cell r="I16117" t="str">
            <v>Knupp</v>
          </cell>
        </row>
        <row r="16118">
          <cell r="I16118" t="str">
            <v>Klimek</v>
          </cell>
        </row>
        <row r="16119">
          <cell r="I16119" t="str">
            <v>Kittinger</v>
          </cell>
        </row>
        <row r="16120">
          <cell r="I16120" t="str">
            <v>Kirchoff</v>
          </cell>
        </row>
        <row r="16121">
          <cell r="I16121" t="str">
            <v>Kinzel</v>
          </cell>
        </row>
        <row r="16122">
          <cell r="I16122" t="str">
            <v>Killinger</v>
          </cell>
        </row>
        <row r="16123">
          <cell r="I16123" t="str">
            <v>Kilbourne</v>
          </cell>
        </row>
        <row r="16124">
          <cell r="I16124" t="str">
            <v>Ketner</v>
          </cell>
        </row>
        <row r="16125">
          <cell r="I16125" t="str">
            <v>Kepley</v>
          </cell>
        </row>
        <row r="16126">
          <cell r="I16126" t="str">
            <v>Kemble</v>
          </cell>
        </row>
        <row r="16127">
          <cell r="I16127" t="str">
            <v>Kells</v>
          </cell>
        </row>
        <row r="16128">
          <cell r="I16128" t="str">
            <v>Kear</v>
          </cell>
        </row>
        <row r="16129">
          <cell r="I16129" t="str">
            <v>Kaya</v>
          </cell>
        </row>
        <row r="16130">
          <cell r="I16130" t="str">
            <v>Karsten</v>
          </cell>
        </row>
        <row r="16131">
          <cell r="I16131" t="str">
            <v>Kaneshiro</v>
          </cell>
        </row>
        <row r="16132">
          <cell r="I16132" t="str">
            <v>Kamm</v>
          </cell>
        </row>
        <row r="16133">
          <cell r="I16133" t="str">
            <v>Joines</v>
          </cell>
        </row>
        <row r="16134">
          <cell r="I16134" t="str">
            <v>Joachim</v>
          </cell>
        </row>
        <row r="16135">
          <cell r="I16135" t="str">
            <v>Janelle</v>
          </cell>
        </row>
        <row r="16136">
          <cell r="I16136" t="str">
            <v>Jacobus</v>
          </cell>
        </row>
        <row r="16137">
          <cell r="I16137" t="str">
            <v>Iler</v>
          </cell>
        </row>
        <row r="16138">
          <cell r="I16138" t="str">
            <v>Holgate</v>
          </cell>
        </row>
        <row r="16139">
          <cell r="I16139" t="str">
            <v>Hoar</v>
          </cell>
        </row>
        <row r="16140">
          <cell r="I16140" t="str">
            <v>Hisey</v>
          </cell>
        </row>
        <row r="16141">
          <cell r="I16141" t="str">
            <v>Hird</v>
          </cell>
        </row>
        <row r="16142">
          <cell r="I16142" t="str">
            <v>Hilyard</v>
          </cell>
        </row>
        <row r="16143">
          <cell r="I16143" t="str">
            <v>Heslin</v>
          </cell>
        </row>
        <row r="16144">
          <cell r="I16144" t="str">
            <v>Herzberg</v>
          </cell>
        </row>
        <row r="16145">
          <cell r="I16145" t="str">
            <v>Hennigan</v>
          </cell>
        </row>
        <row r="16146">
          <cell r="I16146" t="str">
            <v>Hegland</v>
          </cell>
        </row>
        <row r="16147">
          <cell r="I16147" t="str">
            <v>Hartl</v>
          </cell>
        </row>
        <row r="16148">
          <cell r="I16148" t="str">
            <v>Haner</v>
          </cell>
        </row>
        <row r="16149">
          <cell r="I16149" t="str">
            <v>Handel</v>
          </cell>
        </row>
        <row r="16150">
          <cell r="I16150" t="str">
            <v>Gualtieri</v>
          </cell>
        </row>
        <row r="16151">
          <cell r="I16151" t="str">
            <v>Greenly</v>
          </cell>
        </row>
        <row r="16152">
          <cell r="I16152" t="str">
            <v>Grasser</v>
          </cell>
        </row>
        <row r="16153">
          <cell r="I16153" t="str">
            <v>Gran</v>
          </cell>
        </row>
        <row r="16154">
          <cell r="I16154" t="str">
            <v>Goetsch</v>
          </cell>
        </row>
        <row r="16155">
          <cell r="I16155" t="str">
            <v>Godbold</v>
          </cell>
        </row>
        <row r="16156">
          <cell r="I16156" t="str">
            <v>Gilland</v>
          </cell>
        </row>
        <row r="16157">
          <cell r="I16157" t="str">
            <v>Gidney</v>
          </cell>
        </row>
        <row r="16158">
          <cell r="I16158" t="str">
            <v>Gibney</v>
          </cell>
        </row>
        <row r="16159">
          <cell r="I16159" t="str">
            <v>Giancola</v>
          </cell>
        </row>
        <row r="16160">
          <cell r="I16160" t="str">
            <v>Gettinger</v>
          </cell>
        </row>
        <row r="16161">
          <cell r="I16161" t="str">
            <v>Garzon</v>
          </cell>
        </row>
        <row r="16162">
          <cell r="I16162" t="str">
            <v>Garret</v>
          </cell>
        </row>
        <row r="16163">
          <cell r="I16163" t="str">
            <v>Galle</v>
          </cell>
        </row>
        <row r="16164">
          <cell r="I16164" t="str">
            <v>Galgano</v>
          </cell>
        </row>
        <row r="16165">
          <cell r="I16165" t="str">
            <v>Gaier</v>
          </cell>
        </row>
        <row r="16166">
          <cell r="I16166" t="str">
            <v>Gaertner</v>
          </cell>
        </row>
        <row r="16167">
          <cell r="I16167" t="str">
            <v>Fuston</v>
          </cell>
        </row>
        <row r="16168">
          <cell r="I16168" t="str">
            <v>Freel</v>
          </cell>
        </row>
        <row r="16169">
          <cell r="I16169" t="str">
            <v>Fortes</v>
          </cell>
        </row>
        <row r="16170">
          <cell r="I16170" t="str">
            <v>Flock</v>
          </cell>
        </row>
        <row r="16171">
          <cell r="I16171" t="str">
            <v>Fiorillo</v>
          </cell>
        </row>
        <row r="16172">
          <cell r="I16172" t="str">
            <v>Figgs</v>
          </cell>
        </row>
        <row r="16173">
          <cell r="I16173" t="str">
            <v>Fenstermacher</v>
          </cell>
        </row>
        <row r="16174">
          <cell r="I16174" t="str">
            <v>Fedler</v>
          </cell>
        </row>
        <row r="16175">
          <cell r="I16175" t="str">
            <v>Facer</v>
          </cell>
        </row>
        <row r="16176">
          <cell r="I16176" t="str">
            <v>Fabiano</v>
          </cell>
        </row>
        <row r="16177">
          <cell r="I16177" t="str">
            <v>Evins</v>
          </cell>
        </row>
        <row r="16178">
          <cell r="I16178" t="str">
            <v>Eusebio</v>
          </cell>
        </row>
        <row r="16179">
          <cell r="I16179" t="str">
            <v>Euler</v>
          </cell>
        </row>
        <row r="16180">
          <cell r="I16180" t="str">
            <v>Esquer</v>
          </cell>
        </row>
        <row r="16181">
          <cell r="I16181" t="str">
            <v>Enyeart</v>
          </cell>
        </row>
        <row r="16182">
          <cell r="I16182" t="str">
            <v>Elem</v>
          </cell>
        </row>
        <row r="16183">
          <cell r="I16183" t="str">
            <v>Eisenhower</v>
          </cell>
        </row>
        <row r="16184">
          <cell r="I16184" t="str">
            <v>Eich</v>
          </cell>
        </row>
        <row r="16185">
          <cell r="I16185" t="str">
            <v>Edgerly</v>
          </cell>
        </row>
        <row r="16186">
          <cell r="I16186" t="str">
            <v>Durocher</v>
          </cell>
        </row>
        <row r="16187">
          <cell r="I16187" t="str">
            <v>Durgan</v>
          </cell>
        </row>
        <row r="16188">
          <cell r="I16188" t="str">
            <v>Duffin</v>
          </cell>
        </row>
        <row r="16189">
          <cell r="I16189" t="str">
            <v>Drolet</v>
          </cell>
        </row>
        <row r="16190">
          <cell r="I16190" t="str">
            <v>Drewes</v>
          </cell>
        </row>
        <row r="16191">
          <cell r="I16191" t="str">
            <v>Dotts</v>
          </cell>
        </row>
        <row r="16192">
          <cell r="I16192" t="str">
            <v>Dossantos</v>
          </cell>
        </row>
        <row r="16193">
          <cell r="I16193" t="str">
            <v>Dolly</v>
          </cell>
        </row>
        <row r="16194">
          <cell r="I16194" t="str">
            <v>Dockins</v>
          </cell>
        </row>
        <row r="16195">
          <cell r="I16195" t="str">
            <v>Dirksen</v>
          </cell>
        </row>
        <row r="16196">
          <cell r="I16196" t="str">
            <v>Difiore</v>
          </cell>
        </row>
        <row r="16197">
          <cell r="I16197" t="str">
            <v>Dierks</v>
          </cell>
        </row>
        <row r="16198">
          <cell r="I16198" t="str">
            <v>Dickerman</v>
          </cell>
        </row>
        <row r="16199">
          <cell r="I16199" t="str">
            <v>Dice</v>
          </cell>
        </row>
        <row r="16200">
          <cell r="I16200" t="str">
            <v>Dery</v>
          </cell>
        </row>
        <row r="16201">
          <cell r="I16201" t="str">
            <v>Denault</v>
          </cell>
        </row>
        <row r="16202">
          <cell r="I16202" t="str">
            <v>Demaree</v>
          </cell>
        </row>
        <row r="16203">
          <cell r="I16203" t="str">
            <v>Delmonte</v>
          </cell>
        </row>
        <row r="16204">
          <cell r="I16204" t="str">
            <v>Delcambre</v>
          </cell>
        </row>
        <row r="16205">
          <cell r="I16205" t="str">
            <v>Days</v>
          </cell>
        </row>
        <row r="16206">
          <cell r="I16206" t="str">
            <v>Daulton</v>
          </cell>
        </row>
        <row r="16207">
          <cell r="I16207" t="str">
            <v>Darst</v>
          </cell>
        </row>
        <row r="16208">
          <cell r="I16208" t="str">
            <v>Dahle</v>
          </cell>
        </row>
        <row r="16209">
          <cell r="I16209" t="str">
            <v>Curnutt</v>
          </cell>
        </row>
        <row r="16210">
          <cell r="I16210" t="str">
            <v>Cully</v>
          </cell>
        </row>
        <row r="16211">
          <cell r="I16211" t="str">
            <v>Culligan</v>
          </cell>
        </row>
        <row r="16212">
          <cell r="I16212" t="str">
            <v>Cueva</v>
          </cell>
        </row>
        <row r="16213">
          <cell r="I16213" t="str">
            <v>Crosslin</v>
          </cell>
        </row>
        <row r="16214">
          <cell r="I16214" t="str">
            <v>Croskey</v>
          </cell>
        </row>
        <row r="16215">
          <cell r="I16215" t="str">
            <v>Cromartie</v>
          </cell>
        </row>
        <row r="16216">
          <cell r="I16216" t="str">
            <v>Crofts</v>
          </cell>
        </row>
        <row r="16217">
          <cell r="I16217" t="str">
            <v>Covin</v>
          </cell>
        </row>
        <row r="16218">
          <cell r="I16218" t="str">
            <v>Coutee</v>
          </cell>
        </row>
        <row r="16219">
          <cell r="I16219" t="str">
            <v>Countess</v>
          </cell>
        </row>
        <row r="16220">
          <cell r="I16220" t="str">
            <v>Cost</v>
          </cell>
        </row>
        <row r="16221">
          <cell r="I16221" t="str">
            <v>Coppa</v>
          </cell>
        </row>
        <row r="16222">
          <cell r="I16222" t="str">
            <v>Coogan</v>
          </cell>
        </row>
        <row r="16223">
          <cell r="I16223" t="str">
            <v>Condrey</v>
          </cell>
        </row>
        <row r="16224">
          <cell r="I16224" t="str">
            <v>Concannon</v>
          </cell>
        </row>
        <row r="16225">
          <cell r="I16225" t="str">
            <v>Coger</v>
          </cell>
        </row>
        <row r="16226">
          <cell r="I16226" t="str">
            <v>Cloer</v>
          </cell>
        </row>
        <row r="16227">
          <cell r="I16227" t="str">
            <v>Clatterbuck</v>
          </cell>
        </row>
        <row r="16228">
          <cell r="I16228" t="str">
            <v>Cieslak</v>
          </cell>
        </row>
        <row r="16229">
          <cell r="I16229" t="str">
            <v>Chumbley</v>
          </cell>
        </row>
        <row r="16230">
          <cell r="I16230" t="str">
            <v>Choudhury</v>
          </cell>
        </row>
        <row r="16231">
          <cell r="I16231" t="str">
            <v>Chiaramonte</v>
          </cell>
        </row>
        <row r="16232">
          <cell r="I16232" t="str">
            <v>Charboneau</v>
          </cell>
        </row>
        <row r="16233">
          <cell r="I16233" t="str">
            <v>Chai</v>
          </cell>
        </row>
        <row r="16234">
          <cell r="I16234" t="str">
            <v>Carneal</v>
          </cell>
        </row>
        <row r="16235">
          <cell r="I16235" t="str">
            <v>Cappello</v>
          </cell>
        </row>
        <row r="16236">
          <cell r="I16236" t="str">
            <v>Campisi</v>
          </cell>
        </row>
        <row r="16237">
          <cell r="I16237" t="str">
            <v>Callicoat</v>
          </cell>
        </row>
        <row r="16238">
          <cell r="I16238" t="str">
            <v>Burgoyne</v>
          </cell>
        </row>
        <row r="16239">
          <cell r="I16239" t="str">
            <v>Bucholz</v>
          </cell>
        </row>
        <row r="16240">
          <cell r="I16240" t="str">
            <v>Brumback</v>
          </cell>
        </row>
        <row r="16241">
          <cell r="I16241" t="str">
            <v>Brosnan</v>
          </cell>
        </row>
        <row r="16242">
          <cell r="I16242" t="str">
            <v>Brogden</v>
          </cell>
        </row>
        <row r="16243">
          <cell r="I16243" t="str">
            <v>Broder</v>
          </cell>
        </row>
        <row r="16244">
          <cell r="I16244" t="str">
            <v>Brendle</v>
          </cell>
        </row>
        <row r="16245">
          <cell r="I16245" t="str">
            <v>Breece</v>
          </cell>
        </row>
        <row r="16246">
          <cell r="I16246" t="str">
            <v>Bown</v>
          </cell>
        </row>
        <row r="16247">
          <cell r="I16247" t="str">
            <v>Bou</v>
          </cell>
        </row>
        <row r="16248">
          <cell r="I16248" t="str">
            <v>Boser</v>
          </cell>
        </row>
        <row r="16249">
          <cell r="I16249" t="str">
            <v>Bondy</v>
          </cell>
        </row>
        <row r="16250">
          <cell r="I16250" t="str">
            <v>Bolster</v>
          </cell>
        </row>
        <row r="16251">
          <cell r="I16251" t="str">
            <v>Boll</v>
          </cell>
        </row>
        <row r="16252">
          <cell r="I16252" t="str">
            <v>Bluford</v>
          </cell>
        </row>
        <row r="16253">
          <cell r="I16253" t="str">
            <v>Blandon</v>
          </cell>
        </row>
        <row r="16254">
          <cell r="I16254" t="str">
            <v>Biscoe</v>
          </cell>
        </row>
        <row r="16255">
          <cell r="I16255" t="str">
            <v>Bevill</v>
          </cell>
        </row>
        <row r="16256">
          <cell r="I16256" t="str">
            <v>Bence</v>
          </cell>
        </row>
        <row r="16257">
          <cell r="I16257" t="str">
            <v>Battin</v>
          </cell>
        </row>
        <row r="16258">
          <cell r="I16258" t="str">
            <v>Basel</v>
          </cell>
        </row>
        <row r="16259">
          <cell r="I16259" t="str">
            <v>Bartram</v>
          </cell>
        </row>
        <row r="16260">
          <cell r="I16260" t="str">
            <v>Barnaby</v>
          </cell>
        </row>
        <row r="16261">
          <cell r="I16261" t="str">
            <v>Barmore</v>
          </cell>
        </row>
        <row r="16262">
          <cell r="I16262" t="str">
            <v>Balbuena</v>
          </cell>
        </row>
        <row r="16263">
          <cell r="I16263" t="str">
            <v>Badgley</v>
          </cell>
        </row>
        <row r="16264">
          <cell r="I16264" t="str">
            <v>Backstrom</v>
          </cell>
        </row>
        <row r="16265">
          <cell r="I16265" t="str">
            <v>Auyeung</v>
          </cell>
        </row>
        <row r="16266">
          <cell r="I16266" t="str">
            <v>Ater</v>
          </cell>
        </row>
        <row r="16267">
          <cell r="I16267" t="str">
            <v>Arrellano</v>
          </cell>
        </row>
        <row r="16268">
          <cell r="I16268" t="str">
            <v>Arant</v>
          </cell>
        </row>
        <row r="16269">
          <cell r="I16269" t="str">
            <v>Ansari</v>
          </cell>
        </row>
        <row r="16270">
          <cell r="I16270" t="str">
            <v>Alling</v>
          </cell>
        </row>
        <row r="16271">
          <cell r="I16271" t="str">
            <v>Alejandre</v>
          </cell>
        </row>
        <row r="16272">
          <cell r="I16272" t="str">
            <v>Alcock</v>
          </cell>
        </row>
        <row r="16273">
          <cell r="I16273" t="str">
            <v>Alaimo</v>
          </cell>
        </row>
        <row r="16274">
          <cell r="I16274" t="str">
            <v>Aguinaldo</v>
          </cell>
        </row>
        <row r="16275">
          <cell r="I16275" t="str">
            <v>Aarons</v>
          </cell>
        </row>
        <row r="16276">
          <cell r="I16276" t="str">
            <v>Zurita</v>
          </cell>
        </row>
        <row r="16277">
          <cell r="I16277" t="str">
            <v>Zeiger</v>
          </cell>
        </row>
        <row r="16278">
          <cell r="I16278" t="str">
            <v>Zawacki</v>
          </cell>
        </row>
        <row r="16279">
          <cell r="I16279" t="str">
            <v>Yutzy</v>
          </cell>
        </row>
        <row r="16280">
          <cell r="I16280" t="str">
            <v>Yarger</v>
          </cell>
        </row>
        <row r="16281">
          <cell r="I16281" t="str">
            <v>Wygant</v>
          </cell>
        </row>
        <row r="16282">
          <cell r="I16282" t="str">
            <v>Wurm</v>
          </cell>
        </row>
        <row r="16283">
          <cell r="I16283" t="str">
            <v>Wuest</v>
          </cell>
        </row>
        <row r="16284">
          <cell r="I16284" t="str">
            <v>Wolfram</v>
          </cell>
        </row>
        <row r="16285">
          <cell r="I16285" t="str">
            <v>Witherell</v>
          </cell>
        </row>
        <row r="16286">
          <cell r="I16286" t="str">
            <v>Wisneski</v>
          </cell>
        </row>
        <row r="16287">
          <cell r="I16287" t="str">
            <v>Whitby</v>
          </cell>
        </row>
        <row r="16288">
          <cell r="I16288" t="str">
            <v>Whelchel</v>
          </cell>
        </row>
        <row r="16289">
          <cell r="I16289" t="str">
            <v>Weisz</v>
          </cell>
        </row>
        <row r="16290">
          <cell r="I16290" t="str">
            <v>Weisinger</v>
          </cell>
        </row>
        <row r="16291">
          <cell r="I16291" t="str">
            <v>Weishaar</v>
          </cell>
        </row>
        <row r="16292">
          <cell r="I16292" t="str">
            <v>Wehr</v>
          </cell>
        </row>
        <row r="16293">
          <cell r="I16293" t="str">
            <v>Wedge</v>
          </cell>
        </row>
        <row r="16294">
          <cell r="I16294" t="str">
            <v>Waxman</v>
          </cell>
        </row>
        <row r="16295">
          <cell r="I16295" t="str">
            <v>Waldschmidt</v>
          </cell>
        </row>
        <row r="16296">
          <cell r="I16296" t="str">
            <v>Walck</v>
          </cell>
        </row>
        <row r="16297">
          <cell r="I16297" t="str">
            <v>Waggener</v>
          </cell>
        </row>
        <row r="16298">
          <cell r="I16298" t="str">
            <v>Vosburg</v>
          </cell>
        </row>
        <row r="16299">
          <cell r="I16299" t="str">
            <v>Vita</v>
          </cell>
        </row>
        <row r="16300">
          <cell r="I16300" t="str">
            <v>Villela</v>
          </cell>
        </row>
        <row r="16301">
          <cell r="I16301" t="str">
            <v>Vercher</v>
          </cell>
        </row>
        <row r="16302">
          <cell r="I16302" t="str">
            <v>Venters</v>
          </cell>
        </row>
        <row r="16303">
          <cell r="I16303" t="str">
            <v>Vanscyoc</v>
          </cell>
        </row>
        <row r="16304">
          <cell r="I16304" t="str">
            <v>Vandyne</v>
          </cell>
        </row>
        <row r="16305">
          <cell r="I16305" t="str">
            <v>Valenza</v>
          </cell>
        </row>
        <row r="16306">
          <cell r="I16306" t="str">
            <v>Utt</v>
          </cell>
        </row>
        <row r="16307">
          <cell r="I16307" t="str">
            <v>Urick</v>
          </cell>
        </row>
        <row r="16308">
          <cell r="I16308" t="str">
            <v>Ungar</v>
          </cell>
        </row>
        <row r="16309">
          <cell r="I16309" t="str">
            <v>Ulm</v>
          </cell>
        </row>
        <row r="16310">
          <cell r="I16310" t="str">
            <v>Tumlin</v>
          </cell>
        </row>
        <row r="16311">
          <cell r="I16311" t="str">
            <v>Tsao</v>
          </cell>
        </row>
        <row r="16312">
          <cell r="I16312" t="str">
            <v>Tryon</v>
          </cell>
        </row>
        <row r="16313">
          <cell r="I16313" t="str">
            <v>Trudel</v>
          </cell>
        </row>
        <row r="16314">
          <cell r="I16314" t="str">
            <v>Treiber</v>
          </cell>
        </row>
        <row r="16315">
          <cell r="I16315" t="str">
            <v>Tow</v>
          </cell>
        </row>
        <row r="16316">
          <cell r="I16316" t="str">
            <v>Tober</v>
          </cell>
        </row>
        <row r="16317">
          <cell r="I16317" t="str">
            <v>Tipler</v>
          </cell>
        </row>
        <row r="16318">
          <cell r="I16318" t="str">
            <v>Tillson</v>
          </cell>
        </row>
        <row r="16319">
          <cell r="I16319" t="str">
            <v>Tiedemann</v>
          </cell>
        </row>
        <row r="16320">
          <cell r="I16320" t="str">
            <v>Thornley</v>
          </cell>
        </row>
        <row r="16321">
          <cell r="I16321" t="str">
            <v>Tetrault</v>
          </cell>
        </row>
        <row r="16322">
          <cell r="I16322" t="str">
            <v>Temme</v>
          </cell>
        </row>
        <row r="16323">
          <cell r="I16323" t="str">
            <v>Tarrance</v>
          </cell>
        </row>
        <row r="16324">
          <cell r="I16324" t="str">
            <v>Tackitt</v>
          </cell>
        </row>
        <row r="16325">
          <cell r="I16325" t="str">
            <v>Sykora</v>
          </cell>
        </row>
        <row r="16326">
          <cell r="I16326" t="str">
            <v>Sweetman</v>
          </cell>
        </row>
        <row r="16327">
          <cell r="I16327" t="str">
            <v>Swatzell</v>
          </cell>
        </row>
        <row r="16328">
          <cell r="I16328" t="str">
            <v>Sutliff</v>
          </cell>
        </row>
        <row r="16329">
          <cell r="I16329" t="str">
            <v>Suhr</v>
          </cell>
        </row>
        <row r="16330">
          <cell r="I16330" t="str">
            <v>Sturtz</v>
          </cell>
        </row>
        <row r="16331">
          <cell r="I16331" t="str">
            <v>Strub</v>
          </cell>
        </row>
        <row r="16332">
          <cell r="I16332" t="str">
            <v>Strayhorn</v>
          </cell>
        </row>
        <row r="16333">
          <cell r="I16333" t="str">
            <v>Stormer</v>
          </cell>
        </row>
        <row r="16334">
          <cell r="I16334" t="str">
            <v>Steveson</v>
          </cell>
        </row>
        <row r="16335">
          <cell r="I16335" t="str">
            <v>Stengel</v>
          </cell>
        </row>
        <row r="16336">
          <cell r="I16336" t="str">
            <v>Steinfeldt</v>
          </cell>
        </row>
        <row r="16337">
          <cell r="I16337" t="str">
            <v>Spiro</v>
          </cell>
        </row>
        <row r="16338">
          <cell r="I16338" t="str">
            <v>Spieker</v>
          </cell>
        </row>
        <row r="16339">
          <cell r="I16339" t="str">
            <v>Speth</v>
          </cell>
        </row>
        <row r="16340">
          <cell r="I16340" t="str">
            <v>Spero</v>
          </cell>
        </row>
        <row r="16341">
          <cell r="I16341" t="str">
            <v>Soza</v>
          </cell>
        </row>
        <row r="16342">
          <cell r="I16342" t="str">
            <v>Souliere</v>
          </cell>
        </row>
        <row r="16343">
          <cell r="I16343" t="str">
            <v>Soucie</v>
          </cell>
        </row>
        <row r="16344">
          <cell r="I16344" t="str">
            <v>Snedeker</v>
          </cell>
        </row>
        <row r="16345">
          <cell r="I16345" t="str">
            <v>Slifer</v>
          </cell>
        </row>
        <row r="16346">
          <cell r="I16346" t="str">
            <v>Skillings</v>
          </cell>
        </row>
        <row r="16347">
          <cell r="I16347" t="str">
            <v>Situ</v>
          </cell>
        </row>
        <row r="16348">
          <cell r="I16348" t="str">
            <v>Siniard</v>
          </cell>
        </row>
        <row r="16349">
          <cell r="I16349" t="str">
            <v>Simeon</v>
          </cell>
        </row>
        <row r="16350">
          <cell r="I16350" t="str">
            <v>Signorelli</v>
          </cell>
        </row>
        <row r="16351">
          <cell r="I16351" t="str">
            <v>Siggers</v>
          </cell>
        </row>
        <row r="16352">
          <cell r="I16352" t="str">
            <v>Shultis</v>
          </cell>
        </row>
        <row r="16353">
          <cell r="I16353" t="str">
            <v>Shrewsbury</v>
          </cell>
        </row>
        <row r="16354">
          <cell r="I16354" t="str">
            <v>Shippee</v>
          </cell>
        </row>
        <row r="16355">
          <cell r="I16355" t="str">
            <v>Shimp</v>
          </cell>
        </row>
        <row r="16356">
          <cell r="I16356" t="str">
            <v>Sherron</v>
          </cell>
        </row>
        <row r="16357">
          <cell r="I16357" t="str">
            <v>Shepler</v>
          </cell>
        </row>
        <row r="16358">
          <cell r="I16358" t="str">
            <v>Sharpless</v>
          </cell>
        </row>
        <row r="16359">
          <cell r="I16359" t="str">
            <v>Shadrick</v>
          </cell>
        </row>
        <row r="16360">
          <cell r="I16360" t="str">
            <v>Severt</v>
          </cell>
        </row>
        <row r="16361">
          <cell r="I16361" t="str">
            <v>Severs</v>
          </cell>
        </row>
        <row r="16362">
          <cell r="I16362" t="str">
            <v>Semon</v>
          </cell>
        </row>
        <row r="16363">
          <cell r="I16363" t="str">
            <v>Semmes</v>
          </cell>
        </row>
        <row r="16364">
          <cell r="I16364" t="str">
            <v>Seiter</v>
          </cell>
        </row>
        <row r="16365">
          <cell r="I16365" t="str">
            <v>Segers</v>
          </cell>
        </row>
        <row r="16366">
          <cell r="I16366" t="str">
            <v>Sclafani</v>
          </cell>
        </row>
        <row r="16367">
          <cell r="I16367" t="str">
            <v>Sciortino</v>
          </cell>
        </row>
        <row r="16368">
          <cell r="I16368" t="str">
            <v>Schroyer</v>
          </cell>
        </row>
        <row r="16369">
          <cell r="I16369" t="str">
            <v>Schrack</v>
          </cell>
        </row>
        <row r="16370">
          <cell r="I16370" t="str">
            <v>Schoenberg</v>
          </cell>
        </row>
        <row r="16371">
          <cell r="I16371" t="str">
            <v>Schober</v>
          </cell>
        </row>
        <row r="16372">
          <cell r="I16372" t="str">
            <v>Scheidt</v>
          </cell>
        </row>
        <row r="16373">
          <cell r="I16373" t="str">
            <v>Scheele</v>
          </cell>
        </row>
        <row r="16374">
          <cell r="I16374" t="str">
            <v>Satter</v>
          </cell>
        </row>
        <row r="16375">
          <cell r="I16375" t="str">
            <v>Sartori</v>
          </cell>
        </row>
        <row r="16376">
          <cell r="I16376" t="str">
            <v>Sarris</v>
          </cell>
        </row>
        <row r="16377">
          <cell r="I16377" t="str">
            <v>Sarratt</v>
          </cell>
        </row>
        <row r="16378">
          <cell r="I16378" t="str">
            <v>Salvaggio</v>
          </cell>
        </row>
        <row r="16379">
          <cell r="I16379" t="str">
            <v>Saladino</v>
          </cell>
        </row>
        <row r="16380">
          <cell r="I16380" t="str">
            <v>Sakamoto</v>
          </cell>
        </row>
        <row r="16381">
          <cell r="I16381" t="str">
            <v>Saine</v>
          </cell>
        </row>
        <row r="16382">
          <cell r="I16382" t="str">
            <v>Ryman</v>
          </cell>
        </row>
        <row r="16383">
          <cell r="I16383" t="str">
            <v>Rumley</v>
          </cell>
        </row>
        <row r="16384">
          <cell r="I16384" t="str">
            <v>Ruggerio</v>
          </cell>
        </row>
        <row r="16385">
          <cell r="I16385" t="str">
            <v>Rucks</v>
          </cell>
        </row>
        <row r="16386">
          <cell r="I16386" t="str">
            <v>Roughton</v>
          </cell>
        </row>
        <row r="16387">
          <cell r="I16387" t="str">
            <v>Room</v>
          </cell>
        </row>
        <row r="16388">
          <cell r="I16388" t="str">
            <v>Robards</v>
          </cell>
        </row>
        <row r="16389">
          <cell r="I16389" t="str">
            <v>Ricca</v>
          </cell>
        </row>
        <row r="16390">
          <cell r="I16390" t="str">
            <v>Rexroad</v>
          </cell>
        </row>
        <row r="16391">
          <cell r="I16391" t="str">
            <v>Resler</v>
          </cell>
        </row>
        <row r="16392">
          <cell r="I16392" t="str">
            <v>Reny</v>
          </cell>
        </row>
        <row r="16393">
          <cell r="I16393" t="str">
            <v>Rentschler</v>
          </cell>
        </row>
        <row r="16394">
          <cell r="I16394" t="str">
            <v>Redrick</v>
          </cell>
        </row>
        <row r="16395">
          <cell r="I16395" t="str">
            <v>Redick</v>
          </cell>
        </row>
        <row r="16396">
          <cell r="I16396" t="str">
            <v>Reagle</v>
          </cell>
        </row>
        <row r="16397">
          <cell r="I16397" t="str">
            <v>Raymo</v>
          </cell>
        </row>
        <row r="16398">
          <cell r="I16398" t="str">
            <v>Rape</v>
          </cell>
        </row>
        <row r="16399">
          <cell r="I16399" t="str">
            <v>Raker</v>
          </cell>
        </row>
        <row r="16400">
          <cell r="I16400" t="str">
            <v>Racette</v>
          </cell>
        </row>
        <row r="16401">
          <cell r="I16401" t="str">
            <v>Pyburn</v>
          </cell>
        </row>
        <row r="16402">
          <cell r="I16402" t="str">
            <v>Pritt</v>
          </cell>
        </row>
        <row r="16403">
          <cell r="I16403" t="str">
            <v>Presson</v>
          </cell>
        </row>
        <row r="16404">
          <cell r="I16404" t="str">
            <v>Pressman</v>
          </cell>
        </row>
        <row r="16405">
          <cell r="I16405" t="str">
            <v>Pough</v>
          </cell>
        </row>
        <row r="16406">
          <cell r="I16406" t="str">
            <v>Plain</v>
          </cell>
        </row>
        <row r="16407">
          <cell r="I16407" t="str">
            <v>Pisani</v>
          </cell>
        </row>
        <row r="16408">
          <cell r="I16408" t="str">
            <v>Perz</v>
          </cell>
        </row>
        <row r="16409">
          <cell r="I16409" t="str">
            <v>Perras</v>
          </cell>
        </row>
        <row r="16410">
          <cell r="I16410" t="str">
            <v>Pelzer</v>
          </cell>
        </row>
        <row r="16411">
          <cell r="I16411" t="str">
            <v>Pedrosa</v>
          </cell>
        </row>
        <row r="16412">
          <cell r="I16412" t="str">
            <v>Palos</v>
          </cell>
        </row>
        <row r="16413">
          <cell r="I16413" t="str">
            <v>Palmisano</v>
          </cell>
        </row>
        <row r="16414">
          <cell r="I16414" t="str">
            <v>Paille</v>
          </cell>
        </row>
        <row r="16415">
          <cell r="I16415" t="str">
            <v>Orem</v>
          </cell>
        </row>
        <row r="16416">
          <cell r="I16416" t="str">
            <v>Orbison</v>
          </cell>
        </row>
        <row r="16417">
          <cell r="I16417" t="str">
            <v>Oliveros</v>
          </cell>
        </row>
        <row r="16418">
          <cell r="I16418" t="str">
            <v>Nourse</v>
          </cell>
        </row>
        <row r="16419">
          <cell r="I16419" t="str">
            <v>Nordquist</v>
          </cell>
        </row>
        <row r="16420">
          <cell r="I16420" t="str">
            <v>Newbury</v>
          </cell>
        </row>
        <row r="16421">
          <cell r="I16421" t="str">
            <v>Nelligan</v>
          </cell>
        </row>
        <row r="16422">
          <cell r="I16422" t="str">
            <v>Nawrocki</v>
          </cell>
        </row>
        <row r="16423">
          <cell r="I16423" t="str">
            <v>Myler</v>
          </cell>
        </row>
        <row r="16424">
          <cell r="I16424" t="str">
            <v>Mumaw</v>
          </cell>
        </row>
        <row r="16425">
          <cell r="I16425" t="str">
            <v>Morphis</v>
          </cell>
        </row>
        <row r="16426">
          <cell r="I16426" t="str">
            <v>Moldenhauer</v>
          </cell>
        </row>
        <row r="16427">
          <cell r="I16427" t="str">
            <v>Miyashiro</v>
          </cell>
        </row>
        <row r="16428">
          <cell r="I16428" t="str">
            <v>Mignone</v>
          </cell>
        </row>
        <row r="16429">
          <cell r="I16429" t="str">
            <v>Mickelsen</v>
          </cell>
        </row>
        <row r="16430">
          <cell r="I16430" t="str">
            <v>Michalec</v>
          </cell>
        </row>
        <row r="16431">
          <cell r="I16431" t="str">
            <v>Mesta</v>
          </cell>
        </row>
        <row r="16432">
          <cell r="I16432" t="str">
            <v>Mcree</v>
          </cell>
        </row>
        <row r="16433">
          <cell r="I16433" t="str">
            <v>Mcqueary</v>
          </cell>
        </row>
        <row r="16434">
          <cell r="I16434" t="str">
            <v>Mcninch</v>
          </cell>
        </row>
        <row r="16435">
          <cell r="I16435" t="str">
            <v>Mcneilly</v>
          </cell>
        </row>
        <row r="16436">
          <cell r="I16436" t="str">
            <v>Mclelland</v>
          </cell>
        </row>
        <row r="16437">
          <cell r="I16437" t="str">
            <v>Mclawhorn</v>
          </cell>
        </row>
        <row r="16438">
          <cell r="I16438" t="str">
            <v>Mcgreevy</v>
          </cell>
        </row>
        <row r="16439">
          <cell r="I16439" t="str">
            <v>Mcconkey</v>
          </cell>
        </row>
        <row r="16440">
          <cell r="I16440" t="str">
            <v>Mattes</v>
          </cell>
        </row>
        <row r="16441">
          <cell r="I16441" t="str">
            <v>Maselli</v>
          </cell>
        </row>
        <row r="16442">
          <cell r="I16442" t="str">
            <v>Marten</v>
          </cell>
        </row>
        <row r="16443">
          <cell r="I16443" t="str">
            <v>Mart</v>
          </cell>
        </row>
        <row r="16444">
          <cell r="I16444" t="str">
            <v>Marcucci</v>
          </cell>
        </row>
        <row r="16445">
          <cell r="I16445" t="str">
            <v>Manseau</v>
          </cell>
        </row>
        <row r="16446">
          <cell r="I16446" t="str">
            <v>Manjarrez</v>
          </cell>
        </row>
        <row r="16447">
          <cell r="I16447" t="str">
            <v>Malbrough</v>
          </cell>
        </row>
        <row r="16448">
          <cell r="I16448" t="str">
            <v>Machin</v>
          </cell>
        </row>
        <row r="16449">
          <cell r="I16449" t="str">
            <v>Mabie</v>
          </cell>
        </row>
        <row r="16450">
          <cell r="I16450" t="str">
            <v>Lynde</v>
          </cell>
        </row>
        <row r="16451">
          <cell r="I16451" t="str">
            <v>Lykes</v>
          </cell>
        </row>
        <row r="16452">
          <cell r="I16452" t="str">
            <v>Lueras</v>
          </cell>
        </row>
        <row r="16453">
          <cell r="I16453" t="str">
            <v>Lokken</v>
          </cell>
        </row>
        <row r="16454">
          <cell r="I16454" t="str">
            <v>Loken</v>
          </cell>
        </row>
        <row r="16455">
          <cell r="I16455" t="str">
            <v>Linzy</v>
          </cell>
        </row>
        <row r="16456">
          <cell r="I16456" t="str">
            <v>Lillis</v>
          </cell>
        </row>
        <row r="16457">
          <cell r="I16457" t="str">
            <v>Lilienthal</v>
          </cell>
        </row>
        <row r="16458">
          <cell r="I16458" t="str">
            <v>Levey</v>
          </cell>
        </row>
        <row r="16459">
          <cell r="I16459" t="str">
            <v>Legler</v>
          </cell>
        </row>
        <row r="16460">
          <cell r="I16460" t="str">
            <v>Leedom</v>
          </cell>
        </row>
        <row r="16461">
          <cell r="I16461" t="str">
            <v>Lebowitz</v>
          </cell>
        </row>
        <row r="16462">
          <cell r="I16462" t="str">
            <v>Lazzaro</v>
          </cell>
        </row>
        <row r="16463">
          <cell r="I16463" t="str">
            <v>Larabee</v>
          </cell>
        </row>
        <row r="16464">
          <cell r="I16464" t="str">
            <v>Lapinski</v>
          </cell>
        </row>
        <row r="16465">
          <cell r="I16465" t="str">
            <v>Langner</v>
          </cell>
        </row>
        <row r="16466">
          <cell r="I16466" t="str">
            <v>Langenfeld</v>
          </cell>
        </row>
        <row r="16467">
          <cell r="I16467" t="str">
            <v>Lampkins</v>
          </cell>
        </row>
        <row r="16468">
          <cell r="I16468" t="str">
            <v>Lamotte</v>
          </cell>
        </row>
        <row r="16469">
          <cell r="I16469" t="str">
            <v>Lambright</v>
          </cell>
        </row>
        <row r="16470">
          <cell r="I16470" t="str">
            <v>Lagarde</v>
          </cell>
        </row>
        <row r="16471">
          <cell r="I16471" t="str">
            <v>Ladouceur</v>
          </cell>
        </row>
        <row r="16472">
          <cell r="I16472" t="str">
            <v>Labrador</v>
          </cell>
        </row>
        <row r="16473">
          <cell r="I16473" t="str">
            <v>Labounty</v>
          </cell>
        </row>
        <row r="16474">
          <cell r="I16474" t="str">
            <v>Lablanc</v>
          </cell>
        </row>
        <row r="16475">
          <cell r="I16475" t="str">
            <v>Laberge</v>
          </cell>
        </row>
        <row r="16476">
          <cell r="I16476" t="str">
            <v>Kyte</v>
          </cell>
        </row>
        <row r="16477">
          <cell r="I16477" t="str">
            <v>Kroon</v>
          </cell>
        </row>
        <row r="16478">
          <cell r="I16478" t="str">
            <v>Kron</v>
          </cell>
        </row>
        <row r="16479">
          <cell r="I16479" t="str">
            <v>Kraker</v>
          </cell>
        </row>
        <row r="16480">
          <cell r="I16480" t="str">
            <v>Kouba</v>
          </cell>
        </row>
        <row r="16481">
          <cell r="I16481" t="str">
            <v>Kirwin</v>
          </cell>
        </row>
        <row r="16482">
          <cell r="I16482" t="str">
            <v>Kincer</v>
          </cell>
        </row>
        <row r="16483">
          <cell r="I16483" t="str">
            <v>Kimbler</v>
          </cell>
        </row>
        <row r="16484">
          <cell r="I16484" t="str">
            <v>Kegler</v>
          </cell>
        </row>
        <row r="16485">
          <cell r="I16485" t="str">
            <v>Keach</v>
          </cell>
        </row>
        <row r="16486">
          <cell r="I16486" t="str">
            <v>Katzman</v>
          </cell>
        </row>
        <row r="16487">
          <cell r="I16487" t="str">
            <v>Katzer</v>
          </cell>
        </row>
        <row r="16488">
          <cell r="I16488" t="str">
            <v>Kalman</v>
          </cell>
        </row>
        <row r="16489">
          <cell r="I16489" t="str">
            <v>Journey</v>
          </cell>
        </row>
        <row r="16490">
          <cell r="I16490" t="str">
            <v>Jimmerson</v>
          </cell>
        </row>
        <row r="16491">
          <cell r="I16491" t="str">
            <v>Jenning</v>
          </cell>
        </row>
        <row r="16492">
          <cell r="I16492" t="str">
            <v>Janus</v>
          </cell>
        </row>
        <row r="16493">
          <cell r="I16493" t="str">
            <v>Iacovelli</v>
          </cell>
        </row>
        <row r="16494">
          <cell r="I16494" t="str">
            <v>Hust</v>
          </cell>
        </row>
        <row r="16495">
          <cell r="I16495" t="str">
            <v>Huson</v>
          </cell>
        </row>
        <row r="16496">
          <cell r="I16496" t="str">
            <v>Husby</v>
          </cell>
        </row>
        <row r="16497">
          <cell r="I16497" t="str">
            <v>Humphery</v>
          </cell>
        </row>
        <row r="16498">
          <cell r="I16498" t="str">
            <v>Hufnagel</v>
          </cell>
        </row>
        <row r="16499">
          <cell r="I16499" t="str">
            <v>Honig</v>
          </cell>
        </row>
        <row r="16500">
          <cell r="I16500" t="str">
            <v>Holsey</v>
          </cell>
        </row>
        <row r="16501">
          <cell r="I16501" t="str">
            <v>Holoman</v>
          </cell>
        </row>
        <row r="16502">
          <cell r="I16502" t="str">
            <v>Hohl</v>
          </cell>
        </row>
        <row r="16503">
          <cell r="I16503" t="str">
            <v>Hogge</v>
          </cell>
        </row>
        <row r="16504">
          <cell r="I16504" t="str">
            <v>Hinderliter</v>
          </cell>
        </row>
        <row r="16505">
          <cell r="I16505" t="str">
            <v>Hildebrant</v>
          </cell>
        </row>
        <row r="16506">
          <cell r="I16506" t="str">
            <v>Hick</v>
          </cell>
        </row>
        <row r="16507">
          <cell r="I16507" t="str">
            <v>Hey</v>
          </cell>
        </row>
        <row r="16508">
          <cell r="I16508" t="str">
            <v>Hemby</v>
          </cell>
        </row>
        <row r="16509">
          <cell r="I16509" t="str">
            <v>Helle</v>
          </cell>
        </row>
        <row r="16510">
          <cell r="I16510" t="str">
            <v>Heintzelman</v>
          </cell>
        </row>
        <row r="16511">
          <cell r="I16511" t="str">
            <v>Heidrick</v>
          </cell>
        </row>
        <row r="16512">
          <cell r="I16512" t="str">
            <v>Hearon</v>
          </cell>
        </row>
        <row r="16513">
          <cell r="I16513" t="str">
            <v>Heap</v>
          </cell>
        </row>
        <row r="16514">
          <cell r="I16514" t="str">
            <v>Hazelip</v>
          </cell>
        </row>
        <row r="16515">
          <cell r="I16515" t="str">
            <v>Hauk</v>
          </cell>
        </row>
        <row r="16516">
          <cell r="I16516" t="str">
            <v>Hasbrouck</v>
          </cell>
        </row>
        <row r="16517">
          <cell r="I16517" t="str">
            <v>Harton</v>
          </cell>
        </row>
        <row r="16518">
          <cell r="I16518" t="str">
            <v>Hartin</v>
          </cell>
        </row>
        <row r="16519">
          <cell r="I16519" t="str">
            <v>Harpster</v>
          </cell>
        </row>
        <row r="16520">
          <cell r="I16520" t="str">
            <v>Hansley</v>
          </cell>
        </row>
        <row r="16521">
          <cell r="I16521" t="str">
            <v>Hanchett</v>
          </cell>
        </row>
        <row r="16522">
          <cell r="I16522" t="str">
            <v>Haar</v>
          </cell>
        </row>
        <row r="16523">
          <cell r="I16523" t="str">
            <v>Guthridge</v>
          </cell>
        </row>
        <row r="16524">
          <cell r="I16524" t="str">
            <v>Gulbranson</v>
          </cell>
        </row>
        <row r="16525">
          <cell r="I16525" t="str">
            <v>Guill</v>
          </cell>
        </row>
        <row r="16526">
          <cell r="I16526" t="str">
            <v>Guerrera</v>
          </cell>
        </row>
        <row r="16527">
          <cell r="I16527" t="str">
            <v>Grund</v>
          </cell>
        </row>
        <row r="16528">
          <cell r="I16528" t="str">
            <v>Grosvenor</v>
          </cell>
        </row>
        <row r="16529">
          <cell r="I16529" t="str">
            <v>Grist</v>
          </cell>
        </row>
        <row r="16530">
          <cell r="I16530" t="str">
            <v>Grell</v>
          </cell>
        </row>
        <row r="16531">
          <cell r="I16531" t="str">
            <v>Grear</v>
          </cell>
        </row>
        <row r="16532">
          <cell r="I16532" t="str">
            <v>Granberry</v>
          </cell>
        </row>
        <row r="16533">
          <cell r="I16533" t="str">
            <v>Gonser</v>
          </cell>
        </row>
        <row r="16534">
          <cell r="I16534" t="str">
            <v>Giunta</v>
          </cell>
        </row>
        <row r="16535">
          <cell r="I16535" t="str">
            <v>Giuliani</v>
          </cell>
        </row>
        <row r="16536">
          <cell r="I16536" t="str">
            <v>Gillon</v>
          </cell>
        </row>
        <row r="16537">
          <cell r="I16537" t="str">
            <v>Gillmore</v>
          </cell>
        </row>
        <row r="16538">
          <cell r="I16538" t="str">
            <v>Gillan</v>
          </cell>
        </row>
        <row r="16539">
          <cell r="I16539" t="str">
            <v>Gibbon</v>
          </cell>
        </row>
        <row r="16540">
          <cell r="I16540" t="str">
            <v>Gettys</v>
          </cell>
        </row>
        <row r="16541">
          <cell r="I16541" t="str">
            <v>Gelb</v>
          </cell>
        </row>
        <row r="16542">
          <cell r="I16542" t="str">
            <v>Gano</v>
          </cell>
        </row>
        <row r="16543">
          <cell r="I16543" t="str">
            <v>Galliher</v>
          </cell>
        </row>
        <row r="16544">
          <cell r="I16544" t="str">
            <v>Fullen</v>
          </cell>
        </row>
        <row r="16545">
          <cell r="I16545" t="str">
            <v>Frese</v>
          </cell>
        </row>
        <row r="16546">
          <cell r="I16546" t="str">
            <v>Frates</v>
          </cell>
        </row>
        <row r="16547">
          <cell r="I16547" t="str">
            <v>Foxwell</v>
          </cell>
        </row>
        <row r="16548">
          <cell r="I16548" t="str">
            <v>Fleishman</v>
          </cell>
        </row>
        <row r="16549">
          <cell r="I16549" t="str">
            <v>Fleener</v>
          </cell>
        </row>
        <row r="16550">
          <cell r="I16550" t="str">
            <v>Fielden</v>
          </cell>
        </row>
        <row r="16551">
          <cell r="I16551" t="str">
            <v>Ferrera</v>
          </cell>
        </row>
        <row r="16552">
          <cell r="I16552" t="str">
            <v>Feng</v>
          </cell>
        </row>
        <row r="16553">
          <cell r="I16553" t="str">
            <v>Fells</v>
          </cell>
        </row>
        <row r="16554">
          <cell r="I16554" t="str">
            <v>Feemster</v>
          </cell>
        </row>
        <row r="16555">
          <cell r="I16555" t="str">
            <v>Fauntleroy</v>
          </cell>
        </row>
        <row r="16556">
          <cell r="I16556" t="str">
            <v>Fails</v>
          </cell>
        </row>
        <row r="16557">
          <cell r="I16557" t="str">
            <v>Evatt</v>
          </cell>
        </row>
        <row r="16558">
          <cell r="I16558" t="str">
            <v>Espy</v>
          </cell>
        </row>
        <row r="16559">
          <cell r="I16559" t="str">
            <v>Eno</v>
          </cell>
        </row>
        <row r="16560">
          <cell r="I16560" t="str">
            <v>Emmerich</v>
          </cell>
        </row>
        <row r="16561">
          <cell r="I16561" t="str">
            <v>Edwin</v>
          </cell>
        </row>
        <row r="16562">
          <cell r="I16562" t="str">
            <v>Edler</v>
          </cell>
        </row>
        <row r="16563">
          <cell r="I16563" t="str">
            <v>Eastham</v>
          </cell>
        </row>
        <row r="16564">
          <cell r="I16564" t="str">
            <v>Dunavant</v>
          </cell>
        </row>
        <row r="16565">
          <cell r="I16565" t="str">
            <v>Duca</v>
          </cell>
        </row>
        <row r="16566">
          <cell r="I16566" t="str">
            <v>Drinnon</v>
          </cell>
        </row>
        <row r="16567">
          <cell r="I16567" t="str">
            <v>Dowe</v>
          </cell>
        </row>
        <row r="16568">
          <cell r="I16568" t="str">
            <v>Dorgan</v>
          </cell>
        </row>
        <row r="16569">
          <cell r="I16569" t="str">
            <v>Dollinger</v>
          </cell>
        </row>
        <row r="16570">
          <cell r="I16570" t="str">
            <v>Divers</v>
          </cell>
        </row>
        <row r="16571">
          <cell r="I16571" t="str">
            <v>Dipalma</v>
          </cell>
        </row>
        <row r="16572">
          <cell r="I16572" t="str">
            <v>Difranco</v>
          </cell>
        </row>
        <row r="16573">
          <cell r="I16573" t="str">
            <v>Dietrick</v>
          </cell>
        </row>
        <row r="16574">
          <cell r="I16574" t="str">
            <v>Denzer</v>
          </cell>
        </row>
        <row r="16575">
          <cell r="I16575" t="str">
            <v>Demarest</v>
          </cell>
        </row>
        <row r="16576">
          <cell r="I16576" t="str">
            <v>Delee</v>
          </cell>
        </row>
        <row r="16577">
          <cell r="I16577" t="str">
            <v>Delariva</v>
          </cell>
        </row>
        <row r="16578">
          <cell r="I16578" t="str">
            <v>Delany</v>
          </cell>
        </row>
        <row r="16579">
          <cell r="I16579" t="str">
            <v>Decesare</v>
          </cell>
        </row>
        <row r="16580">
          <cell r="I16580" t="str">
            <v>Debellis</v>
          </cell>
        </row>
        <row r="16581">
          <cell r="I16581" t="str">
            <v>Deavers</v>
          </cell>
        </row>
        <row r="16582">
          <cell r="I16582" t="str">
            <v>Deardorff</v>
          </cell>
        </row>
        <row r="16583">
          <cell r="I16583" t="str">
            <v>Dawe</v>
          </cell>
        </row>
        <row r="16584">
          <cell r="I16584" t="str">
            <v>Darosa</v>
          </cell>
        </row>
        <row r="16585">
          <cell r="I16585" t="str">
            <v>Darley</v>
          </cell>
        </row>
        <row r="16586">
          <cell r="I16586" t="str">
            <v>Dalzell</v>
          </cell>
        </row>
        <row r="16587">
          <cell r="I16587" t="str">
            <v>Dahlen</v>
          </cell>
        </row>
        <row r="16588">
          <cell r="I16588" t="str">
            <v>Curto</v>
          </cell>
        </row>
        <row r="16589">
          <cell r="I16589" t="str">
            <v>Cupps</v>
          </cell>
        </row>
        <row r="16590">
          <cell r="I16590" t="str">
            <v>Cunniff</v>
          </cell>
        </row>
        <row r="16591">
          <cell r="I16591" t="str">
            <v>Cude</v>
          </cell>
        </row>
        <row r="16592">
          <cell r="I16592" t="str">
            <v>Crivello</v>
          </cell>
        </row>
        <row r="16593">
          <cell r="I16593" t="str">
            <v>Cripps</v>
          </cell>
        </row>
        <row r="16594">
          <cell r="I16594" t="str">
            <v>Cresswell</v>
          </cell>
        </row>
        <row r="16595">
          <cell r="I16595" t="str">
            <v>Cousar</v>
          </cell>
        </row>
        <row r="16596">
          <cell r="I16596" t="str">
            <v>Cotta</v>
          </cell>
        </row>
        <row r="16597">
          <cell r="I16597" t="str">
            <v>Compo</v>
          </cell>
        </row>
        <row r="16598">
          <cell r="I16598" t="str">
            <v>Colorado</v>
          </cell>
        </row>
        <row r="16599">
          <cell r="I16599" t="str">
            <v>Clyne</v>
          </cell>
        </row>
        <row r="16600">
          <cell r="I16600" t="str">
            <v>Clayson</v>
          </cell>
        </row>
        <row r="16601">
          <cell r="I16601" t="str">
            <v>Cearley</v>
          </cell>
        </row>
        <row r="16602">
          <cell r="I16602" t="str">
            <v>Catania</v>
          </cell>
        </row>
        <row r="16603">
          <cell r="I16603" t="str">
            <v>Carini</v>
          </cell>
        </row>
        <row r="16604">
          <cell r="I16604" t="str">
            <v>Cargo</v>
          </cell>
        </row>
        <row r="16605">
          <cell r="I16605" t="str">
            <v>Cantero</v>
          </cell>
        </row>
        <row r="16606">
          <cell r="I16606" t="str">
            <v>Cali</v>
          </cell>
        </row>
        <row r="16607">
          <cell r="I16607" t="str">
            <v>Buttrey</v>
          </cell>
        </row>
        <row r="16608">
          <cell r="I16608" t="str">
            <v>Buttler</v>
          </cell>
        </row>
        <row r="16609">
          <cell r="I16609" t="str">
            <v>Burpee</v>
          </cell>
        </row>
        <row r="16610">
          <cell r="I16610" t="str">
            <v>Bulkley</v>
          </cell>
        </row>
        <row r="16611">
          <cell r="I16611" t="str">
            <v>Buitron</v>
          </cell>
        </row>
        <row r="16612">
          <cell r="I16612" t="str">
            <v>Buda</v>
          </cell>
        </row>
        <row r="16613">
          <cell r="I16613" t="str">
            <v>Bublitz</v>
          </cell>
        </row>
        <row r="16614">
          <cell r="I16614" t="str">
            <v>Bryer</v>
          </cell>
        </row>
        <row r="16615">
          <cell r="I16615" t="str">
            <v>Bryden</v>
          </cell>
        </row>
        <row r="16616">
          <cell r="I16616" t="str">
            <v>Brouillette</v>
          </cell>
        </row>
        <row r="16617">
          <cell r="I16617" t="str">
            <v>Brott</v>
          </cell>
        </row>
        <row r="16618">
          <cell r="I16618" t="str">
            <v>Brookman</v>
          </cell>
        </row>
        <row r="16619">
          <cell r="I16619" t="str">
            <v>Bronk</v>
          </cell>
        </row>
        <row r="16620">
          <cell r="I16620" t="str">
            <v>Breshears</v>
          </cell>
        </row>
        <row r="16621">
          <cell r="I16621" t="str">
            <v>Brennen</v>
          </cell>
        </row>
        <row r="16622">
          <cell r="I16622" t="str">
            <v>Brannum</v>
          </cell>
        </row>
        <row r="16623">
          <cell r="I16623" t="str">
            <v>Brandl</v>
          </cell>
        </row>
        <row r="16624">
          <cell r="I16624" t="str">
            <v>Braman</v>
          </cell>
        </row>
        <row r="16625">
          <cell r="I16625" t="str">
            <v>Bracewell</v>
          </cell>
        </row>
        <row r="16626">
          <cell r="I16626" t="str">
            <v>Boyter</v>
          </cell>
        </row>
        <row r="16627">
          <cell r="I16627" t="str">
            <v>Bomberger</v>
          </cell>
        </row>
        <row r="16628">
          <cell r="I16628" t="str">
            <v>Bold</v>
          </cell>
        </row>
        <row r="16629">
          <cell r="I16629" t="str">
            <v>Bogen</v>
          </cell>
        </row>
        <row r="16630">
          <cell r="I16630" t="str">
            <v>Boeding</v>
          </cell>
        </row>
        <row r="16631">
          <cell r="I16631" t="str">
            <v>Bob</v>
          </cell>
        </row>
        <row r="16632">
          <cell r="I16632" t="str">
            <v>Blauvelt</v>
          </cell>
        </row>
        <row r="16633">
          <cell r="I16633" t="str">
            <v>Blandford</v>
          </cell>
        </row>
        <row r="16634">
          <cell r="I16634" t="str">
            <v>Bigger</v>
          </cell>
        </row>
        <row r="16635">
          <cell r="I16635" t="str">
            <v>Biermann</v>
          </cell>
        </row>
        <row r="16636">
          <cell r="I16636" t="str">
            <v>Bielecki</v>
          </cell>
        </row>
        <row r="16637">
          <cell r="I16637" t="str">
            <v>Bibby</v>
          </cell>
        </row>
        <row r="16638">
          <cell r="I16638" t="str">
            <v>Berthold</v>
          </cell>
        </row>
        <row r="16639">
          <cell r="I16639" t="str">
            <v>Berkman</v>
          </cell>
        </row>
        <row r="16640">
          <cell r="I16640" t="str">
            <v>Belvin</v>
          </cell>
        </row>
        <row r="16641">
          <cell r="I16641" t="str">
            <v>Bellomy</v>
          </cell>
        </row>
        <row r="16642">
          <cell r="I16642" t="str">
            <v>Beland</v>
          </cell>
        </row>
        <row r="16643">
          <cell r="I16643" t="str">
            <v>Behne</v>
          </cell>
        </row>
        <row r="16644">
          <cell r="I16644" t="str">
            <v>Beecham</v>
          </cell>
        </row>
        <row r="16645">
          <cell r="I16645" t="str">
            <v>Becher</v>
          </cell>
        </row>
        <row r="16646">
          <cell r="I16646" t="str">
            <v>Beams</v>
          </cell>
        </row>
        <row r="16647">
          <cell r="I16647" t="str">
            <v>Bax</v>
          </cell>
        </row>
        <row r="16648">
          <cell r="I16648" t="str">
            <v>Bassham</v>
          </cell>
        </row>
        <row r="16649">
          <cell r="I16649" t="str">
            <v>Barret</v>
          </cell>
        </row>
        <row r="16650">
          <cell r="I16650" t="str">
            <v>Baley</v>
          </cell>
        </row>
        <row r="16651">
          <cell r="I16651" t="str">
            <v>Bacchus</v>
          </cell>
        </row>
        <row r="16652">
          <cell r="I16652" t="str">
            <v>Auxier</v>
          </cell>
        </row>
        <row r="16653">
          <cell r="I16653" t="str">
            <v>Atkison</v>
          </cell>
        </row>
        <row r="16654">
          <cell r="I16654" t="str">
            <v>Ary</v>
          </cell>
        </row>
        <row r="16655">
          <cell r="I16655" t="str">
            <v>Arocha</v>
          </cell>
        </row>
        <row r="16656">
          <cell r="I16656" t="str">
            <v>Arechiga</v>
          </cell>
        </row>
        <row r="16657">
          <cell r="I16657" t="str">
            <v>Anspach</v>
          </cell>
        </row>
        <row r="16658">
          <cell r="I16658" t="str">
            <v>An</v>
          </cell>
        </row>
        <row r="16659">
          <cell r="I16659" t="str">
            <v>Algarin</v>
          </cell>
        </row>
        <row r="16660">
          <cell r="I16660" t="str">
            <v>Alcott</v>
          </cell>
        </row>
        <row r="16661">
          <cell r="I16661" t="str">
            <v>Alberty</v>
          </cell>
        </row>
        <row r="16662">
          <cell r="I16662" t="str">
            <v>Ager</v>
          </cell>
        </row>
        <row r="16663">
          <cell r="I16663" t="str">
            <v>Adolph</v>
          </cell>
        </row>
        <row r="16664">
          <cell r="I16664" t="str">
            <v>Ackman</v>
          </cell>
        </row>
        <row r="16665">
          <cell r="I16665" t="str">
            <v>Abdul</v>
          </cell>
        </row>
        <row r="16666">
          <cell r="I16666" t="str">
            <v>Abdallah</v>
          </cell>
        </row>
        <row r="16667">
          <cell r="I16667" t="str">
            <v>Zwick</v>
          </cell>
        </row>
        <row r="16668">
          <cell r="I16668" t="str">
            <v>Ziemer</v>
          </cell>
        </row>
        <row r="16669">
          <cell r="I16669" t="str">
            <v>Zastrow</v>
          </cell>
        </row>
        <row r="16670">
          <cell r="I16670" t="str">
            <v>Zajicek</v>
          </cell>
        </row>
        <row r="16671">
          <cell r="I16671" t="str">
            <v>Yokum</v>
          </cell>
        </row>
        <row r="16672">
          <cell r="I16672" t="str">
            <v>Yokley</v>
          </cell>
        </row>
        <row r="16673">
          <cell r="I16673" t="str">
            <v>Wittrock</v>
          </cell>
        </row>
        <row r="16674">
          <cell r="I16674" t="str">
            <v>Winebarger</v>
          </cell>
        </row>
        <row r="16675">
          <cell r="I16675" t="str">
            <v>Wilker</v>
          </cell>
        </row>
        <row r="16676">
          <cell r="I16676" t="str">
            <v>Wilham</v>
          </cell>
        </row>
        <row r="16677">
          <cell r="I16677" t="str">
            <v>Whitham</v>
          </cell>
        </row>
        <row r="16678">
          <cell r="I16678" t="str">
            <v>Wetzler</v>
          </cell>
        </row>
        <row r="16679">
          <cell r="I16679" t="str">
            <v>Westling</v>
          </cell>
        </row>
        <row r="16680">
          <cell r="I16680" t="str">
            <v>Westbury</v>
          </cell>
        </row>
        <row r="16681">
          <cell r="I16681" t="str">
            <v>Wendler</v>
          </cell>
        </row>
        <row r="16682">
          <cell r="I16682" t="str">
            <v>Wellborn</v>
          </cell>
        </row>
        <row r="16683">
          <cell r="I16683" t="str">
            <v>Weitzman</v>
          </cell>
        </row>
        <row r="16684">
          <cell r="I16684" t="str">
            <v>Weitz</v>
          </cell>
        </row>
        <row r="16685">
          <cell r="I16685" t="str">
            <v>Weight</v>
          </cell>
        </row>
        <row r="16686">
          <cell r="I16686" t="str">
            <v>Wallner</v>
          </cell>
        </row>
        <row r="16687">
          <cell r="I16687" t="str">
            <v>Waldroup</v>
          </cell>
        </row>
        <row r="16688">
          <cell r="I16688" t="str">
            <v>Vrabel</v>
          </cell>
        </row>
        <row r="16689">
          <cell r="I16689" t="str">
            <v>Vowels</v>
          </cell>
        </row>
        <row r="16690">
          <cell r="I16690" t="str">
            <v>Volker</v>
          </cell>
        </row>
        <row r="16691">
          <cell r="I16691" t="str">
            <v>Vitiello</v>
          </cell>
        </row>
        <row r="16692">
          <cell r="I16692" t="str">
            <v>Visconti</v>
          </cell>
        </row>
        <row r="16693">
          <cell r="I16693" t="str">
            <v>Villicana</v>
          </cell>
        </row>
        <row r="16694">
          <cell r="I16694" t="str">
            <v>Vibbert</v>
          </cell>
        </row>
        <row r="16695">
          <cell r="I16695" t="str">
            <v>Vesey</v>
          </cell>
        </row>
        <row r="16696">
          <cell r="I16696" t="str">
            <v>Vannatter</v>
          </cell>
        </row>
        <row r="16697">
          <cell r="I16697" t="str">
            <v>Vangilder</v>
          </cell>
        </row>
        <row r="16698">
          <cell r="I16698" t="str">
            <v>Vandervort</v>
          </cell>
        </row>
        <row r="16699">
          <cell r="I16699" t="str">
            <v>Vandegrift</v>
          </cell>
        </row>
        <row r="16700">
          <cell r="I16700" t="str">
            <v>Vanalstyne</v>
          </cell>
        </row>
        <row r="16701">
          <cell r="I16701" t="str">
            <v>Vallecillo</v>
          </cell>
        </row>
        <row r="16702">
          <cell r="I16702" t="str">
            <v>Usrey</v>
          </cell>
        </row>
        <row r="16703">
          <cell r="I16703" t="str">
            <v>Tynan</v>
          </cell>
        </row>
        <row r="16704">
          <cell r="I16704" t="str">
            <v>Turpen</v>
          </cell>
        </row>
        <row r="16705">
          <cell r="I16705" t="str">
            <v>Tuller</v>
          </cell>
        </row>
        <row r="16706">
          <cell r="I16706" t="str">
            <v>Trisler</v>
          </cell>
        </row>
        <row r="16707">
          <cell r="I16707" t="str">
            <v>Townson</v>
          </cell>
        </row>
        <row r="16708">
          <cell r="I16708" t="str">
            <v>Tillmon</v>
          </cell>
        </row>
        <row r="16709">
          <cell r="I16709" t="str">
            <v>Threlkeld</v>
          </cell>
        </row>
        <row r="16710">
          <cell r="I16710" t="str">
            <v>Thornell</v>
          </cell>
        </row>
        <row r="16711">
          <cell r="I16711" t="str">
            <v>Terrio</v>
          </cell>
        </row>
        <row r="16712">
          <cell r="I16712" t="str">
            <v>Taunton</v>
          </cell>
        </row>
        <row r="16713">
          <cell r="I16713" t="str">
            <v>Tarry</v>
          </cell>
        </row>
        <row r="16714">
          <cell r="I16714" t="str">
            <v>Tardy</v>
          </cell>
        </row>
        <row r="16715">
          <cell r="I16715" t="str">
            <v>Swoboda</v>
          </cell>
        </row>
        <row r="16716">
          <cell r="I16716" t="str">
            <v>Swihart</v>
          </cell>
        </row>
        <row r="16717">
          <cell r="I16717" t="str">
            <v>Sustaita</v>
          </cell>
        </row>
        <row r="16718">
          <cell r="I16718" t="str">
            <v>Suitt</v>
          </cell>
        </row>
        <row r="16719">
          <cell r="I16719" t="str">
            <v>Stuber</v>
          </cell>
        </row>
        <row r="16720">
          <cell r="I16720" t="str">
            <v>Strine</v>
          </cell>
        </row>
        <row r="16721">
          <cell r="I16721" t="str">
            <v>Stookey</v>
          </cell>
        </row>
        <row r="16722">
          <cell r="I16722" t="str">
            <v>Stmartin</v>
          </cell>
        </row>
        <row r="16723">
          <cell r="I16723" t="str">
            <v>Stiger</v>
          </cell>
        </row>
        <row r="16724">
          <cell r="I16724" t="str">
            <v>Stainbrook</v>
          </cell>
        </row>
        <row r="16725">
          <cell r="I16725" t="str">
            <v>Solem</v>
          </cell>
        </row>
        <row r="16726">
          <cell r="I16726" t="str">
            <v>Smail</v>
          </cell>
        </row>
        <row r="16727">
          <cell r="I16727" t="str">
            <v>Sligh</v>
          </cell>
        </row>
        <row r="16728">
          <cell r="I16728" t="str">
            <v>Siple</v>
          </cell>
        </row>
        <row r="16729">
          <cell r="I16729" t="str">
            <v>Sieben</v>
          </cell>
        </row>
        <row r="16730">
          <cell r="I16730" t="str">
            <v>Shumake</v>
          </cell>
        </row>
        <row r="16731">
          <cell r="I16731" t="str">
            <v>Shriner</v>
          </cell>
        </row>
        <row r="16732">
          <cell r="I16732" t="str">
            <v>Showman</v>
          </cell>
        </row>
        <row r="16733">
          <cell r="I16733" t="str">
            <v>Shiner</v>
          </cell>
        </row>
        <row r="16734">
          <cell r="I16734" t="str">
            <v>Sheen</v>
          </cell>
        </row>
        <row r="16735">
          <cell r="I16735" t="str">
            <v>Sheckler</v>
          </cell>
        </row>
        <row r="16736">
          <cell r="I16736" t="str">
            <v>Seim</v>
          </cell>
        </row>
        <row r="16737">
          <cell r="I16737" t="str">
            <v>Secrist</v>
          </cell>
        </row>
        <row r="16738">
          <cell r="I16738" t="str">
            <v>Scoggin</v>
          </cell>
        </row>
        <row r="16739">
          <cell r="I16739" t="str">
            <v>Schultheis</v>
          </cell>
        </row>
        <row r="16740">
          <cell r="I16740" t="str">
            <v>Schmalz</v>
          </cell>
        </row>
        <row r="16741">
          <cell r="I16741" t="str">
            <v>Schendel</v>
          </cell>
        </row>
        <row r="16742">
          <cell r="I16742" t="str">
            <v>Schacher</v>
          </cell>
        </row>
        <row r="16743">
          <cell r="I16743" t="str">
            <v>Savard</v>
          </cell>
        </row>
        <row r="16744">
          <cell r="I16744" t="str">
            <v>Saulter</v>
          </cell>
        </row>
        <row r="16745">
          <cell r="I16745" t="str">
            <v>Santillanes</v>
          </cell>
        </row>
        <row r="16746">
          <cell r="I16746" t="str">
            <v>Sandiford</v>
          </cell>
        </row>
        <row r="16747">
          <cell r="I16747" t="str">
            <v>Sande</v>
          </cell>
        </row>
        <row r="16748">
          <cell r="I16748" t="str">
            <v>Salzer</v>
          </cell>
        </row>
        <row r="16749">
          <cell r="I16749" t="str">
            <v>Salvato</v>
          </cell>
        </row>
        <row r="16750">
          <cell r="I16750" t="str">
            <v>Saltz</v>
          </cell>
        </row>
        <row r="16751">
          <cell r="I16751" t="str">
            <v>Sakai</v>
          </cell>
        </row>
        <row r="16752">
          <cell r="I16752" t="str">
            <v>Ryckman</v>
          </cell>
        </row>
        <row r="16753">
          <cell r="I16753" t="str">
            <v>Ryant</v>
          </cell>
        </row>
        <row r="16754">
          <cell r="I16754" t="str">
            <v>Ruck</v>
          </cell>
        </row>
        <row r="16755">
          <cell r="I16755" t="str">
            <v>Ronald</v>
          </cell>
        </row>
        <row r="16756">
          <cell r="I16756" t="str">
            <v>Rocker</v>
          </cell>
        </row>
        <row r="16757">
          <cell r="I16757" t="str">
            <v>Rittenberry</v>
          </cell>
        </row>
        <row r="16758">
          <cell r="I16758" t="str">
            <v>Ristau</v>
          </cell>
        </row>
        <row r="16759">
          <cell r="I16759" t="str">
            <v>Risk</v>
          </cell>
        </row>
        <row r="16760">
          <cell r="I16760" t="str">
            <v>Richart</v>
          </cell>
        </row>
        <row r="16761">
          <cell r="I16761" t="str">
            <v>Rhynes</v>
          </cell>
        </row>
        <row r="16762">
          <cell r="I16762" t="str">
            <v>Reyer</v>
          </cell>
        </row>
        <row r="16763">
          <cell r="I16763" t="str">
            <v>Reulet</v>
          </cell>
        </row>
        <row r="16764">
          <cell r="I16764" t="str">
            <v>Reser</v>
          </cell>
        </row>
        <row r="16765">
          <cell r="I16765" t="str">
            <v>Redington</v>
          </cell>
        </row>
        <row r="16766">
          <cell r="I16766" t="str">
            <v>Reddington</v>
          </cell>
        </row>
        <row r="16767">
          <cell r="I16767" t="str">
            <v>Rebello</v>
          </cell>
        </row>
        <row r="16768">
          <cell r="I16768" t="str">
            <v>Reasor</v>
          </cell>
        </row>
        <row r="16769">
          <cell r="I16769" t="str">
            <v>Raftery</v>
          </cell>
        </row>
        <row r="16770">
          <cell r="I16770" t="str">
            <v>Rabago</v>
          </cell>
        </row>
        <row r="16771">
          <cell r="I16771" t="str">
            <v>Raasch</v>
          </cell>
        </row>
        <row r="16772">
          <cell r="I16772" t="str">
            <v>Quintanar</v>
          </cell>
        </row>
        <row r="16773">
          <cell r="I16773" t="str">
            <v>Pylant</v>
          </cell>
        </row>
        <row r="16774">
          <cell r="I16774" t="str">
            <v>Purington</v>
          </cell>
        </row>
        <row r="16775">
          <cell r="I16775" t="str">
            <v>Provencal</v>
          </cell>
        </row>
        <row r="16776">
          <cell r="I16776" t="str">
            <v>Prom</v>
          </cell>
        </row>
        <row r="16777">
          <cell r="I16777" t="str">
            <v>Prioleau</v>
          </cell>
        </row>
        <row r="16778">
          <cell r="I16778" t="str">
            <v>Prestwood</v>
          </cell>
        </row>
        <row r="16779">
          <cell r="I16779" t="str">
            <v>Pothier</v>
          </cell>
        </row>
        <row r="16780">
          <cell r="I16780" t="str">
            <v>Popa</v>
          </cell>
        </row>
        <row r="16781">
          <cell r="I16781" t="str">
            <v>Polster</v>
          </cell>
        </row>
        <row r="16782">
          <cell r="I16782" t="str">
            <v>Politte</v>
          </cell>
        </row>
        <row r="16783">
          <cell r="I16783" t="str">
            <v>Poffenberger</v>
          </cell>
        </row>
        <row r="16784">
          <cell r="I16784" t="str">
            <v>Pinner</v>
          </cell>
        </row>
        <row r="16785">
          <cell r="I16785" t="str">
            <v>Pietrzak</v>
          </cell>
        </row>
        <row r="16786">
          <cell r="I16786" t="str">
            <v>Pettie</v>
          </cell>
        </row>
        <row r="16787">
          <cell r="I16787" t="str">
            <v>Penaflor</v>
          </cell>
        </row>
        <row r="16788">
          <cell r="I16788" t="str">
            <v>Pellot</v>
          </cell>
        </row>
        <row r="16789">
          <cell r="I16789" t="str">
            <v>Pellham</v>
          </cell>
        </row>
        <row r="16790">
          <cell r="I16790" t="str">
            <v>Paylor</v>
          </cell>
        </row>
        <row r="16791">
          <cell r="I16791" t="str">
            <v>Payeur</v>
          </cell>
        </row>
        <row r="16792">
          <cell r="I16792" t="str">
            <v>Papas</v>
          </cell>
        </row>
        <row r="16793">
          <cell r="I16793" t="str">
            <v>Paik</v>
          </cell>
        </row>
        <row r="16794">
          <cell r="I16794" t="str">
            <v>Oyola</v>
          </cell>
        </row>
        <row r="16795">
          <cell r="I16795" t="str">
            <v>Osbourn</v>
          </cell>
        </row>
        <row r="16796">
          <cell r="I16796" t="str">
            <v>Orzechowski</v>
          </cell>
        </row>
        <row r="16797">
          <cell r="I16797" t="str">
            <v>Oppenheimer</v>
          </cell>
        </row>
        <row r="16798">
          <cell r="I16798" t="str">
            <v>Olesen</v>
          </cell>
        </row>
        <row r="16799">
          <cell r="I16799" t="str">
            <v>Oja</v>
          </cell>
        </row>
        <row r="16800">
          <cell r="I16800" t="str">
            <v>Ohl</v>
          </cell>
        </row>
        <row r="16801">
          <cell r="I16801" t="str">
            <v>Nuckolls</v>
          </cell>
        </row>
        <row r="16802">
          <cell r="I16802" t="str">
            <v>Nordberg</v>
          </cell>
        </row>
        <row r="16803">
          <cell r="I16803" t="str">
            <v>Noonkester</v>
          </cell>
        </row>
        <row r="16804">
          <cell r="I16804" t="str">
            <v>Nold</v>
          </cell>
        </row>
        <row r="16805">
          <cell r="I16805" t="str">
            <v>Nitta</v>
          </cell>
        </row>
        <row r="16806">
          <cell r="I16806" t="str">
            <v>Niblett</v>
          </cell>
        </row>
        <row r="16807">
          <cell r="I16807" t="str">
            <v>Neuhaus</v>
          </cell>
        </row>
        <row r="16808">
          <cell r="I16808" t="str">
            <v>Nesler</v>
          </cell>
        </row>
        <row r="16809">
          <cell r="I16809" t="str">
            <v>Ned</v>
          </cell>
        </row>
        <row r="16810">
          <cell r="I16810" t="str">
            <v>Nanney</v>
          </cell>
        </row>
        <row r="16811">
          <cell r="I16811" t="str">
            <v>Myrie</v>
          </cell>
        </row>
        <row r="16812">
          <cell r="I16812" t="str">
            <v>Mutch</v>
          </cell>
        </row>
        <row r="16813">
          <cell r="I16813" t="str">
            <v>Motto</v>
          </cell>
        </row>
        <row r="16814">
          <cell r="I16814" t="str">
            <v>Mosquera</v>
          </cell>
        </row>
        <row r="16815">
          <cell r="I16815" t="str">
            <v>Morena</v>
          </cell>
        </row>
        <row r="16816">
          <cell r="I16816" t="str">
            <v>Montalto</v>
          </cell>
        </row>
        <row r="16817">
          <cell r="I16817" t="str">
            <v>Montagna</v>
          </cell>
        </row>
        <row r="16818">
          <cell r="I16818" t="str">
            <v>Mizelle</v>
          </cell>
        </row>
        <row r="16819">
          <cell r="I16819" t="str">
            <v>Mincy</v>
          </cell>
        </row>
        <row r="16820">
          <cell r="I16820" t="str">
            <v>Millikan</v>
          </cell>
        </row>
        <row r="16821">
          <cell r="I16821" t="str">
            <v>Millay</v>
          </cell>
        </row>
        <row r="16822">
          <cell r="I16822" t="str">
            <v>Miler</v>
          </cell>
        </row>
        <row r="16823">
          <cell r="I16823" t="str">
            <v>Milbourn</v>
          </cell>
        </row>
        <row r="16824">
          <cell r="I16824" t="str">
            <v>Mikels</v>
          </cell>
        </row>
        <row r="16825">
          <cell r="I16825" t="str">
            <v>Migues</v>
          </cell>
        </row>
        <row r="16826">
          <cell r="I16826" t="str">
            <v>Miesner</v>
          </cell>
        </row>
        <row r="16827">
          <cell r="I16827" t="str">
            <v>Mershon</v>
          </cell>
        </row>
        <row r="16828">
          <cell r="I16828" t="str">
            <v>Merrow</v>
          </cell>
        </row>
        <row r="16829">
          <cell r="I16829" t="str">
            <v>Merlin</v>
          </cell>
        </row>
        <row r="16830">
          <cell r="I16830" t="str">
            <v>Melia</v>
          </cell>
        </row>
        <row r="16831">
          <cell r="I16831" t="str">
            <v>Meigs</v>
          </cell>
        </row>
        <row r="16832">
          <cell r="I16832" t="str">
            <v>Mealey</v>
          </cell>
        </row>
        <row r="16833">
          <cell r="I16833" t="str">
            <v>Mcraney</v>
          </cell>
        </row>
        <row r="16834">
          <cell r="I16834" t="str">
            <v>Mcmartin</v>
          </cell>
        </row>
        <row r="16835">
          <cell r="I16835" t="str">
            <v>Mclachlan</v>
          </cell>
        </row>
        <row r="16836">
          <cell r="I16836" t="str">
            <v>Mcgeehan</v>
          </cell>
        </row>
        <row r="16837">
          <cell r="I16837" t="str">
            <v>Mcferren</v>
          </cell>
        </row>
        <row r="16838">
          <cell r="I16838" t="str">
            <v>Mcdole</v>
          </cell>
        </row>
        <row r="16839">
          <cell r="I16839" t="str">
            <v>Mccaulley</v>
          </cell>
        </row>
        <row r="16840">
          <cell r="I16840" t="str">
            <v>Mcanulty</v>
          </cell>
        </row>
        <row r="16841">
          <cell r="I16841" t="str">
            <v>Maziarz</v>
          </cell>
        </row>
        <row r="16842">
          <cell r="I16842" t="str">
            <v>Maul</v>
          </cell>
        </row>
        <row r="16843">
          <cell r="I16843" t="str">
            <v>Mateer</v>
          </cell>
        </row>
        <row r="16844">
          <cell r="I16844" t="str">
            <v>Martinsen</v>
          </cell>
        </row>
        <row r="16845">
          <cell r="I16845" t="str">
            <v>Marson</v>
          </cell>
        </row>
        <row r="16846">
          <cell r="I16846" t="str">
            <v>Mariotti</v>
          </cell>
        </row>
        <row r="16847">
          <cell r="I16847" t="str">
            <v>Manna</v>
          </cell>
        </row>
        <row r="16848">
          <cell r="I16848" t="str">
            <v>Mang</v>
          </cell>
        </row>
        <row r="16849">
          <cell r="I16849" t="str">
            <v>Mance</v>
          </cell>
        </row>
        <row r="16850">
          <cell r="I16850" t="str">
            <v>Malbon</v>
          </cell>
        </row>
        <row r="16851">
          <cell r="I16851" t="str">
            <v>Mah</v>
          </cell>
        </row>
        <row r="16852">
          <cell r="I16852" t="str">
            <v>Magnusson</v>
          </cell>
        </row>
        <row r="16853">
          <cell r="I16853" t="str">
            <v>Maclachlan</v>
          </cell>
        </row>
        <row r="16854">
          <cell r="I16854" t="str">
            <v>Macek</v>
          </cell>
        </row>
        <row r="16855">
          <cell r="I16855" t="str">
            <v>Lurie</v>
          </cell>
        </row>
        <row r="16856">
          <cell r="I16856" t="str">
            <v>Luc</v>
          </cell>
        </row>
        <row r="16857">
          <cell r="I16857" t="str">
            <v>Lown</v>
          </cell>
        </row>
        <row r="16858">
          <cell r="I16858" t="str">
            <v>Loranger</v>
          </cell>
        </row>
        <row r="16859">
          <cell r="I16859" t="str">
            <v>Lonon</v>
          </cell>
        </row>
        <row r="16860">
          <cell r="I16860" t="str">
            <v>Lisenby</v>
          </cell>
        </row>
        <row r="16861">
          <cell r="I16861" t="str">
            <v>Linsley</v>
          </cell>
        </row>
        <row r="16862">
          <cell r="I16862" t="str">
            <v>Linger</v>
          </cell>
        </row>
        <row r="16863">
          <cell r="I16863" t="str">
            <v>Lenk</v>
          </cell>
        </row>
        <row r="16864">
          <cell r="I16864" t="str">
            <v>Leavens</v>
          </cell>
        </row>
        <row r="16865">
          <cell r="I16865" t="str">
            <v>Learned</v>
          </cell>
        </row>
        <row r="16866">
          <cell r="I16866" t="str">
            <v>Lauritzen</v>
          </cell>
        </row>
        <row r="16867">
          <cell r="I16867" t="str">
            <v>Lathem</v>
          </cell>
        </row>
        <row r="16868">
          <cell r="I16868" t="str">
            <v>Lashbrook</v>
          </cell>
        </row>
        <row r="16869">
          <cell r="I16869" t="str">
            <v>Landman</v>
          </cell>
        </row>
        <row r="16870">
          <cell r="I16870" t="str">
            <v>Lamarche</v>
          </cell>
        </row>
        <row r="16871">
          <cell r="I16871" t="str">
            <v>Lamantia</v>
          </cell>
        </row>
        <row r="16872">
          <cell r="I16872" t="str">
            <v>Laguerre</v>
          </cell>
        </row>
        <row r="16873">
          <cell r="I16873" t="str">
            <v>Lagrange</v>
          </cell>
        </row>
        <row r="16874">
          <cell r="I16874" t="str">
            <v>Kogan</v>
          </cell>
        </row>
        <row r="16875">
          <cell r="I16875" t="str">
            <v>Klingbeil</v>
          </cell>
        </row>
        <row r="16876">
          <cell r="I16876" t="str">
            <v>Kist</v>
          </cell>
        </row>
        <row r="16877">
          <cell r="I16877" t="str">
            <v>Kimpel</v>
          </cell>
        </row>
        <row r="16878">
          <cell r="I16878" t="str">
            <v>Kime</v>
          </cell>
        </row>
        <row r="16879">
          <cell r="I16879" t="str">
            <v>Kier</v>
          </cell>
        </row>
        <row r="16880">
          <cell r="I16880" t="str">
            <v>Kerfoot</v>
          </cell>
        </row>
        <row r="16881">
          <cell r="I16881" t="str">
            <v>Kennamer</v>
          </cell>
        </row>
        <row r="16882">
          <cell r="I16882" t="str">
            <v>Kellems</v>
          </cell>
        </row>
        <row r="16883">
          <cell r="I16883" t="str">
            <v>Kammer</v>
          </cell>
        </row>
        <row r="16884">
          <cell r="I16884" t="str">
            <v>Kamen</v>
          </cell>
        </row>
        <row r="16885">
          <cell r="I16885" t="str">
            <v>Jess</v>
          </cell>
        </row>
        <row r="16886">
          <cell r="I16886" t="str">
            <v>Jepsen</v>
          </cell>
        </row>
        <row r="16887">
          <cell r="I16887" t="str">
            <v>Jarnigan</v>
          </cell>
        </row>
        <row r="16888">
          <cell r="I16888" t="str">
            <v>Isler</v>
          </cell>
        </row>
        <row r="16889">
          <cell r="I16889" t="str">
            <v>Ishee</v>
          </cell>
        </row>
        <row r="16890">
          <cell r="I16890" t="str">
            <v>Isabel</v>
          </cell>
        </row>
        <row r="16891">
          <cell r="I16891" t="str">
            <v>Hux</v>
          </cell>
        </row>
        <row r="16892">
          <cell r="I16892" t="str">
            <v>Hungate</v>
          </cell>
        </row>
        <row r="16893">
          <cell r="I16893" t="str">
            <v>Hummell</v>
          </cell>
        </row>
        <row r="16894">
          <cell r="I16894" t="str">
            <v>Hultgren</v>
          </cell>
        </row>
        <row r="16895">
          <cell r="I16895" t="str">
            <v>Huffaker</v>
          </cell>
        </row>
        <row r="16896">
          <cell r="I16896" t="str">
            <v>Hruby</v>
          </cell>
        </row>
        <row r="16897">
          <cell r="I16897" t="str">
            <v>Hover</v>
          </cell>
        </row>
        <row r="16898">
          <cell r="I16898" t="str">
            <v>Hornick</v>
          </cell>
        </row>
        <row r="16899">
          <cell r="I16899" t="str">
            <v>Hooser</v>
          </cell>
        </row>
        <row r="16900">
          <cell r="I16900" t="str">
            <v>Hooley</v>
          </cell>
        </row>
        <row r="16901">
          <cell r="I16901" t="str">
            <v>Hoggan</v>
          </cell>
        </row>
        <row r="16902">
          <cell r="I16902" t="str">
            <v>Hirano</v>
          </cell>
        </row>
        <row r="16903">
          <cell r="I16903" t="str">
            <v>Hilley</v>
          </cell>
        </row>
        <row r="16904">
          <cell r="I16904" t="str">
            <v>Higham</v>
          </cell>
        </row>
        <row r="16905">
          <cell r="I16905" t="str">
            <v>Heuser</v>
          </cell>
        </row>
        <row r="16906">
          <cell r="I16906" t="str">
            <v>Henrickson</v>
          </cell>
        </row>
        <row r="16907">
          <cell r="I16907" t="str">
            <v>Henegar</v>
          </cell>
        </row>
        <row r="16908">
          <cell r="I16908" t="str">
            <v>Hellwig</v>
          </cell>
        </row>
        <row r="16909">
          <cell r="I16909" t="str">
            <v>Heide</v>
          </cell>
        </row>
        <row r="16910">
          <cell r="I16910" t="str">
            <v>Hedley</v>
          </cell>
        </row>
        <row r="16911">
          <cell r="I16911" t="str">
            <v>Hasegawa</v>
          </cell>
        </row>
        <row r="16912">
          <cell r="I16912" t="str">
            <v>Hartt</v>
          </cell>
        </row>
        <row r="16913">
          <cell r="I16913" t="str">
            <v>Hambright</v>
          </cell>
        </row>
        <row r="16914">
          <cell r="I16914" t="str">
            <v>Halfacre</v>
          </cell>
        </row>
        <row r="16915">
          <cell r="I16915" t="str">
            <v>Hafley</v>
          </cell>
        </row>
        <row r="16916">
          <cell r="I16916" t="str">
            <v>Guion</v>
          </cell>
        </row>
        <row r="16917">
          <cell r="I16917" t="str">
            <v>Guinan</v>
          </cell>
        </row>
        <row r="16918">
          <cell r="I16918" t="str">
            <v>Grunwald</v>
          </cell>
        </row>
        <row r="16919">
          <cell r="I16919" t="str">
            <v>Grothe</v>
          </cell>
        </row>
        <row r="16920">
          <cell r="I16920" t="str">
            <v>Gries</v>
          </cell>
        </row>
        <row r="16921">
          <cell r="I16921" t="str">
            <v>Greaney</v>
          </cell>
        </row>
        <row r="16922">
          <cell r="I16922" t="str">
            <v>Granda</v>
          </cell>
        </row>
        <row r="16923">
          <cell r="I16923" t="str">
            <v>Grabill</v>
          </cell>
        </row>
        <row r="16924">
          <cell r="I16924" t="str">
            <v>Gothard</v>
          </cell>
        </row>
        <row r="16925">
          <cell r="I16925" t="str">
            <v>Gossman</v>
          </cell>
        </row>
        <row r="16926">
          <cell r="I16926" t="str">
            <v>Gosser</v>
          </cell>
        </row>
        <row r="16927">
          <cell r="I16927" t="str">
            <v>Gossard</v>
          </cell>
        </row>
        <row r="16928">
          <cell r="I16928" t="str">
            <v>Gosha</v>
          </cell>
        </row>
        <row r="16929">
          <cell r="I16929" t="str">
            <v>Goldner</v>
          </cell>
        </row>
        <row r="16930">
          <cell r="I16930" t="str">
            <v>Gobin</v>
          </cell>
        </row>
        <row r="16931">
          <cell r="I16931" t="str">
            <v>Gloss</v>
          </cell>
        </row>
        <row r="16932">
          <cell r="I16932" t="str">
            <v>Ginyard</v>
          </cell>
        </row>
        <row r="16933">
          <cell r="I16933" t="str">
            <v>Gilkes</v>
          </cell>
        </row>
        <row r="16934">
          <cell r="I16934" t="str">
            <v>Gilden</v>
          </cell>
        </row>
        <row r="16935">
          <cell r="I16935" t="str">
            <v>Gerson</v>
          </cell>
        </row>
        <row r="16936">
          <cell r="I16936" t="str">
            <v>Gephart</v>
          </cell>
        </row>
        <row r="16937">
          <cell r="I16937" t="str">
            <v>Gengler</v>
          </cell>
        </row>
        <row r="16938">
          <cell r="I16938" t="str">
            <v>Gautier</v>
          </cell>
        </row>
        <row r="16939">
          <cell r="I16939" t="str">
            <v>Gassett</v>
          </cell>
        </row>
        <row r="16940">
          <cell r="I16940" t="str">
            <v>Garon</v>
          </cell>
        </row>
        <row r="16941">
          <cell r="I16941" t="str">
            <v>Gandhi</v>
          </cell>
        </row>
        <row r="16942">
          <cell r="I16942" t="str">
            <v>Galusha</v>
          </cell>
        </row>
        <row r="16943">
          <cell r="I16943" t="str">
            <v>Gallager</v>
          </cell>
        </row>
        <row r="16944">
          <cell r="I16944" t="str">
            <v>Galdamez</v>
          </cell>
        </row>
        <row r="16945">
          <cell r="I16945" t="str">
            <v>Fulmore</v>
          </cell>
        </row>
        <row r="16946">
          <cell r="I16946" t="str">
            <v>Fritsche</v>
          </cell>
        </row>
        <row r="16947">
          <cell r="I16947" t="str">
            <v>Fowles</v>
          </cell>
        </row>
        <row r="16948">
          <cell r="I16948" t="str">
            <v>Foutch</v>
          </cell>
        </row>
        <row r="16949">
          <cell r="I16949" t="str">
            <v>Forward</v>
          </cell>
        </row>
        <row r="16950">
          <cell r="I16950" t="str">
            <v>Footman</v>
          </cell>
        </row>
        <row r="16951">
          <cell r="I16951" t="str">
            <v>Fludd</v>
          </cell>
        </row>
        <row r="16952">
          <cell r="I16952" t="str">
            <v>Flakes</v>
          </cell>
        </row>
        <row r="16953">
          <cell r="I16953" t="str">
            <v>Ferriera</v>
          </cell>
        </row>
        <row r="16954">
          <cell r="I16954" t="str">
            <v>Ferrero</v>
          </cell>
        </row>
        <row r="16955">
          <cell r="I16955" t="str">
            <v>Ferreri</v>
          </cell>
        </row>
        <row r="16956">
          <cell r="I16956" t="str">
            <v>Fenimore</v>
          </cell>
        </row>
        <row r="16957">
          <cell r="I16957" t="str">
            <v>Fegley</v>
          </cell>
        </row>
        <row r="16958">
          <cell r="I16958" t="str">
            <v>Fegan</v>
          </cell>
        </row>
        <row r="16959">
          <cell r="I16959" t="str">
            <v>Fearn</v>
          </cell>
        </row>
        <row r="16960">
          <cell r="I16960" t="str">
            <v>Farrier</v>
          </cell>
        </row>
        <row r="16961">
          <cell r="I16961" t="str">
            <v>Fansler</v>
          </cell>
        </row>
        <row r="16962">
          <cell r="I16962" t="str">
            <v>Fane</v>
          </cell>
        </row>
        <row r="16963">
          <cell r="I16963" t="str">
            <v>Falzone</v>
          </cell>
        </row>
        <row r="16964">
          <cell r="I16964" t="str">
            <v>Fairweather</v>
          </cell>
        </row>
        <row r="16965">
          <cell r="I16965" t="str">
            <v>Etherton</v>
          </cell>
        </row>
        <row r="16966">
          <cell r="I16966" t="str">
            <v>Elsberry</v>
          </cell>
        </row>
        <row r="16967">
          <cell r="I16967" t="str">
            <v>Dykema</v>
          </cell>
        </row>
        <row r="16968">
          <cell r="I16968" t="str">
            <v>Duppstadt</v>
          </cell>
        </row>
        <row r="16969">
          <cell r="I16969" t="str">
            <v>Dunnam</v>
          </cell>
        </row>
        <row r="16970">
          <cell r="I16970" t="str">
            <v>Dunklin</v>
          </cell>
        </row>
        <row r="16971">
          <cell r="I16971" t="str">
            <v>Duet</v>
          </cell>
        </row>
        <row r="16972">
          <cell r="I16972" t="str">
            <v>Due</v>
          </cell>
        </row>
        <row r="16973">
          <cell r="I16973" t="str">
            <v>Dudgeon</v>
          </cell>
        </row>
        <row r="16974">
          <cell r="I16974" t="str">
            <v>Dubuc</v>
          </cell>
        </row>
        <row r="16975">
          <cell r="I16975" t="str">
            <v>Doxey</v>
          </cell>
        </row>
        <row r="16976">
          <cell r="I16976" t="str">
            <v>Dory</v>
          </cell>
        </row>
        <row r="16977">
          <cell r="I16977" t="str">
            <v>Donmoyer</v>
          </cell>
        </row>
        <row r="16978">
          <cell r="I16978" t="str">
            <v>Dodgen</v>
          </cell>
        </row>
        <row r="16979">
          <cell r="I16979" t="str">
            <v>Disanto</v>
          </cell>
        </row>
        <row r="16980">
          <cell r="I16980" t="str">
            <v>Dingler</v>
          </cell>
        </row>
        <row r="16981">
          <cell r="I16981" t="str">
            <v>Dimattia</v>
          </cell>
        </row>
        <row r="16982">
          <cell r="I16982" t="str">
            <v>Dilday</v>
          </cell>
        </row>
        <row r="16983">
          <cell r="I16983" t="str">
            <v>Digennaro</v>
          </cell>
        </row>
        <row r="16984">
          <cell r="I16984" t="str">
            <v>Diedrich</v>
          </cell>
        </row>
        <row r="16985">
          <cell r="I16985" t="str">
            <v>Derossett</v>
          </cell>
        </row>
        <row r="16986">
          <cell r="I16986" t="str">
            <v>Deputy</v>
          </cell>
        </row>
        <row r="16987">
          <cell r="I16987" t="str">
            <v>Depp</v>
          </cell>
        </row>
        <row r="16988">
          <cell r="I16988" t="str">
            <v>Demasi</v>
          </cell>
        </row>
        <row r="16989">
          <cell r="I16989" t="str">
            <v>Degraffenreid</v>
          </cell>
        </row>
        <row r="16990">
          <cell r="I16990" t="str">
            <v>Deakins</v>
          </cell>
        </row>
        <row r="16991">
          <cell r="I16991" t="str">
            <v>Deady</v>
          </cell>
        </row>
        <row r="16992">
          <cell r="I16992" t="str">
            <v>Davin</v>
          </cell>
        </row>
        <row r="16993">
          <cell r="I16993" t="str">
            <v>Daigre</v>
          </cell>
        </row>
        <row r="16994">
          <cell r="I16994" t="str">
            <v>Daddario</v>
          </cell>
        </row>
        <row r="16995">
          <cell r="I16995" t="str">
            <v>Czerwinski</v>
          </cell>
        </row>
        <row r="16996">
          <cell r="I16996" t="str">
            <v>Cullens</v>
          </cell>
        </row>
        <row r="16997">
          <cell r="I16997" t="str">
            <v>Cubbage</v>
          </cell>
        </row>
        <row r="16998">
          <cell r="I16998" t="str">
            <v>Cracraft</v>
          </cell>
        </row>
        <row r="16999">
          <cell r="I16999" t="str">
            <v>Constance</v>
          </cell>
        </row>
        <row r="17000">
          <cell r="I17000" t="str">
            <v>Comes</v>
          </cell>
        </row>
        <row r="17001">
          <cell r="I17001" t="str">
            <v>Combest</v>
          </cell>
        </row>
        <row r="17002">
          <cell r="I17002" t="str">
            <v>Coletti</v>
          </cell>
        </row>
        <row r="17003">
          <cell r="I17003" t="str">
            <v>Coghill</v>
          </cell>
        </row>
        <row r="17004">
          <cell r="I17004" t="str">
            <v>Clerk</v>
          </cell>
        </row>
        <row r="17005">
          <cell r="I17005" t="str">
            <v>Claybrooks</v>
          </cell>
        </row>
        <row r="17006">
          <cell r="I17006" t="str">
            <v>Class</v>
          </cell>
        </row>
        <row r="17007">
          <cell r="I17007" t="str">
            <v>Christofferse</v>
          </cell>
        </row>
        <row r="17008">
          <cell r="I17008" t="str">
            <v>Chiesa</v>
          </cell>
        </row>
        <row r="17009">
          <cell r="I17009" t="str">
            <v>Chason</v>
          </cell>
        </row>
        <row r="17010">
          <cell r="I17010" t="str">
            <v>Chamorro</v>
          </cell>
        </row>
        <row r="17011">
          <cell r="I17011" t="str">
            <v>Cessna</v>
          </cell>
        </row>
        <row r="17012">
          <cell r="I17012" t="str">
            <v>Celentano</v>
          </cell>
        </row>
        <row r="17013">
          <cell r="I17013" t="str">
            <v>Cayer</v>
          </cell>
        </row>
        <row r="17014">
          <cell r="I17014" t="str">
            <v>Carolan</v>
          </cell>
        </row>
        <row r="17015">
          <cell r="I17015" t="str">
            <v>Carnegie</v>
          </cell>
        </row>
        <row r="17016">
          <cell r="I17016" t="str">
            <v>Capetillo</v>
          </cell>
        </row>
        <row r="17017">
          <cell r="I17017" t="str">
            <v>Callier</v>
          </cell>
        </row>
        <row r="17018">
          <cell r="I17018" t="str">
            <v>Cadogan</v>
          </cell>
        </row>
        <row r="17019">
          <cell r="I17019" t="str">
            <v>Caba</v>
          </cell>
        </row>
        <row r="17020">
          <cell r="I17020" t="str">
            <v>Byrom</v>
          </cell>
        </row>
        <row r="17021">
          <cell r="I17021" t="str">
            <v>Byrns</v>
          </cell>
        </row>
        <row r="17022">
          <cell r="I17022" t="str">
            <v>Burrowes</v>
          </cell>
        </row>
        <row r="17023">
          <cell r="I17023" t="str">
            <v>Burket</v>
          </cell>
        </row>
        <row r="17024">
          <cell r="I17024" t="str">
            <v>Burdge</v>
          </cell>
        </row>
        <row r="17025">
          <cell r="I17025" t="str">
            <v>Burbage</v>
          </cell>
        </row>
        <row r="17026">
          <cell r="I17026" t="str">
            <v>Bukowski</v>
          </cell>
        </row>
        <row r="17027">
          <cell r="I17027" t="str">
            <v>Buchholtz</v>
          </cell>
        </row>
        <row r="17028">
          <cell r="I17028" t="str">
            <v>Brunt</v>
          </cell>
        </row>
        <row r="17029">
          <cell r="I17029" t="str">
            <v>Brungardt</v>
          </cell>
        </row>
        <row r="17030">
          <cell r="I17030" t="str">
            <v>Brunetti</v>
          </cell>
        </row>
        <row r="17031">
          <cell r="I17031" t="str">
            <v>Brumbelow</v>
          </cell>
        </row>
        <row r="17032">
          <cell r="I17032" t="str">
            <v>Brugger</v>
          </cell>
        </row>
        <row r="17033">
          <cell r="I17033" t="str">
            <v>Broadhurst</v>
          </cell>
        </row>
        <row r="17034">
          <cell r="I17034" t="str">
            <v>Brigance</v>
          </cell>
        </row>
        <row r="17035">
          <cell r="I17035" t="str">
            <v>Brandow</v>
          </cell>
        </row>
        <row r="17036">
          <cell r="I17036" t="str">
            <v>Bouknight</v>
          </cell>
        </row>
        <row r="17037">
          <cell r="I17037" t="str">
            <v>Bottorff</v>
          </cell>
        </row>
        <row r="17038">
          <cell r="I17038" t="str">
            <v>Bottomley</v>
          </cell>
        </row>
        <row r="17039">
          <cell r="I17039" t="str">
            <v>Bosarge</v>
          </cell>
        </row>
        <row r="17040">
          <cell r="I17040" t="str">
            <v>Borger</v>
          </cell>
        </row>
        <row r="17041">
          <cell r="I17041" t="str">
            <v>Bona</v>
          </cell>
        </row>
        <row r="17042">
          <cell r="I17042" t="str">
            <v>Bombardier</v>
          </cell>
        </row>
        <row r="17043">
          <cell r="I17043" t="str">
            <v>Bologna</v>
          </cell>
        </row>
        <row r="17044">
          <cell r="I17044" t="str">
            <v>Boggan</v>
          </cell>
        </row>
        <row r="17045">
          <cell r="I17045" t="str">
            <v>Blumer</v>
          </cell>
        </row>
        <row r="17046">
          <cell r="I17046" t="str">
            <v>Blecha</v>
          </cell>
        </row>
        <row r="17047">
          <cell r="I17047" t="str">
            <v>Birney</v>
          </cell>
        </row>
        <row r="17048">
          <cell r="I17048" t="str">
            <v>Birkland</v>
          </cell>
        </row>
        <row r="17049">
          <cell r="I17049" t="str">
            <v>Betances</v>
          </cell>
        </row>
        <row r="17050">
          <cell r="I17050" t="str">
            <v>Beran</v>
          </cell>
        </row>
        <row r="17051">
          <cell r="I17051" t="str">
            <v>Benny</v>
          </cell>
        </row>
        <row r="17052">
          <cell r="I17052" t="str">
            <v>Benes</v>
          </cell>
        </row>
        <row r="17053">
          <cell r="I17053" t="str">
            <v>Belin</v>
          </cell>
        </row>
        <row r="17054">
          <cell r="I17054" t="str">
            <v>Belgrave</v>
          </cell>
        </row>
        <row r="17055">
          <cell r="I17055" t="str">
            <v>Bealer</v>
          </cell>
        </row>
        <row r="17056">
          <cell r="I17056" t="str">
            <v>Bauch</v>
          </cell>
        </row>
        <row r="17057">
          <cell r="I17057" t="str">
            <v>Bath</v>
          </cell>
        </row>
        <row r="17058">
          <cell r="I17058" t="str">
            <v>Bashir</v>
          </cell>
        </row>
        <row r="17059">
          <cell r="I17059" t="str">
            <v>Bartow</v>
          </cell>
        </row>
        <row r="17060">
          <cell r="I17060" t="str">
            <v>Baro</v>
          </cell>
        </row>
        <row r="17061">
          <cell r="I17061" t="str">
            <v>Barnhouse</v>
          </cell>
        </row>
        <row r="17062">
          <cell r="I17062" t="str">
            <v>Barile</v>
          </cell>
        </row>
        <row r="17063">
          <cell r="I17063" t="str">
            <v>Ballweg</v>
          </cell>
        </row>
        <row r="17064">
          <cell r="I17064" t="str">
            <v>Baisley</v>
          </cell>
        </row>
        <row r="17065">
          <cell r="I17065" t="str">
            <v>Bains</v>
          </cell>
        </row>
        <row r="17066">
          <cell r="I17066" t="str">
            <v>Baehr</v>
          </cell>
        </row>
        <row r="17067">
          <cell r="I17067" t="str">
            <v>Badilla</v>
          </cell>
        </row>
        <row r="17068">
          <cell r="I17068" t="str">
            <v>Bachus</v>
          </cell>
        </row>
        <row r="17069">
          <cell r="I17069" t="str">
            <v>Bacher</v>
          </cell>
        </row>
        <row r="17070">
          <cell r="I17070" t="str">
            <v>Bachelder</v>
          </cell>
        </row>
        <row r="17071">
          <cell r="I17071" t="str">
            <v>Auzenne</v>
          </cell>
        </row>
        <row r="17072">
          <cell r="I17072" t="str">
            <v>Aten</v>
          </cell>
        </row>
        <row r="17073">
          <cell r="I17073" t="str">
            <v>Astle</v>
          </cell>
        </row>
        <row r="17074">
          <cell r="I17074" t="str">
            <v>Allis</v>
          </cell>
        </row>
        <row r="17075">
          <cell r="I17075" t="str">
            <v>Agarwal</v>
          </cell>
        </row>
        <row r="17076">
          <cell r="I17076" t="str">
            <v>Adger</v>
          </cell>
        </row>
        <row r="17077">
          <cell r="I17077" t="str">
            <v>Adamek</v>
          </cell>
        </row>
        <row r="17078">
          <cell r="I17078" t="str">
            <v>Ziolkowski</v>
          </cell>
        </row>
        <row r="17079">
          <cell r="I17079" t="str">
            <v>Zinke</v>
          </cell>
        </row>
        <row r="17080">
          <cell r="I17080" t="str">
            <v>Zazueta</v>
          </cell>
        </row>
        <row r="17081">
          <cell r="I17081" t="str">
            <v>Zamorano</v>
          </cell>
        </row>
        <row r="17082">
          <cell r="I17082" t="str">
            <v>Younkin</v>
          </cell>
        </row>
        <row r="17083">
          <cell r="I17083" t="str">
            <v>Won</v>
          </cell>
        </row>
        <row r="17084">
          <cell r="I17084" t="str">
            <v>Wittig</v>
          </cell>
        </row>
        <row r="17085">
          <cell r="I17085" t="str">
            <v>Witman</v>
          </cell>
        </row>
        <row r="17086">
          <cell r="I17086" t="str">
            <v>Winsett</v>
          </cell>
        </row>
        <row r="17087">
          <cell r="I17087" t="str">
            <v>Winkles</v>
          </cell>
        </row>
        <row r="17088">
          <cell r="I17088" t="str">
            <v>Wiedman</v>
          </cell>
        </row>
        <row r="17089">
          <cell r="I17089" t="str">
            <v>Whitner</v>
          </cell>
        </row>
        <row r="17090">
          <cell r="I17090" t="str">
            <v>Whitcher</v>
          </cell>
        </row>
        <row r="17091">
          <cell r="I17091" t="str">
            <v>Wetherby</v>
          </cell>
        </row>
        <row r="17092">
          <cell r="I17092" t="str">
            <v>Westra</v>
          </cell>
        </row>
        <row r="17093">
          <cell r="I17093" t="str">
            <v>Westhoff</v>
          </cell>
        </row>
        <row r="17094">
          <cell r="I17094" t="str">
            <v>Wehrle</v>
          </cell>
        </row>
        <row r="17095">
          <cell r="I17095" t="str">
            <v>Wee</v>
          </cell>
        </row>
        <row r="17096">
          <cell r="I17096" t="str">
            <v>Wagaman</v>
          </cell>
        </row>
        <row r="17097">
          <cell r="I17097" t="str">
            <v>Voris</v>
          </cell>
        </row>
        <row r="17098">
          <cell r="I17098" t="str">
            <v>Vicknair</v>
          </cell>
        </row>
        <row r="17099">
          <cell r="I17099" t="str">
            <v>Vegas</v>
          </cell>
        </row>
        <row r="17100">
          <cell r="I17100" t="str">
            <v>Veasley</v>
          </cell>
        </row>
        <row r="17101">
          <cell r="I17101" t="str">
            <v>Vaugh</v>
          </cell>
        </row>
        <row r="17102">
          <cell r="I17102" t="str">
            <v>Vanish</v>
          </cell>
        </row>
        <row r="17103">
          <cell r="I17103" t="str">
            <v>Vanderburg</v>
          </cell>
        </row>
        <row r="17104">
          <cell r="I17104" t="str">
            <v>Valletta</v>
          </cell>
        </row>
        <row r="17105">
          <cell r="I17105" t="str">
            <v>Tunney</v>
          </cell>
        </row>
        <row r="17106">
          <cell r="I17106" t="str">
            <v>Trumbo</v>
          </cell>
        </row>
        <row r="17107">
          <cell r="I17107" t="str">
            <v>Truluck</v>
          </cell>
        </row>
        <row r="17108">
          <cell r="I17108" t="str">
            <v>Trueman</v>
          </cell>
        </row>
        <row r="17109">
          <cell r="I17109" t="str">
            <v>Truby</v>
          </cell>
        </row>
        <row r="17110">
          <cell r="I17110" t="str">
            <v>Trombly</v>
          </cell>
        </row>
        <row r="17111">
          <cell r="I17111" t="str">
            <v>Trojan</v>
          </cell>
        </row>
        <row r="17112">
          <cell r="I17112" t="str">
            <v>Tourville</v>
          </cell>
        </row>
        <row r="17113">
          <cell r="I17113" t="str">
            <v>Tostado</v>
          </cell>
        </row>
        <row r="17114">
          <cell r="I17114" t="str">
            <v>Tone</v>
          </cell>
        </row>
        <row r="17115">
          <cell r="I17115" t="str">
            <v>Titcomb</v>
          </cell>
        </row>
        <row r="17116">
          <cell r="I17116" t="str">
            <v>Timpson</v>
          </cell>
        </row>
        <row r="17117">
          <cell r="I17117" t="str">
            <v>Tignor</v>
          </cell>
        </row>
        <row r="17118">
          <cell r="I17118" t="str">
            <v>Thrush</v>
          </cell>
        </row>
        <row r="17119">
          <cell r="I17119" t="str">
            <v>Thresher</v>
          </cell>
        </row>
        <row r="17120">
          <cell r="I17120" t="str">
            <v>Thiede</v>
          </cell>
        </row>
        <row r="17121">
          <cell r="I17121" t="str">
            <v>Tews</v>
          </cell>
        </row>
        <row r="17122">
          <cell r="I17122" t="str">
            <v>Tamplin</v>
          </cell>
        </row>
        <row r="17123">
          <cell r="I17123" t="str">
            <v>Taff</v>
          </cell>
        </row>
        <row r="17124">
          <cell r="I17124" t="str">
            <v>Tacker</v>
          </cell>
        </row>
        <row r="17125">
          <cell r="I17125" t="str">
            <v>Syverson</v>
          </cell>
        </row>
        <row r="17126">
          <cell r="I17126" t="str">
            <v>Sylvestre</v>
          </cell>
        </row>
        <row r="17127">
          <cell r="I17127" t="str">
            <v>Summerall</v>
          </cell>
        </row>
        <row r="17128">
          <cell r="I17128" t="str">
            <v>Stumbaugh</v>
          </cell>
        </row>
        <row r="17129">
          <cell r="I17129" t="str">
            <v>Strouth</v>
          </cell>
        </row>
        <row r="17130">
          <cell r="I17130" t="str">
            <v>Straker</v>
          </cell>
        </row>
        <row r="17131">
          <cell r="I17131" t="str">
            <v>Stradford</v>
          </cell>
        </row>
        <row r="17132">
          <cell r="I17132" t="str">
            <v>Stoney</v>
          </cell>
        </row>
        <row r="17133">
          <cell r="I17133" t="str">
            <v>Stokley</v>
          </cell>
        </row>
        <row r="17134">
          <cell r="I17134" t="str">
            <v>Steinhoff</v>
          </cell>
        </row>
        <row r="17135">
          <cell r="I17135" t="str">
            <v>Steinberger</v>
          </cell>
        </row>
        <row r="17136">
          <cell r="I17136" t="str">
            <v>Stairs</v>
          </cell>
        </row>
        <row r="17137">
          <cell r="I17137" t="str">
            <v>Spigner</v>
          </cell>
        </row>
        <row r="17138">
          <cell r="I17138" t="str">
            <v>Soltero</v>
          </cell>
        </row>
        <row r="17139">
          <cell r="I17139" t="str">
            <v>Snively</v>
          </cell>
        </row>
        <row r="17140">
          <cell r="I17140" t="str">
            <v>Sletten</v>
          </cell>
        </row>
        <row r="17141">
          <cell r="I17141" t="str">
            <v>Sinkler</v>
          </cell>
        </row>
        <row r="17142">
          <cell r="I17142" t="str">
            <v>Sinegal</v>
          </cell>
        </row>
        <row r="17143">
          <cell r="I17143" t="str">
            <v>Simoes</v>
          </cell>
        </row>
        <row r="17144">
          <cell r="I17144" t="str">
            <v>Siller</v>
          </cell>
        </row>
        <row r="17145">
          <cell r="I17145" t="str">
            <v>Sigel</v>
          </cell>
        </row>
        <row r="17146">
          <cell r="I17146" t="str">
            <v>Shoe</v>
          </cell>
        </row>
        <row r="17147">
          <cell r="I17147" t="str">
            <v>Shire</v>
          </cell>
        </row>
        <row r="17148">
          <cell r="I17148" t="str">
            <v>Shinkle</v>
          </cell>
        </row>
        <row r="17149">
          <cell r="I17149" t="str">
            <v>Shellman</v>
          </cell>
        </row>
        <row r="17150">
          <cell r="I17150" t="str">
            <v>Sheller</v>
          </cell>
        </row>
        <row r="17151">
          <cell r="I17151" t="str">
            <v>Sheats</v>
          </cell>
        </row>
        <row r="17152">
          <cell r="I17152" t="str">
            <v>Sharer</v>
          </cell>
        </row>
        <row r="17153">
          <cell r="I17153" t="str">
            <v>Selvage</v>
          </cell>
        </row>
        <row r="17154">
          <cell r="I17154" t="str">
            <v>Sedlak</v>
          </cell>
        </row>
        <row r="17155">
          <cell r="I17155" t="str">
            <v>Sea</v>
          </cell>
        </row>
        <row r="17156">
          <cell r="I17156" t="str">
            <v>Schriver</v>
          </cell>
        </row>
        <row r="17157">
          <cell r="I17157" t="str">
            <v>Schimke</v>
          </cell>
        </row>
        <row r="17158">
          <cell r="I17158" t="str">
            <v>Scheuerman</v>
          </cell>
        </row>
        <row r="17159">
          <cell r="I17159" t="str">
            <v>Schanz</v>
          </cell>
        </row>
        <row r="17160">
          <cell r="I17160" t="str">
            <v>Savory</v>
          </cell>
        </row>
        <row r="17161">
          <cell r="I17161" t="str">
            <v>Saulters</v>
          </cell>
        </row>
        <row r="17162">
          <cell r="I17162" t="str">
            <v>Sauers</v>
          </cell>
        </row>
        <row r="17163">
          <cell r="I17163" t="str">
            <v>Sais</v>
          </cell>
        </row>
        <row r="17164">
          <cell r="I17164" t="str">
            <v>Rusin</v>
          </cell>
        </row>
        <row r="17165">
          <cell r="I17165" t="str">
            <v>Rumfelt</v>
          </cell>
        </row>
        <row r="17166">
          <cell r="I17166" t="str">
            <v>Ruhland</v>
          </cell>
        </row>
        <row r="17167">
          <cell r="I17167" t="str">
            <v>Rozar</v>
          </cell>
        </row>
        <row r="17168">
          <cell r="I17168" t="str">
            <v>Rosborough</v>
          </cell>
        </row>
        <row r="17169">
          <cell r="I17169" t="str">
            <v>Ronning</v>
          </cell>
        </row>
        <row r="17170">
          <cell r="I17170" t="str">
            <v>Rolph</v>
          </cell>
        </row>
        <row r="17171">
          <cell r="I17171" t="str">
            <v>Roloff</v>
          </cell>
        </row>
        <row r="17172">
          <cell r="I17172" t="str">
            <v>Rogue</v>
          </cell>
        </row>
        <row r="17173">
          <cell r="I17173" t="str">
            <v>Robie</v>
          </cell>
        </row>
        <row r="17174">
          <cell r="I17174" t="str">
            <v>Riviera</v>
          </cell>
        </row>
        <row r="17175">
          <cell r="I17175" t="str">
            <v>Rimer</v>
          </cell>
        </row>
        <row r="17176">
          <cell r="I17176" t="str">
            <v>Riehle</v>
          </cell>
        </row>
        <row r="17177">
          <cell r="I17177" t="str">
            <v>Ricco</v>
          </cell>
        </row>
        <row r="17178">
          <cell r="I17178" t="str">
            <v>Rhein</v>
          </cell>
        </row>
        <row r="17179">
          <cell r="I17179" t="str">
            <v>Retzlaff</v>
          </cell>
        </row>
        <row r="17180">
          <cell r="I17180" t="str">
            <v>Reisman</v>
          </cell>
        </row>
        <row r="17181">
          <cell r="I17181" t="str">
            <v>Reimann</v>
          </cell>
        </row>
        <row r="17182">
          <cell r="I17182" t="str">
            <v>Re</v>
          </cell>
        </row>
        <row r="17183">
          <cell r="I17183" t="str">
            <v>Rayes</v>
          </cell>
        </row>
        <row r="17184">
          <cell r="I17184" t="str">
            <v>Raub</v>
          </cell>
        </row>
        <row r="17185">
          <cell r="I17185" t="str">
            <v>Raminez</v>
          </cell>
        </row>
        <row r="17186">
          <cell r="I17186" t="str">
            <v>Quesinberry</v>
          </cell>
        </row>
        <row r="17187">
          <cell r="I17187" t="str">
            <v>Pua</v>
          </cell>
        </row>
        <row r="17188">
          <cell r="I17188" t="str">
            <v>Procopio</v>
          </cell>
        </row>
        <row r="17189">
          <cell r="I17189" t="str">
            <v>Priolo</v>
          </cell>
        </row>
        <row r="17190">
          <cell r="I17190" t="str">
            <v>Printz</v>
          </cell>
        </row>
        <row r="17191">
          <cell r="I17191" t="str">
            <v>Prewett</v>
          </cell>
        </row>
        <row r="17192">
          <cell r="I17192" t="str">
            <v>Preas</v>
          </cell>
        </row>
        <row r="17193">
          <cell r="I17193" t="str">
            <v>Prahl</v>
          </cell>
        </row>
        <row r="17194">
          <cell r="I17194" t="str">
            <v>Portugal</v>
          </cell>
        </row>
        <row r="17195">
          <cell r="I17195" t="str">
            <v>Poovey</v>
          </cell>
        </row>
        <row r="17196">
          <cell r="I17196" t="str">
            <v>Ploof</v>
          </cell>
        </row>
        <row r="17197">
          <cell r="I17197" t="str">
            <v>Platz</v>
          </cell>
        </row>
        <row r="17198">
          <cell r="I17198" t="str">
            <v>Plaisted</v>
          </cell>
        </row>
        <row r="17199">
          <cell r="I17199" t="str">
            <v>Pinzon</v>
          </cell>
        </row>
        <row r="17200">
          <cell r="I17200" t="str">
            <v>Pineiro</v>
          </cell>
        </row>
        <row r="17201">
          <cell r="I17201" t="str">
            <v>Pickney</v>
          </cell>
        </row>
        <row r="17202">
          <cell r="I17202" t="str">
            <v>Petrovich</v>
          </cell>
        </row>
        <row r="17203">
          <cell r="I17203" t="str">
            <v>Perl</v>
          </cell>
        </row>
        <row r="17204">
          <cell r="I17204" t="str">
            <v>Pehrson</v>
          </cell>
        </row>
        <row r="17205">
          <cell r="I17205" t="str">
            <v>Peets</v>
          </cell>
        </row>
        <row r="17206">
          <cell r="I17206" t="str">
            <v>Pavon</v>
          </cell>
        </row>
        <row r="17207">
          <cell r="I17207" t="str">
            <v>Pautz</v>
          </cell>
        </row>
        <row r="17208">
          <cell r="I17208" t="str">
            <v>Pascarella</v>
          </cell>
        </row>
        <row r="17209">
          <cell r="I17209" t="str">
            <v>Paras</v>
          </cell>
        </row>
        <row r="17210">
          <cell r="I17210" t="str">
            <v>Paolini</v>
          </cell>
        </row>
        <row r="17211">
          <cell r="I17211" t="str">
            <v>Pals</v>
          </cell>
        </row>
        <row r="17212">
          <cell r="I17212" t="str">
            <v>Pafford</v>
          </cell>
        </row>
        <row r="17213">
          <cell r="I17213" t="str">
            <v>Oyer</v>
          </cell>
        </row>
        <row r="17214">
          <cell r="I17214" t="str">
            <v>Ovellette</v>
          </cell>
        </row>
        <row r="17215">
          <cell r="I17215" t="str">
            <v>Outten</v>
          </cell>
        </row>
        <row r="17216">
          <cell r="I17216" t="str">
            <v>Outen</v>
          </cell>
        </row>
        <row r="17217">
          <cell r="I17217" t="str">
            <v>Ours</v>
          </cell>
        </row>
        <row r="17218">
          <cell r="I17218" t="str">
            <v>Orduna</v>
          </cell>
        </row>
        <row r="17219">
          <cell r="I17219" t="str">
            <v>Odriscoll</v>
          </cell>
        </row>
        <row r="17220">
          <cell r="I17220" t="str">
            <v>Oberlin</v>
          </cell>
        </row>
        <row r="17221">
          <cell r="I17221" t="str">
            <v>Nosal</v>
          </cell>
        </row>
        <row r="17222">
          <cell r="I17222" t="str">
            <v>Niven</v>
          </cell>
        </row>
        <row r="17223">
          <cell r="I17223" t="str">
            <v>Nisbett</v>
          </cell>
        </row>
        <row r="17224">
          <cell r="I17224" t="str">
            <v>Nevers</v>
          </cell>
        </row>
        <row r="17225">
          <cell r="I17225" t="str">
            <v>Nathanson</v>
          </cell>
        </row>
        <row r="17226">
          <cell r="I17226" t="str">
            <v>Mule</v>
          </cell>
        </row>
        <row r="17227">
          <cell r="I17227" t="str">
            <v>Mukai</v>
          </cell>
        </row>
        <row r="17228">
          <cell r="I17228" t="str">
            <v>Mozee</v>
          </cell>
        </row>
        <row r="17229">
          <cell r="I17229" t="str">
            <v>Mowers</v>
          </cell>
        </row>
        <row r="17230">
          <cell r="I17230" t="str">
            <v>Motyka</v>
          </cell>
        </row>
        <row r="17231">
          <cell r="I17231" t="str">
            <v>Morency</v>
          </cell>
        </row>
        <row r="17232">
          <cell r="I17232" t="str">
            <v>Montford</v>
          </cell>
        </row>
        <row r="17233">
          <cell r="I17233" t="str">
            <v>Mollica</v>
          </cell>
        </row>
        <row r="17234">
          <cell r="I17234" t="str">
            <v>Molden</v>
          </cell>
        </row>
        <row r="17235">
          <cell r="I17235" t="str">
            <v>Mitten</v>
          </cell>
        </row>
        <row r="17236">
          <cell r="I17236" t="str">
            <v>Miser</v>
          </cell>
        </row>
        <row r="17237">
          <cell r="I17237" t="str">
            <v>Mina</v>
          </cell>
        </row>
        <row r="17238">
          <cell r="I17238" t="str">
            <v>Millender</v>
          </cell>
        </row>
        <row r="17239">
          <cell r="I17239" t="str">
            <v>Midgette</v>
          </cell>
        </row>
        <row r="17240">
          <cell r="I17240" t="str">
            <v>Messerly</v>
          </cell>
        </row>
        <row r="17241">
          <cell r="I17241" t="str">
            <v>Melendy</v>
          </cell>
        </row>
        <row r="17242">
          <cell r="I17242" t="str">
            <v>Meisel</v>
          </cell>
        </row>
        <row r="17243">
          <cell r="I17243" t="str">
            <v>Meidinger</v>
          </cell>
        </row>
        <row r="17244">
          <cell r="I17244" t="str">
            <v>Meany</v>
          </cell>
        </row>
        <row r="17245">
          <cell r="I17245" t="str">
            <v>Mcnitt</v>
          </cell>
        </row>
        <row r="17246">
          <cell r="I17246" t="str">
            <v>Mcnemar</v>
          </cell>
        </row>
        <row r="17247">
          <cell r="I17247" t="str">
            <v>Mcmakin</v>
          </cell>
        </row>
        <row r="17248">
          <cell r="I17248" t="str">
            <v>Mcgaugh</v>
          </cell>
        </row>
        <row r="17249">
          <cell r="I17249" t="str">
            <v>Mccaa</v>
          </cell>
        </row>
        <row r="17250">
          <cell r="I17250" t="str">
            <v>Mauriello</v>
          </cell>
        </row>
        <row r="17251">
          <cell r="I17251" t="str">
            <v>Maudlin</v>
          </cell>
        </row>
        <row r="17252">
          <cell r="I17252" t="str">
            <v>Matzke</v>
          </cell>
        </row>
        <row r="17253">
          <cell r="I17253" t="str">
            <v>Mattia</v>
          </cell>
        </row>
        <row r="17254">
          <cell r="I17254" t="str">
            <v>Matteo</v>
          </cell>
        </row>
        <row r="17255">
          <cell r="I17255" t="str">
            <v>Matsumura</v>
          </cell>
        </row>
        <row r="17256">
          <cell r="I17256" t="str">
            <v>Masuda</v>
          </cell>
        </row>
        <row r="17257">
          <cell r="I17257" t="str">
            <v>Mangels</v>
          </cell>
        </row>
        <row r="17258">
          <cell r="I17258" t="str">
            <v>Maloof</v>
          </cell>
        </row>
        <row r="17259">
          <cell r="I17259" t="str">
            <v>Malizia</v>
          </cell>
        </row>
        <row r="17260">
          <cell r="I17260" t="str">
            <v>Mahmoud</v>
          </cell>
        </row>
        <row r="17261">
          <cell r="I17261" t="str">
            <v>Maglione</v>
          </cell>
        </row>
        <row r="17262">
          <cell r="I17262" t="str">
            <v>Maddix</v>
          </cell>
        </row>
        <row r="17263">
          <cell r="I17263" t="str">
            <v>Lucchesi</v>
          </cell>
        </row>
        <row r="17264">
          <cell r="I17264" t="str">
            <v>Lochner</v>
          </cell>
        </row>
        <row r="17265">
          <cell r="I17265" t="str">
            <v>Linquist</v>
          </cell>
        </row>
        <row r="17266">
          <cell r="I17266" t="str">
            <v>Lino</v>
          </cell>
        </row>
        <row r="17267">
          <cell r="I17267" t="str">
            <v>Lietz</v>
          </cell>
        </row>
        <row r="17268">
          <cell r="I17268" t="str">
            <v>Leventhal</v>
          </cell>
        </row>
        <row r="17269">
          <cell r="I17269" t="str">
            <v>Leopard</v>
          </cell>
        </row>
        <row r="17270">
          <cell r="I17270" t="str">
            <v>Lemanski</v>
          </cell>
        </row>
        <row r="17271">
          <cell r="I17271" t="str">
            <v>Leiser</v>
          </cell>
        </row>
        <row r="17272">
          <cell r="I17272" t="str">
            <v>Laury</v>
          </cell>
        </row>
        <row r="17273">
          <cell r="I17273" t="str">
            <v>Lauber</v>
          </cell>
        </row>
        <row r="17274">
          <cell r="I17274" t="str">
            <v>Lamberth</v>
          </cell>
        </row>
        <row r="17275">
          <cell r="I17275" t="str">
            <v>Kuss</v>
          </cell>
        </row>
        <row r="17276">
          <cell r="I17276" t="str">
            <v>Kung</v>
          </cell>
        </row>
        <row r="17277">
          <cell r="I17277" t="str">
            <v>Kulik</v>
          </cell>
        </row>
        <row r="17278">
          <cell r="I17278" t="str">
            <v>Kuiper</v>
          </cell>
        </row>
        <row r="17279">
          <cell r="I17279" t="str">
            <v>Krout</v>
          </cell>
        </row>
        <row r="17280">
          <cell r="I17280" t="str">
            <v>Kotter</v>
          </cell>
        </row>
        <row r="17281">
          <cell r="I17281" t="str">
            <v>Kort</v>
          </cell>
        </row>
        <row r="17282">
          <cell r="I17282" t="str">
            <v>Kohlmeier</v>
          </cell>
        </row>
        <row r="17283">
          <cell r="I17283" t="str">
            <v>Koffler</v>
          </cell>
        </row>
        <row r="17284">
          <cell r="I17284" t="str">
            <v>Koeller</v>
          </cell>
        </row>
        <row r="17285">
          <cell r="I17285" t="str">
            <v>Knipe</v>
          </cell>
        </row>
        <row r="17286">
          <cell r="I17286" t="str">
            <v>Knauss</v>
          </cell>
        </row>
        <row r="17287">
          <cell r="I17287" t="str">
            <v>Kleiber</v>
          </cell>
        </row>
        <row r="17288">
          <cell r="I17288" t="str">
            <v>Kissee</v>
          </cell>
        </row>
        <row r="17289">
          <cell r="I17289" t="str">
            <v>Kirst</v>
          </cell>
        </row>
        <row r="17290">
          <cell r="I17290" t="str">
            <v>Kirch</v>
          </cell>
        </row>
        <row r="17291">
          <cell r="I17291" t="str">
            <v>Kilgo</v>
          </cell>
        </row>
        <row r="17292">
          <cell r="I17292" t="str">
            <v>Kerlin</v>
          </cell>
        </row>
        <row r="17293">
          <cell r="I17293" t="str">
            <v>Kellison</v>
          </cell>
        </row>
        <row r="17294">
          <cell r="I17294" t="str">
            <v>Kehl</v>
          </cell>
        </row>
        <row r="17295">
          <cell r="I17295" t="str">
            <v>Kalb</v>
          </cell>
        </row>
        <row r="17296">
          <cell r="I17296" t="str">
            <v>Jorden</v>
          </cell>
        </row>
        <row r="17297">
          <cell r="I17297" t="str">
            <v>Jantzen</v>
          </cell>
        </row>
        <row r="17298">
          <cell r="I17298" t="str">
            <v>Jamar</v>
          </cell>
        </row>
        <row r="17299">
          <cell r="I17299" t="str">
            <v>Inabinet</v>
          </cell>
        </row>
        <row r="17300">
          <cell r="I17300" t="str">
            <v>Ikard</v>
          </cell>
        </row>
        <row r="17301">
          <cell r="I17301" t="str">
            <v>Husman</v>
          </cell>
        </row>
        <row r="17302">
          <cell r="I17302" t="str">
            <v>Hunsberger</v>
          </cell>
        </row>
        <row r="17303">
          <cell r="I17303" t="str">
            <v>Hundt</v>
          </cell>
        </row>
        <row r="17304">
          <cell r="I17304" t="str">
            <v>Hucks</v>
          </cell>
        </row>
        <row r="17305">
          <cell r="I17305" t="str">
            <v>Houtz</v>
          </cell>
        </row>
        <row r="17306">
          <cell r="I17306" t="str">
            <v>Houseknecht</v>
          </cell>
        </row>
        <row r="17307">
          <cell r="I17307" t="str">
            <v>Hoots</v>
          </cell>
        </row>
        <row r="17308">
          <cell r="I17308" t="str">
            <v>Hogsett</v>
          </cell>
        </row>
        <row r="17309">
          <cell r="I17309" t="str">
            <v>Hogans</v>
          </cell>
        </row>
        <row r="17310">
          <cell r="I17310" t="str">
            <v>Hintze</v>
          </cell>
        </row>
        <row r="17311">
          <cell r="I17311" t="str">
            <v>Hession</v>
          </cell>
        </row>
        <row r="17312">
          <cell r="I17312" t="str">
            <v>Henault</v>
          </cell>
        </row>
        <row r="17313">
          <cell r="I17313" t="str">
            <v>Hemming</v>
          </cell>
        </row>
        <row r="17314">
          <cell r="I17314" t="str">
            <v>Helsley</v>
          </cell>
        </row>
        <row r="17315">
          <cell r="I17315" t="str">
            <v>Heinen</v>
          </cell>
        </row>
        <row r="17316">
          <cell r="I17316" t="str">
            <v>Heffington</v>
          </cell>
        </row>
        <row r="17317">
          <cell r="I17317" t="str">
            <v>Heberling</v>
          </cell>
        </row>
        <row r="17318">
          <cell r="I17318" t="str">
            <v>Heasley</v>
          </cell>
        </row>
        <row r="17319">
          <cell r="I17319" t="str">
            <v>Heal</v>
          </cell>
        </row>
        <row r="17320">
          <cell r="I17320" t="str">
            <v>Hazley</v>
          </cell>
        </row>
        <row r="17321">
          <cell r="I17321" t="str">
            <v>Hazeltine</v>
          </cell>
        </row>
        <row r="17322">
          <cell r="I17322" t="str">
            <v>Hayton</v>
          </cell>
        </row>
        <row r="17323">
          <cell r="I17323" t="str">
            <v>Hayse</v>
          </cell>
        </row>
        <row r="17324">
          <cell r="I17324" t="str">
            <v>Hawke</v>
          </cell>
        </row>
        <row r="17325">
          <cell r="I17325" t="str">
            <v>Haston</v>
          </cell>
        </row>
        <row r="17326">
          <cell r="I17326" t="str">
            <v>Harward</v>
          </cell>
        </row>
        <row r="17327">
          <cell r="I17327" t="str">
            <v>Harvard</v>
          </cell>
        </row>
        <row r="17328">
          <cell r="I17328" t="str">
            <v>Harrow</v>
          </cell>
        </row>
        <row r="17329">
          <cell r="I17329" t="str">
            <v>Hanneman</v>
          </cell>
        </row>
        <row r="17330">
          <cell r="I17330" t="str">
            <v>Hafford</v>
          </cell>
        </row>
        <row r="17331">
          <cell r="I17331" t="str">
            <v>Hadnot</v>
          </cell>
        </row>
        <row r="17332">
          <cell r="I17332" t="str">
            <v>Guerro</v>
          </cell>
        </row>
        <row r="17333">
          <cell r="I17333" t="str">
            <v>Graig</v>
          </cell>
        </row>
        <row r="17334">
          <cell r="I17334" t="str">
            <v>Grahm</v>
          </cell>
        </row>
        <row r="17335">
          <cell r="I17335" t="str">
            <v>Gowins</v>
          </cell>
        </row>
        <row r="17336">
          <cell r="I17336" t="str">
            <v>Gordillo</v>
          </cell>
        </row>
        <row r="17337">
          <cell r="I17337" t="str">
            <v>Goosby</v>
          </cell>
        </row>
        <row r="17338">
          <cell r="I17338" t="str">
            <v>Glatt</v>
          </cell>
        </row>
        <row r="17339">
          <cell r="I17339" t="str">
            <v>Gibbens</v>
          </cell>
        </row>
        <row r="17340">
          <cell r="I17340" t="str">
            <v>Ghent</v>
          </cell>
        </row>
        <row r="17341">
          <cell r="I17341" t="str">
            <v>Gerrard</v>
          </cell>
        </row>
        <row r="17342">
          <cell r="I17342" t="str">
            <v>Germann</v>
          </cell>
        </row>
        <row r="17343">
          <cell r="I17343" t="str">
            <v>Geil</v>
          </cell>
        </row>
        <row r="17344">
          <cell r="I17344" t="str">
            <v>Gebo</v>
          </cell>
        </row>
        <row r="17345">
          <cell r="I17345" t="str">
            <v>Gean</v>
          </cell>
        </row>
        <row r="17346">
          <cell r="I17346" t="str">
            <v>Garling</v>
          </cell>
        </row>
        <row r="17347">
          <cell r="I17347" t="str">
            <v>Gardenhire</v>
          </cell>
        </row>
        <row r="17348">
          <cell r="I17348" t="str">
            <v>Garbutt</v>
          </cell>
        </row>
        <row r="17349">
          <cell r="I17349" t="str">
            <v>Gagner</v>
          </cell>
        </row>
        <row r="17350">
          <cell r="I17350" t="str">
            <v>Furguson</v>
          </cell>
        </row>
        <row r="17351">
          <cell r="I17351" t="str">
            <v>Funchess</v>
          </cell>
        </row>
        <row r="17352">
          <cell r="I17352" t="str">
            <v>Fujiwara</v>
          </cell>
        </row>
        <row r="17353">
          <cell r="I17353" t="str">
            <v>Fujita</v>
          </cell>
        </row>
        <row r="17354">
          <cell r="I17354" t="str">
            <v>Friley</v>
          </cell>
        </row>
        <row r="17355">
          <cell r="I17355" t="str">
            <v>Frigo</v>
          </cell>
        </row>
        <row r="17356">
          <cell r="I17356" t="str">
            <v>Forshee</v>
          </cell>
        </row>
        <row r="17357">
          <cell r="I17357" t="str">
            <v>Folkes</v>
          </cell>
        </row>
        <row r="17358">
          <cell r="I17358" t="str">
            <v>Filler</v>
          </cell>
        </row>
        <row r="17359">
          <cell r="I17359" t="str">
            <v>Fernald</v>
          </cell>
        </row>
        <row r="17360">
          <cell r="I17360" t="str">
            <v>Ferber</v>
          </cell>
        </row>
        <row r="17361">
          <cell r="I17361" t="str">
            <v>Feingold</v>
          </cell>
        </row>
        <row r="17362">
          <cell r="I17362" t="str">
            <v>Favorite</v>
          </cell>
        </row>
        <row r="17363">
          <cell r="I17363" t="str">
            <v>Faul</v>
          </cell>
        </row>
        <row r="17364">
          <cell r="I17364" t="str">
            <v>Farrelly</v>
          </cell>
        </row>
        <row r="17365">
          <cell r="I17365" t="str">
            <v>Fairbank</v>
          </cell>
        </row>
        <row r="17366">
          <cell r="I17366" t="str">
            <v>Failla</v>
          </cell>
        </row>
        <row r="17367">
          <cell r="I17367" t="str">
            <v>Estelle</v>
          </cell>
        </row>
        <row r="17368">
          <cell r="I17368" t="str">
            <v>Espey</v>
          </cell>
        </row>
        <row r="17369">
          <cell r="I17369" t="str">
            <v>Eshleman</v>
          </cell>
        </row>
        <row r="17370">
          <cell r="I17370" t="str">
            <v>Ertl</v>
          </cell>
        </row>
        <row r="17371">
          <cell r="I17371" t="str">
            <v>Erhart</v>
          </cell>
        </row>
        <row r="17372">
          <cell r="I17372" t="str">
            <v>Erhardt</v>
          </cell>
        </row>
        <row r="17373">
          <cell r="I17373" t="str">
            <v>Erbe</v>
          </cell>
        </row>
        <row r="17374">
          <cell r="I17374" t="str">
            <v>Elsea</v>
          </cell>
        </row>
        <row r="17375">
          <cell r="I17375" t="str">
            <v>Ells</v>
          </cell>
        </row>
        <row r="17376">
          <cell r="I17376" t="str">
            <v>Ellman</v>
          </cell>
        </row>
        <row r="17377">
          <cell r="I17377" t="str">
            <v>Eisenhart</v>
          </cell>
        </row>
        <row r="17378">
          <cell r="I17378" t="str">
            <v>Ehmann</v>
          </cell>
        </row>
        <row r="17379">
          <cell r="I17379" t="str">
            <v>Earnhardt</v>
          </cell>
        </row>
        <row r="17380">
          <cell r="I17380" t="str">
            <v>Duplantis</v>
          </cell>
        </row>
        <row r="17381">
          <cell r="I17381" t="str">
            <v>Dulac</v>
          </cell>
        </row>
        <row r="17382">
          <cell r="I17382" t="str">
            <v>Ducote</v>
          </cell>
        </row>
        <row r="17383">
          <cell r="I17383" t="str">
            <v>Draves</v>
          </cell>
        </row>
        <row r="17384">
          <cell r="I17384" t="str">
            <v>Dosch</v>
          </cell>
        </row>
        <row r="17385">
          <cell r="I17385" t="str">
            <v>Dolce</v>
          </cell>
        </row>
        <row r="17386">
          <cell r="I17386" t="str">
            <v>Divito</v>
          </cell>
        </row>
        <row r="17387">
          <cell r="I17387" t="str">
            <v>Ditch</v>
          </cell>
        </row>
        <row r="17388">
          <cell r="I17388" t="str">
            <v>Dimauro</v>
          </cell>
        </row>
        <row r="17389">
          <cell r="I17389" t="str">
            <v>Derringer</v>
          </cell>
        </row>
        <row r="17390">
          <cell r="I17390" t="str">
            <v>Demeo</v>
          </cell>
        </row>
        <row r="17391">
          <cell r="I17391" t="str">
            <v>Demartini</v>
          </cell>
        </row>
        <row r="17392">
          <cell r="I17392" t="str">
            <v>Delima</v>
          </cell>
        </row>
        <row r="17393">
          <cell r="I17393" t="str">
            <v>Dehner</v>
          </cell>
        </row>
        <row r="17394">
          <cell r="I17394" t="str">
            <v>Degen</v>
          </cell>
        </row>
        <row r="17395">
          <cell r="I17395" t="str">
            <v>Defrancisco</v>
          </cell>
        </row>
        <row r="17396">
          <cell r="I17396" t="str">
            <v>Defoor</v>
          </cell>
        </row>
        <row r="17397">
          <cell r="I17397" t="str">
            <v>Dedeaux</v>
          </cell>
        </row>
        <row r="17398">
          <cell r="I17398" t="str">
            <v>Debnam</v>
          </cell>
        </row>
        <row r="17399">
          <cell r="I17399" t="str">
            <v>Cypert</v>
          </cell>
        </row>
        <row r="17400">
          <cell r="I17400" t="str">
            <v>Cutrer</v>
          </cell>
        </row>
        <row r="17401">
          <cell r="I17401" t="str">
            <v>Cusumano</v>
          </cell>
        </row>
        <row r="17402">
          <cell r="I17402" t="str">
            <v>Custis</v>
          </cell>
        </row>
        <row r="17403">
          <cell r="I17403" t="str">
            <v>Croker</v>
          </cell>
        </row>
        <row r="17404">
          <cell r="I17404" t="str">
            <v>Courtois</v>
          </cell>
        </row>
        <row r="17405">
          <cell r="I17405" t="str">
            <v>Costantino</v>
          </cell>
        </row>
        <row r="17406">
          <cell r="I17406" t="str">
            <v>Cormack</v>
          </cell>
        </row>
        <row r="17407">
          <cell r="I17407" t="str">
            <v>Corbeil</v>
          </cell>
        </row>
        <row r="17408">
          <cell r="I17408" t="str">
            <v>Copher</v>
          </cell>
        </row>
        <row r="17409">
          <cell r="I17409" t="str">
            <v>Conlan</v>
          </cell>
        </row>
        <row r="17410">
          <cell r="I17410" t="str">
            <v>Conkling</v>
          </cell>
        </row>
        <row r="17411">
          <cell r="I17411" t="str">
            <v>Cogdell</v>
          </cell>
        </row>
        <row r="17412">
          <cell r="I17412" t="str">
            <v>Cilley</v>
          </cell>
        </row>
        <row r="17413">
          <cell r="I17413" t="str">
            <v>Chapdelaine</v>
          </cell>
        </row>
        <row r="17414">
          <cell r="I17414" t="str">
            <v>Cendejas</v>
          </cell>
        </row>
        <row r="17415">
          <cell r="I17415" t="str">
            <v>Castiglia</v>
          </cell>
        </row>
        <row r="17416">
          <cell r="I17416" t="str">
            <v>Cassette</v>
          </cell>
        </row>
        <row r="17417">
          <cell r="I17417" t="str">
            <v>Cashin</v>
          </cell>
        </row>
        <row r="17418">
          <cell r="I17418" t="str">
            <v>Carstensen</v>
          </cell>
        </row>
        <row r="17419">
          <cell r="I17419" t="str">
            <v>Carol</v>
          </cell>
        </row>
        <row r="17420">
          <cell r="I17420" t="str">
            <v>Caprio</v>
          </cell>
        </row>
        <row r="17421">
          <cell r="I17421" t="str">
            <v>Calcote</v>
          </cell>
        </row>
        <row r="17422">
          <cell r="I17422" t="str">
            <v>Calaway</v>
          </cell>
        </row>
        <row r="17423">
          <cell r="I17423" t="str">
            <v>Byfield</v>
          </cell>
        </row>
        <row r="17424">
          <cell r="I17424" t="str">
            <v>Butner</v>
          </cell>
        </row>
        <row r="17425">
          <cell r="I17425" t="str">
            <v>Bushway</v>
          </cell>
        </row>
        <row r="17426">
          <cell r="I17426" t="str">
            <v>Burritt</v>
          </cell>
        </row>
        <row r="17427">
          <cell r="I17427" t="str">
            <v>Browner</v>
          </cell>
        </row>
        <row r="17428">
          <cell r="I17428" t="str">
            <v>Brobst</v>
          </cell>
        </row>
        <row r="17429">
          <cell r="I17429" t="str">
            <v>Briner</v>
          </cell>
        </row>
        <row r="17430">
          <cell r="I17430" t="str">
            <v>Brighton</v>
          </cell>
        </row>
        <row r="17431">
          <cell r="I17431" t="str">
            <v>Bridger</v>
          </cell>
        </row>
        <row r="17432">
          <cell r="I17432" t="str">
            <v>Brickley</v>
          </cell>
        </row>
        <row r="17433">
          <cell r="I17433" t="str">
            <v>Brendel</v>
          </cell>
        </row>
        <row r="17434">
          <cell r="I17434" t="str">
            <v>Bratten</v>
          </cell>
        </row>
        <row r="17435">
          <cell r="I17435" t="str">
            <v>Bratt</v>
          </cell>
        </row>
        <row r="17436">
          <cell r="I17436" t="str">
            <v>Brainerd</v>
          </cell>
        </row>
        <row r="17437">
          <cell r="I17437" t="str">
            <v>Brackman</v>
          </cell>
        </row>
        <row r="17438">
          <cell r="I17438" t="str">
            <v>Bowne</v>
          </cell>
        </row>
        <row r="17439">
          <cell r="I17439" t="str">
            <v>Bouck</v>
          </cell>
        </row>
        <row r="17440">
          <cell r="I17440" t="str">
            <v>Borunda</v>
          </cell>
        </row>
        <row r="17441">
          <cell r="I17441" t="str">
            <v>Bordner</v>
          </cell>
        </row>
        <row r="17442">
          <cell r="I17442" t="str">
            <v>Bonenfant</v>
          </cell>
        </row>
        <row r="17443">
          <cell r="I17443" t="str">
            <v>Boer</v>
          </cell>
        </row>
        <row r="17444">
          <cell r="I17444" t="str">
            <v>Boehmer</v>
          </cell>
        </row>
        <row r="17445">
          <cell r="I17445" t="str">
            <v>Bodiford</v>
          </cell>
        </row>
        <row r="17446">
          <cell r="I17446" t="str">
            <v>Bleau</v>
          </cell>
        </row>
        <row r="17447">
          <cell r="I17447" t="str">
            <v>Blankinship</v>
          </cell>
        </row>
        <row r="17448">
          <cell r="I17448" t="str">
            <v>Blane</v>
          </cell>
        </row>
        <row r="17449">
          <cell r="I17449" t="str">
            <v>Blaha</v>
          </cell>
        </row>
        <row r="17450">
          <cell r="I17450" t="str">
            <v>Bitting</v>
          </cell>
        </row>
        <row r="17451">
          <cell r="I17451" t="str">
            <v>Bissonette</v>
          </cell>
        </row>
        <row r="17452">
          <cell r="I17452" t="str">
            <v>Bigby</v>
          </cell>
        </row>
        <row r="17453">
          <cell r="I17453" t="str">
            <v>Bibeau</v>
          </cell>
        </row>
        <row r="17454">
          <cell r="I17454" t="str">
            <v>Beverage</v>
          </cell>
        </row>
        <row r="17455">
          <cell r="I17455" t="str">
            <v>Bermudes</v>
          </cell>
        </row>
        <row r="17456">
          <cell r="I17456" t="str">
            <v>Berke</v>
          </cell>
        </row>
        <row r="17457">
          <cell r="I17457" t="str">
            <v>Bergevin</v>
          </cell>
        </row>
        <row r="17458">
          <cell r="I17458" t="str">
            <v>Bergerson</v>
          </cell>
        </row>
        <row r="17459">
          <cell r="I17459" t="str">
            <v>Bendel</v>
          </cell>
        </row>
        <row r="17460">
          <cell r="I17460" t="str">
            <v>Belville</v>
          </cell>
        </row>
        <row r="17461">
          <cell r="I17461" t="str">
            <v>Bechard</v>
          </cell>
        </row>
        <row r="17462">
          <cell r="I17462" t="str">
            <v>Bearce</v>
          </cell>
        </row>
        <row r="17463">
          <cell r="I17463" t="str">
            <v>Beadles</v>
          </cell>
        </row>
        <row r="17464">
          <cell r="I17464" t="str">
            <v>Batz</v>
          </cell>
        </row>
        <row r="17465">
          <cell r="I17465" t="str">
            <v>Bartlow</v>
          </cell>
        </row>
        <row r="17466">
          <cell r="I17466" t="str">
            <v>Barren</v>
          </cell>
        </row>
        <row r="17467">
          <cell r="I17467" t="str">
            <v>Ayoub</v>
          </cell>
        </row>
        <row r="17468">
          <cell r="I17468" t="str">
            <v>Avans</v>
          </cell>
        </row>
        <row r="17469">
          <cell r="I17469" t="str">
            <v>Aumiller</v>
          </cell>
        </row>
        <row r="17470">
          <cell r="I17470" t="str">
            <v>Arviso</v>
          </cell>
        </row>
        <row r="17471">
          <cell r="I17471" t="str">
            <v>Arpin</v>
          </cell>
        </row>
        <row r="17472">
          <cell r="I17472" t="str">
            <v>Arnwine</v>
          </cell>
        </row>
        <row r="17473">
          <cell r="I17473" t="str">
            <v>Armwood</v>
          </cell>
        </row>
        <row r="17474">
          <cell r="I17474" t="str">
            <v>Arent</v>
          </cell>
        </row>
        <row r="17475">
          <cell r="I17475" t="str">
            <v>Arehart</v>
          </cell>
        </row>
        <row r="17476">
          <cell r="I17476" t="str">
            <v>Arcand</v>
          </cell>
        </row>
        <row r="17477">
          <cell r="I17477" t="str">
            <v>Antle</v>
          </cell>
        </row>
        <row r="17478">
          <cell r="I17478" t="str">
            <v>Ambrosino</v>
          </cell>
        </row>
        <row r="17479">
          <cell r="I17479" t="str">
            <v>Alongi</v>
          </cell>
        </row>
        <row r="17480">
          <cell r="I17480" t="str">
            <v>Alm</v>
          </cell>
        </row>
        <row r="17481">
          <cell r="I17481" t="str">
            <v>Allshouse</v>
          </cell>
        </row>
        <row r="17482">
          <cell r="I17482" t="str">
            <v>Ahart</v>
          </cell>
        </row>
        <row r="17483">
          <cell r="I17483" t="str">
            <v>Aguon</v>
          </cell>
        </row>
        <row r="17484">
          <cell r="I17484" t="str">
            <v>Ziebarth</v>
          </cell>
        </row>
        <row r="17485">
          <cell r="I17485" t="str">
            <v>Zeledon</v>
          </cell>
        </row>
        <row r="17486">
          <cell r="I17486" t="str">
            <v>Zakrzewski</v>
          </cell>
        </row>
        <row r="17487">
          <cell r="I17487" t="str">
            <v>Yuhas</v>
          </cell>
        </row>
        <row r="17488">
          <cell r="I17488" t="str">
            <v>Yingst</v>
          </cell>
        </row>
        <row r="17489">
          <cell r="I17489" t="str">
            <v>Yedinak</v>
          </cell>
        </row>
        <row r="17490">
          <cell r="I17490" t="str">
            <v>Wommack</v>
          </cell>
        </row>
        <row r="17491">
          <cell r="I17491" t="str">
            <v>Winnett</v>
          </cell>
        </row>
        <row r="17492">
          <cell r="I17492" t="str">
            <v>Wingler</v>
          </cell>
        </row>
        <row r="17493">
          <cell r="I17493" t="str">
            <v>Wilcoxen</v>
          </cell>
        </row>
        <row r="17494">
          <cell r="I17494" t="str">
            <v>Whitmarsh</v>
          </cell>
        </row>
        <row r="17495">
          <cell r="I17495" t="str">
            <v>Whistler</v>
          </cell>
        </row>
        <row r="17496">
          <cell r="I17496" t="str">
            <v>Wayt</v>
          </cell>
        </row>
        <row r="17497">
          <cell r="I17497" t="str">
            <v>Watley</v>
          </cell>
        </row>
        <row r="17498">
          <cell r="I17498" t="str">
            <v>Wasser</v>
          </cell>
        </row>
        <row r="17499">
          <cell r="I17499" t="str">
            <v>Warkentin</v>
          </cell>
        </row>
        <row r="17500">
          <cell r="I17500" t="str">
            <v>Voll</v>
          </cell>
        </row>
        <row r="17501">
          <cell r="I17501" t="str">
            <v>Vogelsang</v>
          </cell>
        </row>
        <row r="17502">
          <cell r="I17502" t="str">
            <v>Voegele</v>
          </cell>
        </row>
        <row r="17503">
          <cell r="I17503" t="str">
            <v>Vivanco</v>
          </cell>
        </row>
        <row r="17504">
          <cell r="I17504" t="str">
            <v>Vinton</v>
          </cell>
        </row>
        <row r="17505">
          <cell r="I17505" t="str">
            <v>Villafane</v>
          </cell>
        </row>
        <row r="17506">
          <cell r="I17506" t="str">
            <v>Viles</v>
          </cell>
        </row>
        <row r="17507">
          <cell r="I17507" t="str">
            <v>Versace</v>
          </cell>
        </row>
        <row r="17508">
          <cell r="I17508" t="str">
            <v>Ver</v>
          </cell>
        </row>
        <row r="17509">
          <cell r="I17509" t="str">
            <v>Venne</v>
          </cell>
        </row>
        <row r="17510">
          <cell r="I17510" t="str">
            <v>Vanwagoner</v>
          </cell>
        </row>
        <row r="17511">
          <cell r="I17511" t="str">
            <v>Vanwagenen</v>
          </cell>
        </row>
        <row r="17512">
          <cell r="I17512" t="str">
            <v>Vanleuven</v>
          </cell>
        </row>
        <row r="17513">
          <cell r="I17513" t="str">
            <v>Vanauken</v>
          </cell>
        </row>
        <row r="17514">
          <cell r="I17514" t="str">
            <v>Uselton</v>
          </cell>
        </row>
        <row r="17515">
          <cell r="I17515" t="str">
            <v>Uren</v>
          </cell>
        </row>
        <row r="17516">
          <cell r="I17516" t="str">
            <v>Trumbauer</v>
          </cell>
        </row>
        <row r="17517">
          <cell r="I17517" t="str">
            <v>Tritt</v>
          </cell>
        </row>
        <row r="17518">
          <cell r="I17518" t="str">
            <v>Treadaway</v>
          </cell>
        </row>
        <row r="17519">
          <cell r="I17519" t="str">
            <v>Tozier</v>
          </cell>
        </row>
        <row r="17520">
          <cell r="I17520" t="str">
            <v>Tope</v>
          </cell>
        </row>
        <row r="17521">
          <cell r="I17521" t="str">
            <v>Tomczak</v>
          </cell>
        </row>
        <row r="17522">
          <cell r="I17522" t="str">
            <v>Tomberlin</v>
          </cell>
        </row>
        <row r="17523">
          <cell r="I17523" t="str">
            <v>Tomasini</v>
          </cell>
        </row>
        <row r="17524">
          <cell r="I17524" t="str">
            <v>Tollett</v>
          </cell>
        </row>
        <row r="17525">
          <cell r="I17525" t="str">
            <v>Toller</v>
          </cell>
        </row>
        <row r="17526">
          <cell r="I17526" t="str">
            <v>Titsworth</v>
          </cell>
        </row>
        <row r="17527">
          <cell r="I17527" t="str">
            <v>Tirrell</v>
          </cell>
        </row>
        <row r="17528">
          <cell r="I17528" t="str">
            <v>Tilly</v>
          </cell>
        </row>
        <row r="17529">
          <cell r="I17529" t="str">
            <v>Tavera</v>
          </cell>
        </row>
        <row r="17530">
          <cell r="I17530" t="str">
            <v>Tarnowski</v>
          </cell>
        </row>
        <row r="17531">
          <cell r="I17531" t="str">
            <v>Tanouye</v>
          </cell>
        </row>
        <row r="17532">
          <cell r="I17532" t="str">
            <v>Tall</v>
          </cell>
        </row>
        <row r="17533">
          <cell r="I17533" t="str">
            <v>Swarthout</v>
          </cell>
        </row>
        <row r="17534">
          <cell r="I17534" t="str">
            <v>Sutera</v>
          </cell>
        </row>
        <row r="17535">
          <cell r="I17535" t="str">
            <v>Surette</v>
          </cell>
        </row>
        <row r="17536">
          <cell r="I17536" t="str">
            <v>Styers</v>
          </cell>
        </row>
        <row r="17537">
          <cell r="I17537" t="str">
            <v>Styer</v>
          </cell>
        </row>
        <row r="17538">
          <cell r="I17538" t="str">
            <v>Stipe</v>
          </cell>
        </row>
        <row r="17539">
          <cell r="I17539" t="str">
            <v>Stickland</v>
          </cell>
        </row>
        <row r="17540">
          <cell r="I17540" t="str">
            <v>Steve</v>
          </cell>
        </row>
        <row r="17541">
          <cell r="I17541" t="str">
            <v>Stembridge</v>
          </cell>
        </row>
        <row r="17542">
          <cell r="I17542" t="str">
            <v>Stearn</v>
          </cell>
        </row>
        <row r="17543">
          <cell r="I17543" t="str">
            <v>Starkes</v>
          </cell>
        </row>
        <row r="17544">
          <cell r="I17544" t="str">
            <v>Stanberry</v>
          </cell>
        </row>
        <row r="17545">
          <cell r="I17545" t="str">
            <v>Stahr</v>
          </cell>
        </row>
        <row r="17546">
          <cell r="I17546" t="str">
            <v>Spino</v>
          </cell>
        </row>
        <row r="17547">
          <cell r="I17547" t="str">
            <v>Spicher</v>
          </cell>
        </row>
        <row r="17548">
          <cell r="I17548" t="str">
            <v>Sperber</v>
          </cell>
        </row>
        <row r="17549">
          <cell r="I17549" t="str">
            <v>Speece</v>
          </cell>
        </row>
        <row r="17550">
          <cell r="I17550" t="str">
            <v>Soo</v>
          </cell>
        </row>
        <row r="17551">
          <cell r="I17551" t="str">
            <v>Sonntag</v>
          </cell>
        </row>
        <row r="17552">
          <cell r="I17552" t="str">
            <v>Sneller</v>
          </cell>
        </row>
        <row r="17553">
          <cell r="I17553" t="str">
            <v>Smalling</v>
          </cell>
        </row>
        <row r="17554">
          <cell r="I17554" t="str">
            <v>Slowik</v>
          </cell>
        </row>
        <row r="17555">
          <cell r="I17555" t="str">
            <v>Slocumb</v>
          </cell>
        </row>
        <row r="17556">
          <cell r="I17556" t="str">
            <v>Sliva</v>
          </cell>
        </row>
        <row r="17557">
          <cell r="I17557" t="str">
            <v>Slemp</v>
          </cell>
        </row>
        <row r="17558">
          <cell r="I17558" t="str">
            <v>Slama</v>
          </cell>
        </row>
        <row r="17559">
          <cell r="I17559" t="str">
            <v>Sitz</v>
          </cell>
        </row>
        <row r="17560">
          <cell r="I17560" t="str">
            <v>Sisto</v>
          </cell>
        </row>
        <row r="17561">
          <cell r="I17561" t="str">
            <v>Sisemore</v>
          </cell>
        </row>
        <row r="17562">
          <cell r="I17562" t="str">
            <v>Sindelar</v>
          </cell>
        </row>
        <row r="17563">
          <cell r="I17563" t="str">
            <v>Shipton</v>
          </cell>
        </row>
        <row r="17564">
          <cell r="I17564" t="str">
            <v>Shillings</v>
          </cell>
        </row>
        <row r="17565">
          <cell r="I17565" t="str">
            <v>Sheeley</v>
          </cell>
        </row>
        <row r="17566">
          <cell r="I17566" t="str">
            <v>Sharber</v>
          </cell>
        </row>
        <row r="17567">
          <cell r="I17567" t="str">
            <v>Shaddix</v>
          </cell>
        </row>
        <row r="17568">
          <cell r="I17568" t="str">
            <v>Severns</v>
          </cell>
        </row>
        <row r="17569">
          <cell r="I17569" t="str">
            <v>Severino</v>
          </cell>
        </row>
        <row r="17570">
          <cell r="I17570" t="str">
            <v>Sever</v>
          </cell>
        </row>
        <row r="17571">
          <cell r="I17571" t="str">
            <v>Sensabaugh</v>
          </cell>
        </row>
        <row r="17572">
          <cell r="I17572" t="str">
            <v>Seder</v>
          </cell>
        </row>
        <row r="17573">
          <cell r="I17573" t="str">
            <v>Seawell</v>
          </cell>
        </row>
        <row r="17574">
          <cell r="I17574" t="str">
            <v>Seamons</v>
          </cell>
        </row>
        <row r="17575">
          <cell r="I17575" t="str">
            <v>Schrantz</v>
          </cell>
        </row>
        <row r="17576">
          <cell r="I17576" t="str">
            <v>Schooler</v>
          </cell>
        </row>
        <row r="17577">
          <cell r="I17577" t="str">
            <v>Scheffer</v>
          </cell>
        </row>
        <row r="17578">
          <cell r="I17578" t="str">
            <v>Scheerer</v>
          </cell>
        </row>
        <row r="17579">
          <cell r="I17579" t="str">
            <v>Scalia</v>
          </cell>
        </row>
        <row r="17580">
          <cell r="I17580" t="str">
            <v>Saum</v>
          </cell>
        </row>
        <row r="17581">
          <cell r="I17581" t="str">
            <v>Santibanez</v>
          </cell>
        </row>
        <row r="17582">
          <cell r="I17582" t="str">
            <v>Sano</v>
          </cell>
        </row>
        <row r="17583">
          <cell r="I17583" t="str">
            <v>Sanjuan</v>
          </cell>
        </row>
        <row r="17584">
          <cell r="I17584" t="str">
            <v>Sampley</v>
          </cell>
        </row>
        <row r="17585">
          <cell r="I17585" t="str">
            <v>Sailer</v>
          </cell>
        </row>
        <row r="17586">
          <cell r="I17586" t="str">
            <v>Sabella</v>
          </cell>
        </row>
        <row r="17587">
          <cell r="I17587" t="str">
            <v>Sabbagh</v>
          </cell>
        </row>
        <row r="17588">
          <cell r="I17588" t="str">
            <v>Royall</v>
          </cell>
        </row>
        <row r="17589">
          <cell r="I17589" t="str">
            <v>Rottman</v>
          </cell>
        </row>
        <row r="17590">
          <cell r="I17590" t="str">
            <v>Rivenbark</v>
          </cell>
        </row>
        <row r="17591">
          <cell r="I17591" t="str">
            <v>Rikard</v>
          </cell>
        </row>
        <row r="17592">
          <cell r="I17592" t="str">
            <v>Ricketson</v>
          </cell>
        </row>
        <row r="17593">
          <cell r="I17593" t="str">
            <v>Rickel</v>
          </cell>
        </row>
        <row r="17594">
          <cell r="I17594" t="str">
            <v>Rethman</v>
          </cell>
        </row>
        <row r="17595">
          <cell r="I17595" t="str">
            <v>Reily</v>
          </cell>
        </row>
        <row r="17596">
          <cell r="I17596" t="str">
            <v>Reddin</v>
          </cell>
        </row>
        <row r="17597">
          <cell r="I17597" t="str">
            <v>Reasoner</v>
          </cell>
        </row>
        <row r="17598">
          <cell r="I17598" t="str">
            <v>Reade</v>
          </cell>
        </row>
        <row r="17599">
          <cell r="I17599" t="str">
            <v>Rast</v>
          </cell>
        </row>
        <row r="17600">
          <cell r="I17600" t="str">
            <v>Ranallo</v>
          </cell>
        </row>
        <row r="17601">
          <cell r="I17601" t="str">
            <v>Rana</v>
          </cell>
        </row>
        <row r="17602">
          <cell r="I17602" t="str">
            <v>Quintal</v>
          </cell>
        </row>
        <row r="17603">
          <cell r="I17603" t="str">
            <v>Pung</v>
          </cell>
        </row>
        <row r="17604">
          <cell r="I17604" t="str">
            <v>Pucci</v>
          </cell>
        </row>
        <row r="17605">
          <cell r="I17605" t="str">
            <v>Proto</v>
          </cell>
        </row>
        <row r="17606">
          <cell r="I17606" t="str">
            <v>Prosperie</v>
          </cell>
        </row>
        <row r="17607">
          <cell r="I17607" t="str">
            <v>Prim</v>
          </cell>
        </row>
        <row r="17608">
          <cell r="I17608" t="str">
            <v>Preusser</v>
          </cell>
        </row>
        <row r="17609">
          <cell r="I17609" t="str">
            <v>Preslar</v>
          </cell>
        </row>
        <row r="17610">
          <cell r="I17610" t="str">
            <v>Powley</v>
          </cell>
        </row>
        <row r="17611">
          <cell r="I17611" t="str">
            <v>Postma</v>
          </cell>
        </row>
        <row r="17612">
          <cell r="I17612" t="str">
            <v>Pinnix</v>
          </cell>
        </row>
        <row r="17613">
          <cell r="I17613" t="str">
            <v>Pilla</v>
          </cell>
        </row>
        <row r="17614">
          <cell r="I17614" t="str">
            <v>Pietsch</v>
          </cell>
        </row>
        <row r="17615">
          <cell r="I17615" t="str">
            <v>Pickerel</v>
          </cell>
        </row>
        <row r="17616">
          <cell r="I17616" t="str">
            <v>Pica</v>
          </cell>
        </row>
        <row r="17617">
          <cell r="I17617" t="str">
            <v>Pharris</v>
          </cell>
        </row>
        <row r="17618">
          <cell r="I17618" t="str">
            <v>Petway</v>
          </cell>
        </row>
        <row r="17619">
          <cell r="I17619" t="str">
            <v>Petillo</v>
          </cell>
        </row>
        <row r="17620">
          <cell r="I17620" t="str">
            <v>Perin</v>
          </cell>
        </row>
        <row r="17621">
          <cell r="I17621" t="str">
            <v>Pereda</v>
          </cell>
        </row>
        <row r="17622">
          <cell r="I17622" t="str">
            <v>Pennypacker</v>
          </cell>
        </row>
        <row r="17623">
          <cell r="I17623" t="str">
            <v>Pennebaker</v>
          </cell>
        </row>
        <row r="17624">
          <cell r="I17624" t="str">
            <v>Pedrick</v>
          </cell>
        </row>
        <row r="17625">
          <cell r="I17625" t="str">
            <v>Patin</v>
          </cell>
        </row>
        <row r="17626">
          <cell r="I17626" t="str">
            <v>Patchell</v>
          </cell>
        </row>
        <row r="17627">
          <cell r="I17627" t="str">
            <v>Parodi</v>
          </cell>
        </row>
        <row r="17628">
          <cell r="I17628" t="str">
            <v>Parman</v>
          </cell>
        </row>
        <row r="17629">
          <cell r="I17629" t="str">
            <v>Pantano</v>
          </cell>
        </row>
        <row r="17630">
          <cell r="I17630" t="str">
            <v>Padua</v>
          </cell>
        </row>
        <row r="17631">
          <cell r="I17631" t="str">
            <v>Padro</v>
          </cell>
        </row>
        <row r="17632">
          <cell r="I17632" t="str">
            <v>Osterhout</v>
          </cell>
        </row>
        <row r="17633">
          <cell r="I17633" t="str">
            <v>Orner</v>
          </cell>
        </row>
        <row r="17634">
          <cell r="I17634" t="str">
            <v>Opp</v>
          </cell>
        </row>
        <row r="17635">
          <cell r="I17635" t="str">
            <v>Olivar</v>
          </cell>
        </row>
        <row r="17636">
          <cell r="I17636" t="str">
            <v>Ohlson</v>
          </cell>
        </row>
        <row r="17637">
          <cell r="I17637" t="str">
            <v>Odonoghue</v>
          </cell>
        </row>
        <row r="17638">
          <cell r="I17638" t="str">
            <v>Oceguera</v>
          </cell>
        </row>
        <row r="17639">
          <cell r="I17639" t="str">
            <v>Oberry</v>
          </cell>
        </row>
        <row r="17640">
          <cell r="I17640" t="str">
            <v>Novello</v>
          </cell>
        </row>
        <row r="17641">
          <cell r="I17641" t="str">
            <v>Noguera</v>
          </cell>
        </row>
        <row r="17642">
          <cell r="I17642" t="str">
            <v>Newquist</v>
          </cell>
        </row>
        <row r="17643">
          <cell r="I17643" t="str">
            <v>Newcombe</v>
          </cell>
        </row>
        <row r="17644">
          <cell r="I17644" t="str">
            <v>Neihoff</v>
          </cell>
        </row>
        <row r="17645">
          <cell r="I17645" t="str">
            <v>Nehring</v>
          </cell>
        </row>
        <row r="17646">
          <cell r="I17646" t="str">
            <v>Nees</v>
          </cell>
        </row>
        <row r="17647">
          <cell r="I17647" t="str">
            <v>Nebeker</v>
          </cell>
        </row>
        <row r="17648">
          <cell r="I17648" t="str">
            <v>Nau</v>
          </cell>
        </row>
        <row r="17649">
          <cell r="I17649" t="str">
            <v>Mundo</v>
          </cell>
        </row>
        <row r="17650">
          <cell r="I17650" t="str">
            <v>Mullenix</v>
          </cell>
        </row>
        <row r="17651">
          <cell r="I17651" t="str">
            <v>Morrisey</v>
          </cell>
        </row>
        <row r="17652">
          <cell r="I17652" t="str">
            <v>Moronta</v>
          </cell>
        </row>
        <row r="17653">
          <cell r="I17653" t="str">
            <v>Morillo</v>
          </cell>
        </row>
        <row r="17654">
          <cell r="I17654" t="str">
            <v>Morefield</v>
          </cell>
        </row>
        <row r="17655">
          <cell r="I17655" t="str">
            <v>Mongillo</v>
          </cell>
        </row>
        <row r="17656">
          <cell r="I17656" t="str">
            <v>Molino</v>
          </cell>
        </row>
        <row r="17657">
          <cell r="I17657" t="str">
            <v>Minto</v>
          </cell>
        </row>
        <row r="17658">
          <cell r="I17658" t="str">
            <v>Midgley</v>
          </cell>
        </row>
        <row r="17659">
          <cell r="I17659" t="str">
            <v>Michie</v>
          </cell>
        </row>
        <row r="17660">
          <cell r="I17660" t="str">
            <v>Menzies</v>
          </cell>
        </row>
        <row r="17661">
          <cell r="I17661" t="str">
            <v>Medved</v>
          </cell>
        </row>
        <row r="17662">
          <cell r="I17662" t="str">
            <v>Mechling</v>
          </cell>
        </row>
        <row r="17663">
          <cell r="I17663" t="str">
            <v>Mealy</v>
          </cell>
        </row>
        <row r="17664">
          <cell r="I17664" t="str">
            <v>Mcshan</v>
          </cell>
        </row>
        <row r="17665">
          <cell r="I17665" t="str">
            <v>Mcquaig</v>
          </cell>
        </row>
        <row r="17666">
          <cell r="I17666" t="str">
            <v>Mcnees</v>
          </cell>
        </row>
        <row r="17667">
          <cell r="I17667" t="str">
            <v>Mcglade</v>
          </cell>
        </row>
        <row r="17668">
          <cell r="I17668" t="str">
            <v>Mcgarity</v>
          </cell>
        </row>
        <row r="17669">
          <cell r="I17669" t="str">
            <v>Mcgahey</v>
          </cell>
        </row>
        <row r="17670">
          <cell r="I17670" t="str">
            <v>Mcduff</v>
          </cell>
        </row>
        <row r="17671">
          <cell r="I17671" t="str">
            <v>Mayweather</v>
          </cell>
        </row>
        <row r="17672">
          <cell r="I17672" t="str">
            <v>Mastropietro</v>
          </cell>
        </row>
        <row r="17673">
          <cell r="I17673" t="str">
            <v>Masten</v>
          </cell>
        </row>
        <row r="17674">
          <cell r="I17674" t="str">
            <v>Maranto</v>
          </cell>
        </row>
        <row r="17675">
          <cell r="I17675" t="str">
            <v>Maniscalco</v>
          </cell>
        </row>
        <row r="17676">
          <cell r="I17676" t="str">
            <v>Maize</v>
          </cell>
        </row>
        <row r="17677">
          <cell r="I17677" t="str">
            <v>Mahmood</v>
          </cell>
        </row>
        <row r="17678">
          <cell r="I17678" t="str">
            <v>Maddocks</v>
          </cell>
        </row>
        <row r="17679">
          <cell r="I17679" t="str">
            <v>Maday</v>
          </cell>
        </row>
        <row r="17680">
          <cell r="I17680" t="str">
            <v>Macha</v>
          </cell>
        </row>
        <row r="17681">
          <cell r="I17681" t="str">
            <v>Maag</v>
          </cell>
        </row>
        <row r="17682">
          <cell r="I17682" t="str">
            <v>Luken</v>
          </cell>
        </row>
        <row r="17683">
          <cell r="I17683" t="str">
            <v>Lopp</v>
          </cell>
        </row>
        <row r="17684">
          <cell r="I17684" t="str">
            <v>Lolley</v>
          </cell>
        </row>
        <row r="17685">
          <cell r="I17685" t="str">
            <v>Llanas</v>
          </cell>
        </row>
        <row r="17686">
          <cell r="I17686" t="str">
            <v>Litz</v>
          </cell>
        </row>
        <row r="17687">
          <cell r="I17687" t="str">
            <v>Litherland</v>
          </cell>
        </row>
        <row r="17688">
          <cell r="I17688" t="str">
            <v>Lindenberg</v>
          </cell>
        </row>
        <row r="17689">
          <cell r="I17689" t="str">
            <v>Lieu</v>
          </cell>
        </row>
        <row r="17690">
          <cell r="I17690" t="str">
            <v>Letcher</v>
          </cell>
        </row>
        <row r="17691">
          <cell r="I17691" t="str">
            <v>Lentini</v>
          </cell>
        </row>
        <row r="17692">
          <cell r="I17692" t="str">
            <v>Lemelle</v>
          </cell>
        </row>
        <row r="17693">
          <cell r="I17693" t="str">
            <v>Leet</v>
          </cell>
        </row>
        <row r="17694">
          <cell r="I17694" t="str">
            <v>Lecuyer</v>
          </cell>
        </row>
        <row r="17695">
          <cell r="I17695" t="str">
            <v>Leber</v>
          </cell>
        </row>
        <row r="17696">
          <cell r="I17696" t="str">
            <v>Laursen</v>
          </cell>
        </row>
        <row r="17697">
          <cell r="I17697" t="str">
            <v>Latch</v>
          </cell>
        </row>
        <row r="17698">
          <cell r="I17698" t="str">
            <v>Larrick</v>
          </cell>
        </row>
        <row r="17699">
          <cell r="I17699" t="str">
            <v>Lantigua</v>
          </cell>
        </row>
        <row r="17700">
          <cell r="I17700" t="str">
            <v>Langlinais</v>
          </cell>
        </row>
        <row r="17701">
          <cell r="I17701" t="str">
            <v>Lalli</v>
          </cell>
        </row>
        <row r="17702">
          <cell r="I17702" t="str">
            <v>Lafever</v>
          </cell>
        </row>
        <row r="17703">
          <cell r="I17703" t="str">
            <v>Labat</v>
          </cell>
        </row>
        <row r="17704">
          <cell r="I17704" t="str">
            <v>Labadie</v>
          </cell>
        </row>
        <row r="17705">
          <cell r="I17705" t="str">
            <v>Kurt</v>
          </cell>
        </row>
        <row r="17706">
          <cell r="I17706" t="str">
            <v>Krogman</v>
          </cell>
        </row>
        <row r="17707">
          <cell r="I17707" t="str">
            <v>Kohut</v>
          </cell>
        </row>
        <row r="17708">
          <cell r="I17708" t="str">
            <v>Knarr</v>
          </cell>
        </row>
        <row r="17709">
          <cell r="I17709" t="str">
            <v>Klimas</v>
          </cell>
        </row>
        <row r="17710">
          <cell r="I17710" t="str">
            <v>Klar</v>
          </cell>
        </row>
        <row r="17711">
          <cell r="I17711" t="str">
            <v>Kittelson</v>
          </cell>
        </row>
        <row r="17712">
          <cell r="I17712" t="str">
            <v>Kirschbaum</v>
          </cell>
        </row>
        <row r="17713">
          <cell r="I17713" t="str">
            <v>Kintzel</v>
          </cell>
        </row>
        <row r="17714">
          <cell r="I17714" t="str">
            <v>Kincannon</v>
          </cell>
        </row>
        <row r="17715">
          <cell r="I17715" t="str">
            <v>Kimmell</v>
          </cell>
        </row>
        <row r="17716">
          <cell r="I17716" t="str">
            <v>Killgore</v>
          </cell>
        </row>
        <row r="17717">
          <cell r="I17717" t="str">
            <v>Kettner</v>
          </cell>
        </row>
        <row r="17718">
          <cell r="I17718" t="str">
            <v>Kelsch</v>
          </cell>
        </row>
        <row r="17719">
          <cell r="I17719" t="str">
            <v>Karle</v>
          </cell>
        </row>
        <row r="17720">
          <cell r="I17720" t="str">
            <v>Kapoor</v>
          </cell>
        </row>
        <row r="17721">
          <cell r="I17721" t="str">
            <v>Johansson</v>
          </cell>
        </row>
        <row r="17722">
          <cell r="I17722" t="str">
            <v>Jock</v>
          </cell>
        </row>
        <row r="17723">
          <cell r="I17723" t="str">
            <v>Jenkinson</v>
          </cell>
        </row>
        <row r="17724">
          <cell r="I17724" t="str">
            <v>Janney</v>
          </cell>
        </row>
        <row r="17725">
          <cell r="I17725" t="str">
            <v>Isabelle</v>
          </cell>
        </row>
        <row r="17726">
          <cell r="I17726" t="str">
            <v>Iraheta</v>
          </cell>
        </row>
        <row r="17727">
          <cell r="I17727" t="str">
            <v>Insley</v>
          </cell>
        </row>
        <row r="17728">
          <cell r="I17728" t="str">
            <v>Hyslop</v>
          </cell>
        </row>
        <row r="17729">
          <cell r="I17729" t="str">
            <v>Hy</v>
          </cell>
        </row>
        <row r="17730">
          <cell r="I17730" t="str">
            <v>Human</v>
          </cell>
        </row>
        <row r="17731">
          <cell r="I17731" t="str">
            <v>Huckstep</v>
          </cell>
        </row>
        <row r="17732">
          <cell r="I17732" t="str">
            <v>Holleran</v>
          </cell>
        </row>
        <row r="17733">
          <cell r="I17733" t="str">
            <v>Hoerr</v>
          </cell>
        </row>
        <row r="17734">
          <cell r="I17734" t="str">
            <v>Hinze</v>
          </cell>
        </row>
        <row r="17735">
          <cell r="I17735" t="str">
            <v>Hinnenkamp</v>
          </cell>
        </row>
        <row r="17736">
          <cell r="I17736" t="str">
            <v>Hilger</v>
          </cell>
        </row>
        <row r="17737">
          <cell r="I17737" t="str">
            <v>Higgin</v>
          </cell>
        </row>
        <row r="17738">
          <cell r="I17738" t="str">
            <v>Hicklin</v>
          </cell>
        </row>
        <row r="17739">
          <cell r="I17739" t="str">
            <v>Heroux</v>
          </cell>
        </row>
        <row r="17740">
          <cell r="I17740" t="str">
            <v>Henkle</v>
          </cell>
        </row>
        <row r="17741">
          <cell r="I17741" t="str">
            <v>Helfer</v>
          </cell>
        </row>
        <row r="17742">
          <cell r="I17742" t="str">
            <v>Heikkinen</v>
          </cell>
        </row>
        <row r="17743">
          <cell r="I17743" t="str">
            <v>Heckstall</v>
          </cell>
        </row>
        <row r="17744">
          <cell r="I17744" t="str">
            <v>Heckler</v>
          </cell>
        </row>
        <row r="17745">
          <cell r="I17745" t="str">
            <v>Heavener</v>
          </cell>
        </row>
        <row r="17746">
          <cell r="I17746" t="str">
            <v>Haydel</v>
          </cell>
        </row>
        <row r="17747">
          <cell r="I17747" t="str">
            <v>Haveman</v>
          </cell>
        </row>
        <row r="17748">
          <cell r="I17748" t="str">
            <v>Haubert</v>
          </cell>
        </row>
        <row r="17749">
          <cell r="I17749" t="str">
            <v>Harrop</v>
          </cell>
        </row>
        <row r="17750">
          <cell r="I17750" t="str">
            <v>Harnois</v>
          </cell>
        </row>
        <row r="17751">
          <cell r="I17751" t="str">
            <v>Hansard</v>
          </cell>
        </row>
        <row r="17752">
          <cell r="I17752" t="str">
            <v>Hanover</v>
          </cell>
        </row>
        <row r="17753">
          <cell r="I17753" t="str">
            <v>Hammitt</v>
          </cell>
        </row>
        <row r="17754">
          <cell r="I17754" t="str">
            <v>Haliburton</v>
          </cell>
        </row>
        <row r="17755">
          <cell r="I17755" t="str">
            <v>Haefner</v>
          </cell>
        </row>
        <row r="17756">
          <cell r="I17756" t="str">
            <v>Hadsell</v>
          </cell>
        </row>
        <row r="17757">
          <cell r="I17757" t="str">
            <v>Haakenson</v>
          </cell>
        </row>
        <row r="17758">
          <cell r="I17758" t="str">
            <v>Guynn</v>
          </cell>
        </row>
        <row r="17759">
          <cell r="I17759" t="str">
            <v>Guizar</v>
          </cell>
        </row>
        <row r="17760">
          <cell r="I17760" t="str">
            <v>Grout</v>
          </cell>
        </row>
        <row r="17761">
          <cell r="I17761" t="str">
            <v>Grosz</v>
          </cell>
        </row>
        <row r="17762">
          <cell r="I17762" t="str">
            <v>Goo</v>
          </cell>
        </row>
        <row r="17763">
          <cell r="I17763" t="str">
            <v>Gomer</v>
          </cell>
        </row>
        <row r="17764">
          <cell r="I17764" t="str">
            <v>Golla</v>
          </cell>
        </row>
        <row r="17765">
          <cell r="I17765" t="str">
            <v>Godby</v>
          </cell>
        </row>
        <row r="17766">
          <cell r="I17766" t="str">
            <v>Glanz</v>
          </cell>
        </row>
        <row r="17767">
          <cell r="I17767" t="str">
            <v>Glancy</v>
          </cell>
        </row>
        <row r="17768">
          <cell r="I17768" t="str">
            <v>Givan</v>
          </cell>
        </row>
        <row r="17769">
          <cell r="I17769" t="str">
            <v>Giesen</v>
          </cell>
        </row>
        <row r="17770">
          <cell r="I17770" t="str">
            <v>Gerst</v>
          </cell>
        </row>
        <row r="17771">
          <cell r="I17771" t="str">
            <v>Gayman</v>
          </cell>
        </row>
        <row r="17772">
          <cell r="I17772" t="str">
            <v>Garraway</v>
          </cell>
        </row>
        <row r="17773">
          <cell r="I17773" t="str">
            <v>Gabor</v>
          </cell>
        </row>
        <row r="17774">
          <cell r="I17774" t="str">
            <v>Furness</v>
          </cell>
        </row>
        <row r="17775">
          <cell r="I17775" t="str">
            <v>Frisk</v>
          </cell>
        </row>
        <row r="17776">
          <cell r="I17776" t="str">
            <v>Fremont</v>
          </cell>
        </row>
        <row r="17777">
          <cell r="I17777" t="str">
            <v>Frary</v>
          </cell>
        </row>
        <row r="17778">
          <cell r="I17778" t="str">
            <v>Forand</v>
          </cell>
        </row>
        <row r="17779">
          <cell r="I17779" t="str">
            <v>Fessenden</v>
          </cell>
        </row>
        <row r="17780">
          <cell r="I17780" t="str">
            <v>Ferrigno</v>
          </cell>
        </row>
        <row r="17781">
          <cell r="I17781" t="str">
            <v>Fearon</v>
          </cell>
        </row>
        <row r="17782">
          <cell r="I17782" t="str">
            <v>Favreau</v>
          </cell>
        </row>
        <row r="17783">
          <cell r="I17783" t="str">
            <v>Faulks</v>
          </cell>
        </row>
        <row r="17784">
          <cell r="I17784" t="str">
            <v>Falbo</v>
          </cell>
        </row>
        <row r="17785">
          <cell r="I17785" t="str">
            <v>Ewen</v>
          </cell>
        </row>
        <row r="17786">
          <cell r="I17786" t="str">
            <v>Everton</v>
          </cell>
        </row>
        <row r="17787">
          <cell r="I17787" t="str">
            <v>Eurich</v>
          </cell>
        </row>
        <row r="17788">
          <cell r="I17788" t="str">
            <v>Etchison</v>
          </cell>
        </row>
        <row r="17789">
          <cell r="I17789" t="str">
            <v>Esterly</v>
          </cell>
        </row>
        <row r="17790">
          <cell r="I17790" t="str">
            <v>Entwistle</v>
          </cell>
        </row>
        <row r="17791">
          <cell r="I17791" t="str">
            <v>Ellingsworth</v>
          </cell>
        </row>
        <row r="17792">
          <cell r="I17792" t="str">
            <v>Elders</v>
          </cell>
        </row>
        <row r="17793">
          <cell r="I17793" t="str">
            <v>Ek</v>
          </cell>
        </row>
        <row r="17794">
          <cell r="I17794" t="str">
            <v>Eisenbarth</v>
          </cell>
        </row>
        <row r="17795">
          <cell r="I17795" t="str">
            <v>Edelson</v>
          </cell>
        </row>
        <row r="17796">
          <cell r="I17796" t="str">
            <v>Eckel</v>
          </cell>
        </row>
        <row r="17797">
          <cell r="I17797" t="str">
            <v>Earnshaw</v>
          </cell>
        </row>
        <row r="17798">
          <cell r="I17798" t="str">
            <v>Dunneback</v>
          </cell>
        </row>
        <row r="17799">
          <cell r="I17799" t="str">
            <v>Doyal</v>
          </cell>
        </row>
        <row r="17800">
          <cell r="I17800" t="str">
            <v>Donnellan</v>
          </cell>
        </row>
        <row r="17801">
          <cell r="I17801" t="str">
            <v>Dolin</v>
          </cell>
        </row>
        <row r="17802">
          <cell r="I17802" t="str">
            <v>Dibiase</v>
          </cell>
        </row>
        <row r="17803">
          <cell r="I17803" t="str">
            <v>Deschenes</v>
          </cell>
        </row>
        <row r="17804">
          <cell r="I17804" t="str">
            <v>Dermody</v>
          </cell>
        </row>
        <row r="17805">
          <cell r="I17805" t="str">
            <v>Denmark</v>
          </cell>
        </row>
        <row r="17806">
          <cell r="I17806" t="str">
            <v>Degregorio</v>
          </cell>
        </row>
        <row r="17807">
          <cell r="I17807" t="str">
            <v>Darnall</v>
          </cell>
        </row>
        <row r="17808">
          <cell r="I17808" t="str">
            <v>Dant</v>
          </cell>
        </row>
        <row r="17809">
          <cell r="I17809" t="str">
            <v>Dansereau</v>
          </cell>
        </row>
        <row r="17810">
          <cell r="I17810" t="str">
            <v>Danaher</v>
          </cell>
        </row>
        <row r="17811">
          <cell r="I17811" t="str">
            <v>Dammann</v>
          </cell>
        </row>
        <row r="17812">
          <cell r="I17812" t="str">
            <v>Dames</v>
          </cell>
        </row>
        <row r="17813">
          <cell r="I17813" t="str">
            <v>Czarnecki</v>
          </cell>
        </row>
        <row r="17814">
          <cell r="I17814" t="str">
            <v>Cuyler</v>
          </cell>
        </row>
        <row r="17815">
          <cell r="I17815" t="str">
            <v>Custard</v>
          </cell>
        </row>
        <row r="17816">
          <cell r="I17816" t="str">
            <v>Cummingham</v>
          </cell>
        </row>
        <row r="17817">
          <cell r="I17817" t="str">
            <v>Cuffie</v>
          </cell>
        </row>
        <row r="17818">
          <cell r="I17818" t="str">
            <v>Cuffee</v>
          </cell>
        </row>
        <row r="17819">
          <cell r="I17819" t="str">
            <v>Cudney</v>
          </cell>
        </row>
        <row r="17820">
          <cell r="I17820" t="str">
            <v>Cuadra</v>
          </cell>
        </row>
        <row r="17821">
          <cell r="I17821" t="str">
            <v>Crigler</v>
          </cell>
        </row>
        <row r="17822">
          <cell r="I17822" t="str">
            <v>Creger</v>
          </cell>
        </row>
        <row r="17823">
          <cell r="I17823" t="str">
            <v>Coughlan</v>
          </cell>
        </row>
        <row r="17824">
          <cell r="I17824" t="str">
            <v>Corvin</v>
          </cell>
        </row>
        <row r="17825">
          <cell r="I17825" t="str">
            <v>Cortright</v>
          </cell>
        </row>
        <row r="17826">
          <cell r="I17826" t="str">
            <v>Corchado</v>
          </cell>
        </row>
        <row r="17827">
          <cell r="I17827" t="str">
            <v>Connery</v>
          </cell>
        </row>
        <row r="17828">
          <cell r="I17828" t="str">
            <v>Conforti</v>
          </cell>
        </row>
        <row r="17829">
          <cell r="I17829" t="str">
            <v>Condron</v>
          </cell>
        </row>
        <row r="17830">
          <cell r="I17830" t="str">
            <v>Colosimo</v>
          </cell>
        </row>
        <row r="17831">
          <cell r="I17831" t="str">
            <v>Colclough</v>
          </cell>
        </row>
        <row r="17832">
          <cell r="I17832" t="str">
            <v>Cola</v>
          </cell>
        </row>
        <row r="17833">
          <cell r="I17833" t="str">
            <v>Cohee</v>
          </cell>
        </row>
        <row r="17834">
          <cell r="I17834" t="str">
            <v>Claire</v>
          </cell>
        </row>
        <row r="17835">
          <cell r="I17835" t="str">
            <v>Ciotti</v>
          </cell>
        </row>
        <row r="17836">
          <cell r="I17836" t="str">
            <v>Chill</v>
          </cell>
        </row>
        <row r="17837">
          <cell r="I17837" t="str">
            <v>Chien</v>
          </cell>
        </row>
        <row r="17838">
          <cell r="I17838" t="str">
            <v>Check</v>
          </cell>
        </row>
        <row r="17839">
          <cell r="I17839" t="str">
            <v>Chacko</v>
          </cell>
        </row>
        <row r="17840">
          <cell r="I17840" t="str">
            <v>Cevallos</v>
          </cell>
        </row>
        <row r="17841">
          <cell r="I17841" t="str">
            <v>Cavitt</v>
          </cell>
        </row>
        <row r="17842">
          <cell r="I17842" t="str">
            <v>Cavins</v>
          </cell>
        </row>
        <row r="17843">
          <cell r="I17843" t="str">
            <v>Castagna</v>
          </cell>
        </row>
        <row r="17844">
          <cell r="I17844" t="str">
            <v>Cashwell</v>
          </cell>
        </row>
        <row r="17845">
          <cell r="I17845" t="str">
            <v>Carrozza</v>
          </cell>
        </row>
        <row r="17846">
          <cell r="I17846" t="str">
            <v>Carrara</v>
          </cell>
        </row>
        <row r="17847">
          <cell r="I17847" t="str">
            <v>Capra</v>
          </cell>
        </row>
        <row r="17848">
          <cell r="I17848" t="str">
            <v>Campas</v>
          </cell>
        </row>
        <row r="17849">
          <cell r="I17849" t="str">
            <v>Callas</v>
          </cell>
        </row>
        <row r="17850">
          <cell r="I17850" t="str">
            <v>Caison</v>
          </cell>
        </row>
        <row r="17851">
          <cell r="I17851" t="str">
            <v>Cai</v>
          </cell>
        </row>
        <row r="17852">
          <cell r="I17852" t="str">
            <v>Caggiano</v>
          </cell>
        </row>
        <row r="17853">
          <cell r="I17853" t="str">
            <v>Cabot</v>
          </cell>
        </row>
        <row r="17854">
          <cell r="I17854" t="str">
            <v>Bynoe</v>
          </cell>
        </row>
        <row r="17855">
          <cell r="I17855" t="str">
            <v>Buswell</v>
          </cell>
        </row>
        <row r="17856">
          <cell r="I17856" t="str">
            <v>Burpo</v>
          </cell>
        </row>
        <row r="17857">
          <cell r="I17857" t="str">
            <v>Burnam</v>
          </cell>
        </row>
        <row r="17858">
          <cell r="I17858" t="str">
            <v>Burges</v>
          </cell>
        </row>
        <row r="17859">
          <cell r="I17859" t="str">
            <v>Buerger</v>
          </cell>
        </row>
        <row r="17860">
          <cell r="I17860" t="str">
            <v>Buelow</v>
          </cell>
        </row>
        <row r="17861">
          <cell r="I17861" t="str">
            <v>Bueche</v>
          </cell>
        </row>
        <row r="17862">
          <cell r="I17862" t="str">
            <v>Buckle</v>
          </cell>
        </row>
        <row r="17863">
          <cell r="I17863" t="str">
            <v>Bruni</v>
          </cell>
        </row>
        <row r="17864">
          <cell r="I17864" t="str">
            <v>Brummitt</v>
          </cell>
        </row>
        <row r="17865">
          <cell r="I17865" t="str">
            <v>Brodersen</v>
          </cell>
        </row>
        <row r="17866">
          <cell r="I17866" t="str">
            <v>Briese</v>
          </cell>
        </row>
        <row r="17867">
          <cell r="I17867" t="str">
            <v>Breit</v>
          </cell>
        </row>
        <row r="17868">
          <cell r="I17868" t="str">
            <v>Brakebill</v>
          </cell>
        </row>
        <row r="17869">
          <cell r="I17869" t="str">
            <v>Braatz</v>
          </cell>
        </row>
        <row r="17870">
          <cell r="I17870" t="str">
            <v>Boyers</v>
          </cell>
        </row>
        <row r="17871">
          <cell r="I17871" t="str">
            <v>Boughner</v>
          </cell>
        </row>
        <row r="17872">
          <cell r="I17872" t="str">
            <v>Borror</v>
          </cell>
        </row>
        <row r="17873">
          <cell r="I17873" t="str">
            <v>Borquez</v>
          </cell>
        </row>
        <row r="17874">
          <cell r="I17874" t="str">
            <v>Bonelli</v>
          </cell>
        </row>
        <row r="17875">
          <cell r="I17875" t="str">
            <v>Bohner</v>
          </cell>
        </row>
        <row r="17876">
          <cell r="I17876" t="str">
            <v>Blaze</v>
          </cell>
        </row>
        <row r="17877">
          <cell r="I17877" t="str">
            <v>Blaker</v>
          </cell>
        </row>
        <row r="17878">
          <cell r="I17878" t="str">
            <v>Blackmer</v>
          </cell>
        </row>
        <row r="17879">
          <cell r="I17879" t="str">
            <v>Bissette</v>
          </cell>
        </row>
        <row r="17880">
          <cell r="I17880" t="str">
            <v>Bibbins</v>
          </cell>
        </row>
        <row r="17881">
          <cell r="I17881" t="str">
            <v>Bhatt</v>
          </cell>
        </row>
        <row r="17882">
          <cell r="I17882" t="str">
            <v>Bhatia</v>
          </cell>
        </row>
        <row r="17883">
          <cell r="I17883" t="str">
            <v>Bessler</v>
          </cell>
        </row>
        <row r="17884">
          <cell r="I17884" t="str">
            <v>Bergh</v>
          </cell>
        </row>
        <row r="17885">
          <cell r="I17885" t="str">
            <v>Beresford</v>
          </cell>
        </row>
        <row r="17886">
          <cell r="I17886" t="str">
            <v>Bensen</v>
          </cell>
        </row>
        <row r="17887">
          <cell r="I17887" t="str">
            <v>Benningfield</v>
          </cell>
        </row>
        <row r="17888">
          <cell r="I17888" t="str">
            <v>Benito</v>
          </cell>
        </row>
        <row r="17889">
          <cell r="I17889" t="str">
            <v>Bellantoni</v>
          </cell>
        </row>
        <row r="17890">
          <cell r="I17890" t="str">
            <v>Behler</v>
          </cell>
        </row>
        <row r="17891">
          <cell r="I17891" t="str">
            <v>Beehler</v>
          </cell>
        </row>
        <row r="17892">
          <cell r="I17892" t="str">
            <v>Beazley</v>
          </cell>
        </row>
        <row r="17893">
          <cell r="I17893" t="str">
            <v>Beauchesne</v>
          </cell>
        </row>
        <row r="17894">
          <cell r="I17894" t="str">
            <v>Bargo</v>
          </cell>
        </row>
        <row r="17895">
          <cell r="I17895" t="str">
            <v>Bannerman</v>
          </cell>
        </row>
        <row r="17896">
          <cell r="I17896" t="str">
            <v>Baltes</v>
          </cell>
        </row>
        <row r="17897">
          <cell r="I17897" t="str">
            <v>Balog</v>
          </cell>
        </row>
        <row r="17898">
          <cell r="I17898" t="str">
            <v>Ballantyne</v>
          </cell>
        </row>
        <row r="17899">
          <cell r="I17899" t="str">
            <v>Bad</v>
          </cell>
        </row>
        <row r="17900">
          <cell r="I17900" t="str">
            <v>Axelson</v>
          </cell>
        </row>
        <row r="17901">
          <cell r="I17901" t="str">
            <v>Apgar</v>
          </cell>
        </row>
        <row r="17902">
          <cell r="I17902" t="str">
            <v>Aoki</v>
          </cell>
        </row>
        <row r="17903">
          <cell r="I17903" t="str">
            <v>Anstett</v>
          </cell>
        </row>
        <row r="17904">
          <cell r="I17904" t="str">
            <v>Alejos</v>
          </cell>
        </row>
        <row r="17905">
          <cell r="I17905" t="str">
            <v>Alcocer</v>
          </cell>
        </row>
        <row r="17906">
          <cell r="I17906" t="str">
            <v>Albury</v>
          </cell>
        </row>
        <row r="17907">
          <cell r="I17907" t="str">
            <v>Aichele</v>
          </cell>
        </row>
        <row r="17908">
          <cell r="I17908" t="str">
            <v>Ahl</v>
          </cell>
        </row>
        <row r="17909">
          <cell r="I17909" t="str">
            <v>Ackles</v>
          </cell>
        </row>
        <row r="17910">
          <cell r="I17910" t="str">
            <v>Zerangue</v>
          </cell>
        </row>
        <row r="17911">
          <cell r="I17911" t="str">
            <v>Zehner</v>
          </cell>
        </row>
        <row r="17912">
          <cell r="I17912" t="str">
            <v>Zank</v>
          </cell>
        </row>
        <row r="17913">
          <cell r="I17913" t="str">
            <v>Zacarias</v>
          </cell>
        </row>
        <row r="17914">
          <cell r="I17914" t="str">
            <v>Youngberg</v>
          </cell>
        </row>
        <row r="17915">
          <cell r="I17915" t="str">
            <v>Yorke</v>
          </cell>
        </row>
        <row r="17916">
          <cell r="I17916" t="str">
            <v>Yarbro</v>
          </cell>
        </row>
        <row r="17917">
          <cell r="I17917" t="str">
            <v>Xie</v>
          </cell>
        </row>
        <row r="17918">
          <cell r="I17918" t="str">
            <v>Wydra</v>
          </cell>
        </row>
        <row r="17919">
          <cell r="I17919" t="str">
            <v>Worthley</v>
          </cell>
        </row>
        <row r="17920">
          <cell r="I17920" t="str">
            <v>Wolbert</v>
          </cell>
        </row>
        <row r="17921">
          <cell r="I17921" t="str">
            <v>Wittmer</v>
          </cell>
        </row>
        <row r="17922">
          <cell r="I17922" t="str">
            <v>Witherington</v>
          </cell>
        </row>
        <row r="17923">
          <cell r="I17923" t="str">
            <v>Wishart</v>
          </cell>
        </row>
        <row r="17924">
          <cell r="I17924" t="str">
            <v>Wire</v>
          </cell>
        </row>
        <row r="17925">
          <cell r="I17925" t="str">
            <v>Winnie</v>
          </cell>
        </row>
        <row r="17926">
          <cell r="I17926" t="str">
            <v>Winkleman</v>
          </cell>
        </row>
        <row r="17927">
          <cell r="I17927" t="str">
            <v>Willilams</v>
          </cell>
        </row>
        <row r="17928">
          <cell r="I17928" t="str">
            <v>Willer</v>
          </cell>
        </row>
        <row r="17929">
          <cell r="I17929" t="str">
            <v>Wiedeman</v>
          </cell>
        </row>
        <row r="17930">
          <cell r="I17930" t="str">
            <v>Whittingham</v>
          </cell>
        </row>
        <row r="17931">
          <cell r="I17931" t="str">
            <v>Whitbeck</v>
          </cell>
        </row>
        <row r="17932">
          <cell r="I17932" t="str">
            <v>Whetsel</v>
          </cell>
        </row>
        <row r="17933">
          <cell r="I17933" t="str">
            <v>Wheless</v>
          </cell>
        </row>
        <row r="17934">
          <cell r="I17934" t="str">
            <v>Westerberg</v>
          </cell>
        </row>
        <row r="17935">
          <cell r="I17935" t="str">
            <v>Welcher</v>
          </cell>
        </row>
        <row r="17936">
          <cell r="I17936" t="str">
            <v>Wegman</v>
          </cell>
        </row>
        <row r="17937">
          <cell r="I17937" t="str">
            <v>Waterfield</v>
          </cell>
        </row>
        <row r="17938">
          <cell r="I17938" t="str">
            <v>Wasinger</v>
          </cell>
        </row>
        <row r="17939">
          <cell r="I17939" t="str">
            <v>Warfel</v>
          </cell>
        </row>
        <row r="17940">
          <cell r="I17940" t="str">
            <v>Wannamaker</v>
          </cell>
        </row>
        <row r="17941">
          <cell r="I17941" t="str">
            <v>Walborn</v>
          </cell>
        </row>
        <row r="17942">
          <cell r="I17942" t="str">
            <v>Wada</v>
          </cell>
        </row>
        <row r="17943">
          <cell r="I17943" t="str">
            <v>Vogl</v>
          </cell>
        </row>
        <row r="17944">
          <cell r="I17944" t="str">
            <v>Vizcarrondo</v>
          </cell>
        </row>
        <row r="17945">
          <cell r="I17945" t="str">
            <v>Vitela</v>
          </cell>
        </row>
        <row r="17946">
          <cell r="I17946" t="str">
            <v>Villeda</v>
          </cell>
        </row>
        <row r="17947">
          <cell r="I17947" t="str">
            <v>Veras</v>
          </cell>
        </row>
        <row r="17948">
          <cell r="I17948" t="str">
            <v>Venuti</v>
          </cell>
        </row>
        <row r="17949">
          <cell r="I17949" t="str">
            <v>Veney</v>
          </cell>
        </row>
        <row r="17950">
          <cell r="I17950" t="str">
            <v>Ulrey</v>
          </cell>
        </row>
        <row r="17951">
          <cell r="I17951" t="str">
            <v>Uhlig</v>
          </cell>
        </row>
        <row r="17952">
          <cell r="I17952" t="str">
            <v>Turcios</v>
          </cell>
        </row>
        <row r="17953">
          <cell r="I17953" t="str">
            <v>Tremper</v>
          </cell>
        </row>
        <row r="17954">
          <cell r="I17954" t="str">
            <v>Torian</v>
          </cell>
        </row>
        <row r="17955">
          <cell r="I17955" t="str">
            <v>Torbett</v>
          </cell>
        </row>
        <row r="17956">
          <cell r="I17956" t="str">
            <v>Thrailkill</v>
          </cell>
        </row>
        <row r="17957">
          <cell r="I17957" t="str">
            <v>Terrones</v>
          </cell>
        </row>
        <row r="17958">
          <cell r="I17958" t="str">
            <v>Teitelbaum</v>
          </cell>
        </row>
        <row r="17959">
          <cell r="I17959" t="str">
            <v>Teems</v>
          </cell>
        </row>
        <row r="17960">
          <cell r="I17960" t="str">
            <v>Tay</v>
          </cell>
        </row>
        <row r="17961">
          <cell r="I17961" t="str">
            <v>Swoope</v>
          </cell>
        </row>
        <row r="17962">
          <cell r="I17962" t="str">
            <v>Sunseri</v>
          </cell>
        </row>
        <row r="17963">
          <cell r="I17963" t="str">
            <v>Stutes</v>
          </cell>
        </row>
        <row r="17964">
          <cell r="I17964" t="str">
            <v>Stthomas</v>
          </cell>
        </row>
        <row r="17965">
          <cell r="I17965" t="str">
            <v>Strohm</v>
          </cell>
        </row>
        <row r="17966">
          <cell r="I17966" t="str">
            <v>Stroble</v>
          </cell>
        </row>
        <row r="17967">
          <cell r="I17967" t="str">
            <v>Striegel</v>
          </cell>
        </row>
        <row r="17968">
          <cell r="I17968" t="str">
            <v>Streicher</v>
          </cell>
        </row>
        <row r="17969">
          <cell r="I17969" t="str">
            <v>Stodola</v>
          </cell>
        </row>
        <row r="17970">
          <cell r="I17970" t="str">
            <v>Stinchcomb</v>
          </cell>
        </row>
        <row r="17971">
          <cell r="I17971" t="str">
            <v>Steves</v>
          </cell>
        </row>
        <row r="17972">
          <cell r="I17972" t="str">
            <v>Steppe</v>
          </cell>
        </row>
        <row r="17973">
          <cell r="I17973" t="str">
            <v>Stem</v>
          </cell>
        </row>
        <row r="17974">
          <cell r="I17974" t="str">
            <v>Steller</v>
          </cell>
        </row>
        <row r="17975">
          <cell r="I17975" t="str">
            <v>Staudt</v>
          </cell>
        </row>
        <row r="17976">
          <cell r="I17976" t="str">
            <v>Starner</v>
          </cell>
        </row>
        <row r="17977">
          <cell r="I17977" t="str">
            <v>Stamant</v>
          </cell>
        </row>
        <row r="17978">
          <cell r="I17978" t="str">
            <v>Stam</v>
          </cell>
        </row>
        <row r="17979">
          <cell r="I17979" t="str">
            <v>Stackpole</v>
          </cell>
        </row>
        <row r="17980">
          <cell r="I17980" t="str">
            <v>Sprankle</v>
          </cell>
        </row>
        <row r="17981">
          <cell r="I17981" t="str">
            <v>Speciale</v>
          </cell>
        </row>
        <row r="17982">
          <cell r="I17982" t="str">
            <v>Spahr</v>
          </cell>
        </row>
        <row r="17983">
          <cell r="I17983" t="str">
            <v>Sowders</v>
          </cell>
        </row>
        <row r="17984">
          <cell r="I17984" t="str">
            <v>Sova</v>
          </cell>
        </row>
        <row r="17985">
          <cell r="I17985" t="str">
            <v>Soluri</v>
          </cell>
        </row>
        <row r="17986">
          <cell r="I17986" t="str">
            <v>Soderlund</v>
          </cell>
        </row>
        <row r="17987">
          <cell r="I17987" t="str">
            <v>Slinkard</v>
          </cell>
        </row>
        <row r="17988">
          <cell r="I17988" t="str">
            <v>Skates</v>
          </cell>
        </row>
        <row r="17989">
          <cell r="I17989" t="str">
            <v>Sjogren</v>
          </cell>
        </row>
        <row r="17990">
          <cell r="I17990" t="str">
            <v>Sirianni</v>
          </cell>
        </row>
        <row r="17991">
          <cell r="I17991" t="str">
            <v>Siewert</v>
          </cell>
        </row>
        <row r="17992">
          <cell r="I17992" t="str">
            <v>Sickels</v>
          </cell>
        </row>
        <row r="17993">
          <cell r="I17993" t="str">
            <v>Sica</v>
          </cell>
        </row>
        <row r="17994">
          <cell r="I17994" t="str">
            <v>Shugart</v>
          </cell>
        </row>
        <row r="17995">
          <cell r="I17995" t="str">
            <v>Shoults</v>
          </cell>
        </row>
        <row r="17996">
          <cell r="I17996" t="str">
            <v>Shive</v>
          </cell>
        </row>
        <row r="17997">
          <cell r="I17997" t="str">
            <v>Shimer</v>
          </cell>
        </row>
        <row r="17998">
          <cell r="I17998" t="str">
            <v>Shier</v>
          </cell>
        </row>
        <row r="17999">
          <cell r="I17999" t="str">
            <v>Shield</v>
          </cell>
        </row>
        <row r="18000">
          <cell r="I18000" t="str">
            <v>Shepley</v>
          </cell>
        </row>
        <row r="18001">
          <cell r="I18001" t="str">
            <v>Sheeran</v>
          </cell>
        </row>
        <row r="18002">
          <cell r="I18002" t="str">
            <v>Sharper</v>
          </cell>
        </row>
        <row r="18003">
          <cell r="I18003" t="str">
            <v>Sevin</v>
          </cell>
        </row>
        <row r="18004">
          <cell r="I18004" t="str">
            <v>Severe</v>
          </cell>
        </row>
        <row r="18005">
          <cell r="I18005" t="str">
            <v>Seto</v>
          </cell>
        </row>
        <row r="18006">
          <cell r="I18006" t="str">
            <v>Segundo</v>
          </cell>
        </row>
        <row r="18007">
          <cell r="I18007" t="str">
            <v>Sedlacek</v>
          </cell>
        </row>
        <row r="18008">
          <cell r="I18008" t="str">
            <v>Scuderi</v>
          </cell>
        </row>
        <row r="18009">
          <cell r="I18009" t="str">
            <v>Schurman</v>
          </cell>
        </row>
        <row r="18010">
          <cell r="I18010" t="str">
            <v>Schuelke</v>
          </cell>
        </row>
        <row r="18011">
          <cell r="I18011" t="str">
            <v>Scholten</v>
          </cell>
        </row>
        <row r="18012">
          <cell r="I18012" t="str">
            <v>Schlater</v>
          </cell>
        </row>
        <row r="18013">
          <cell r="I18013" t="str">
            <v>Schisler</v>
          </cell>
        </row>
        <row r="18014">
          <cell r="I18014" t="str">
            <v>Schiefelbein</v>
          </cell>
        </row>
        <row r="18015">
          <cell r="I18015" t="str">
            <v>Schalk</v>
          </cell>
        </row>
        <row r="18016">
          <cell r="I18016" t="str">
            <v>Sanon</v>
          </cell>
        </row>
        <row r="18017">
          <cell r="I18017" t="str">
            <v>Sae</v>
          </cell>
        </row>
        <row r="18018">
          <cell r="I18018" t="str">
            <v>Sabala</v>
          </cell>
        </row>
        <row r="18019">
          <cell r="I18019" t="str">
            <v>Ruyle</v>
          </cell>
        </row>
        <row r="18020">
          <cell r="I18020" t="str">
            <v>Ruybal</v>
          </cell>
        </row>
        <row r="18021">
          <cell r="I18021" t="str">
            <v>Ruf</v>
          </cell>
        </row>
        <row r="18022">
          <cell r="I18022" t="str">
            <v>Rueb</v>
          </cell>
        </row>
        <row r="18023">
          <cell r="I18023" t="str">
            <v>Rowsey</v>
          </cell>
        </row>
        <row r="18024">
          <cell r="I18024" t="str">
            <v>Rosol</v>
          </cell>
        </row>
        <row r="18025">
          <cell r="I18025" t="str">
            <v>Rocheleau</v>
          </cell>
        </row>
        <row r="18026">
          <cell r="I18026" t="str">
            <v>Rishel</v>
          </cell>
        </row>
        <row r="18027">
          <cell r="I18027" t="str">
            <v>Rippey</v>
          </cell>
        </row>
        <row r="18028">
          <cell r="I18028" t="str">
            <v>Ringgold</v>
          </cell>
        </row>
        <row r="18029">
          <cell r="I18029" t="str">
            <v>Rieves</v>
          </cell>
        </row>
        <row r="18030">
          <cell r="I18030" t="str">
            <v>Ridinger</v>
          </cell>
        </row>
        <row r="18031">
          <cell r="I18031" t="str">
            <v>Rew</v>
          </cell>
        </row>
        <row r="18032">
          <cell r="I18032" t="str">
            <v>Retherford</v>
          </cell>
        </row>
        <row r="18033">
          <cell r="I18033" t="str">
            <v>Rempe</v>
          </cell>
        </row>
        <row r="18034">
          <cell r="I18034" t="str">
            <v>Reith</v>
          </cell>
        </row>
        <row r="18035">
          <cell r="I18035" t="str">
            <v>Rafter</v>
          </cell>
        </row>
        <row r="18036">
          <cell r="I18036" t="str">
            <v>Raffaele</v>
          </cell>
        </row>
        <row r="18037">
          <cell r="I18037" t="str">
            <v>Quinto</v>
          </cell>
        </row>
        <row r="18038">
          <cell r="I18038" t="str">
            <v>Putz</v>
          </cell>
        </row>
        <row r="18039">
          <cell r="I18039" t="str">
            <v>Purdom</v>
          </cell>
        </row>
        <row r="18040">
          <cell r="I18040" t="str">
            <v>Puls</v>
          </cell>
        </row>
        <row r="18041">
          <cell r="I18041" t="str">
            <v>Pulaski</v>
          </cell>
        </row>
        <row r="18042">
          <cell r="I18042" t="str">
            <v>Propp</v>
          </cell>
        </row>
        <row r="18043">
          <cell r="I18043" t="str">
            <v>Principato</v>
          </cell>
        </row>
        <row r="18044">
          <cell r="I18044" t="str">
            <v>Preiss</v>
          </cell>
        </row>
        <row r="18045">
          <cell r="I18045" t="str">
            <v>Prada</v>
          </cell>
        </row>
        <row r="18046">
          <cell r="I18046" t="str">
            <v>Polansky</v>
          </cell>
        </row>
        <row r="18047">
          <cell r="I18047" t="str">
            <v>Poch</v>
          </cell>
        </row>
        <row r="18048">
          <cell r="I18048" t="str">
            <v>Plath</v>
          </cell>
        </row>
        <row r="18049">
          <cell r="I18049" t="str">
            <v>Pittard</v>
          </cell>
        </row>
        <row r="18050">
          <cell r="I18050" t="str">
            <v>Pinnock</v>
          </cell>
        </row>
        <row r="18051">
          <cell r="I18051" t="str">
            <v>Pfarr</v>
          </cell>
        </row>
        <row r="18052">
          <cell r="I18052" t="str">
            <v>Pfannenstiel</v>
          </cell>
        </row>
        <row r="18053">
          <cell r="I18053" t="str">
            <v>Penniman</v>
          </cell>
        </row>
        <row r="18054">
          <cell r="I18054" t="str">
            <v>Pauling</v>
          </cell>
        </row>
        <row r="18055">
          <cell r="I18055" t="str">
            <v>Patchen</v>
          </cell>
        </row>
        <row r="18056">
          <cell r="I18056" t="str">
            <v>Paschke</v>
          </cell>
        </row>
        <row r="18057">
          <cell r="I18057" t="str">
            <v>Parkey</v>
          </cell>
        </row>
        <row r="18058">
          <cell r="I18058" t="str">
            <v>Pando</v>
          </cell>
        </row>
        <row r="18059">
          <cell r="I18059" t="str">
            <v>Overly</v>
          </cell>
        </row>
        <row r="18060">
          <cell r="I18060" t="str">
            <v>Ouimet</v>
          </cell>
        </row>
        <row r="18061">
          <cell r="I18061" t="str">
            <v>Ottman</v>
          </cell>
        </row>
        <row r="18062">
          <cell r="I18062" t="str">
            <v>Otter</v>
          </cell>
        </row>
        <row r="18063">
          <cell r="I18063" t="str">
            <v>Ostlund</v>
          </cell>
        </row>
        <row r="18064">
          <cell r="I18064" t="str">
            <v>Ormiston</v>
          </cell>
        </row>
        <row r="18065">
          <cell r="I18065" t="str">
            <v>Occhipinti</v>
          </cell>
        </row>
        <row r="18066">
          <cell r="I18066" t="str">
            <v>Nowacki</v>
          </cell>
        </row>
        <row r="18067">
          <cell r="I18067" t="str">
            <v>Norred</v>
          </cell>
        </row>
        <row r="18068">
          <cell r="I18068" t="str">
            <v>Noack</v>
          </cell>
        </row>
        <row r="18069">
          <cell r="I18069" t="str">
            <v>Nishida</v>
          </cell>
        </row>
        <row r="18070">
          <cell r="I18070" t="str">
            <v>Nilles</v>
          </cell>
        </row>
        <row r="18071">
          <cell r="I18071" t="str">
            <v>Nicodemus</v>
          </cell>
        </row>
        <row r="18072">
          <cell r="I18072" t="str">
            <v>Neth</v>
          </cell>
        </row>
        <row r="18073">
          <cell r="I18073" t="str">
            <v>Nealey</v>
          </cell>
        </row>
        <row r="18074">
          <cell r="I18074" t="str">
            <v>Myricks</v>
          </cell>
        </row>
        <row r="18075">
          <cell r="I18075" t="str">
            <v>Murff</v>
          </cell>
        </row>
        <row r="18076">
          <cell r="I18076" t="str">
            <v>Mungia</v>
          </cell>
        </row>
        <row r="18077">
          <cell r="I18077" t="str">
            <v>Mullet</v>
          </cell>
        </row>
        <row r="18078">
          <cell r="I18078" t="str">
            <v>Motsinger</v>
          </cell>
        </row>
        <row r="18079">
          <cell r="I18079" t="str">
            <v>Moscato</v>
          </cell>
        </row>
        <row r="18080">
          <cell r="I18080" t="str">
            <v>Mort</v>
          </cell>
        </row>
        <row r="18081">
          <cell r="I18081" t="str">
            <v>Morado</v>
          </cell>
        </row>
        <row r="18082">
          <cell r="I18082" t="str">
            <v>Moors</v>
          </cell>
        </row>
        <row r="18083">
          <cell r="I18083" t="str">
            <v>Monnier</v>
          </cell>
        </row>
        <row r="18084">
          <cell r="I18084" t="str">
            <v>Molyneux</v>
          </cell>
        </row>
        <row r="18085">
          <cell r="I18085" t="str">
            <v>Modzelewski</v>
          </cell>
        </row>
        <row r="18086">
          <cell r="I18086" t="str">
            <v>Miura</v>
          </cell>
        </row>
        <row r="18087">
          <cell r="I18087" t="str">
            <v>Minich</v>
          </cell>
        </row>
        <row r="18088">
          <cell r="I18088" t="str">
            <v>Militello</v>
          </cell>
        </row>
        <row r="18089">
          <cell r="I18089" t="str">
            <v>Milbrandt</v>
          </cell>
        </row>
        <row r="18090">
          <cell r="I18090" t="str">
            <v>Michalik</v>
          </cell>
        </row>
        <row r="18091">
          <cell r="I18091" t="str">
            <v>Meserve</v>
          </cell>
        </row>
        <row r="18092">
          <cell r="I18092" t="str">
            <v>Merle</v>
          </cell>
        </row>
        <row r="18093">
          <cell r="I18093" t="str">
            <v>Mendivil</v>
          </cell>
        </row>
        <row r="18094">
          <cell r="I18094" t="str">
            <v>Melara</v>
          </cell>
        </row>
        <row r="18095">
          <cell r="I18095" t="str">
            <v>Meadow</v>
          </cell>
        </row>
        <row r="18096">
          <cell r="I18096" t="str">
            <v>Mcnish</v>
          </cell>
        </row>
        <row r="18097">
          <cell r="I18097" t="str">
            <v>Mcelhannon</v>
          </cell>
        </row>
        <row r="18098">
          <cell r="I18098" t="str">
            <v>Mccroy</v>
          </cell>
        </row>
        <row r="18099">
          <cell r="I18099" t="str">
            <v>Mccrady</v>
          </cell>
        </row>
        <row r="18100">
          <cell r="I18100" t="str">
            <v>Mazzella</v>
          </cell>
        </row>
        <row r="18101">
          <cell r="I18101" t="str">
            <v>Maule</v>
          </cell>
        </row>
        <row r="18102">
          <cell r="I18102" t="str">
            <v>Mattera</v>
          </cell>
        </row>
        <row r="18103">
          <cell r="I18103" t="str">
            <v>Mathena</v>
          </cell>
        </row>
        <row r="18104">
          <cell r="I18104" t="str">
            <v>Matas</v>
          </cell>
        </row>
        <row r="18105">
          <cell r="I18105" t="str">
            <v>Mass</v>
          </cell>
        </row>
        <row r="18106">
          <cell r="I18106" t="str">
            <v>Mascorro</v>
          </cell>
        </row>
        <row r="18107">
          <cell r="I18107" t="str">
            <v>Marone</v>
          </cell>
        </row>
        <row r="18108">
          <cell r="I18108" t="str">
            <v>Marinello</v>
          </cell>
        </row>
        <row r="18109">
          <cell r="I18109" t="str">
            <v>Marguez</v>
          </cell>
        </row>
        <row r="18110">
          <cell r="I18110" t="str">
            <v>Marcell</v>
          </cell>
        </row>
        <row r="18111">
          <cell r="I18111" t="str">
            <v>Manwaring</v>
          </cell>
        </row>
        <row r="18112">
          <cell r="I18112" t="str">
            <v>Manhart</v>
          </cell>
        </row>
        <row r="18113">
          <cell r="I18113" t="str">
            <v>Mangano</v>
          </cell>
        </row>
        <row r="18114">
          <cell r="I18114" t="str">
            <v>Maggi</v>
          </cell>
        </row>
        <row r="18115">
          <cell r="I18115" t="str">
            <v>Lymon</v>
          </cell>
        </row>
        <row r="18116">
          <cell r="I18116" t="str">
            <v>Luter</v>
          </cell>
        </row>
        <row r="18117">
          <cell r="I18117" t="str">
            <v>Luse</v>
          </cell>
        </row>
        <row r="18118">
          <cell r="I18118" t="str">
            <v>Lukasik</v>
          </cell>
        </row>
        <row r="18119">
          <cell r="I18119" t="str">
            <v>Luiz</v>
          </cell>
        </row>
        <row r="18120">
          <cell r="I18120" t="str">
            <v>Ludlum</v>
          </cell>
        </row>
        <row r="18121">
          <cell r="I18121" t="str">
            <v>Luczak</v>
          </cell>
        </row>
        <row r="18122">
          <cell r="I18122" t="str">
            <v>Lowenthal</v>
          </cell>
        </row>
        <row r="18123">
          <cell r="I18123" t="str">
            <v>Lossett</v>
          </cell>
        </row>
        <row r="18124">
          <cell r="I18124" t="str">
            <v>Lorentzen</v>
          </cell>
        </row>
        <row r="18125">
          <cell r="I18125" t="str">
            <v>Loredo</v>
          </cell>
        </row>
        <row r="18126">
          <cell r="I18126" t="str">
            <v>Longworth</v>
          </cell>
        </row>
        <row r="18127">
          <cell r="I18127" t="str">
            <v>Lomanto</v>
          </cell>
        </row>
        <row r="18128">
          <cell r="I18128" t="str">
            <v>Lisi</v>
          </cell>
        </row>
        <row r="18129">
          <cell r="I18129" t="str">
            <v>Lish</v>
          </cell>
        </row>
        <row r="18130">
          <cell r="I18130" t="str">
            <v>Lipsky</v>
          </cell>
        </row>
        <row r="18131">
          <cell r="I18131" t="str">
            <v>Linck</v>
          </cell>
        </row>
        <row r="18132">
          <cell r="I18132" t="str">
            <v>Liedtke</v>
          </cell>
        </row>
        <row r="18133">
          <cell r="I18133" t="str">
            <v>Levering</v>
          </cell>
        </row>
        <row r="18134">
          <cell r="I18134" t="str">
            <v>Lessman</v>
          </cell>
        </row>
        <row r="18135">
          <cell r="I18135" t="str">
            <v>Lemond</v>
          </cell>
        </row>
        <row r="18136">
          <cell r="I18136" t="str">
            <v>Lembo</v>
          </cell>
        </row>
        <row r="18137">
          <cell r="I18137" t="str">
            <v>Ledonne</v>
          </cell>
        </row>
        <row r="18138">
          <cell r="I18138" t="str">
            <v>Leatham</v>
          </cell>
        </row>
        <row r="18139">
          <cell r="I18139" t="str">
            <v>Laufer</v>
          </cell>
        </row>
        <row r="18140">
          <cell r="I18140" t="str">
            <v>Lanphear</v>
          </cell>
        </row>
        <row r="18141">
          <cell r="I18141" t="str">
            <v>Langlais</v>
          </cell>
        </row>
        <row r="18142">
          <cell r="I18142" t="str">
            <v>Lando</v>
          </cell>
        </row>
        <row r="18143">
          <cell r="I18143" t="str">
            <v>Lamphear</v>
          </cell>
        </row>
        <row r="18144">
          <cell r="I18144" t="str">
            <v>Lamberton</v>
          </cell>
        </row>
        <row r="18145">
          <cell r="I18145" t="str">
            <v>Lafon</v>
          </cell>
        </row>
        <row r="18146">
          <cell r="I18146" t="str">
            <v>Lade</v>
          </cell>
        </row>
        <row r="18147">
          <cell r="I18147" t="str">
            <v>Lacross</v>
          </cell>
        </row>
        <row r="18148">
          <cell r="I18148" t="str">
            <v>Kyzer</v>
          </cell>
        </row>
        <row r="18149">
          <cell r="I18149" t="str">
            <v>Krok</v>
          </cell>
        </row>
        <row r="18150">
          <cell r="I18150" t="str">
            <v>Kring</v>
          </cell>
        </row>
        <row r="18151">
          <cell r="I18151" t="str">
            <v>Krell</v>
          </cell>
        </row>
        <row r="18152">
          <cell r="I18152" t="str">
            <v>Krehbiel</v>
          </cell>
        </row>
        <row r="18153">
          <cell r="I18153" t="str">
            <v>Kratochvil</v>
          </cell>
        </row>
        <row r="18154">
          <cell r="I18154" t="str">
            <v>Krach</v>
          </cell>
        </row>
        <row r="18155">
          <cell r="I18155" t="str">
            <v>Kovar</v>
          </cell>
        </row>
        <row r="18156">
          <cell r="I18156" t="str">
            <v>Kostka</v>
          </cell>
        </row>
        <row r="18157">
          <cell r="I18157" t="str">
            <v>Knudtson</v>
          </cell>
        </row>
        <row r="18158">
          <cell r="I18158" t="str">
            <v>Knaack</v>
          </cell>
        </row>
        <row r="18159">
          <cell r="I18159" t="str">
            <v>Kliebert</v>
          </cell>
        </row>
        <row r="18160">
          <cell r="I18160" t="str">
            <v>Klahn</v>
          </cell>
        </row>
        <row r="18161">
          <cell r="I18161" t="str">
            <v>Kirkley</v>
          </cell>
        </row>
        <row r="18162">
          <cell r="I18162" t="str">
            <v>Kimzey</v>
          </cell>
        </row>
        <row r="18163">
          <cell r="I18163" t="str">
            <v>Kettle</v>
          </cell>
        </row>
        <row r="18164">
          <cell r="I18164" t="str">
            <v>Kerrick</v>
          </cell>
        </row>
        <row r="18165">
          <cell r="I18165" t="str">
            <v>Kennerson</v>
          </cell>
        </row>
        <row r="18166">
          <cell r="I18166" t="str">
            <v>Keesler</v>
          </cell>
        </row>
        <row r="18167">
          <cell r="I18167" t="str">
            <v>Karlin</v>
          </cell>
        </row>
        <row r="18168">
          <cell r="I18168" t="str">
            <v>Kan</v>
          </cell>
        </row>
        <row r="18169">
          <cell r="I18169" t="str">
            <v>Jenny</v>
          </cell>
        </row>
        <row r="18170">
          <cell r="I18170" t="str">
            <v>Janousek</v>
          </cell>
        </row>
        <row r="18171">
          <cell r="I18171" t="str">
            <v>Jan</v>
          </cell>
        </row>
        <row r="18172">
          <cell r="I18172" t="str">
            <v>Imel</v>
          </cell>
        </row>
        <row r="18173">
          <cell r="I18173" t="str">
            <v>Icenhour</v>
          </cell>
        </row>
        <row r="18174">
          <cell r="I18174" t="str">
            <v>Hyler</v>
          </cell>
        </row>
        <row r="18175">
          <cell r="I18175" t="str">
            <v>Hunger</v>
          </cell>
        </row>
        <row r="18176">
          <cell r="I18176" t="str">
            <v>Hudock</v>
          </cell>
        </row>
        <row r="18177">
          <cell r="I18177" t="str">
            <v>Houpt</v>
          </cell>
        </row>
        <row r="18178">
          <cell r="I18178" t="str">
            <v>Hopping</v>
          </cell>
        </row>
        <row r="18179">
          <cell r="I18179" t="str">
            <v>Hoops</v>
          </cell>
        </row>
        <row r="18180">
          <cell r="I18180" t="str">
            <v>Holquin</v>
          </cell>
        </row>
        <row r="18181">
          <cell r="I18181" t="str">
            <v>Holiman</v>
          </cell>
        </row>
        <row r="18182">
          <cell r="I18182" t="str">
            <v>Holahan</v>
          </cell>
        </row>
        <row r="18183">
          <cell r="I18183" t="str">
            <v>Hodapp</v>
          </cell>
        </row>
        <row r="18184">
          <cell r="I18184" t="str">
            <v>Hires</v>
          </cell>
        </row>
        <row r="18185">
          <cell r="I18185" t="str">
            <v>Hillen</v>
          </cell>
        </row>
        <row r="18186">
          <cell r="I18186" t="str">
            <v>Hickmon</v>
          </cell>
        </row>
        <row r="18187">
          <cell r="I18187" t="str">
            <v>Hersom</v>
          </cell>
        </row>
        <row r="18188">
          <cell r="I18188" t="str">
            <v>Henrich</v>
          </cell>
        </row>
        <row r="18189">
          <cell r="I18189" t="str">
            <v>Helvey</v>
          </cell>
        </row>
        <row r="18190">
          <cell r="I18190" t="str">
            <v>Heidt</v>
          </cell>
        </row>
        <row r="18191">
          <cell r="I18191" t="str">
            <v>Heideman</v>
          </cell>
        </row>
        <row r="18192">
          <cell r="I18192" t="str">
            <v>Hedstrom</v>
          </cell>
        </row>
        <row r="18193">
          <cell r="I18193" t="str">
            <v>Hedin</v>
          </cell>
        </row>
        <row r="18194">
          <cell r="I18194" t="str">
            <v>Hebron</v>
          </cell>
        </row>
        <row r="18195">
          <cell r="I18195" t="str">
            <v>Hayter</v>
          </cell>
        </row>
        <row r="18196">
          <cell r="I18196" t="str">
            <v>Harn</v>
          </cell>
        </row>
        <row r="18197">
          <cell r="I18197" t="str">
            <v>Hardage</v>
          </cell>
        </row>
        <row r="18198">
          <cell r="I18198" t="str">
            <v>Harbor</v>
          </cell>
        </row>
        <row r="18199">
          <cell r="I18199" t="str">
            <v>Halsted</v>
          </cell>
        </row>
        <row r="18200">
          <cell r="I18200" t="str">
            <v>Hahne</v>
          </cell>
        </row>
        <row r="18201">
          <cell r="I18201" t="str">
            <v>Hagemann</v>
          </cell>
        </row>
        <row r="18202">
          <cell r="I18202" t="str">
            <v>Guzik</v>
          </cell>
        </row>
        <row r="18203">
          <cell r="I18203" t="str">
            <v>Guel</v>
          </cell>
        </row>
        <row r="18204">
          <cell r="I18204" t="str">
            <v>Groesbeck</v>
          </cell>
        </row>
        <row r="18205">
          <cell r="I18205" t="str">
            <v>Gritton</v>
          </cell>
        </row>
        <row r="18206">
          <cell r="I18206" t="str">
            <v>Grego</v>
          </cell>
        </row>
        <row r="18207">
          <cell r="I18207" t="str">
            <v>Graziani</v>
          </cell>
        </row>
        <row r="18208">
          <cell r="I18208" t="str">
            <v>Grasty</v>
          </cell>
        </row>
        <row r="18209">
          <cell r="I18209" t="str">
            <v>Graney</v>
          </cell>
        </row>
        <row r="18210">
          <cell r="I18210" t="str">
            <v>Gouin</v>
          </cell>
        </row>
        <row r="18211">
          <cell r="I18211" t="str">
            <v>Gossage</v>
          </cell>
        </row>
        <row r="18212">
          <cell r="I18212" t="str">
            <v>Golston</v>
          </cell>
        </row>
        <row r="18213">
          <cell r="I18213" t="str">
            <v>Goheen</v>
          </cell>
        </row>
        <row r="18214">
          <cell r="I18214" t="str">
            <v>Godina</v>
          </cell>
        </row>
        <row r="18215">
          <cell r="I18215" t="str">
            <v>Glade</v>
          </cell>
        </row>
        <row r="18216">
          <cell r="I18216" t="str">
            <v>Giorgi</v>
          </cell>
        </row>
        <row r="18217">
          <cell r="I18217" t="str">
            <v>Giambrone</v>
          </cell>
        </row>
        <row r="18218">
          <cell r="I18218" t="str">
            <v>Gerrity</v>
          </cell>
        </row>
        <row r="18219">
          <cell r="I18219" t="str">
            <v>Gerrish</v>
          </cell>
        </row>
        <row r="18220">
          <cell r="I18220" t="str">
            <v>Gero</v>
          </cell>
        </row>
        <row r="18221">
          <cell r="I18221" t="str">
            <v>Gerling</v>
          </cell>
        </row>
        <row r="18222">
          <cell r="I18222" t="str">
            <v>Gaulke</v>
          </cell>
        </row>
        <row r="18223">
          <cell r="I18223" t="str">
            <v>Garlick</v>
          </cell>
        </row>
        <row r="18224">
          <cell r="I18224" t="str">
            <v>Galiano</v>
          </cell>
        </row>
        <row r="18225">
          <cell r="I18225" t="str">
            <v>Gaiter</v>
          </cell>
        </row>
        <row r="18226">
          <cell r="I18226" t="str">
            <v>Gahagan</v>
          </cell>
        </row>
        <row r="18227">
          <cell r="I18227" t="str">
            <v>Gagnier</v>
          </cell>
        </row>
        <row r="18228">
          <cell r="I18228" t="str">
            <v>Friddle</v>
          </cell>
        </row>
        <row r="18229">
          <cell r="I18229" t="str">
            <v>Fredericksen</v>
          </cell>
        </row>
        <row r="18230">
          <cell r="I18230" t="str">
            <v>Franqui</v>
          </cell>
        </row>
        <row r="18231">
          <cell r="I18231" t="str">
            <v>Follansbee</v>
          </cell>
        </row>
        <row r="18232">
          <cell r="I18232" t="str">
            <v>Foerster</v>
          </cell>
        </row>
        <row r="18233">
          <cell r="I18233" t="str">
            <v>Flury</v>
          </cell>
        </row>
        <row r="18234">
          <cell r="I18234" t="str">
            <v>Fitzmaurice</v>
          </cell>
        </row>
        <row r="18235">
          <cell r="I18235" t="str">
            <v>Fiorini</v>
          </cell>
        </row>
        <row r="18236">
          <cell r="I18236" t="str">
            <v>Finlayson</v>
          </cell>
        </row>
        <row r="18237">
          <cell r="I18237" t="str">
            <v>Fiecke</v>
          </cell>
        </row>
        <row r="18238">
          <cell r="I18238" t="str">
            <v>Fickes</v>
          </cell>
        </row>
        <row r="18239">
          <cell r="I18239" t="str">
            <v>Fichter</v>
          </cell>
        </row>
        <row r="18240">
          <cell r="I18240" t="str">
            <v>Ferron</v>
          </cell>
        </row>
        <row r="18241">
          <cell r="I18241" t="str">
            <v>Ferdinand</v>
          </cell>
        </row>
        <row r="18242">
          <cell r="I18242" t="str">
            <v>Farrel</v>
          </cell>
        </row>
        <row r="18243">
          <cell r="I18243" t="str">
            <v>Fackler</v>
          </cell>
        </row>
        <row r="18244">
          <cell r="I18244" t="str">
            <v>Eyman</v>
          </cell>
        </row>
        <row r="18245">
          <cell r="I18245" t="str">
            <v>Escarcega</v>
          </cell>
        </row>
        <row r="18246">
          <cell r="I18246" t="str">
            <v>Errico</v>
          </cell>
        </row>
        <row r="18247">
          <cell r="I18247" t="str">
            <v>Erler</v>
          </cell>
        </row>
        <row r="18248">
          <cell r="I18248" t="str">
            <v>Erby</v>
          </cell>
        </row>
        <row r="18249">
          <cell r="I18249" t="str">
            <v>Engman</v>
          </cell>
        </row>
        <row r="18250">
          <cell r="I18250" t="str">
            <v>Engelmann</v>
          </cell>
        </row>
        <row r="18251">
          <cell r="I18251" t="str">
            <v>Elsass</v>
          </cell>
        </row>
        <row r="18252">
          <cell r="I18252" t="str">
            <v>Elliston</v>
          </cell>
        </row>
        <row r="18253">
          <cell r="I18253" t="str">
            <v>Eddleman</v>
          </cell>
        </row>
        <row r="18254">
          <cell r="I18254" t="str">
            <v>Eadie</v>
          </cell>
        </row>
        <row r="18255">
          <cell r="I18255" t="str">
            <v>Dummer</v>
          </cell>
        </row>
        <row r="18256">
          <cell r="I18256" t="str">
            <v>Drost</v>
          </cell>
        </row>
        <row r="18257">
          <cell r="I18257" t="str">
            <v>Dorrough</v>
          </cell>
        </row>
        <row r="18258">
          <cell r="I18258" t="str">
            <v>Dorrance</v>
          </cell>
        </row>
        <row r="18259">
          <cell r="I18259" t="str">
            <v>Doolan</v>
          </cell>
        </row>
        <row r="18260">
          <cell r="I18260" t="str">
            <v>Donalson</v>
          </cell>
        </row>
        <row r="18261">
          <cell r="I18261" t="str">
            <v>Domenico</v>
          </cell>
        </row>
        <row r="18262">
          <cell r="I18262" t="str">
            <v>Ditullio</v>
          </cell>
        </row>
        <row r="18263">
          <cell r="I18263" t="str">
            <v>Dittmar</v>
          </cell>
        </row>
        <row r="18264">
          <cell r="I18264" t="str">
            <v>Dishon</v>
          </cell>
        </row>
        <row r="18265">
          <cell r="I18265" t="str">
            <v>Dionisio</v>
          </cell>
        </row>
        <row r="18266">
          <cell r="I18266" t="str">
            <v>Dike</v>
          </cell>
        </row>
        <row r="18267">
          <cell r="I18267" t="str">
            <v>Devinney</v>
          </cell>
        </row>
        <row r="18268">
          <cell r="I18268" t="str">
            <v>Desir</v>
          </cell>
        </row>
        <row r="18269">
          <cell r="I18269" t="str">
            <v>Deschamp</v>
          </cell>
        </row>
        <row r="18270">
          <cell r="I18270" t="str">
            <v>Derrickson</v>
          </cell>
        </row>
        <row r="18271">
          <cell r="I18271" t="str">
            <v>Delamora</v>
          </cell>
        </row>
        <row r="18272">
          <cell r="I18272" t="str">
            <v>Deitch</v>
          </cell>
        </row>
        <row r="18273">
          <cell r="I18273" t="str">
            <v>Dechant</v>
          </cell>
        </row>
        <row r="18274">
          <cell r="I18274" t="str">
            <v>Dave</v>
          </cell>
        </row>
        <row r="18275">
          <cell r="I18275" t="str">
            <v>Danek</v>
          </cell>
        </row>
        <row r="18276">
          <cell r="I18276" t="str">
            <v>Dahmen</v>
          </cell>
        </row>
        <row r="18277">
          <cell r="I18277" t="str">
            <v>Curci</v>
          </cell>
        </row>
        <row r="18278">
          <cell r="I18278" t="str">
            <v>Cudjoe</v>
          </cell>
        </row>
        <row r="18279">
          <cell r="I18279" t="str">
            <v>Crumble</v>
          </cell>
        </row>
        <row r="18280">
          <cell r="I18280" t="str">
            <v>Croxton</v>
          </cell>
        </row>
        <row r="18281">
          <cell r="I18281" t="str">
            <v>Creasman</v>
          </cell>
        </row>
        <row r="18282">
          <cell r="I18282" t="str">
            <v>Craney</v>
          </cell>
        </row>
        <row r="18283">
          <cell r="I18283" t="str">
            <v>Crader</v>
          </cell>
        </row>
        <row r="18284">
          <cell r="I18284" t="str">
            <v>Cowling</v>
          </cell>
        </row>
        <row r="18285">
          <cell r="I18285" t="str">
            <v>Coulston</v>
          </cell>
        </row>
        <row r="18286">
          <cell r="I18286" t="str">
            <v>Cortina</v>
          </cell>
        </row>
        <row r="18287">
          <cell r="I18287" t="str">
            <v>Corlew</v>
          </cell>
        </row>
        <row r="18288">
          <cell r="I18288" t="str">
            <v>Corl</v>
          </cell>
        </row>
        <row r="18289">
          <cell r="I18289" t="str">
            <v>Copland</v>
          </cell>
        </row>
        <row r="18290">
          <cell r="I18290" t="str">
            <v>Convery</v>
          </cell>
        </row>
        <row r="18291">
          <cell r="I18291" t="str">
            <v>Cohrs</v>
          </cell>
        </row>
        <row r="18292">
          <cell r="I18292" t="str">
            <v>Clune</v>
          </cell>
        </row>
        <row r="18293">
          <cell r="I18293" t="str">
            <v>Clausing</v>
          </cell>
        </row>
        <row r="18294">
          <cell r="I18294" t="str">
            <v>Cipriani</v>
          </cell>
        </row>
        <row r="18295">
          <cell r="I18295" t="str">
            <v>Cinnamon</v>
          </cell>
        </row>
        <row r="18296">
          <cell r="I18296" t="str">
            <v>Cianciolo</v>
          </cell>
        </row>
        <row r="18297">
          <cell r="I18297" t="str">
            <v>Chubb</v>
          </cell>
        </row>
        <row r="18298">
          <cell r="I18298" t="str">
            <v>Chittum</v>
          </cell>
        </row>
        <row r="18299">
          <cell r="I18299" t="str">
            <v>Chenard</v>
          </cell>
        </row>
        <row r="18300">
          <cell r="I18300" t="str">
            <v>Charlesworth</v>
          </cell>
        </row>
        <row r="18301">
          <cell r="I18301" t="str">
            <v>Charlebois</v>
          </cell>
        </row>
        <row r="18302">
          <cell r="I18302" t="str">
            <v>Champine</v>
          </cell>
        </row>
        <row r="18303">
          <cell r="I18303" t="str">
            <v>Chamlee</v>
          </cell>
        </row>
        <row r="18304">
          <cell r="I18304" t="str">
            <v>Chagoya</v>
          </cell>
        </row>
        <row r="18305">
          <cell r="I18305" t="str">
            <v>Casselman</v>
          </cell>
        </row>
        <row r="18306">
          <cell r="I18306" t="str">
            <v>Cardello</v>
          </cell>
        </row>
        <row r="18307">
          <cell r="I18307" t="str">
            <v>Capasso</v>
          </cell>
        </row>
        <row r="18308">
          <cell r="I18308" t="str">
            <v>Cannella</v>
          </cell>
        </row>
        <row r="18309">
          <cell r="I18309" t="str">
            <v>Calderwood</v>
          </cell>
        </row>
        <row r="18310">
          <cell r="I18310" t="str">
            <v>Byford</v>
          </cell>
        </row>
        <row r="18311">
          <cell r="I18311" t="str">
            <v>Buttars</v>
          </cell>
        </row>
        <row r="18312">
          <cell r="I18312" t="str">
            <v>Bushee</v>
          </cell>
        </row>
        <row r="18313">
          <cell r="I18313" t="str">
            <v>Burrage</v>
          </cell>
        </row>
        <row r="18314">
          <cell r="I18314" t="str">
            <v>Buentello</v>
          </cell>
        </row>
        <row r="18315">
          <cell r="I18315" t="str">
            <v>Brzozowski</v>
          </cell>
        </row>
        <row r="18316">
          <cell r="I18316" t="str">
            <v>Bryner</v>
          </cell>
        </row>
        <row r="18317">
          <cell r="I18317" t="str">
            <v>Brumit</v>
          </cell>
        </row>
        <row r="18318">
          <cell r="I18318" t="str">
            <v>Brookover</v>
          </cell>
        </row>
        <row r="18319">
          <cell r="I18319" t="str">
            <v>Bronner</v>
          </cell>
        </row>
        <row r="18320">
          <cell r="I18320" t="str">
            <v>Bromberg</v>
          </cell>
        </row>
        <row r="18321">
          <cell r="I18321" t="str">
            <v>Brixey</v>
          </cell>
        </row>
        <row r="18322">
          <cell r="I18322" t="str">
            <v>Brinn</v>
          </cell>
        </row>
        <row r="18323">
          <cell r="I18323" t="str">
            <v>Briganti</v>
          </cell>
        </row>
        <row r="18324">
          <cell r="I18324" t="str">
            <v>Bremner</v>
          </cell>
        </row>
        <row r="18325">
          <cell r="I18325" t="str">
            <v>Brawn</v>
          </cell>
        </row>
        <row r="18326">
          <cell r="I18326" t="str">
            <v>Branscome</v>
          </cell>
        </row>
        <row r="18327">
          <cell r="I18327" t="str">
            <v>Brannigan</v>
          </cell>
        </row>
        <row r="18328">
          <cell r="I18328" t="str">
            <v>Bradsher</v>
          </cell>
        </row>
        <row r="18329">
          <cell r="I18329" t="str">
            <v>Bozek</v>
          </cell>
        </row>
        <row r="18330">
          <cell r="I18330" t="str">
            <v>Boulay</v>
          </cell>
        </row>
        <row r="18331">
          <cell r="I18331" t="str">
            <v>Bormann</v>
          </cell>
        </row>
        <row r="18332">
          <cell r="I18332" t="str">
            <v>Bongiorno</v>
          </cell>
        </row>
        <row r="18333">
          <cell r="I18333" t="str">
            <v>Bollin</v>
          </cell>
        </row>
        <row r="18334">
          <cell r="I18334" t="str">
            <v>Bohler</v>
          </cell>
        </row>
        <row r="18335">
          <cell r="I18335" t="str">
            <v>Bogert</v>
          </cell>
        </row>
        <row r="18336">
          <cell r="I18336" t="str">
            <v>Bodenhamer</v>
          </cell>
        </row>
        <row r="18337">
          <cell r="I18337" t="str">
            <v>Blose</v>
          </cell>
        </row>
        <row r="18338">
          <cell r="I18338" t="str">
            <v>Blind</v>
          </cell>
        </row>
        <row r="18339">
          <cell r="I18339" t="str">
            <v>Bivona</v>
          </cell>
        </row>
        <row r="18340">
          <cell r="I18340" t="str">
            <v>Bitter</v>
          </cell>
        </row>
        <row r="18341">
          <cell r="I18341" t="str">
            <v>Billips</v>
          </cell>
        </row>
        <row r="18342">
          <cell r="I18342" t="str">
            <v>Bibler</v>
          </cell>
        </row>
        <row r="18343">
          <cell r="I18343" t="str">
            <v>Benfer</v>
          </cell>
        </row>
        <row r="18344">
          <cell r="I18344" t="str">
            <v>Benedetti</v>
          </cell>
        </row>
        <row r="18345">
          <cell r="I18345" t="str">
            <v>Belue</v>
          </cell>
        </row>
        <row r="18346">
          <cell r="I18346" t="str">
            <v>Bellanger</v>
          </cell>
        </row>
        <row r="18347">
          <cell r="I18347" t="str">
            <v>Belford</v>
          </cell>
        </row>
        <row r="18348">
          <cell r="I18348" t="str">
            <v>Behn</v>
          </cell>
        </row>
        <row r="18349">
          <cell r="I18349" t="str">
            <v>Beerman</v>
          </cell>
        </row>
        <row r="18350">
          <cell r="I18350" t="str">
            <v>Barnhardt</v>
          </cell>
        </row>
        <row r="18351">
          <cell r="I18351" t="str">
            <v>Baltzell</v>
          </cell>
        </row>
        <row r="18352">
          <cell r="I18352" t="str">
            <v>Balling</v>
          </cell>
        </row>
        <row r="18353">
          <cell r="I18353" t="str">
            <v>Balducci</v>
          </cell>
        </row>
        <row r="18354">
          <cell r="I18354" t="str">
            <v>Bainter</v>
          </cell>
        </row>
        <row r="18355">
          <cell r="I18355" t="str">
            <v>Babineau</v>
          </cell>
        </row>
        <row r="18356">
          <cell r="I18356" t="str">
            <v>Babich</v>
          </cell>
        </row>
        <row r="18357">
          <cell r="I18357" t="str">
            <v>Baade</v>
          </cell>
        </row>
        <row r="18358">
          <cell r="I18358" t="str">
            <v>Attwood</v>
          </cell>
        </row>
        <row r="18359">
          <cell r="I18359" t="str">
            <v>Asmus</v>
          </cell>
        </row>
        <row r="18360">
          <cell r="I18360" t="str">
            <v>Asaro</v>
          </cell>
        </row>
        <row r="18361">
          <cell r="I18361" t="str">
            <v>Artiaga</v>
          </cell>
        </row>
        <row r="18362">
          <cell r="I18362" t="str">
            <v>April</v>
          </cell>
        </row>
        <row r="18363">
          <cell r="I18363" t="str">
            <v>Applebaum</v>
          </cell>
        </row>
        <row r="18364">
          <cell r="I18364" t="str">
            <v>Ang</v>
          </cell>
        </row>
        <row r="18365">
          <cell r="I18365" t="str">
            <v>Anding</v>
          </cell>
        </row>
        <row r="18366">
          <cell r="I18366" t="str">
            <v>Amar</v>
          </cell>
        </row>
        <row r="18367">
          <cell r="I18367" t="str">
            <v>Amaker</v>
          </cell>
        </row>
        <row r="18368">
          <cell r="I18368" t="str">
            <v>Allsup</v>
          </cell>
        </row>
        <row r="18369">
          <cell r="I18369" t="str">
            <v>Alligood</v>
          </cell>
        </row>
        <row r="18370">
          <cell r="I18370" t="str">
            <v>Alers</v>
          </cell>
        </row>
        <row r="18371">
          <cell r="I18371" t="str">
            <v>Agin</v>
          </cell>
        </row>
        <row r="18372">
          <cell r="I18372" t="str">
            <v>Agar</v>
          </cell>
        </row>
        <row r="18373">
          <cell r="I18373" t="str">
            <v>Achenbach</v>
          </cell>
        </row>
        <row r="18374">
          <cell r="I18374" t="str">
            <v>Abramowitz</v>
          </cell>
        </row>
        <row r="18375">
          <cell r="I18375" t="str">
            <v>Abbas</v>
          </cell>
        </row>
        <row r="18376">
          <cell r="I18376" t="str">
            <v>Aasen</v>
          </cell>
        </row>
        <row r="18377">
          <cell r="I18377" t="str">
            <v>Zehnder</v>
          </cell>
        </row>
        <row r="18378">
          <cell r="I18378" t="str">
            <v>Yopp</v>
          </cell>
        </row>
        <row r="18379">
          <cell r="I18379" t="str">
            <v>Yelle</v>
          </cell>
        </row>
        <row r="18380">
          <cell r="I18380" t="str">
            <v>Yeldell</v>
          </cell>
        </row>
        <row r="18381">
          <cell r="I18381" t="str">
            <v>Wynter</v>
          </cell>
        </row>
        <row r="18382">
          <cell r="I18382" t="str">
            <v>Woodmansee</v>
          </cell>
        </row>
        <row r="18383">
          <cell r="I18383" t="str">
            <v>Wooding</v>
          </cell>
        </row>
        <row r="18384">
          <cell r="I18384" t="str">
            <v>Woll</v>
          </cell>
        </row>
        <row r="18385">
          <cell r="I18385" t="str">
            <v>Winborne</v>
          </cell>
        </row>
        <row r="18386">
          <cell r="I18386" t="str">
            <v>Willsey</v>
          </cell>
        </row>
        <row r="18387">
          <cell r="I18387" t="str">
            <v>Willeford</v>
          </cell>
        </row>
        <row r="18388">
          <cell r="I18388" t="str">
            <v>Widger</v>
          </cell>
        </row>
        <row r="18389">
          <cell r="I18389" t="str">
            <v>Whiten</v>
          </cell>
        </row>
        <row r="18390">
          <cell r="I18390" t="str">
            <v>Whitchurch</v>
          </cell>
        </row>
        <row r="18391">
          <cell r="I18391" t="str">
            <v>Whang</v>
          </cell>
        </row>
        <row r="18392">
          <cell r="I18392" t="str">
            <v>Wen</v>
          </cell>
        </row>
        <row r="18393">
          <cell r="I18393" t="str">
            <v>Weissinger</v>
          </cell>
        </row>
        <row r="18394">
          <cell r="I18394" t="str">
            <v>Weinman</v>
          </cell>
        </row>
        <row r="18395">
          <cell r="I18395" t="str">
            <v>Weingartner</v>
          </cell>
        </row>
        <row r="18396">
          <cell r="I18396" t="str">
            <v>Weidler</v>
          </cell>
        </row>
        <row r="18397">
          <cell r="I18397" t="str">
            <v>Waltrip</v>
          </cell>
        </row>
        <row r="18398">
          <cell r="I18398" t="str">
            <v>Walt</v>
          </cell>
        </row>
        <row r="18399">
          <cell r="I18399" t="str">
            <v>Wagar</v>
          </cell>
        </row>
        <row r="18400">
          <cell r="I18400" t="str">
            <v>Wafford</v>
          </cell>
        </row>
        <row r="18401">
          <cell r="I18401" t="str">
            <v>Vitagliano</v>
          </cell>
        </row>
        <row r="18402">
          <cell r="I18402" t="str">
            <v>Villalvazo</v>
          </cell>
        </row>
        <row r="18403">
          <cell r="I18403" t="str">
            <v>Villacorta</v>
          </cell>
        </row>
        <row r="18404">
          <cell r="I18404" t="str">
            <v>Vigna</v>
          </cell>
        </row>
        <row r="18405">
          <cell r="I18405" t="str">
            <v>Vickrey</v>
          </cell>
        </row>
        <row r="18406">
          <cell r="I18406" t="str">
            <v>Vicini</v>
          </cell>
        </row>
        <row r="18407">
          <cell r="I18407" t="str">
            <v>Ventimiglia</v>
          </cell>
        </row>
        <row r="18408">
          <cell r="I18408" t="str">
            <v>Vandenbosch</v>
          </cell>
        </row>
        <row r="18409">
          <cell r="I18409" t="str">
            <v>Valvo</v>
          </cell>
        </row>
        <row r="18410">
          <cell r="I18410" t="str">
            <v>Valazquez</v>
          </cell>
        </row>
        <row r="18411">
          <cell r="I18411" t="str">
            <v>Utsey</v>
          </cell>
        </row>
        <row r="18412">
          <cell r="I18412" t="str">
            <v>Urbaniak</v>
          </cell>
        </row>
        <row r="18413">
          <cell r="I18413" t="str">
            <v>Unzueta</v>
          </cell>
        </row>
        <row r="18414">
          <cell r="I18414" t="str">
            <v>Trombetta</v>
          </cell>
        </row>
        <row r="18415">
          <cell r="I18415" t="str">
            <v>Trevizo</v>
          </cell>
        </row>
        <row r="18416">
          <cell r="I18416" t="str">
            <v>Trembley</v>
          </cell>
        </row>
        <row r="18417">
          <cell r="I18417" t="str">
            <v>Tremaine</v>
          </cell>
        </row>
        <row r="18418">
          <cell r="I18418" t="str">
            <v>Traverso</v>
          </cell>
        </row>
        <row r="18419">
          <cell r="I18419" t="str">
            <v>Tores</v>
          </cell>
        </row>
        <row r="18420">
          <cell r="I18420" t="str">
            <v>Tolan</v>
          </cell>
        </row>
        <row r="18421">
          <cell r="I18421" t="str">
            <v>Tillison</v>
          </cell>
        </row>
        <row r="18422">
          <cell r="I18422" t="str">
            <v>Tietjen</v>
          </cell>
        </row>
        <row r="18423">
          <cell r="I18423" t="str">
            <v>Tee</v>
          </cell>
        </row>
        <row r="18424">
          <cell r="I18424" t="str">
            <v>Teachout</v>
          </cell>
        </row>
        <row r="18425">
          <cell r="I18425" t="str">
            <v>Taube</v>
          </cell>
        </row>
        <row r="18426">
          <cell r="I18426" t="str">
            <v>Tatham</v>
          </cell>
        </row>
        <row r="18427">
          <cell r="I18427" t="str">
            <v>Tarwater</v>
          </cell>
        </row>
        <row r="18428">
          <cell r="I18428" t="str">
            <v>Tarbell</v>
          </cell>
        </row>
        <row r="18429">
          <cell r="I18429" t="str">
            <v>Sydow</v>
          </cell>
        </row>
        <row r="18430">
          <cell r="I18430" t="str">
            <v>Sy</v>
          </cell>
        </row>
        <row r="18431">
          <cell r="I18431" t="str">
            <v>Swims</v>
          </cell>
        </row>
        <row r="18432">
          <cell r="I18432" t="str">
            <v>Swader</v>
          </cell>
        </row>
        <row r="18433">
          <cell r="I18433" t="str">
            <v>Striplin</v>
          </cell>
        </row>
        <row r="18434">
          <cell r="I18434" t="str">
            <v>Stops</v>
          </cell>
        </row>
        <row r="18435">
          <cell r="I18435" t="str">
            <v>Stoltenberg</v>
          </cell>
        </row>
        <row r="18436">
          <cell r="I18436" t="str">
            <v>Steinhauer</v>
          </cell>
        </row>
        <row r="18437">
          <cell r="I18437" t="str">
            <v>Steil</v>
          </cell>
        </row>
        <row r="18438">
          <cell r="I18438" t="str">
            <v>Steigerwald</v>
          </cell>
        </row>
        <row r="18439">
          <cell r="I18439" t="str">
            <v>Starkweather</v>
          </cell>
        </row>
        <row r="18440">
          <cell r="I18440" t="str">
            <v>Stallman</v>
          </cell>
        </row>
        <row r="18441">
          <cell r="I18441" t="str">
            <v>Squier</v>
          </cell>
        </row>
        <row r="18442">
          <cell r="I18442" t="str">
            <v>Sparacino</v>
          </cell>
        </row>
        <row r="18443">
          <cell r="I18443" t="str">
            <v>Span</v>
          </cell>
        </row>
        <row r="18444">
          <cell r="I18444" t="str">
            <v>Spadafora</v>
          </cell>
        </row>
        <row r="18445">
          <cell r="I18445" t="str">
            <v>Shiflet</v>
          </cell>
        </row>
        <row r="18446">
          <cell r="I18446" t="str">
            <v>Shibata</v>
          </cell>
        </row>
        <row r="18447">
          <cell r="I18447" t="str">
            <v>Shevlin</v>
          </cell>
        </row>
        <row r="18448">
          <cell r="I18448" t="str">
            <v>Sherrick</v>
          </cell>
        </row>
        <row r="18449">
          <cell r="I18449" t="str">
            <v>Shake</v>
          </cell>
        </row>
        <row r="18450">
          <cell r="I18450" t="str">
            <v>Sessums</v>
          </cell>
        </row>
        <row r="18451">
          <cell r="I18451" t="str">
            <v>Servais</v>
          </cell>
        </row>
        <row r="18452">
          <cell r="I18452" t="str">
            <v>Senters</v>
          </cell>
        </row>
        <row r="18453">
          <cell r="I18453" t="str">
            <v>Seevers</v>
          </cell>
        </row>
        <row r="18454">
          <cell r="I18454" t="str">
            <v>Seelye</v>
          </cell>
        </row>
        <row r="18455">
          <cell r="I18455" t="str">
            <v>Searfoss</v>
          </cell>
        </row>
        <row r="18456">
          <cell r="I18456" t="str">
            <v>Seabrooks</v>
          </cell>
        </row>
        <row r="18457">
          <cell r="I18457" t="str">
            <v>Scoles</v>
          </cell>
        </row>
        <row r="18458">
          <cell r="I18458" t="str">
            <v>Schwager</v>
          </cell>
        </row>
        <row r="18459">
          <cell r="I18459" t="str">
            <v>Schrom</v>
          </cell>
        </row>
        <row r="18460">
          <cell r="I18460" t="str">
            <v>Schmeltzer</v>
          </cell>
        </row>
        <row r="18461">
          <cell r="I18461" t="str">
            <v>Scheffel</v>
          </cell>
        </row>
        <row r="18462">
          <cell r="I18462" t="str">
            <v>Sax</v>
          </cell>
        </row>
        <row r="18463">
          <cell r="I18463" t="str">
            <v>Sawin</v>
          </cell>
        </row>
        <row r="18464">
          <cell r="I18464" t="str">
            <v>Saterfiel</v>
          </cell>
        </row>
        <row r="18465">
          <cell r="I18465" t="str">
            <v>Sardina</v>
          </cell>
        </row>
        <row r="18466">
          <cell r="I18466" t="str">
            <v>Sanroman</v>
          </cell>
        </row>
        <row r="18467">
          <cell r="I18467" t="str">
            <v>Sane</v>
          </cell>
        </row>
        <row r="18468">
          <cell r="I18468" t="str">
            <v>Sandin</v>
          </cell>
        </row>
        <row r="18469">
          <cell r="I18469" t="str">
            <v>Salamanca</v>
          </cell>
        </row>
        <row r="18470">
          <cell r="I18470" t="str">
            <v>Saladin</v>
          </cell>
        </row>
        <row r="18471">
          <cell r="I18471" t="str">
            <v>Sak</v>
          </cell>
        </row>
        <row r="18472">
          <cell r="I18472" t="str">
            <v>Sabia</v>
          </cell>
        </row>
        <row r="18473">
          <cell r="I18473" t="str">
            <v>Rustin</v>
          </cell>
        </row>
        <row r="18474">
          <cell r="I18474" t="str">
            <v>Rushin</v>
          </cell>
        </row>
        <row r="18475">
          <cell r="I18475" t="str">
            <v>Ruley</v>
          </cell>
        </row>
        <row r="18476">
          <cell r="I18476" t="str">
            <v>Rueter</v>
          </cell>
        </row>
        <row r="18477">
          <cell r="I18477" t="str">
            <v>Row</v>
          </cell>
        </row>
        <row r="18478">
          <cell r="I18478" t="str">
            <v>Rotter</v>
          </cell>
        </row>
        <row r="18479">
          <cell r="I18479" t="str">
            <v>Rosenzweig</v>
          </cell>
        </row>
        <row r="18480">
          <cell r="I18480" t="str">
            <v>Roles</v>
          </cell>
        </row>
        <row r="18481">
          <cell r="I18481" t="str">
            <v>Rohe</v>
          </cell>
        </row>
        <row r="18482">
          <cell r="I18482" t="str">
            <v>Roder</v>
          </cell>
        </row>
        <row r="18483">
          <cell r="I18483" t="str">
            <v>Rockey</v>
          </cell>
        </row>
        <row r="18484">
          <cell r="I18484" t="str">
            <v>Ro</v>
          </cell>
        </row>
        <row r="18485">
          <cell r="I18485" t="str">
            <v>Riter</v>
          </cell>
        </row>
        <row r="18486">
          <cell r="I18486" t="str">
            <v>Rieth</v>
          </cell>
        </row>
        <row r="18487">
          <cell r="I18487" t="str">
            <v>Ried</v>
          </cell>
        </row>
        <row r="18488">
          <cell r="I18488" t="str">
            <v>Riding</v>
          </cell>
        </row>
        <row r="18489">
          <cell r="I18489" t="str">
            <v>Riddles</v>
          </cell>
        </row>
        <row r="18490">
          <cell r="I18490" t="str">
            <v>Ridder</v>
          </cell>
        </row>
        <row r="18491">
          <cell r="I18491" t="str">
            <v>Rennick</v>
          </cell>
        </row>
        <row r="18492">
          <cell r="I18492" t="str">
            <v>Remmers</v>
          </cell>
        </row>
        <row r="18493">
          <cell r="I18493" t="str">
            <v>Remer</v>
          </cell>
        </row>
        <row r="18494">
          <cell r="I18494" t="str">
            <v>Relyea</v>
          </cell>
        </row>
        <row r="18495">
          <cell r="I18495" t="str">
            <v>Reilley</v>
          </cell>
        </row>
        <row r="18496">
          <cell r="I18496" t="str">
            <v>Reder</v>
          </cell>
        </row>
        <row r="18497">
          <cell r="I18497" t="str">
            <v>Rasheed</v>
          </cell>
        </row>
        <row r="18498">
          <cell r="I18498" t="str">
            <v>Rakowski</v>
          </cell>
        </row>
        <row r="18499">
          <cell r="I18499" t="str">
            <v>Rabin</v>
          </cell>
        </row>
        <row r="18500">
          <cell r="I18500" t="str">
            <v>Queener</v>
          </cell>
        </row>
        <row r="18501">
          <cell r="I18501" t="str">
            <v>Pursel</v>
          </cell>
        </row>
        <row r="18502">
          <cell r="I18502" t="str">
            <v>Prue</v>
          </cell>
        </row>
        <row r="18503">
          <cell r="I18503" t="str">
            <v>Prowell</v>
          </cell>
        </row>
        <row r="18504">
          <cell r="I18504" t="str">
            <v>Pritts</v>
          </cell>
        </row>
        <row r="18505">
          <cell r="I18505" t="str">
            <v>Primo</v>
          </cell>
        </row>
        <row r="18506">
          <cell r="I18506" t="str">
            <v>Presler</v>
          </cell>
        </row>
        <row r="18507">
          <cell r="I18507" t="str">
            <v>Pouncy</v>
          </cell>
        </row>
        <row r="18508">
          <cell r="I18508" t="str">
            <v>Porche</v>
          </cell>
        </row>
        <row r="18509">
          <cell r="I18509" t="str">
            <v>Porcaro</v>
          </cell>
        </row>
        <row r="18510">
          <cell r="I18510" t="str">
            <v>Pollman</v>
          </cell>
        </row>
        <row r="18511">
          <cell r="I18511" t="str">
            <v>Pleas</v>
          </cell>
        </row>
        <row r="18512">
          <cell r="I18512" t="str">
            <v>Planas</v>
          </cell>
        </row>
        <row r="18513">
          <cell r="I18513" t="str">
            <v>Pinkley</v>
          </cell>
        </row>
        <row r="18514">
          <cell r="I18514" t="str">
            <v>Pinegar</v>
          </cell>
        </row>
        <row r="18515">
          <cell r="I18515" t="str">
            <v>Pilger</v>
          </cell>
        </row>
        <row r="18516">
          <cell r="I18516" t="str">
            <v>Philson</v>
          </cell>
        </row>
        <row r="18517">
          <cell r="I18517" t="str">
            <v>Petties</v>
          </cell>
        </row>
        <row r="18518">
          <cell r="I18518" t="str">
            <v>Perrodin</v>
          </cell>
        </row>
        <row r="18519">
          <cell r="I18519" t="str">
            <v>Pendergrast</v>
          </cell>
        </row>
        <row r="18520">
          <cell r="I18520" t="str">
            <v>Patao</v>
          </cell>
        </row>
        <row r="18521">
          <cell r="I18521" t="str">
            <v>Pasternak</v>
          </cell>
        </row>
        <row r="18522">
          <cell r="I18522" t="str">
            <v>Passarelli</v>
          </cell>
        </row>
        <row r="18523">
          <cell r="I18523" t="str">
            <v>Pasko</v>
          </cell>
        </row>
        <row r="18524">
          <cell r="I18524" t="str">
            <v>Parshall</v>
          </cell>
        </row>
        <row r="18525">
          <cell r="I18525" t="str">
            <v>Panos</v>
          </cell>
        </row>
        <row r="18526">
          <cell r="I18526" t="str">
            <v>Panella</v>
          </cell>
        </row>
        <row r="18527">
          <cell r="I18527" t="str">
            <v>Palombo</v>
          </cell>
        </row>
        <row r="18528">
          <cell r="I18528" t="str">
            <v>Padillo</v>
          </cell>
        </row>
        <row r="18529">
          <cell r="I18529" t="str">
            <v>Oyama</v>
          </cell>
        </row>
        <row r="18530">
          <cell r="I18530" t="str">
            <v>Overlock</v>
          </cell>
        </row>
        <row r="18531">
          <cell r="I18531" t="str">
            <v>Overbeck</v>
          </cell>
        </row>
        <row r="18532">
          <cell r="I18532" t="str">
            <v>Otterson</v>
          </cell>
        </row>
        <row r="18533">
          <cell r="I18533" t="str">
            <v>Orrell</v>
          </cell>
        </row>
        <row r="18534">
          <cell r="I18534" t="str">
            <v>Ornellas</v>
          </cell>
        </row>
        <row r="18535">
          <cell r="I18535" t="str">
            <v>Opitz</v>
          </cell>
        </row>
        <row r="18536">
          <cell r="I18536" t="str">
            <v>Okelly</v>
          </cell>
        </row>
        <row r="18537">
          <cell r="I18537" t="str">
            <v>Officer</v>
          </cell>
        </row>
        <row r="18538">
          <cell r="I18538" t="str">
            <v>Obando</v>
          </cell>
        </row>
        <row r="18539">
          <cell r="I18539" t="str">
            <v>Noggle</v>
          </cell>
        </row>
        <row r="18540">
          <cell r="I18540" t="str">
            <v>Nicosia</v>
          </cell>
        </row>
        <row r="18541">
          <cell r="I18541" t="str">
            <v>Netto</v>
          </cell>
        </row>
        <row r="18542">
          <cell r="I18542" t="str">
            <v>Negrin</v>
          </cell>
        </row>
        <row r="18543">
          <cell r="I18543" t="str">
            <v>Natali</v>
          </cell>
        </row>
        <row r="18544">
          <cell r="I18544" t="str">
            <v>Nakayama</v>
          </cell>
        </row>
        <row r="18545">
          <cell r="I18545" t="str">
            <v>Nagao</v>
          </cell>
        </row>
        <row r="18546">
          <cell r="I18546" t="str">
            <v>Nadel</v>
          </cell>
        </row>
        <row r="18547">
          <cell r="I18547" t="str">
            <v>Musial</v>
          </cell>
        </row>
        <row r="18548">
          <cell r="I18548" t="str">
            <v>Murrill</v>
          </cell>
        </row>
        <row r="18549">
          <cell r="I18549" t="str">
            <v>Murrah</v>
          </cell>
        </row>
        <row r="18550">
          <cell r="I18550" t="str">
            <v>Munsch</v>
          </cell>
        </row>
        <row r="18551">
          <cell r="I18551" t="str">
            <v>Mucci</v>
          </cell>
        </row>
        <row r="18552">
          <cell r="I18552" t="str">
            <v>Mrozek</v>
          </cell>
        </row>
        <row r="18553">
          <cell r="I18553" t="str">
            <v>Moyes</v>
          </cell>
        </row>
        <row r="18554">
          <cell r="I18554" t="str">
            <v>Mowrer</v>
          </cell>
        </row>
        <row r="18555">
          <cell r="I18555" t="str">
            <v>Moris</v>
          </cell>
        </row>
        <row r="18556">
          <cell r="I18556" t="str">
            <v>Morais</v>
          </cell>
        </row>
        <row r="18557">
          <cell r="I18557" t="str">
            <v>Moorhouse</v>
          </cell>
        </row>
        <row r="18558">
          <cell r="I18558" t="str">
            <v>Monico</v>
          </cell>
        </row>
        <row r="18559">
          <cell r="I18559" t="str">
            <v>Mone</v>
          </cell>
        </row>
        <row r="18560">
          <cell r="I18560" t="str">
            <v>Mondy</v>
          </cell>
        </row>
        <row r="18561">
          <cell r="I18561" t="str">
            <v>Moncayo</v>
          </cell>
        </row>
        <row r="18562">
          <cell r="I18562" t="str">
            <v>Mole</v>
          </cell>
        </row>
        <row r="18563">
          <cell r="I18563" t="str">
            <v>Miltenberger</v>
          </cell>
        </row>
        <row r="18564">
          <cell r="I18564" t="str">
            <v>Milsap</v>
          </cell>
        </row>
        <row r="18565">
          <cell r="I18565" t="str">
            <v>Milone</v>
          </cell>
        </row>
        <row r="18566">
          <cell r="I18566" t="str">
            <v>Millikin</v>
          </cell>
        </row>
        <row r="18567">
          <cell r="I18567" t="str">
            <v>Milardo</v>
          </cell>
        </row>
        <row r="18568">
          <cell r="I18568" t="str">
            <v>Mika</v>
          </cell>
        </row>
        <row r="18569">
          <cell r="I18569" t="str">
            <v>Micheals</v>
          </cell>
        </row>
        <row r="18570">
          <cell r="I18570" t="str">
            <v>Micco</v>
          </cell>
        </row>
        <row r="18571">
          <cell r="I18571" t="str">
            <v>Meyerson</v>
          </cell>
        </row>
        <row r="18572">
          <cell r="I18572" t="str">
            <v>Mericle</v>
          </cell>
        </row>
        <row r="18573">
          <cell r="I18573" t="str">
            <v>Mendell</v>
          </cell>
        </row>
        <row r="18574">
          <cell r="I18574" t="str">
            <v>Meinhardt</v>
          </cell>
        </row>
        <row r="18575">
          <cell r="I18575" t="str">
            <v>Meachum</v>
          </cell>
        </row>
        <row r="18576">
          <cell r="I18576" t="str">
            <v>Mcleroy</v>
          </cell>
        </row>
        <row r="18577">
          <cell r="I18577" t="str">
            <v>Mcgray</v>
          </cell>
        </row>
        <row r="18578">
          <cell r="I18578" t="str">
            <v>Mcgonigal</v>
          </cell>
        </row>
        <row r="18579">
          <cell r="I18579" t="str">
            <v>Maultsby</v>
          </cell>
        </row>
        <row r="18580">
          <cell r="I18580" t="str">
            <v>Matis</v>
          </cell>
        </row>
        <row r="18581">
          <cell r="I18581" t="str">
            <v>Matheney</v>
          </cell>
        </row>
        <row r="18582">
          <cell r="I18582" t="str">
            <v>Matamoros</v>
          </cell>
        </row>
        <row r="18583">
          <cell r="I18583" t="str">
            <v>Marro</v>
          </cell>
        </row>
        <row r="18584">
          <cell r="I18584" t="str">
            <v>Marcil</v>
          </cell>
        </row>
        <row r="18585">
          <cell r="I18585" t="str">
            <v>Marcial</v>
          </cell>
        </row>
        <row r="18586">
          <cell r="I18586" t="str">
            <v>Mantz</v>
          </cell>
        </row>
        <row r="18587">
          <cell r="I18587" t="str">
            <v>Mannings</v>
          </cell>
        </row>
        <row r="18588">
          <cell r="I18588" t="str">
            <v>Maltby</v>
          </cell>
        </row>
        <row r="18589">
          <cell r="I18589" t="str">
            <v>Malchow</v>
          </cell>
        </row>
        <row r="18590">
          <cell r="I18590" t="str">
            <v>Maiorano</v>
          </cell>
        </row>
        <row r="18591">
          <cell r="I18591" t="str">
            <v>Mahn</v>
          </cell>
        </row>
        <row r="18592">
          <cell r="I18592" t="str">
            <v>Mahlum</v>
          </cell>
        </row>
        <row r="18593">
          <cell r="I18593" t="str">
            <v>Maglio</v>
          </cell>
        </row>
        <row r="18594">
          <cell r="I18594" t="str">
            <v>Mae</v>
          </cell>
        </row>
        <row r="18595">
          <cell r="I18595" t="str">
            <v>Maberry</v>
          </cell>
        </row>
        <row r="18596">
          <cell r="I18596" t="str">
            <v>Lustig</v>
          </cell>
        </row>
        <row r="18597">
          <cell r="I18597" t="str">
            <v>Luellen</v>
          </cell>
        </row>
        <row r="18598">
          <cell r="I18598" t="str">
            <v>Longwell</v>
          </cell>
        </row>
        <row r="18599">
          <cell r="I18599" t="str">
            <v>Longenecker</v>
          </cell>
        </row>
        <row r="18600">
          <cell r="I18600" t="str">
            <v>Lofland</v>
          </cell>
        </row>
        <row r="18601">
          <cell r="I18601" t="str">
            <v>Locascio</v>
          </cell>
        </row>
        <row r="18602">
          <cell r="I18602" t="str">
            <v>Linney</v>
          </cell>
        </row>
        <row r="18603">
          <cell r="I18603" t="str">
            <v>Linneman</v>
          </cell>
        </row>
        <row r="18604">
          <cell r="I18604" t="str">
            <v>Lighty</v>
          </cell>
        </row>
        <row r="18605">
          <cell r="I18605" t="str">
            <v>Levell</v>
          </cell>
        </row>
        <row r="18606">
          <cell r="I18606" t="str">
            <v>Levay</v>
          </cell>
        </row>
        <row r="18607">
          <cell r="I18607" t="str">
            <v>Lenahan</v>
          </cell>
        </row>
        <row r="18608">
          <cell r="I18608" t="str">
            <v>Lemen</v>
          </cell>
        </row>
        <row r="18609">
          <cell r="I18609" t="str">
            <v>Lehto</v>
          </cell>
        </row>
        <row r="18610">
          <cell r="I18610" t="str">
            <v>Lebaron</v>
          </cell>
        </row>
        <row r="18611">
          <cell r="I18611" t="str">
            <v>Lanctot</v>
          </cell>
        </row>
        <row r="18612">
          <cell r="I18612" t="str">
            <v>Lamy</v>
          </cell>
        </row>
        <row r="18613">
          <cell r="I18613" t="str">
            <v>Lainez</v>
          </cell>
        </row>
        <row r="18614">
          <cell r="I18614" t="str">
            <v>Laffoon</v>
          </cell>
        </row>
        <row r="18615">
          <cell r="I18615" t="str">
            <v>Labombard</v>
          </cell>
        </row>
        <row r="18616">
          <cell r="I18616" t="str">
            <v>Kujawski</v>
          </cell>
        </row>
        <row r="18617">
          <cell r="I18617" t="str">
            <v>Kroger</v>
          </cell>
        </row>
        <row r="18618">
          <cell r="I18618" t="str">
            <v>Kreutzer</v>
          </cell>
        </row>
        <row r="18619">
          <cell r="I18619" t="str">
            <v>Korhonen</v>
          </cell>
        </row>
        <row r="18620">
          <cell r="I18620" t="str">
            <v>Kondo</v>
          </cell>
        </row>
        <row r="18621">
          <cell r="I18621" t="str">
            <v>Kollman</v>
          </cell>
        </row>
        <row r="18622">
          <cell r="I18622" t="str">
            <v>Kohan</v>
          </cell>
        </row>
        <row r="18623">
          <cell r="I18623" t="str">
            <v>Kogut</v>
          </cell>
        </row>
        <row r="18624">
          <cell r="I18624" t="str">
            <v>Knaus</v>
          </cell>
        </row>
        <row r="18625">
          <cell r="I18625" t="str">
            <v>Kivi</v>
          </cell>
        </row>
        <row r="18626">
          <cell r="I18626" t="str">
            <v>Kittel</v>
          </cell>
        </row>
        <row r="18627">
          <cell r="I18627" t="str">
            <v>Kinner</v>
          </cell>
        </row>
        <row r="18628">
          <cell r="I18628" t="str">
            <v>Kindig</v>
          </cell>
        </row>
        <row r="18629">
          <cell r="I18629" t="str">
            <v>Kindel</v>
          </cell>
        </row>
        <row r="18630">
          <cell r="I18630" t="str">
            <v>Kiesel</v>
          </cell>
        </row>
        <row r="18631">
          <cell r="I18631" t="str">
            <v>Kidney</v>
          </cell>
        </row>
        <row r="18632">
          <cell r="I18632" t="str">
            <v>Kibby</v>
          </cell>
        </row>
        <row r="18633">
          <cell r="I18633" t="str">
            <v>Khang</v>
          </cell>
        </row>
        <row r="18634">
          <cell r="I18634" t="str">
            <v>Kettler</v>
          </cell>
        </row>
        <row r="18635">
          <cell r="I18635" t="str">
            <v>Ketterer</v>
          </cell>
        </row>
        <row r="18636">
          <cell r="I18636" t="str">
            <v>Kepner</v>
          </cell>
        </row>
        <row r="18637">
          <cell r="I18637" t="str">
            <v>Kelliher</v>
          </cell>
        </row>
        <row r="18638">
          <cell r="I18638" t="str">
            <v>Keenum</v>
          </cell>
        </row>
        <row r="18639">
          <cell r="I18639" t="str">
            <v>Kanode</v>
          </cell>
        </row>
        <row r="18640">
          <cell r="I18640" t="str">
            <v>Kail</v>
          </cell>
        </row>
        <row r="18641">
          <cell r="I18641" t="str">
            <v>July</v>
          </cell>
        </row>
        <row r="18642">
          <cell r="I18642" t="str">
            <v>Juhasz</v>
          </cell>
        </row>
        <row r="18643">
          <cell r="I18643" t="str">
            <v>Jowett</v>
          </cell>
        </row>
        <row r="18644">
          <cell r="I18644" t="str">
            <v>Jolicoeur</v>
          </cell>
        </row>
        <row r="18645">
          <cell r="I18645" t="str">
            <v>Jeon</v>
          </cell>
        </row>
        <row r="18646">
          <cell r="I18646" t="str">
            <v>Iser</v>
          </cell>
        </row>
        <row r="18647">
          <cell r="I18647" t="str">
            <v>Ingrassia</v>
          </cell>
        </row>
        <row r="18648">
          <cell r="I18648" t="str">
            <v>Imai</v>
          </cell>
        </row>
        <row r="18649">
          <cell r="I18649" t="str">
            <v>Hutchcraft</v>
          </cell>
        </row>
        <row r="18650">
          <cell r="I18650" t="str">
            <v>Humiston</v>
          </cell>
        </row>
        <row r="18651">
          <cell r="I18651" t="str">
            <v>Hulings</v>
          </cell>
        </row>
        <row r="18652">
          <cell r="I18652" t="str">
            <v>Hukill</v>
          </cell>
        </row>
        <row r="18653">
          <cell r="I18653" t="str">
            <v>Huizenga</v>
          </cell>
        </row>
        <row r="18654">
          <cell r="I18654" t="str">
            <v>Hugley</v>
          </cell>
        </row>
        <row r="18655">
          <cell r="I18655" t="str">
            <v>Huddle</v>
          </cell>
        </row>
        <row r="18656">
          <cell r="I18656" t="str">
            <v>Hose</v>
          </cell>
        </row>
        <row r="18657">
          <cell r="I18657" t="str">
            <v>Hornyak</v>
          </cell>
        </row>
        <row r="18658">
          <cell r="I18658" t="str">
            <v>Hodder</v>
          </cell>
        </row>
        <row r="18659">
          <cell r="I18659" t="str">
            <v>Hisle</v>
          </cell>
        </row>
        <row r="18660">
          <cell r="I18660" t="str">
            <v>Hillenbrand</v>
          </cell>
        </row>
        <row r="18661">
          <cell r="I18661" t="str">
            <v>Hille</v>
          </cell>
        </row>
        <row r="18662">
          <cell r="I18662" t="str">
            <v>Higuchi</v>
          </cell>
        </row>
        <row r="18663">
          <cell r="I18663" t="str">
            <v>Hertzler</v>
          </cell>
        </row>
        <row r="18664">
          <cell r="I18664" t="str">
            <v>Herdon</v>
          </cell>
        </row>
        <row r="18665">
          <cell r="I18665" t="str">
            <v>Heppner</v>
          </cell>
        </row>
        <row r="18666">
          <cell r="I18666" t="str">
            <v>Hepp</v>
          </cell>
        </row>
        <row r="18667">
          <cell r="I18667" t="str">
            <v>Heitmann</v>
          </cell>
        </row>
        <row r="18668">
          <cell r="I18668" t="str">
            <v>Heckart</v>
          </cell>
        </row>
        <row r="18669">
          <cell r="I18669" t="str">
            <v>Hazlewood</v>
          </cell>
        </row>
        <row r="18670">
          <cell r="I18670" t="str">
            <v>Hayles</v>
          </cell>
        </row>
        <row r="18671">
          <cell r="I18671" t="str">
            <v>Hayek</v>
          </cell>
        </row>
        <row r="18672">
          <cell r="I18672" t="str">
            <v>Hawthorn</v>
          </cell>
        </row>
        <row r="18673">
          <cell r="I18673" t="str">
            <v>Hawkin</v>
          </cell>
        </row>
        <row r="18674">
          <cell r="I18674" t="str">
            <v>Haugland</v>
          </cell>
        </row>
        <row r="18675">
          <cell r="I18675" t="str">
            <v>Hasler</v>
          </cell>
        </row>
        <row r="18676">
          <cell r="I18676" t="str">
            <v>Harbuck</v>
          </cell>
        </row>
        <row r="18677">
          <cell r="I18677" t="str">
            <v>Happel</v>
          </cell>
        </row>
        <row r="18678">
          <cell r="I18678" t="str">
            <v>Hambly</v>
          </cell>
        </row>
        <row r="18679">
          <cell r="I18679" t="str">
            <v>Hambleton</v>
          </cell>
        </row>
        <row r="18680">
          <cell r="I18680" t="str">
            <v>Hagaman</v>
          </cell>
        </row>
        <row r="18681">
          <cell r="I18681" t="str">
            <v>Guzzi</v>
          </cell>
        </row>
        <row r="18682">
          <cell r="I18682" t="str">
            <v>Gullette</v>
          </cell>
        </row>
        <row r="18683">
          <cell r="I18683" t="str">
            <v>Guinyard</v>
          </cell>
        </row>
        <row r="18684">
          <cell r="I18684" t="str">
            <v>Grogg</v>
          </cell>
        </row>
        <row r="18685">
          <cell r="I18685" t="str">
            <v>Grise</v>
          </cell>
        </row>
        <row r="18686">
          <cell r="I18686" t="str">
            <v>Griffing</v>
          </cell>
        </row>
        <row r="18687">
          <cell r="I18687" t="str">
            <v>Goto</v>
          </cell>
        </row>
        <row r="18688">
          <cell r="I18688" t="str">
            <v>Gosney</v>
          </cell>
        </row>
        <row r="18689">
          <cell r="I18689" t="str">
            <v>Goods</v>
          </cell>
        </row>
        <row r="18690">
          <cell r="I18690" t="str">
            <v>Goley</v>
          </cell>
        </row>
        <row r="18691">
          <cell r="I18691" t="str">
            <v>Goldblatt</v>
          </cell>
        </row>
        <row r="18692">
          <cell r="I18692" t="str">
            <v>Gledhill</v>
          </cell>
        </row>
        <row r="18693">
          <cell r="I18693" t="str">
            <v>Girton</v>
          </cell>
        </row>
        <row r="18694">
          <cell r="I18694" t="str">
            <v>Giltner</v>
          </cell>
        </row>
        <row r="18695">
          <cell r="I18695" t="str">
            <v>Gillock</v>
          </cell>
        </row>
        <row r="18696">
          <cell r="I18696" t="str">
            <v>Gilham</v>
          </cell>
        </row>
        <row r="18697">
          <cell r="I18697" t="str">
            <v>Gilfillan</v>
          </cell>
        </row>
        <row r="18698">
          <cell r="I18698" t="str">
            <v>Giblin</v>
          </cell>
        </row>
        <row r="18699">
          <cell r="I18699" t="str">
            <v>Gentner</v>
          </cell>
        </row>
        <row r="18700">
          <cell r="I18700" t="str">
            <v>Gehlert</v>
          </cell>
        </row>
        <row r="18701">
          <cell r="I18701" t="str">
            <v>Gehl</v>
          </cell>
        </row>
        <row r="18702">
          <cell r="I18702" t="str">
            <v>Garten</v>
          </cell>
        </row>
        <row r="18703">
          <cell r="I18703" t="str">
            <v>Garney</v>
          </cell>
        </row>
        <row r="18704">
          <cell r="I18704" t="str">
            <v>Garlow</v>
          </cell>
        </row>
        <row r="18705">
          <cell r="I18705" t="str">
            <v>Garett</v>
          </cell>
        </row>
        <row r="18706">
          <cell r="I18706" t="str">
            <v>Galles</v>
          </cell>
        </row>
        <row r="18707">
          <cell r="I18707" t="str">
            <v>Galeana</v>
          </cell>
        </row>
        <row r="18708">
          <cell r="I18708" t="str">
            <v>Futral</v>
          </cell>
        </row>
        <row r="18709">
          <cell r="I18709" t="str">
            <v>Fuhr</v>
          </cell>
        </row>
        <row r="18710">
          <cell r="I18710" t="str">
            <v>Friedland</v>
          </cell>
        </row>
        <row r="18711">
          <cell r="I18711" t="str">
            <v>Franson</v>
          </cell>
        </row>
        <row r="18712">
          <cell r="I18712" t="str">
            <v>Fransen</v>
          </cell>
        </row>
        <row r="18713">
          <cell r="I18713" t="str">
            <v>Foulds</v>
          </cell>
        </row>
        <row r="18714">
          <cell r="I18714" t="str">
            <v>Follmer</v>
          </cell>
        </row>
        <row r="18715">
          <cell r="I18715" t="str">
            <v>Foland</v>
          </cell>
        </row>
        <row r="18716">
          <cell r="I18716" t="str">
            <v>Flax</v>
          </cell>
        </row>
        <row r="18717">
          <cell r="I18717" t="str">
            <v>Flavin</v>
          </cell>
        </row>
        <row r="18718">
          <cell r="I18718" t="str">
            <v>Firkins</v>
          </cell>
        </row>
        <row r="18719">
          <cell r="I18719" t="str">
            <v>Fillion</v>
          </cell>
        </row>
        <row r="18720">
          <cell r="I18720" t="str">
            <v>Figueredo</v>
          </cell>
        </row>
        <row r="18721">
          <cell r="I18721" t="str">
            <v>Ferrill</v>
          </cell>
        </row>
        <row r="18722">
          <cell r="I18722" t="str">
            <v>Fenster</v>
          </cell>
        </row>
        <row r="18723">
          <cell r="I18723" t="str">
            <v>Fenley</v>
          </cell>
        </row>
        <row r="18724">
          <cell r="I18724" t="str">
            <v>Fauver</v>
          </cell>
        </row>
        <row r="18725">
          <cell r="I18725" t="str">
            <v>Farfan</v>
          </cell>
        </row>
        <row r="18726">
          <cell r="I18726" t="str">
            <v>Factor</v>
          </cell>
        </row>
        <row r="18727">
          <cell r="I18727" t="str">
            <v>Eustice</v>
          </cell>
        </row>
        <row r="18728">
          <cell r="I18728" t="str">
            <v>Eppler</v>
          </cell>
        </row>
        <row r="18729">
          <cell r="I18729" t="str">
            <v>Engelman</v>
          </cell>
        </row>
        <row r="18730">
          <cell r="I18730" t="str">
            <v>Engelke</v>
          </cell>
        </row>
        <row r="18731">
          <cell r="I18731" t="str">
            <v>Emmer</v>
          </cell>
        </row>
        <row r="18732">
          <cell r="I18732" t="str">
            <v>Elzy</v>
          </cell>
        </row>
        <row r="18733">
          <cell r="I18733" t="str">
            <v>Ellwood</v>
          </cell>
        </row>
        <row r="18734">
          <cell r="I18734" t="str">
            <v>Ellerbee</v>
          </cell>
        </row>
        <row r="18735">
          <cell r="I18735" t="str">
            <v>Elks</v>
          </cell>
        </row>
        <row r="18736">
          <cell r="I18736" t="str">
            <v>Ehret</v>
          </cell>
        </row>
        <row r="18737">
          <cell r="I18737" t="str">
            <v>Ebbert</v>
          </cell>
        </row>
        <row r="18738">
          <cell r="I18738" t="str">
            <v>Durrah</v>
          </cell>
        </row>
        <row r="18739">
          <cell r="I18739" t="str">
            <v>Dupras</v>
          </cell>
        </row>
        <row r="18740">
          <cell r="I18740" t="str">
            <v>Dubuque</v>
          </cell>
        </row>
        <row r="18741">
          <cell r="I18741" t="str">
            <v>Dragoo</v>
          </cell>
        </row>
        <row r="18742">
          <cell r="I18742" t="str">
            <v>Donlon</v>
          </cell>
        </row>
        <row r="18743">
          <cell r="I18743" t="str">
            <v>Dolloff</v>
          </cell>
        </row>
        <row r="18744">
          <cell r="I18744" t="str">
            <v>Doi</v>
          </cell>
        </row>
        <row r="18745">
          <cell r="I18745" t="str">
            <v>Dibella</v>
          </cell>
        </row>
        <row r="18746">
          <cell r="I18746" t="str">
            <v>Derrico</v>
          </cell>
        </row>
        <row r="18747">
          <cell r="I18747" t="str">
            <v>Demko</v>
          </cell>
        </row>
        <row r="18748">
          <cell r="I18748" t="str">
            <v>Demar</v>
          </cell>
        </row>
        <row r="18749">
          <cell r="I18749" t="str">
            <v>Darrington</v>
          </cell>
        </row>
        <row r="18750">
          <cell r="I18750" t="str">
            <v>Czapla</v>
          </cell>
        </row>
        <row r="18751">
          <cell r="I18751" t="str">
            <v>Crooker</v>
          </cell>
        </row>
        <row r="18752">
          <cell r="I18752" t="str">
            <v>Creagh</v>
          </cell>
        </row>
        <row r="18753">
          <cell r="I18753" t="str">
            <v>Cranor</v>
          </cell>
        </row>
        <row r="18754">
          <cell r="I18754" t="str">
            <v>Craner</v>
          </cell>
        </row>
        <row r="18755">
          <cell r="I18755" t="str">
            <v>Crafts</v>
          </cell>
        </row>
        <row r="18756">
          <cell r="I18756" t="str">
            <v>Crabill</v>
          </cell>
        </row>
        <row r="18757">
          <cell r="I18757" t="str">
            <v>Coyer</v>
          </cell>
        </row>
        <row r="18758">
          <cell r="I18758" t="str">
            <v>Cowman</v>
          </cell>
        </row>
        <row r="18759">
          <cell r="I18759" t="str">
            <v>Cowherd</v>
          </cell>
        </row>
        <row r="18760">
          <cell r="I18760" t="str">
            <v>Cottone</v>
          </cell>
        </row>
        <row r="18761">
          <cell r="I18761" t="str">
            <v>Costillo</v>
          </cell>
        </row>
        <row r="18762">
          <cell r="I18762" t="str">
            <v>Coster</v>
          </cell>
        </row>
        <row r="18763">
          <cell r="I18763" t="str">
            <v>Costas</v>
          </cell>
        </row>
        <row r="18764">
          <cell r="I18764" t="str">
            <v>Cosenza</v>
          </cell>
        </row>
        <row r="18765">
          <cell r="I18765" t="str">
            <v>Corker</v>
          </cell>
        </row>
        <row r="18766">
          <cell r="I18766" t="str">
            <v>Collinson</v>
          </cell>
        </row>
        <row r="18767">
          <cell r="I18767" t="str">
            <v>Coello</v>
          </cell>
        </row>
        <row r="18768">
          <cell r="I18768" t="str">
            <v>Clingman</v>
          </cell>
        </row>
        <row r="18769">
          <cell r="I18769" t="str">
            <v>Clingerman</v>
          </cell>
        </row>
        <row r="18770">
          <cell r="I18770" t="str">
            <v>Claborn</v>
          </cell>
        </row>
        <row r="18771">
          <cell r="I18771" t="str">
            <v>Citizen</v>
          </cell>
        </row>
        <row r="18772">
          <cell r="I18772" t="str">
            <v>Chmura</v>
          </cell>
        </row>
        <row r="18773">
          <cell r="I18773" t="str">
            <v>Chausse</v>
          </cell>
        </row>
        <row r="18774">
          <cell r="I18774" t="str">
            <v>Chaudhry</v>
          </cell>
        </row>
        <row r="18775">
          <cell r="I18775" t="str">
            <v>Chapell</v>
          </cell>
        </row>
        <row r="18776">
          <cell r="I18776" t="str">
            <v>Chancy</v>
          </cell>
        </row>
        <row r="18777">
          <cell r="I18777" t="str">
            <v>Cerrone</v>
          </cell>
        </row>
        <row r="18778">
          <cell r="I18778" t="str">
            <v>Caves</v>
          </cell>
        </row>
        <row r="18779">
          <cell r="I18779" t="str">
            <v>Caverly</v>
          </cell>
        </row>
        <row r="18780">
          <cell r="I18780" t="str">
            <v>Caulkins</v>
          </cell>
        </row>
        <row r="18781">
          <cell r="I18781" t="str">
            <v>Carn</v>
          </cell>
        </row>
        <row r="18782">
          <cell r="I18782" t="str">
            <v>Campfield</v>
          </cell>
        </row>
        <row r="18783">
          <cell r="I18783" t="str">
            <v>Campanelli</v>
          </cell>
        </row>
        <row r="18784">
          <cell r="I18784" t="str">
            <v>Callaham</v>
          </cell>
        </row>
        <row r="18785">
          <cell r="I18785" t="str">
            <v>Cadorette</v>
          </cell>
        </row>
        <row r="18786">
          <cell r="I18786" t="str">
            <v>Butkovich</v>
          </cell>
        </row>
        <row r="18787">
          <cell r="I18787" t="str">
            <v>Buske</v>
          </cell>
        </row>
        <row r="18788">
          <cell r="I18788" t="str">
            <v>Burrier</v>
          </cell>
        </row>
        <row r="18789">
          <cell r="I18789" t="str">
            <v>Burkley</v>
          </cell>
        </row>
        <row r="18790">
          <cell r="I18790" t="str">
            <v>Bunyard</v>
          </cell>
        </row>
        <row r="18791">
          <cell r="I18791" t="str">
            <v>Budge</v>
          </cell>
        </row>
        <row r="18792">
          <cell r="I18792" t="str">
            <v>Buckelew</v>
          </cell>
        </row>
        <row r="18793">
          <cell r="I18793" t="str">
            <v>Buchheit</v>
          </cell>
        </row>
        <row r="18794">
          <cell r="I18794" t="str">
            <v>Broman</v>
          </cell>
        </row>
        <row r="18795">
          <cell r="I18795" t="str">
            <v>Brescia</v>
          </cell>
        </row>
        <row r="18796">
          <cell r="I18796" t="str">
            <v>Brasel</v>
          </cell>
        </row>
        <row r="18797">
          <cell r="I18797" t="str">
            <v>Brain</v>
          </cell>
        </row>
        <row r="18798">
          <cell r="I18798" t="str">
            <v>Boyster</v>
          </cell>
        </row>
        <row r="18799">
          <cell r="I18799" t="str">
            <v>Booe</v>
          </cell>
        </row>
        <row r="18800">
          <cell r="I18800" t="str">
            <v>Bonomo</v>
          </cell>
        </row>
        <row r="18801">
          <cell r="I18801" t="str">
            <v>Bonnet</v>
          </cell>
        </row>
        <row r="18802">
          <cell r="I18802" t="str">
            <v>Bondi</v>
          </cell>
        </row>
        <row r="18803">
          <cell r="I18803" t="str">
            <v>Bohnsack</v>
          </cell>
        </row>
        <row r="18804">
          <cell r="I18804" t="str">
            <v>Bobby</v>
          </cell>
        </row>
        <row r="18805">
          <cell r="I18805" t="str">
            <v>Blomberg</v>
          </cell>
        </row>
        <row r="18806">
          <cell r="I18806" t="str">
            <v>Blanford</v>
          </cell>
        </row>
        <row r="18807">
          <cell r="I18807" t="str">
            <v>Bilderback</v>
          </cell>
        </row>
        <row r="18808">
          <cell r="I18808" t="str">
            <v>Biggins</v>
          </cell>
        </row>
        <row r="18809">
          <cell r="I18809" t="str">
            <v>Bently</v>
          </cell>
        </row>
        <row r="18810">
          <cell r="I18810" t="str">
            <v>Behrends</v>
          </cell>
        </row>
        <row r="18811">
          <cell r="I18811" t="str">
            <v>Beegle</v>
          </cell>
        </row>
        <row r="18812">
          <cell r="I18812" t="str">
            <v>Bedoya</v>
          </cell>
        </row>
        <row r="18813">
          <cell r="I18813" t="str">
            <v>Bechtol</v>
          </cell>
        </row>
        <row r="18814">
          <cell r="I18814" t="str">
            <v>Beaubien</v>
          </cell>
        </row>
        <row r="18815">
          <cell r="I18815" t="str">
            <v>Bayerl</v>
          </cell>
        </row>
        <row r="18816">
          <cell r="I18816" t="str">
            <v>Baumgart</v>
          </cell>
        </row>
        <row r="18817">
          <cell r="I18817" t="str">
            <v>Baumeister</v>
          </cell>
        </row>
        <row r="18818">
          <cell r="I18818" t="str">
            <v>Barratt</v>
          </cell>
        </row>
        <row r="18819">
          <cell r="I18819" t="str">
            <v>Barlowe</v>
          </cell>
        </row>
        <row r="18820">
          <cell r="I18820" t="str">
            <v>Barkman</v>
          </cell>
        </row>
        <row r="18821">
          <cell r="I18821" t="str">
            <v>Barbagallo</v>
          </cell>
        </row>
        <row r="18822">
          <cell r="I18822" t="str">
            <v>Baldree</v>
          </cell>
        </row>
        <row r="18823">
          <cell r="I18823" t="str">
            <v>Baine</v>
          </cell>
        </row>
        <row r="18824">
          <cell r="I18824" t="str">
            <v>Bail</v>
          </cell>
        </row>
        <row r="18825">
          <cell r="I18825" t="str">
            <v>Baggs</v>
          </cell>
        </row>
        <row r="18826">
          <cell r="I18826" t="str">
            <v>Bacote</v>
          </cell>
        </row>
        <row r="18827">
          <cell r="I18827" t="str">
            <v>Aylward</v>
          </cell>
        </row>
        <row r="18828">
          <cell r="I18828" t="str">
            <v>Ashurst</v>
          </cell>
        </row>
        <row r="18829">
          <cell r="I18829" t="str">
            <v>Arvidson</v>
          </cell>
        </row>
        <row r="18830">
          <cell r="I18830" t="str">
            <v>Arthurs</v>
          </cell>
        </row>
        <row r="18831">
          <cell r="I18831" t="str">
            <v>Arrieta</v>
          </cell>
        </row>
        <row r="18832">
          <cell r="I18832" t="str">
            <v>Arrey</v>
          </cell>
        </row>
        <row r="18833">
          <cell r="I18833" t="str">
            <v>Arreguin</v>
          </cell>
        </row>
        <row r="18834">
          <cell r="I18834" t="str">
            <v>Arrant</v>
          </cell>
        </row>
        <row r="18835">
          <cell r="I18835" t="str">
            <v>Arner</v>
          </cell>
        </row>
        <row r="18836">
          <cell r="I18836" t="str">
            <v>Armor</v>
          </cell>
        </row>
        <row r="18837">
          <cell r="I18837" t="str">
            <v>Arizmendi</v>
          </cell>
        </row>
        <row r="18838">
          <cell r="I18838" t="str">
            <v>Anker</v>
          </cell>
        </row>
        <row r="18839">
          <cell r="I18839" t="str">
            <v>Amis</v>
          </cell>
        </row>
        <row r="18840">
          <cell r="I18840" t="str">
            <v>Amend</v>
          </cell>
        </row>
        <row r="18841">
          <cell r="I18841" t="str">
            <v>Alphin</v>
          </cell>
        </row>
        <row r="18842">
          <cell r="I18842" t="str">
            <v>Allbright</v>
          </cell>
        </row>
        <row r="18843">
          <cell r="I18843" t="str">
            <v>Aikin</v>
          </cell>
        </row>
        <row r="18844">
          <cell r="I18844" t="str">
            <v>Acres</v>
          </cell>
        </row>
      </sheetData>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1"/>
      <sheetName val="Set2"/>
      <sheetName val="VBA"/>
    </sheetNames>
    <sheetDataSet>
      <sheetData sheetId="0"/>
      <sheetData sheetId="1">
        <row r="2">
          <cell r="A2">
            <v>113</v>
          </cell>
        </row>
        <row r="3">
          <cell r="A3">
            <v>85</v>
          </cell>
        </row>
        <row r="4">
          <cell r="A4">
            <v>85</v>
          </cell>
        </row>
        <row r="5">
          <cell r="A5">
            <v>108</v>
          </cell>
        </row>
        <row r="6">
          <cell r="A6">
            <v>118</v>
          </cell>
        </row>
        <row r="7">
          <cell r="A7">
            <v>119</v>
          </cell>
        </row>
        <row r="8">
          <cell r="A8">
            <v>108</v>
          </cell>
        </row>
        <row r="9">
          <cell r="A9">
            <v>39</v>
          </cell>
        </row>
        <row r="10">
          <cell r="A10">
            <v>97</v>
          </cell>
        </row>
        <row r="11">
          <cell r="A11">
            <v>114</v>
          </cell>
        </row>
        <row r="12">
          <cell r="A12">
            <v>106</v>
          </cell>
        </row>
        <row r="13">
          <cell r="A13">
            <v>90</v>
          </cell>
        </row>
        <row r="14">
          <cell r="A14">
            <v>95</v>
          </cell>
        </row>
        <row r="15">
          <cell r="A15">
            <v>90</v>
          </cell>
        </row>
        <row r="16">
          <cell r="A16">
            <v>101</v>
          </cell>
        </row>
        <row r="17">
          <cell r="A17">
            <v>129</v>
          </cell>
        </row>
        <row r="18">
          <cell r="A18">
            <v>37</v>
          </cell>
        </row>
        <row r="19">
          <cell r="A19">
            <v>100</v>
          </cell>
        </row>
        <row r="20">
          <cell r="A20">
            <v>105</v>
          </cell>
        </row>
        <row r="21">
          <cell r="A21">
            <v>93</v>
          </cell>
        </row>
        <row r="22">
          <cell r="A22">
            <v>33</v>
          </cell>
        </row>
        <row r="23">
          <cell r="A23">
            <v>103</v>
          </cell>
        </row>
        <row r="24">
          <cell r="A24">
            <v>113</v>
          </cell>
        </row>
        <row r="25">
          <cell r="A25">
            <v>102</v>
          </cell>
        </row>
        <row r="26">
          <cell r="A26">
            <v>80</v>
          </cell>
        </row>
        <row r="27">
          <cell r="A27">
            <v>146</v>
          </cell>
        </row>
        <row r="28">
          <cell r="A28">
            <v>94</v>
          </cell>
        </row>
        <row r="29">
          <cell r="A29">
            <v>92</v>
          </cell>
        </row>
        <row r="30">
          <cell r="A30">
            <v>136</v>
          </cell>
        </row>
        <row r="31">
          <cell r="A31">
            <v>90</v>
          </cell>
        </row>
        <row r="32">
          <cell r="A32">
            <v>94</v>
          </cell>
        </row>
        <row r="33">
          <cell r="A33">
            <v>101</v>
          </cell>
        </row>
        <row r="34">
          <cell r="A34">
            <v>113</v>
          </cell>
        </row>
        <row r="35">
          <cell r="A35">
            <v>90</v>
          </cell>
        </row>
        <row r="36">
          <cell r="A36">
            <v>100</v>
          </cell>
        </row>
        <row r="37">
          <cell r="A37">
            <v>99</v>
          </cell>
        </row>
        <row r="38">
          <cell r="A38">
            <v>88</v>
          </cell>
        </row>
        <row r="39">
          <cell r="A39">
            <v>82</v>
          </cell>
        </row>
        <row r="40">
          <cell r="A40">
            <v>112</v>
          </cell>
        </row>
        <row r="41">
          <cell r="A41">
            <v>36</v>
          </cell>
        </row>
        <row r="42">
          <cell r="A42">
            <v>134</v>
          </cell>
        </row>
        <row r="43">
          <cell r="A43">
            <v>106</v>
          </cell>
        </row>
        <row r="44">
          <cell r="A44">
            <v>120</v>
          </cell>
        </row>
        <row r="45">
          <cell r="A45">
            <v>90</v>
          </cell>
        </row>
        <row r="46">
          <cell r="A46">
            <v>94</v>
          </cell>
        </row>
        <row r="47">
          <cell r="A47">
            <v>98</v>
          </cell>
        </row>
        <row r="48">
          <cell r="A48">
            <v>92</v>
          </cell>
        </row>
        <row r="49">
          <cell r="A49">
            <v>107</v>
          </cell>
        </row>
        <row r="50">
          <cell r="A50">
            <v>116</v>
          </cell>
        </row>
        <row r="51">
          <cell r="A51">
            <v>89</v>
          </cell>
        </row>
        <row r="52">
          <cell r="A52">
            <v>115</v>
          </cell>
        </row>
        <row r="53">
          <cell r="A53">
            <v>137</v>
          </cell>
        </row>
        <row r="54">
          <cell r="A54">
            <v>149</v>
          </cell>
        </row>
        <row r="55">
          <cell r="A55">
            <v>44</v>
          </cell>
        </row>
        <row r="56">
          <cell r="A56">
            <v>95</v>
          </cell>
        </row>
        <row r="57">
          <cell r="A57">
            <v>97</v>
          </cell>
        </row>
        <row r="58">
          <cell r="A58">
            <v>110</v>
          </cell>
        </row>
        <row r="59">
          <cell r="A59">
            <v>101</v>
          </cell>
        </row>
        <row r="60">
          <cell r="A60">
            <v>107</v>
          </cell>
        </row>
        <row r="61">
          <cell r="A61">
            <v>118</v>
          </cell>
        </row>
        <row r="62">
          <cell r="A62">
            <v>146</v>
          </cell>
        </row>
        <row r="63">
          <cell r="A63">
            <v>101</v>
          </cell>
        </row>
        <row r="64">
          <cell r="A64">
            <v>80</v>
          </cell>
        </row>
        <row r="65">
          <cell r="A65">
            <v>115</v>
          </cell>
        </row>
        <row r="66">
          <cell r="A66">
            <v>110</v>
          </cell>
        </row>
        <row r="67">
          <cell r="A67">
            <v>114</v>
          </cell>
        </row>
        <row r="68">
          <cell r="A68">
            <v>113</v>
          </cell>
        </row>
        <row r="69">
          <cell r="A69">
            <v>106</v>
          </cell>
        </row>
        <row r="70">
          <cell r="A70">
            <v>109</v>
          </cell>
        </row>
        <row r="71">
          <cell r="A71">
            <v>105</v>
          </cell>
        </row>
        <row r="72">
          <cell r="A72">
            <v>91</v>
          </cell>
        </row>
        <row r="73">
          <cell r="A73">
            <v>89</v>
          </cell>
        </row>
        <row r="74">
          <cell r="A74">
            <v>34</v>
          </cell>
        </row>
        <row r="75">
          <cell r="A75">
            <v>109</v>
          </cell>
        </row>
        <row r="76">
          <cell r="A76">
            <v>84</v>
          </cell>
        </row>
        <row r="77">
          <cell r="A77">
            <v>94</v>
          </cell>
        </row>
        <row r="78">
          <cell r="A78">
            <v>48</v>
          </cell>
        </row>
        <row r="79">
          <cell r="A79">
            <v>92</v>
          </cell>
        </row>
        <row r="80">
          <cell r="A80">
            <v>138</v>
          </cell>
        </row>
        <row r="81">
          <cell r="A81">
            <v>109</v>
          </cell>
        </row>
        <row r="82">
          <cell r="A82">
            <v>86</v>
          </cell>
        </row>
        <row r="83">
          <cell r="A83">
            <v>117</v>
          </cell>
        </row>
        <row r="84">
          <cell r="A84">
            <v>101</v>
          </cell>
        </row>
        <row r="85">
          <cell r="A85">
            <v>82</v>
          </cell>
        </row>
        <row r="86">
          <cell r="A86">
            <v>114</v>
          </cell>
        </row>
        <row r="87">
          <cell r="A87">
            <v>112</v>
          </cell>
        </row>
        <row r="88">
          <cell r="A88">
            <v>116</v>
          </cell>
        </row>
        <row r="89">
          <cell r="A89">
            <v>81</v>
          </cell>
        </row>
        <row r="90">
          <cell r="A90">
            <v>120</v>
          </cell>
        </row>
        <row r="91">
          <cell r="A91">
            <v>48</v>
          </cell>
        </row>
        <row r="92">
          <cell r="A92">
            <v>47</v>
          </cell>
        </row>
        <row r="93">
          <cell r="A93">
            <v>141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et1"/>
      <sheetName val="Set2"/>
      <sheetName val="Set3"/>
      <sheetName val="Set4"/>
      <sheetName val="Set5"/>
      <sheetName val="Data"/>
      <sheetName val="VBA Statements"/>
    </sheetNames>
    <definedNames>
      <definedName name="blank"/>
      <definedName name="blank_2"/>
      <definedName name="blank1"/>
      <definedName name="blank3"/>
      <definedName name="practice"/>
      <definedName name="practice2"/>
      <definedName name="sheet_1"/>
      <definedName name="sheet_2"/>
    </definedNames>
    <sheetDataSet>
      <sheetData sheetId="0"/>
      <sheetData sheetId="1"/>
      <sheetData sheetId="2"/>
      <sheetData sheetId="3"/>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TD%20Fall'25/OPRE6332_Spreadsheet/class-6/Class-06.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 GANESH" refreshedDate="45930.835908680558" createdVersion="8" refreshedVersion="8" minRefreshableVersion="3" recordCount="1226" xr:uid="{F40341D4-5972-4903-919D-246E3E2F5509}">
  <cacheSource type="worksheet">
    <worksheetSource ref="A1:K1227" sheet="Set1" r:id="rId2"/>
  </cacheSource>
  <cacheFields count="11">
    <cacheField name="Date Sold" numFmtId="14">
      <sharedItems containsSemiMixedTypes="0" containsNonDate="0" containsDate="1" containsString="0" minDate="2024-10-08T00:00:00" maxDate="2025-03-14T00:00:00"/>
    </cacheField>
    <cacheField name="Invoice" numFmtId="14">
      <sharedItems/>
    </cacheField>
    <cacheField name="Product" numFmtId="0">
      <sharedItems count="9">
        <s v="Purse"/>
        <s v="Hoddie"/>
        <s v="Scarf"/>
        <s v="Skirt"/>
        <s v="T-Shirt"/>
        <s v="Sweater"/>
        <s v="Hat"/>
        <s v="Jeans"/>
        <s v="Jacket"/>
      </sharedItems>
    </cacheField>
    <cacheField name="City" numFmtId="0">
      <sharedItems/>
    </cacheField>
    <cacheField name="Employee" numFmtId="0">
      <sharedItems count="7">
        <s v="Jack"/>
        <s v="Mark"/>
        <s v="John"/>
        <s v="Diya"/>
        <s v="Cathy"/>
        <s v="Ashley"/>
        <s v="Jill"/>
      </sharedItems>
    </cacheField>
    <cacheField name="Customer" numFmtId="0">
      <sharedItems/>
    </cacheField>
    <cacheField name="Units" numFmtId="0">
      <sharedItems containsSemiMixedTypes="0" containsString="0" containsNumber="1" containsInteger="1" minValue="10" maxValue="60"/>
    </cacheField>
    <cacheField name="Price" numFmtId="164">
      <sharedItems containsSemiMixedTypes="0" containsString="0" containsNumber="1" containsInteger="1" minValue="20" maxValue="80"/>
    </cacheField>
    <cacheField name="Total Sales" numFmtId="164">
      <sharedItems containsSemiMixedTypes="0" containsString="0" containsNumber="1" containsInteger="1" minValue="200" maxValue="4187"/>
    </cacheField>
    <cacheField name="Method" numFmtId="164">
      <sharedItems/>
    </cacheField>
    <cacheField name="Commission" numFmtId="164">
      <sharedItems containsSemiMixedTypes="0" containsString="0" containsNumber="1" minValue="4.4000000000000004" maxValue="124.8"/>
    </cacheField>
  </cacheFields>
  <extLst>
    <ext xmlns:x14="http://schemas.microsoft.com/office/spreadsheetml/2009/9/main" uri="{725AE2AE-9491-48be-B2B4-4EB974FC3084}">
      <x14:pivotCacheDefinition pivotCacheId="128164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6">
  <r>
    <d v="2024-10-08T00:00:00"/>
    <s v="H-4546-11"/>
    <x v="0"/>
    <s v="Frisco"/>
    <x v="0"/>
    <s v="APS"/>
    <n v="35"/>
    <n v="22"/>
    <n v="770"/>
    <s v="Credit card"/>
    <n v="19.25"/>
  </r>
  <r>
    <d v="2024-10-08T00:00:00"/>
    <s v="C-1202-11"/>
    <x v="1"/>
    <s v="Plano"/>
    <x v="1"/>
    <s v="HTE"/>
    <n v="45"/>
    <n v="29"/>
    <n v="1305"/>
    <s v="Cash"/>
    <n v="27.405000000000001"/>
  </r>
  <r>
    <d v="2024-10-08T00:00:00"/>
    <s v="D-9800-11"/>
    <x v="2"/>
    <s v="Dallas"/>
    <x v="2"/>
    <s v="ARP"/>
    <n v="59"/>
    <n v="52"/>
    <n v="3068"/>
    <s v="Cash"/>
    <n v="79.768000000000001"/>
  </r>
  <r>
    <d v="2024-10-08T00:00:00"/>
    <s v="A-4986-11"/>
    <x v="1"/>
    <s v="Dallas"/>
    <x v="3"/>
    <s v="HTE"/>
    <n v="11"/>
    <n v="58"/>
    <n v="638"/>
    <s v="Cash"/>
    <n v="13.398"/>
  </r>
  <r>
    <d v="2024-10-09T00:00:00"/>
    <s v="A-9544-12"/>
    <x v="1"/>
    <s v="Richardson"/>
    <x v="1"/>
    <s v="PKH"/>
    <n v="12"/>
    <n v="51"/>
    <n v="612"/>
    <s v="Credit card"/>
    <n v="18.36"/>
  </r>
  <r>
    <d v="2024-10-09T00:00:00"/>
    <s v="B-1559-12"/>
    <x v="3"/>
    <s v="Allen"/>
    <x v="4"/>
    <s v="HNP"/>
    <n v="54"/>
    <n v="39"/>
    <n v="2106"/>
    <s v="Credit card"/>
    <n v="56.862000000000002"/>
  </r>
  <r>
    <d v="2024-10-09T00:00:00"/>
    <s v="H-7091-12"/>
    <x v="4"/>
    <s v="Allen"/>
    <x v="0"/>
    <s v="HTE"/>
    <n v="38"/>
    <n v="32"/>
    <n v="1216"/>
    <s v="Credit card"/>
    <n v="34.048000000000002"/>
  </r>
  <r>
    <d v="2024-10-10T00:00:00"/>
    <s v="C-1331-13"/>
    <x v="0"/>
    <s v="Dallas"/>
    <x v="3"/>
    <s v="HNP"/>
    <n v="17"/>
    <n v="53"/>
    <n v="901"/>
    <s v="Cash"/>
    <n v="25.228000000000002"/>
  </r>
  <r>
    <d v="2024-10-10T00:00:00"/>
    <s v="F-6855-13"/>
    <x v="2"/>
    <s v="Plano"/>
    <x v="5"/>
    <s v="TAP"/>
    <n v="41"/>
    <n v="43"/>
    <n v="1763"/>
    <s v="Credit card"/>
    <n v="49.363999999999997"/>
  </r>
  <r>
    <d v="2024-10-10T00:00:00"/>
    <s v="G-4825-13"/>
    <x v="4"/>
    <s v="Plano"/>
    <x v="2"/>
    <s v="TAP"/>
    <n v="20"/>
    <n v="20"/>
    <n v="400"/>
    <s v="Credit card"/>
    <n v="10.4"/>
  </r>
  <r>
    <d v="2024-10-10T00:00:00"/>
    <s v="D-1167-13"/>
    <x v="2"/>
    <s v="Frisco"/>
    <x v="4"/>
    <s v="MSP"/>
    <n v="48"/>
    <n v="38"/>
    <n v="1824"/>
    <s v="Cash"/>
    <n v="52.896000000000001"/>
  </r>
  <r>
    <d v="2024-10-10T00:00:00"/>
    <s v="H-4383-13"/>
    <x v="3"/>
    <s v="Frisco"/>
    <x v="1"/>
    <s v="APS"/>
    <n v="57"/>
    <n v="46"/>
    <n v="2622"/>
    <s v="Check"/>
    <n v="52.44"/>
  </r>
  <r>
    <d v="2024-10-10T00:00:00"/>
    <s v="E-4550-13"/>
    <x v="3"/>
    <s v="Richardson"/>
    <x v="1"/>
    <s v="ATP"/>
    <n v="57"/>
    <n v="54"/>
    <n v="3078"/>
    <s v="Credit card"/>
    <n v="89.262"/>
  </r>
  <r>
    <d v="2024-10-10T00:00:00"/>
    <s v="B-9588-13"/>
    <x v="5"/>
    <s v="Allen"/>
    <x v="3"/>
    <s v="TAP"/>
    <n v="53"/>
    <n v="46"/>
    <n v="2438"/>
    <s v="Check"/>
    <n v="48.76"/>
  </r>
  <r>
    <d v="2024-10-11T00:00:00"/>
    <s v="B-2845-14"/>
    <x v="6"/>
    <s v="Dallas"/>
    <x v="4"/>
    <s v="HNP"/>
    <n v="42"/>
    <n v="36"/>
    <n v="1512"/>
    <s v="Credit card"/>
    <n v="43.847999999999999"/>
  </r>
  <r>
    <d v="2024-10-11T00:00:00"/>
    <s v="B-7248-14"/>
    <x v="3"/>
    <s v="Dallas"/>
    <x v="1"/>
    <s v="KQR"/>
    <n v="49"/>
    <n v="20"/>
    <n v="980"/>
    <s v="Cash"/>
    <n v="20.58"/>
  </r>
  <r>
    <d v="2024-10-11T00:00:00"/>
    <s v="A-6269-14"/>
    <x v="7"/>
    <s v="Coppell"/>
    <x v="0"/>
    <s v="ZAA"/>
    <n v="10"/>
    <n v="54"/>
    <n v="540"/>
    <s v="Credit card"/>
    <n v="16.2"/>
  </r>
  <r>
    <d v="2024-10-11T00:00:00"/>
    <s v="G-7715-14"/>
    <x v="2"/>
    <s v="Dallas"/>
    <x v="4"/>
    <s v="TAP"/>
    <n v="35"/>
    <n v="20"/>
    <n v="700"/>
    <s v="Gift card"/>
    <n v="18.2"/>
  </r>
  <r>
    <d v="2024-10-11T00:00:00"/>
    <s v="B-4450-14"/>
    <x v="8"/>
    <s v="Frisco"/>
    <x v="0"/>
    <s v="TSQ"/>
    <n v="24"/>
    <n v="39"/>
    <n v="936"/>
    <s v="Check"/>
    <n v="25.271999999999998"/>
  </r>
  <r>
    <d v="2024-10-11T00:00:00"/>
    <s v="E-6864-14"/>
    <x v="0"/>
    <s v="McKinney"/>
    <x v="1"/>
    <s v="TSA"/>
    <n v="30"/>
    <n v="45"/>
    <n v="1350"/>
    <s v="Credit card"/>
    <n v="31.05"/>
  </r>
  <r>
    <d v="2024-10-12T00:00:00"/>
    <s v="E-4417-15"/>
    <x v="4"/>
    <s v="Plano"/>
    <x v="0"/>
    <s v="ATP"/>
    <n v="51"/>
    <n v="36"/>
    <n v="1836"/>
    <s v="Credit card"/>
    <n v="47.735999999999997"/>
  </r>
  <r>
    <d v="2024-10-12T00:00:00"/>
    <s v="D-2913-15"/>
    <x v="4"/>
    <s v="Dallas"/>
    <x v="5"/>
    <s v="PFF"/>
    <n v="51"/>
    <n v="54"/>
    <n v="2754"/>
    <s v="Credit card"/>
    <n v="60.588000000000001"/>
  </r>
  <r>
    <d v="2024-10-12T00:00:00"/>
    <s v="A-2871-15"/>
    <x v="8"/>
    <s v="Allen"/>
    <x v="4"/>
    <s v="TAP"/>
    <n v="38"/>
    <n v="41"/>
    <n v="1558"/>
    <s v="Cash"/>
    <n v="34.276000000000003"/>
  </r>
  <r>
    <d v="2024-10-12T00:00:00"/>
    <s v="A-2730-15"/>
    <x v="4"/>
    <s v="Plano"/>
    <x v="0"/>
    <s v="ZAA"/>
    <n v="31"/>
    <n v="33"/>
    <n v="1023"/>
    <s v="Credit card"/>
    <n v="21.483000000000001"/>
  </r>
  <r>
    <d v="2024-10-12T00:00:00"/>
    <s v="A-7076-15"/>
    <x v="4"/>
    <s v="Dallas"/>
    <x v="4"/>
    <s v="TSA"/>
    <n v="13"/>
    <n v="39"/>
    <n v="507"/>
    <s v="Credit card"/>
    <n v="10.647"/>
  </r>
  <r>
    <d v="2024-10-12T00:00:00"/>
    <s v="D-9803-15"/>
    <x v="8"/>
    <s v="Plano"/>
    <x v="3"/>
    <s v="SAT"/>
    <n v="59"/>
    <n v="21"/>
    <n v="1239"/>
    <s v="Gift card"/>
    <n v="35.930999999999997"/>
  </r>
  <r>
    <d v="2024-10-12T00:00:00"/>
    <s v="E-8259-15"/>
    <x v="4"/>
    <s v="Dallas"/>
    <x v="0"/>
    <s v="TAP"/>
    <n v="15"/>
    <n v="36"/>
    <n v="540"/>
    <s v="Credit card"/>
    <n v="13.5"/>
  </r>
  <r>
    <d v="2024-10-12T00:00:00"/>
    <s v="G-2424-15"/>
    <x v="3"/>
    <s v="Frisco"/>
    <x v="4"/>
    <s v="HNP"/>
    <n v="10"/>
    <n v="27"/>
    <n v="270"/>
    <s v="Gift card"/>
    <n v="5.94"/>
  </r>
  <r>
    <d v="2024-10-12T00:00:00"/>
    <s v="D-5784-15"/>
    <x v="2"/>
    <s v="Allen"/>
    <x v="3"/>
    <s v="PKH"/>
    <n v="58"/>
    <n v="49"/>
    <n v="2842"/>
    <s v="Cash"/>
    <n v="85.26"/>
  </r>
  <r>
    <d v="2024-10-13T00:00:00"/>
    <s v="G-1737-16"/>
    <x v="5"/>
    <s v="Dallas"/>
    <x v="3"/>
    <s v="TSQ"/>
    <n v="16"/>
    <n v="50"/>
    <n v="800"/>
    <s v="Gift card"/>
    <n v="16.8"/>
  </r>
  <r>
    <d v="2024-10-13T00:00:00"/>
    <s v="B-3090-16"/>
    <x v="8"/>
    <s v="Dallas"/>
    <x v="3"/>
    <s v="HTE"/>
    <n v="14"/>
    <n v="53"/>
    <n v="742"/>
    <s v="Credit card"/>
    <n v="20.033999999999999"/>
  </r>
  <r>
    <d v="2024-10-13T00:00:00"/>
    <s v="B-3490-16"/>
    <x v="8"/>
    <s v="McKinney"/>
    <x v="3"/>
    <s v="KQR"/>
    <n v="32"/>
    <n v="44"/>
    <n v="1408"/>
    <s v="Credit card"/>
    <n v="30.975999999999999"/>
  </r>
  <r>
    <d v="2024-10-13T00:00:00"/>
    <s v="G-7486-16"/>
    <x v="7"/>
    <s v="Dallas"/>
    <x v="2"/>
    <s v="AKJ"/>
    <n v="43"/>
    <n v="54"/>
    <n v="2322"/>
    <s v="Check"/>
    <n v="53.405999999999999"/>
  </r>
  <r>
    <d v="2024-10-13T00:00:00"/>
    <s v="D-4062-16"/>
    <x v="4"/>
    <s v="Plano"/>
    <x v="6"/>
    <s v="TAP"/>
    <n v="40"/>
    <n v="43"/>
    <n v="1720"/>
    <s v="Cash"/>
    <n v="43"/>
  </r>
  <r>
    <d v="2024-10-13T00:00:00"/>
    <s v="A-8553-16"/>
    <x v="7"/>
    <s v="Richardson"/>
    <x v="3"/>
    <s v="JKA"/>
    <n v="43"/>
    <n v="33"/>
    <n v="1419"/>
    <s v="Credit card"/>
    <n v="31.218"/>
  </r>
  <r>
    <d v="2024-10-13T00:00:00"/>
    <s v="D-3082-16"/>
    <x v="4"/>
    <s v="Allen"/>
    <x v="0"/>
    <s v="TSA"/>
    <n v="57"/>
    <n v="51"/>
    <n v="2907"/>
    <s v="Cash"/>
    <n v="63.954000000000001"/>
  </r>
  <r>
    <d v="2024-10-13T00:00:00"/>
    <s v="B-7616-16"/>
    <x v="7"/>
    <s v="Coppell"/>
    <x v="4"/>
    <s v="PFF"/>
    <n v="38"/>
    <n v="48"/>
    <n v="1824"/>
    <s v="Cash"/>
    <n v="52.896000000000001"/>
  </r>
  <r>
    <d v="2024-10-13T00:00:00"/>
    <s v="A-1457-16"/>
    <x v="6"/>
    <s v="Plano"/>
    <x v="1"/>
    <s v="ZAA"/>
    <n v="48"/>
    <n v="56"/>
    <n v="2688"/>
    <s v="Credit card"/>
    <n v="77.951999999999998"/>
  </r>
  <r>
    <d v="2024-10-13T00:00:00"/>
    <s v="A-8299-16"/>
    <x v="5"/>
    <s v="Plano"/>
    <x v="3"/>
    <s v="HNP"/>
    <n v="30"/>
    <n v="46"/>
    <n v="1380"/>
    <s v="Cash"/>
    <n v="40.020000000000003"/>
  </r>
  <r>
    <d v="2024-10-13T00:00:00"/>
    <s v="F-5001-16"/>
    <x v="7"/>
    <s v="Plano"/>
    <x v="4"/>
    <s v="ZAA"/>
    <n v="32"/>
    <n v="44"/>
    <n v="1408"/>
    <s v="Credit card"/>
    <n v="40.832000000000001"/>
  </r>
  <r>
    <d v="2024-10-14T00:00:00"/>
    <s v="F-6790-17"/>
    <x v="2"/>
    <s v="Allen"/>
    <x v="3"/>
    <s v="PFF"/>
    <n v="14"/>
    <n v="60"/>
    <n v="840"/>
    <s v="Credit card"/>
    <n v="16.8"/>
  </r>
  <r>
    <d v="2024-10-14T00:00:00"/>
    <s v="F-3844-17"/>
    <x v="3"/>
    <s v="Frisco"/>
    <x v="2"/>
    <s v="KQR"/>
    <n v="34"/>
    <n v="25"/>
    <n v="850"/>
    <s v="Credit card"/>
    <n v="19.55"/>
  </r>
  <r>
    <d v="2024-10-14T00:00:00"/>
    <s v="H-9531-17"/>
    <x v="1"/>
    <s v="Richardson"/>
    <x v="3"/>
    <s v="ATP"/>
    <n v="25"/>
    <n v="29"/>
    <n v="725"/>
    <s v="Credit card"/>
    <n v="21.024999999999999"/>
  </r>
  <r>
    <d v="2024-10-14T00:00:00"/>
    <s v="E-3324-17"/>
    <x v="7"/>
    <s v="McKinney"/>
    <x v="6"/>
    <s v="AKJ"/>
    <n v="59"/>
    <n v="41"/>
    <n v="2419"/>
    <s v="Credit card"/>
    <n v="65.313000000000002"/>
  </r>
  <r>
    <d v="2024-10-14T00:00:00"/>
    <s v="C-8431-17"/>
    <x v="4"/>
    <s v="Plano"/>
    <x v="5"/>
    <s v="HNP"/>
    <n v="42"/>
    <n v="43"/>
    <n v="1806"/>
    <s v="Gift card"/>
    <n v="36.119999999999997"/>
  </r>
  <r>
    <d v="2024-10-15T00:00:00"/>
    <s v="B-1951-18"/>
    <x v="4"/>
    <s v="Allen"/>
    <x v="5"/>
    <s v="PKH"/>
    <n v="33"/>
    <n v="57"/>
    <n v="1881"/>
    <s v="Credit card"/>
    <n v="47.024999999999999"/>
  </r>
  <r>
    <d v="2024-10-15T00:00:00"/>
    <s v="C-2273-18"/>
    <x v="0"/>
    <s v="Allen"/>
    <x v="3"/>
    <s v="HNP"/>
    <n v="27"/>
    <n v="46"/>
    <n v="1242"/>
    <s v="Cash"/>
    <n v="36.018000000000001"/>
  </r>
  <r>
    <d v="2024-10-15T00:00:00"/>
    <s v="F-1862-18"/>
    <x v="0"/>
    <s v="Plano"/>
    <x v="5"/>
    <s v="TAP"/>
    <n v="30"/>
    <n v="58"/>
    <n v="1740"/>
    <s v="Credit card"/>
    <n v="34.799999999999997"/>
  </r>
  <r>
    <d v="2024-10-16T00:00:00"/>
    <s v="H-2792-19"/>
    <x v="0"/>
    <s v="Coppell"/>
    <x v="0"/>
    <s v="PFF"/>
    <n v="25"/>
    <n v="48"/>
    <n v="1200"/>
    <s v="Cash"/>
    <n v="34.799999999999997"/>
  </r>
  <r>
    <d v="2024-10-16T00:00:00"/>
    <s v="E-3741-19"/>
    <x v="7"/>
    <s v="Richardson"/>
    <x v="5"/>
    <s v="TSQ"/>
    <n v="52"/>
    <n v="53"/>
    <n v="2756"/>
    <s v="Credit card"/>
    <n v="77.168000000000006"/>
  </r>
  <r>
    <d v="2024-10-16T00:00:00"/>
    <s v="H-8627-19"/>
    <x v="7"/>
    <s v="Allen"/>
    <x v="2"/>
    <s v="ATP"/>
    <n v="41"/>
    <n v="22"/>
    <n v="902"/>
    <s v="Credit card"/>
    <n v="19.844000000000001"/>
  </r>
  <r>
    <d v="2024-10-16T00:00:00"/>
    <s v="A-5266-19"/>
    <x v="0"/>
    <s v="Frisco"/>
    <x v="4"/>
    <s v="PKH"/>
    <n v="19"/>
    <n v="58"/>
    <n v="1102"/>
    <s v="Credit card"/>
    <n v="25.346"/>
  </r>
  <r>
    <d v="2024-10-16T00:00:00"/>
    <s v="F-2498-19"/>
    <x v="7"/>
    <s v="McKinney"/>
    <x v="3"/>
    <s v="SAT"/>
    <n v="10"/>
    <n v="23"/>
    <n v="230"/>
    <s v="Credit card"/>
    <n v="5.29"/>
  </r>
  <r>
    <d v="2024-10-16T00:00:00"/>
    <s v="A-9471-19"/>
    <x v="5"/>
    <s v="Dallas"/>
    <x v="6"/>
    <s v="AKJ"/>
    <n v="17"/>
    <n v="56"/>
    <n v="952"/>
    <s v="Credit card"/>
    <n v="23.8"/>
  </r>
  <r>
    <d v="2024-10-16T00:00:00"/>
    <s v="D-7513-19"/>
    <x v="3"/>
    <s v="Coppell"/>
    <x v="0"/>
    <s v="ZAA"/>
    <n v="49"/>
    <n v="24"/>
    <n v="1176"/>
    <s v="Credit card"/>
    <n v="32.927999999999997"/>
  </r>
  <r>
    <d v="2024-10-16T00:00:00"/>
    <s v="D-4325-19"/>
    <x v="6"/>
    <s v="Dallas"/>
    <x v="4"/>
    <s v="APS"/>
    <n v="18"/>
    <n v="58"/>
    <n v="1044"/>
    <s v="Credit card"/>
    <n v="22.968"/>
  </r>
  <r>
    <d v="2024-10-16T00:00:00"/>
    <s v="F-2754-19"/>
    <x v="6"/>
    <s v="Richardson"/>
    <x v="6"/>
    <s v="TSQ"/>
    <n v="11"/>
    <n v="21"/>
    <n v="231"/>
    <s v="Credit card"/>
    <n v="5.3129999999999997"/>
  </r>
  <r>
    <d v="2024-10-16T00:00:00"/>
    <s v="G-9190-19"/>
    <x v="4"/>
    <s v="Richardson"/>
    <x v="4"/>
    <s v="HNP"/>
    <n v="56"/>
    <n v="31"/>
    <n v="1736"/>
    <s v="Credit card"/>
    <n v="41.664000000000001"/>
  </r>
  <r>
    <d v="2024-10-17T00:00:00"/>
    <s v="F-9722-20"/>
    <x v="8"/>
    <s v="McKinney"/>
    <x v="6"/>
    <s v="TSA"/>
    <n v="33"/>
    <n v="58"/>
    <n v="1914"/>
    <s v="Credit card"/>
    <n v="57.42"/>
  </r>
  <r>
    <d v="2024-10-17T00:00:00"/>
    <s v="D-8576-20"/>
    <x v="1"/>
    <s v="Allen"/>
    <x v="0"/>
    <s v="HNP"/>
    <n v="17"/>
    <n v="26"/>
    <n v="442"/>
    <s v="Credit card"/>
    <n v="10.166"/>
  </r>
  <r>
    <d v="2024-10-17T00:00:00"/>
    <s v="A-8384-20"/>
    <x v="6"/>
    <s v="Dallas"/>
    <x v="3"/>
    <s v="ZAA"/>
    <n v="58"/>
    <n v="47"/>
    <n v="2726"/>
    <s v="Gift card"/>
    <n v="68.150000000000006"/>
  </r>
  <r>
    <d v="2024-10-17T00:00:00"/>
    <s v="H-5092-20"/>
    <x v="8"/>
    <s v="Plano"/>
    <x v="6"/>
    <s v="SMH"/>
    <n v="16"/>
    <n v="60"/>
    <n v="960"/>
    <s v="Check"/>
    <n v="20.16"/>
  </r>
  <r>
    <d v="2024-10-17T00:00:00"/>
    <s v="E-3732-20"/>
    <x v="8"/>
    <s v="Plano"/>
    <x v="1"/>
    <s v="SAT"/>
    <n v="47"/>
    <n v="38"/>
    <n v="1786"/>
    <s v="Credit card"/>
    <n v="48.222000000000001"/>
  </r>
  <r>
    <d v="2024-10-17T00:00:00"/>
    <s v="C-1597-20"/>
    <x v="7"/>
    <s v="Plano"/>
    <x v="0"/>
    <s v="TAP"/>
    <n v="20"/>
    <n v="52"/>
    <n v="1040"/>
    <s v="Gift card"/>
    <n v="22.88"/>
  </r>
  <r>
    <d v="2024-10-17T00:00:00"/>
    <s v="A-1358-20"/>
    <x v="7"/>
    <s v="Allen"/>
    <x v="4"/>
    <s v="ATP"/>
    <n v="50"/>
    <n v="48"/>
    <n v="2400"/>
    <s v="Credit card"/>
    <n v="64.8"/>
  </r>
  <r>
    <d v="2024-10-17T00:00:00"/>
    <s v="D-9921-20"/>
    <x v="4"/>
    <s v="McKinney"/>
    <x v="0"/>
    <s v="HTE"/>
    <n v="21"/>
    <n v="24"/>
    <n v="504"/>
    <s v="Gift card"/>
    <n v="15.12"/>
  </r>
  <r>
    <d v="2024-10-17T00:00:00"/>
    <s v="D-8628-20"/>
    <x v="7"/>
    <s v="Allen"/>
    <x v="2"/>
    <s v="ARP"/>
    <n v="22"/>
    <n v="41"/>
    <n v="902"/>
    <s v="Credit card"/>
    <n v="22.55"/>
  </r>
  <r>
    <d v="2024-10-17T00:00:00"/>
    <s v="E-4820-20"/>
    <x v="4"/>
    <s v="McKinney"/>
    <x v="1"/>
    <s v="AKJ"/>
    <n v="34"/>
    <n v="57"/>
    <n v="1938"/>
    <s v="Check"/>
    <n v="50.387999999999998"/>
  </r>
  <r>
    <d v="2024-10-17T00:00:00"/>
    <s v="E-5457-20"/>
    <x v="6"/>
    <s v="Richardson"/>
    <x v="3"/>
    <s v="AKJ"/>
    <n v="56"/>
    <n v="52"/>
    <n v="2912"/>
    <s v="Credit card"/>
    <n v="87.36"/>
  </r>
  <r>
    <d v="2024-10-17T00:00:00"/>
    <s v="G-6116-20"/>
    <x v="4"/>
    <s v="McKinney"/>
    <x v="6"/>
    <s v="PFF"/>
    <n v="44"/>
    <n v="44"/>
    <n v="1936"/>
    <s v="Gift card"/>
    <n v="46.463999999999999"/>
  </r>
  <r>
    <d v="2024-10-17T00:00:00"/>
    <s v="E-5859-20"/>
    <x v="7"/>
    <s v="Coppell"/>
    <x v="4"/>
    <s v="TSA"/>
    <n v="21"/>
    <n v="44"/>
    <n v="924"/>
    <s v="Credit card"/>
    <n v="24.948"/>
  </r>
  <r>
    <d v="2024-10-17T00:00:00"/>
    <s v="A-8730-20"/>
    <x v="0"/>
    <s v="Allen"/>
    <x v="2"/>
    <s v="APS"/>
    <n v="31"/>
    <n v="29"/>
    <n v="899"/>
    <s v="Credit card"/>
    <n v="22.475000000000001"/>
  </r>
  <r>
    <d v="2024-10-17T00:00:00"/>
    <s v="D-5063-20"/>
    <x v="0"/>
    <s v="Dallas"/>
    <x v="1"/>
    <s v="TAP"/>
    <n v="33"/>
    <n v="35"/>
    <n v="1155"/>
    <s v="Cash"/>
    <n v="30.03"/>
  </r>
  <r>
    <d v="2024-10-17T00:00:00"/>
    <s v="B-1566-20"/>
    <x v="1"/>
    <s v="Dallas"/>
    <x v="2"/>
    <s v="KQR"/>
    <n v="51"/>
    <n v="60"/>
    <n v="3060"/>
    <s v="Credit card"/>
    <n v="70.38"/>
  </r>
  <r>
    <d v="2024-10-17T00:00:00"/>
    <s v="D-2031-20"/>
    <x v="8"/>
    <s v="Plano"/>
    <x v="4"/>
    <s v="ATP"/>
    <n v="39"/>
    <n v="58"/>
    <n v="2262"/>
    <s v="Gift card"/>
    <n v="47.502000000000002"/>
  </r>
  <r>
    <d v="2024-10-17T00:00:00"/>
    <s v="E-3827-20"/>
    <x v="4"/>
    <s v="Plano"/>
    <x v="2"/>
    <s v="HTE"/>
    <n v="45"/>
    <n v="53"/>
    <n v="2385"/>
    <s v="Cash"/>
    <n v="62.01"/>
  </r>
  <r>
    <d v="2024-10-17T00:00:00"/>
    <s v="F-8660-20"/>
    <x v="3"/>
    <s v="Coppell"/>
    <x v="2"/>
    <s v="AKJ"/>
    <n v="18"/>
    <n v="36"/>
    <n v="648"/>
    <s v="Cash"/>
    <n v="16.2"/>
  </r>
  <r>
    <d v="2024-10-17T00:00:00"/>
    <s v="B-7247-20"/>
    <x v="8"/>
    <s v="Richardson"/>
    <x v="3"/>
    <s v="PKH"/>
    <n v="36"/>
    <n v="46"/>
    <n v="1656"/>
    <s v="Credit card"/>
    <n v="46.368000000000002"/>
  </r>
  <r>
    <d v="2024-10-17T00:00:00"/>
    <s v="F-3466-20"/>
    <x v="6"/>
    <s v="Coppell"/>
    <x v="1"/>
    <s v="HTE"/>
    <n v="50"/>
    <n v="37"/>
    <n v="1850"/>
    <s v="Gift card"/>
    <n v="44.4"/>
  </r>
  <r>
    <d v="2024-10-17T00:00:00"/>
    <s v="C-1265-20"/>
    <x v="4"/>
    <s v="Coppell"/>
    <x v="3"/>
    <s v="ARP"/>
    <n v="53"/>
    <n v="55"/>
    <n v="2915"/>
    <s v="Gift card"/>
    <n v="72.875"/>
  </r>
  <r>
    <d v="2024-10-18T00:00:00"/>
    <s v="G-2692-21"/>
    <x v="2"/>
    <s v="Richardson"/>
    <x v="4"/>
    <s v="PKH"/>
    <n v="22"/>
    <n v="34"/>
    <n v="748"/>
    <s v="Cash"/>
    <n v="22.44"/>
  </r>
  <r>
    <d v="2024-10-19T00:00:00"/>
    <s v="H-8771-22"/>
    <x v="4"/>
    <s v="Coppell"/>
    <x v="3"/>
    <s v="TAP"/>
    <n v="53"/>
    <n v="44"/>
    <n v="2332"/>
    <s v="Check"/>
    <n v="58.3"/>
  </r>
  <r>
    <d v="2024-10-19T00:00:00"/>
    <s v="D-3085-22"/>
    <x v="2"/>
    <s v="Allen"/>
    <x v="1"/>
    <s v="JKA"/>
    <n v="10"/>
    <n v="36"/>
    <n v="360"/>
    <s v="Credit card"/>
    <n v="8.64"/>
  </r>
  <r>
    <d v="2024-10-19T00:00:00"/>
    <s v="F-1335-22"/>
    <x v="7"/>
    <s v="Dallas"/>
    <x v="3"/>
    <s v="JKA"/>
    <n v="43"/>
    <n v="34"/>
    <n v="1462"/>
    <s v="Credit card"/>
    <n v="39.473999999999997"/>
  </r>
  <r>
    <d v="2024-10-19T00:00:00"/>
    <s v="B-9814-22"/>
    <x v="1"/>
    <s v="Coppell"/>
    <x v="0"/>
    <s v="PKH"/>
    <n v="50"/>
    <n v="59"/>
    <n v="2950"/>
    <s v="Credit card"/>
    <n v="64.900000000000006"/>
  </r>
  <r>
    <d v="2024-10-19T00:00:00"/>
    <s v="C-6856-22"/>
    <x v="5"/>
    <s v="Dallas"/>
    <x v="0"/>
    <s v="MSP"/>
    <n v="58"/>
    <n v="52"/>
    <n v="3016"/>
    <s v="Gift card"/>
    <n v="84.447999999999993"/>
  </r>
  <r>
    <d v="2024-10-19T00:00:00"/>
    <s v="F-8287-22"/>
    <x v="7"/>
    <s v="Frisco"/>
    <x v="0"/>
    <s v="PFF"/>
    <n v="11"/>
    <n v="28"/>
    <n v="308"/>
    <s v="Credit card"/>
    <n v="8.3160000000000007"/>
  </r>
  <r>
    <d v="2024-10-20T00:00:00"/>
    <s v="H-4003-23"/>
    <x v="5"/>
    <s v="Coppell"/>
    <x v="6"/>
    <s v="ATP"/>
    <n v="28"/>
    <n v="22"/>
    <n v="616"/>
    <s v="Gift card"/>
    <n v="13.552"/>
  </r>
  <r>
    <d v="2024-10-20T00:00:00"/>
    <s v="A-8227-23"/>
    <x v="3"/>
    <s v="McKinney"/>
    <x v="3"/>
    <s v="MSP"/>
    <n v="33"/>
    <n v="43"/>
    <n v="1419"/>
    <s v="Gift card"/>
    <n v="42.57"/>
  </r>
  <r>
    <d v="2024-10-20T00:00:00"/>
    <s v="A-6085-23"/>
    <x v="6"/>
    <s v="Richardson"/>
    <x v="3"/>
    <s v="ARP"/>
    <n v="38"/>
    <n v="20"/>
    <n v="760"/>
    <s v="Credit card"/>
    <n v="15.2"/>
  </r>
  <r>
    <d v="2024-10-21T00:00:00"/>
    <s v="F-8579-24"/>
    <x v="1"/>
    <s v="McKinney"/>
    <x v="4"/>
    <s v="TSQ"/>
    <n v="38"/>
    <n v="24"/>
    <n v="912"/>
    <s v="Gift card"/>
    <n v="24.623999999999999"/>
  </r>
  <r>
    <d v="2024-10-21T00:00:00"/>
    <s v="A-9195-24"/>
    <x v="8"/>
    <s v="Dallas"/>
    <x v="0"/>
    <s v="TSA"/>
    <n v="22"/>
    <n v="51"/>
    <n v="1122"/>
    <s v="Check"/>
    <n v="23.562000000000001"/>
  </r>
  <r>
    <d v="2024-10-21T00:00:00"/>
    <s v="G-2776-24"/>
    <x v="8"/>
    <s v="Allen"/>
    <x v="0"/>
    <s v="KQR"/>
    <n v="16"/>
    <n v="46"/>
    <n v="736"/>
    <s v="Cash"/>
    <n v="15.456"/>
  </r>
  <r>
    <d v="2024-10-21T00:00:00"/>
    <s v="G-5287-24"/>
    <x v="5"/>
    <s v="McKinney"/>
    <x v="0"/>
    <s v="AKJ"/>
    <n v="46"/>
    <n v="44"/>
    <n v="2024"/>
    <s v="Credit card"/>
    <n v="60.72"/>
  </r>
  <r>
    <d v="2024-10-22T00:00:00"/>
    <s v="F-3726-25"/>
    <x v="2"/>
    <s v="Coppell"/>
    <x v="1"/>
    <s v="TAP"/>
    <n v="15"/>
    <n v="22"/>
    <n v="330"/>
    <s v="Cash"/>
    <n v="9.9"/>
  </r>
  <r>
    <d v="2024-10-22T00:00:00"/>
    <s v="H-2211-25"/>
    <x v="5"/>
    <s v="Plano"/>
    <x v="6"/>
    <s v="TSA"/>
    <n v="50"/>
    <n v="37"/>
    <n v="1850"/>
    <s v="Credit card"/>
    <n v="37"/>
  </r>
  <r>
    <d v="2024-10-22T00:00:00"/>
    <s v="D-7548-25"/>
    <x v="1"/>
    <s v="Plano"/>
    <x v="0"/>
    <s v="ATP"/>
    <n v="27"/>
    <n v="44"/>
    <n v="1188"/>
    <s v="Credit card"/>
    <n v="28.512"/>
  </r>
  <r>
    <d v="2024-10-22T00:00:00"/>
    <s v="A-5925-25"/>
    <x v="7"/>
    <s v="Dallas"/>
    <x v="5"/>
    <s v="ATP"/>
    <n v="16"/>
    <n v="52"/>
    <n v="832"/>
    <s v="Cash"/>
    <n v="24.96"/>
  </r>
  <r>
    <d v="2024-10-22T00:00:00"/>
    <s v="E-1668-25"/>
    <x v="5"/>
    <s v="Plano"/>
    <x v="3"/>
    <s v="ATP"/>
    <n v="44"/>
    <n v="51"/>
    <n v="2244"/>
    <s v="Gift card"/>
    <n v="58.344000000000001"/>
  </r>
  <r>
    <d v="2024-10-22T00:00:00"/>
    <s v="C-8118-25"/>
    <x v="7"/>
    <s v="Dallas"/>
    <x v="2"/>
    <s v="TSA"/>
    <n v="39"/>
    <n v="53"/>
    <n v="2067"/>
    <s v="Gift card"/>
    <n v="62.01"/>
  </r>
  <r>
    <d v="2024-10-22T00:00:00"/>
    <s v="E-8492-25"/>
    <x v="2"/>
    <s v="Coppell"/>
    <x v="5"/>
    <s v="SAT"/>
    <n v="55"/>
    <n v="48"/>
    <n v="2640"/>
    <s v="Cash"/>
    <n v="76.56"/>
  </r>
  <r>
    <d v="2024-10-22T00:00:00"/>
    <s v="D-2392-25"/>
    <x v="4"/>
    <s v="Plano"/>
    <x v="2"/>
    <s v="SMH"/>
    <n v="16"/>
    <n v="45"/>
    <n v="720"/>
    <s v="Credit card"/>
    <n v="20.16"/>
  </r>
  <r>
    <d v="2024-10-22T00:00:00"/>
    <s v="F-4379-25"/>
    <x v="8"/>
    <s v="Plano"/>
    <x v="4"/>
    <s v="APS"/>
    <n v="59"/>
    <n v="47"/>
    <n v="2773"/>
    <s v="Cash"/>
    <n v="69.325000000000003"/>
  </r>
  <r>
    <d v="2024-10-23T00:00:00"/>
    <s v="C-6520-26"/>
    <x v="7"/>
    <s v="Dallas"/>
    <x v="4"/>
    <s v="PKH"/>
    <n v="28"/>
    <n v="29"/>
    <n v="812"/>
    <s v="Cash"/>
    <n v="17.864000000000001"/>
  </r>
  <r>
    <d v="2024-10-23T00:00:00"/>
    <s v="H-5426-26"/>
    <x v="0"/>
    <s v="Allen"/>
    <x v="0"/>
    <s v="SAT"/>
    <n v="45"/>
    <n v="46"/>
    <n v="2070"/>
    <s v="Credit card"/>
    <n v="45.54"/>
  </r>
  <r>
    <d v="2024-10-23T00:00:00"/>
    <s v="E-4948-26"/>
    <x v="1"/>
    <s v="Allen"/>
    <x v="6"/>
    <s v="TSQ"/>
    <n v="29"/>
    <n v="59"/>
    <n v="1711"/>
    <s v="Gift card"/>
    <n v="46.197000000000003"/>
  </r>
  <r>
    <d v="2024-10-23T00:00:00"/>
    <s v="C-9644-26"/>
    <x v="7"/>
    <s v="Allen"/>
    <x v="3"/>
    <s v="HTE"/>
    <n v="53"/>
    <n v="47"/>
    <n v="2491"/>
    <s v="Credit card"/>
    <n v="64.766000000000005"/>
  </r>
  <r>
    <d v="2024-10-23T00:00:00"/>
    <s v="G-4614-26"/>
    <x v="3"/>
    <s v="Richardson"/>
    <x v="6"/>
    <s v="ARP"/>
    <n v="16"/>
    <n v="29"/>
    <n v="464"/>
    <s v="Cash"/>
    <n v="10.208"/>
  </r>
  <r>
    <d v="2024-10-24T00:00:00"/>
    <s v="E-5320-27"/>
    <x v="8"/>
    <s v="Plano"/>
    <x v="4"/>
    <s v="AKJ"/>
    <n v="60"/>
    <n v="57"/>
    <n v="3420"/>
    <s v="Credit card"/>
    <n v="99.18"/>
  </r>
  <r>
    <d v="2024-10-24T00:00:00"/>
    <s v="H-8215-27"/>
    <x v="3"/>
    <s v="McKinney"/>
    <x v="1"/>
    <s v="JKA"/>
    <n v="18"/>
    <n v="56"/>
    <n v="1008"/>
    <s v="Credit card"/>
    <n v="30.24"/>
  </r>
  <r>
    <d v="2024-10-24T00:00:00"/>
    <s v="G-8087-27"/>
    <x v="1"/>
    <s v="Frisco"/>
    <x v="1"/>
    <s v="ZAA"/>
    <n v="25"/>
    <n v="43"/>
    <n v="1075"/>
    <s v="Credit card"/>
    <n v="32.25"/>
  </r>
  <r>
    <d v="2024-10-24T00:00:00"/>
    <s v="C-8275-27"/>
    <x v="1"/>
    <s v="McKinney"/>
    <x v="6"/>
    <s v="HNP"/>
    <n v="53"/>
    <n v="36"/>
    <n v="1908"/>
    <s v="Credit card"/>
    <n v="51.515999999999998"/>
  </r>
  <r>
    <d v="2024-10-25T00:00:00"/>
    <s v="E-1728-28"/>
    <x v="2"/>
    <s v="Frisco"/>
    <x v="1"/>
    <s v="PKH"/>
    <n v="50"/>
    <n v="47"/>
    <n v="2350"/>
    <s v="Gift card"/>
    <n v="61.1"/>
  </r>
  <r>
    <d v="2024-10-25T00:00:00"/>
    <s v="F-7801-28"/>
    <x v="7"/>
    <s v="Richardson"/>
    <x v="3"/>
    <s v="SMH"/>
    <n v="33"/>
    <n v="55"/>
    <n v="1815"/>
    <s v="Cash"/>
    <n v="54.45"/>
  </r>
  <r>
    <d v="2024-10-25T00:00:00"/>
    <s v="C-3989-28"/>
    <x v="2"/>
    <s v="Dallas"/>
    <x v="2"/>
    <s v="SAT"/>
    <n v="12"/>
    <n v="35"/>
    <n v="420"/>
    <s v="Cash"/>
    <n v="9.66"/>
  </r>
  <r>
    <d v="2024-10-25T00:00:00"/>
    <s v="C-1671-28"/>
    <x v="7"/>
    <s v="Plano"/>
    <x v="0"/>
    <s v="PFF"/>
    <n v="60"/>
    <n v="35"/>
    <n v="2100"/>
    <s v="Cash"/>
    <n v="60.9"/>
  </r>
  <r>
    <d v="2024-10-25T00:00:00"/>
    <s v="F-6281-28"/>
    <x v="2"/>
    <s v="Allen"/>
    <x v="1"/>
    <s v="SAT"/>
    <n v="26"/>
    <n v="36"/>
    <n v="936"/>
    <s v="Gift card"/>
    <n v="20.591999999999999"/>
  </r>
  <r>
    <d v="2024-10-25T00:00:00"/>
    <s v="A-3228-28"/>
    <x v="4"/>
    <s v="Frisco"/>
    <x v="1"/>
    <s v="SMH"/>
    <n v="24"/>
    <n v="53"/>
    <n v="1272"/>
    <s v="Credit card"/>
    <n v="29.256"/>
  </r>
  <r>
    <d v="2024-10-25T00:00:00"/>
    <s v="C-1265-28"/>
    <x v="3"/>
    <s v="Coppell"/>
    <x v="1"/>
    <s v="TSQ"/>
    <n v="43"/>
    <n v="33"/>
    <n v="1419"/>
    <s v="Cash"/>
    <n v="31.218"/>
  </r>
  <r>
    <d v="2024-10-25T00:00:00"/>
    <s v="B-8625-28"/>
    <x v="0"/>
    <s v="Dallas"/>
    <x v="5"/>
    <s v="KQR"/>
    <n v="13"/>
    <n v="58"/>
    <n v="754"/>
    <s v="Gift card"/>
    <n v="21.111999999999998"/>
  </r>
  <r>
    <d v="2024-10-25T00:00:00"/>
    <s v="F-1594-28"/>
    <x v="6"/>
    <s v="Allen"/>
    <x v="0"/>
    <s v="TAP"/>
    <n v="12"/>
    <n v="58"/>
    <n v="696"/>
    <s v="Gift card"/>
    <n v="20.184000000000001"/>
  </r>
  <r>
    <d v="2024-10-25T00:00:00"/>
    <s v="G-7736-28"/>
    <x v="5"/>
    <s v="Frisco"/>
    <x v="2"/>
    <s v="HTE"/>
    <n v="26"/>
    <n v="39"/>
    <n v="1014"/>
    <s v="Cash"/>
    <n v="27.378"/>
  </r>
  <r>
    <d v="2024-10-25T00:00:00"/>
    <s v="F-8345-28"/>
    <x v="7"/>
    <s v="Plano"/>
    <x v="1"/>
    <s v="ARP"/>
    <n v="23"/>
    <n v="30"/>
    <n v="690"/>
    <s v="Credit card"/>
    <n v="15.18"/>
  </r>
  <r>
    <d v="2024-10-25T00:00:00"/>
    <s v="C-9455-28"/>
    <x v="7"/>
    <s v="Coppell"/>
    <x v="0"/>
    <s v="PKH"/>
    <n v="40"/>
    <n v="47"/>
    <n v="1880"/>
    <s v="Check"/>
    <n v="52.64"/>
  </r>
  <r>
    <d v="2024-10-25T00:00:00"/>
    <s v="H-2210-28"/>
    <x v="4"/>
    <s v="Richardson"/>
    <x v="6"/>
    <s v="SAT"/>
    <n v="18"/>
    <n v="25"/>
    <n v="450"/>
    <s v="Cash"/>
    <n v="13.5"/>
  </r>
  <r>
    <d v="2024-10-25T00:00:00"/>
    <s v="D-2955-28"/>
    <x v="7"/>
    <s v="Plano"/>
    <x v="4"/>
    <s v="MSP"/>
    <n v="18"/>
    <n v="23"/>
    <n v="414"/>
    <s v="Cash"/>
    <n v="10.763999999999999"/>
  </r>
  <r>
    <d v="2024-10-25T00:00:00"/>
    <s v="F-3717-28"/>
    <x v="5"/>
    <s v="Dallas"/>
    <x v="5"/>
    <s v="HNP"/>
    <n v="50"/>
    <n v="30"/>
    <n v="1500"/>
    <s v="Cash"/>
    <n v="30"/>
  </r>
  <r>
    <d v="2024-10-25T00:00:00"/>
    <s v="C-7798-28"/>
    <x v="5"/>
    <s v="McKinney"/>
    <x v="6"/>
    <s v="HTE"/>
    <n v="19"/>
    <n v="23"/>
    <n v="437"/>
    <s v="Check"/>
    <n v="9.6140000000000008"/>
  </r>
  <r>
    <d v="2024-10-25T00:00:00"/>
    <s v="E-8145-28"/>
    <x v="7"/>
    <s v="McKinney"/>
    <x v="6"/>
    <s v="KQR"/>
    <n v="31"/>
    <n v="56"/>
    <n v="1736"/>
    <s v="Cash"/>
    <n v="43.4"/>
  </r>
  <r>
    <d v="2024-10-25T00:00:00"/>
    <s v="D-2828-28"/>
    <x v="8"/>
    <s v="Dallas"/>
    <x v="5"/>
    <s v="SAT"/>
    <n v="31"/>
    <n v="39"/>
    <n v="1209"/>
    <s v="Cash"/>
    <n v="36.270000000000003"/>
  </r>
  <r>
    <d v="2024-10-25T00:00:00"/>
    <s v="E-1211-28"/>
    <x v="7"/>
    <s v="Richardson"/>
    <x v="3"/>
    <s v="APS"/>
    <n v="45"/>
    <n v="52"/>
    <n v="2340"/>
    <s v="Credit card"/>
    <n v="56.16"/>
  </r>
  <r>
    <d v="2024-10-25T00:00:00"/>
    <s v="E-7678-28"/>
    <x v="0"/>
    <s v="Frisco"/>
    <x v="5"/>
    <s v="JKA"/>
    <n v="11"/>
    <n v="40"/>
    <n v="440"/>
    <s v="Gift card"/>
    <n v="12.32"/>
  </r>
  <r>
    <d v="2024-10-25T00:00:00"/>
    <s v="A-7343-28"/>
    <x v="8"/>
    <s v="Richardson"/>
    <x v="3"/>
    <s v="ARP"/>
    <n v="50"/>
    <n v="24"/>
    <n v="1200"/>
    <s v="Check"/>
    <n v="27.6"/>
  </r>
  <r>
    <d v="2024-10-25T00:00:00"/>
    <s v="F-7026-28"/>
    <x v="4"/>
    <s v="Coppell"/>
    <x v="6"/>
    <s v="ZAA"/>
    <n v="56"/>
    <n v="59"/>
    <n v="3304"/>
    <s v="Gift card"/>
    <n v="99.12"/>
  </r>
  <r>
    <d v="2024-10-25T00:00:00"/>
    <s v="G-3342-28"/>
    <x v="4"/>
    <s v="Dallas"/>
    <x v="2"/>
    <s v="HNP"/>
    <n v="22"/>
    <n v="50"/>
    <n v="1100"/>
    <s v="Credit card"/>
    <n v="30.8"/>
  </r>
  <r>
    <d v="2024-10-26T00:00:00"/>
    <s v="B-6455-29"/>
    <x v="3"/>
    <s v="McKinney"/>
    <x v="3"/>
    <s v="JKA"/>
    <n v="31"/>
    <n v="48"/>
    <n v="1488"/>
    <s v="Credit card"/>
    <n v="37.200000000000003"/>
  </r>
  <r>
    <d v="2024-10-26T00:00:00"/>
    <s v="E-2596-29"/>
    <x v="1"/>
    <s v="Frisco"/>
    <x v="1"/>
    <s v="HTE"/>
    <n v="20"/>
    <n v="57"/>
    <n v="1140"/>
    <s v="Credit card"/>
    <n v="31.92"/>
  </r>
  <r>
    <d v="2024-10-27T00:00:00"/>
    <s v="A-8774-30"/>
    <x v="8"/>
    <s v="McKinney"/>
    <x v="3"/>
    <s v="TAP"/>
    <n v="38"/>
    <n v="51"/>
    <n v="1938"/>
    <s v="Credit card"/>
    <n v="58.14"/>
  </r>
  <r>
    <d v="2024-10-27T00:00:00"/>
    <s v="G-8803-30"/>
    <x v="5"/>
    <s v="Plano"/>
    <x v="2"/>
    <s v="PKH"/>
    <n v="16"/>
    <n v="57"/>
    <n v="912"/>
    <s v="Check"/>
    <n v="19.152000000000001"/>
  </r>
  <r>
    <d v="2024-10-28T00:00:00"/>
    <s v="DK-5835-1"/>
    <x v="5"/>
    <s v="Richardson"/>
    <x v="4"/>
    <s v="KQR"/>
    <n v="49"/>
    <n v="41"/>
    <n v="2009"/>
    <s v="Cash"/>
    <n v="58.261000000000003"/>
  </r>
  <r>
    <d v="2024-10-29T00:00:00"/>
    <s v="DK-6437-2"/>
    <x v="7"/>
    <s v="Coppell"/>
    <x v="4"/>
    <s v="ARP"/>
    <n v="35"/>
    <n v="55"/>
    <n v="1925"/>
    <s v="Cash"/>
    <n v="46.2"/>
  </r>
  <r>
    <d v="2024-10-29T00:00:00"/>
    <s v="AK-6267-2"/>
    <x v="2"/>
    <s v="Plano"/>
    <x v="0"/>
    <s v="JKA"/>
    <n v="43"/>
    <n v="37"/>
    <n v="1591"/>
    <s v="Credit card"/>
    <n v="31.82"/>
  </r>
  <r>
    <d v="2024-10-29T00:00:00"/>
    <s v="DK-2427-2"/>
    <x v="7"/>
    <s v="Plano"/>
    <x v="2"/>
    <s v="HTE"/>
    <n v="42"/>
    <n v="22"/>
    <n v="924"/>
    <s v="Credit card"/>
    <n v="19.404"/>
  </r>
  <r>
    <d v="2024-10-29T00:00:00"/>
    <s v="BK-3279-2"/>
    <x v="4"/>
    <s v="Allen"/>
    <x v="1"/>
    <s v="HTE"/>
    <n v="24"/>
    <n v="41"/>
    <n v="984"/>
    <s v="Credit card"/>
    <n v="28.536000000000001"/>
  </r>
  <r>
    <d v="2024-10-29T00:00:00"/>
    <s v="GK-2051-2"/>
    <x v="7"/>
    <s v="McKinney"/>
    <x v="0"/>
    <s v="TSA"/>
    <n v="33"/>
    <n v="43"/>
    <n v="1419"/>
    <s v="Cash"/>
    <n v="38.313000000000002"/>
  </r>
  <r>
    <d v="2024-10-30T00:00:00"/>
    <s v="BK-5645-3"/>
    <x v="5"/>
    <s v="Allen"/>
    <x v="5"/>
    <s v="AKJ"/>
    <n v="16"/>
    <n v="51"/>
    <n v="816"/>
    <s v="Credit card"/>
    <n v="19.584"/>
  </r>
  <r>
    <d v="2024-10-30T00:00:00"/>
    <s v="CK-3701-3"/>
    <x v="4"/>
    <s v="Richardson"/>
    <x v="3"/>
    <s v="MSP"/>
    <n v="23"/>
    <n v="41"/>
    <n v="943"/>
    <s v="Credit card"/>
    <n v="28.29"/>
  </r>
  <r>
    <d v="2024-10-30T00:00:00"/>
    <s v="CK-9568-3"/>
    <x v="4"/>
    <s v="Coppell"/>
    <x v="3"/>
    <s v="TAP"/>
    <n v="36"/>
    <n v="26"/>
    <n v="936"/>
    <s v="Cash"/>
    <n v="21.527999999999999"/>
  </r>
  <r>
    <d v="2024-10-30T00:00:00"/>
    <s v="EK-4937-3"/>
    <x v="5"/>
    <s v="Richardson"/>
    <x v="3"/>
    <s v="TAP"/>
    <n v="22"/>
    <n v="35"/>
    <n v="770"/>
    <s v="Credit card"/>
    <n v="19.25"/>
  </r>
  <r>
    <d v="2024-10-30T00:00:00"/>
    <s v="HK-2003-3"/>
    <x v="7"/>
    <s v="Richardson"/>
    <x v="2"/>
    <s v="AKJ"/>
    <n v="42"/>
    <n v="54"/>
    <n v="2268"/>
    <s v="Credit card"/>
    <n v="61.235999999999997"/>
  </r>
  <r>
    <d v="2024-10-30T00:00:00"/>
    <s v="BK-2177-3"/>
    <x v="5"/>
    <s v="Coppell"/>
    <x v="2"/>
    <s v="ATP"/>
    <n v="52"/>
    <n v="40"/>
    <n v="2080"/>
    <s v="Credit card"/>
    <n v="49.92"/>
  </r>
  <r>
    <d v="2024-10-30T00:00:00"/>
    <s v="DK-3500-3"/>
    <x v="1"/>
    <s v="Dallas"/>
    <x v="3"/>
    <s v="TSA"/>
    <n v="17"/>
    <n v="24"/>
    <n v="408"/>
    <s v="Credit card"/>
    <n v="9.7919999999999998"/>
  </r>
  <r>
    <d v="2024-10-30T00:00:00"/>
    <s v="HK-1630-3"/>
    <x v="8"/>
    <s v="McKinney"/>
    <x v="1"/>
    <s v="HNP"/>
    <n v="37"/>
    <n v="60"/>
    <n v="2220"/>
    <s v="Cash"/>
    <n v="62.16"/>
  </r>
  <r>
    <d v="2024-10-30T00:00:00"/>
    <s v="HK-5072-3"/>
    <x v="6"/>
    <s v="Allen"/>
    <x v="4"/>
    <s v="PKH"/>
    <n v="52"/>
    <n v="20"/>
    <n v="1040"/>
    <s v="Credit card"/>
    <n v="31.2"/>
  </r>
  <r>
    <d v="2024-10-30T00:00:00"/>
    <s v="DK-8774-3"/>
    <x v="3"/>
    <s v="Richardson"/>
    <x v="1"/>
    <s v="TAP"/>
    <n v="18"/>
    <n v="39"/>
    <n v="702"/>
    <s v="Cash"/>
    <n v="15.444000000000001"/>
  </r>
  <r>
    <d v="2024-10-30T00:00:00"/>
    <s v="AK-6545-3"/>
    <x v="7"/>
    <s v="Dallas"/>
    <x v="4"/>
    <s v="KQR"/>
    <n v="34"/>
    <n v="38"/>
    <n v="1292"/>
    <s v="Gift card"/>
    <n v="36.176000000000002"/>
  </r>
  <r>
    <d v="2024-10-30T00:00:00"/>
    <s v="EK-9577-3"/>
    <x v="4"/>
    <s v="Plano"/>
    <x v="6"/>
    <s v="SMH"/>
    <n v="11"/>
    <n v="26"/>
    <n v="286"/>
    <s v="Credit card"/>
    <n v="8.0079999999999991"/>
  </r>
  <r>
    <d v="2024-10-30T00:00:00"/>
    <s v="AK-5918-3"/>
    <x v="7"/>
    <s v="Plano"/>
    <x v="6"/>
    <s v="TSA"/>
    <n v="24"/>
    <n v="20"/>
    <n v="480"/>
    <s v="Credit card"/>
    <n v="12"/>
  </r>
  <r>
    <d v="2024-10-30T00:00:00"/>
    <s v="HK-3451-3"/>
    <x v="8"/>
    <s v="Allen"/>
    <x v="2"/>
    <s v="APS"/>
    <n v="57"/>
    <n v="41"/>
    <n v="2337"/>
    <s v="Gift card"/>
    <n v="58.424999999999997"/>
  </r>
  <r>
    <d v="2024-10-30T00:00:00"/>
    <s v="CK-8055-3"/>
    <x v="8"/>
    <s v="Dallas"/>
    <x v="2"/>
    <s v="ZAA"/>
    <n v="47"/>
    <n v="58"/>
    <n v="2726"/>
    <s v="Credit card"/>
    <n v="81.78"/>
  </r>
  <r>
    <d v="2024-10-30T00:00:00"/>
    <s v="EK-8218-3"/>
    <x v="3"/>
    <s v="Frisco"/>
    <x v="5"/>
    <s v="ATP"/>
    <n v="28"/>
    <n v="45"/>
    <n v="1260"/>
    <s v="Credit card"/>
    <n v="32.76"/>
  </r>
  <r>
    <d v="2024-10-30T00:00:00"/>
    <s v="BK-7715-3"/>
    <x v="7"/>
    <s v="Richardson"/>
    <x v="4"/>
    <s v="TSA"/>
    <n v="35"/>
    <n v="36"/>
    <n v="1260"/>
    <s v="Credit card"/>
    <n v="31.5"/>
  </r>
  <r>
    <d v="2024-10-30T00:00:00"/>
    <s v="FK-6807-3"/>
    <x v="5"/>
    <s v="Dallas"/>
    <x v="2"/>
    <s v="HNP"/>
    <n v="34"/>
    <n v="30"/>
    <n v="1020"/>
    <s v="Gift card"/>
    <n v="25.5"/>
  </r>
  <r>
    <d v="2024-10-30T00:00:00"/>
    <s v="AK-6498-3"/>
    <x v="4"/>
    <s v="Plano"/>
    <x v="1"/>
    <s v="SMH"/>
    <n v="41"/>
    <n v="39"/>
    <n v="1599"/>
    <s v="Credit card"/>
    <n v="33.579000000000001"/>
  </r>
  <r>
    <d v="2024-10-30T00:00:00"/>
    <s v="DK-4266-3"/>
    <x v="2"/>
    <s v="Frisco"/>
    <x v="3"/>
    <s v="MSP"/>
    <n v="26"/>
    <n v="31"/>
    <n v="806"/>
    <s v="Cash"/>
    <n v="24.18"/>
  </r>
  <r>
    <d v="2024-10-31T00:00:00"/>
    <s v="EK-5112-4"/>
    <x v="7"/>
    <s v="Allen"/>
    <x v="4"/>
    <s v="APS"/>
    <n v="30"/>
    <n v="35"/>
    <n v="1050"/>
    <s v="Credit card"/>
    <n v="26.25"/>
  </r>
  <r>
    <d v="2024-11-01T00:00:00"/>
    <s v="DK-5213-5"/>
    <x v="4"/>
    <s v="McKinney"/>
    <x v="1"/>
    <s v="TSA"/>
    <n v="43"/>
    <n v="43"/>
    <n v="1849"/>
    <s v="Cash"/>
    <n v="38.829000000000001"/>
  </r>
  <r>
    <d v="2024-11-01T00:00:00"/>
    <s v="FK-1876-5"/>
    <x v="4"/>
    <s v="Plano"/>
    <x v="4"/>
    <s v="PFF"/>
    <n v="14"/>
    <n v="42"/>
    <n v="588"/>
    <s v="Credit card"/>
    <n v="11.76"/>
  </r>
  <r>
    <d v="2024-11-01T00:00:00"/>
    <s v="GK-6775-5"/>
    <x v="6"/>
    <s v="Plano"/>
    <x v="0"/>
    <s v="APS"/>
    <n v="15"/>
    <n v="24"/>
    <n v="360"/>
    <s v="Cash"/>
    <n v="9"/>
  </r>
  <r>
    <d v="2024-11-01T00:00:00"/>
    <s v="BK-2522-5"/>
    <x v="4"/>
    <s v="Dallas"/>
    <x v="1"/>
    <s v="MSP"/>
    <n v="54"/>
    <n v="54"/>
    <n v="2916"/>
    <s v="Cash"/>
    <n v="87.48"/>
  </r>
  <r>
    <d v="2024-11-02T00:00:00"/>
    <s v="BK-2649-6"/>
    <x v="7"/>
    <s v="Coppell"/>
    <x v="1"/>
    <s v="ARP"/>
    <n v="38"/>
    <n v="39"/>
    <n v="1482"/>
    <s v="Gift card"/>
    <n v="41.496000000000002"/>
  </r>
  <r>
    <d v="2024-11-03T00:00:00"/>
    <s v="GK-2154-7"/>
    <x v="5"/>
    <s v="Frisco"/>
    <x v="0"/>
    <s v="ATP"/>
    <n v="47"/>
    <n v="25"/>
    <n v="1175"/>
    <s v="Credit card"/>
    <n v="35.25"/>
  </r>
  <r>
    <d v="2024-11-03T00:00:00"/>
    <s v="DK-6073-7"/>
    <x v="0"/>
    <s v="Dallas"/>
    <x v="0"/>
    <s v="TSQ"/>
    <n v="44"/>
    <n v="29"/>
    <n v="1276"/>
    <s v="Check"/>
    <n v="25.52"/>
  </r>
  <r>
    <d v="2024-11-03T00:00:00"/>
    <s v="EK-9896-7"/>
    <x v="1"/>
    <s v="Allen"/>
    <x v="2"/>
    <s v="ARP"/>
    <n v="31"/>
    <n v="45"/>
    <n v="1395"/>
    <s v="Gift card"/>
    <n v="40.454999999999998"/>
  </r>
  <r>
    <d v="2024-11-03T00:00:00"/>
    <s v="DK-5336-7"/>
    <x v="0"/>
    <s v="Dallas"/>
    <x v="3"/>
    <s v="TSQ"/>
    <n v="52"/>
    <n v="55"/>
    <n v="2860"/>
    <s v="Gift card"/>
    <n v="60.06"/>
  </r>
  <r>
    <d v="2024-11-03T00:00:00"/>
    <s v="DK-8001-7"/>
    <x v="0"/>
    <s v="McKinney"/>
    <x v="5"/>
    <s v="ARP"/>
    <n v="60"/>
    <n v="26"/>
    <n v="1560"/>
    <s v="Credit card"/>
    <n v="45.24"/>
  </r>
  <r>
    <d v="2024-11-03T00:00:00"/>
    <s v="EK-8019-7"/>
    <x v="2"/>
    <s v="McKinney"/>
    <x v="4"/>
    <s v="SAT"/>
    <n v="28"/>
    <n v="35"/>
    <n v="980"/>
    <s v="Credit card"/>
    <n v="26.46"/>
  </r>
  <r>
    <d v="2024-11-03T00:00:00"/>
    <s v="HK-7567-7"/>
    <x v="0"/>
    <s v="Allen"/>
    <x v="0"/>
    <s v="PFF"/>
    <n v="38"/>
    <n v="29"/>
    <n v="1102"/>
    <s v="Cash"/>
    <n v="23.141999999999999"/>
  </r>
  <r>
    <d v="2024-11-03T00:00:00"/>
    <s v="FK-9630-7"/>
    <x v="4"/>
    <s v="Plano"/>
    <x v="1"/>
    <s v="ATP"/>
    <n v="36"/>
    <n v="50"/>
    <n v="1800"/>
    <s v="Credit card"/>
    <n v="52.2"/>
  </r>
  <r>
    <d v="2024-11-03T00:00:00"/>
    <s v="HK-2689-7"/>
    <x v="5"/>
    <s v="Dallas"/>
    <x v="5"/>
    <s v="AKJ"/>
    <n v="32"/>
    <n v="58"/>
    <n v="1856"/>
    <s v="Gift card"/>
    <n v="46.4"/>
  </r>
  <r>
    <d v="2024-11-03T00:00:00"/>
    <s v="FK-3824-7"/>
    <x v="5"/>
    <s v="Plano"/>
    <x v="4"/>
    <s v="KQR"/>
    <n v="20"/>
    <n v="55"/>
    <n v="1100"/>
    <s v="Credit card"/>
    <n v="26.4"/>
  </r>
  <r>
    <d v="2024-11-03T00:00:00"/>
    <s v="CK-7706-7"/>
    <x v="3"/>
    <s v="Allen"/>
    <x v="6"/>
    <s v="TSA"/>
    <n v="33"/>
    <n v="45"/>
    <n v="1485"/>
    <s v="Credit card"/>
    <n v="40.094999999999999"/>
  </r>
  <r>
    <d v="2024-11-03T00:00:00"/>
    <s v="AK-5384-7"/>
    <x v="6"/>
    <s v="McKinney"/>
    <x v="2"/>
    <s v="ZAA"/>
    <n v="38"/>
    <n v="35"/>
    <n v="1330"/>
    <s v="Credit card"/>
    <n v="31.92"/>
  </r>
  <r>
    <d v="2024-11-03T00:00:00"/>
    <s v="CK-1983-7"/>
    <x v="2"/>
    <s v="Frisco"/>
    <x v="2"/>
    <s v="KQR"/>
    <n v="40"/>
    <n v="46"/>
    <n v="1840"/>
    <s v="Credit card"/>
    <n v="36.799999999999997"/>
  </r>
  <r>
    <d v="2024-11-03T00:00:00"/>
    <s v="AK-2366-7"/>
    <x v="7"/>
    <s v="Richardson"/>
    <x v="1"/>
    <s v="HTE"/>
    <n v="28"/>
    <n v="21"/>
    <n v="588"/>
    <s v="Cash"/>
    <n v="15.288"/>
  </r>
  <r>
    <d v="2024-11-03T00:00:00"/>
    <s v="AK-1155-7"/>
    <x v="0"/>
    <s v="McKinney"/>
    <x v="0"/>
    <s v="ZAA"/>
    <n v="57"/>
    <n v="48"/>
    <n v="2736"/>
    <s v="Cash"/>
    <n v="79.343999999999994"/>
  </r>
  <r>
    <d v="2024-11-03T00:00:00"/>
    <s v="CK-7416-7"/>
    <x v="2"/>
    <s v="Coppell"/>
    <x v="3"/>
    <s v="ARP"/>
    <n v="21"/>
    <n v="28"/>
    <n v="588"/>
    <s v="Check"/>
    <n v="11.76"/>
  </r>
  <r>
    <d v="2024-11-03T00:00:00"/>
    <s v="EK-5110-7"/>
    <x v="7"/>
    <s v="Plano"/>
    <x v="5"/>
    <s v="ATP"/>
    <n v="59"/>
    <n v="21"/>
    <n v="1239"/>
    <s v="Cash"/>
    <n v="24.78"/>
  </r>
  <r>
    <d v="2024-11-03T00:00:00"/>
    <s v="CK-4586-7"/>
    <x v="7"/>
    <s v="Plano"/>
    <x v="0"/>
    <s v="ARP"/>
    <n v="19"/>
    <n v="25"/>
    <n v="475"/>
    <s v="Gift card"/>
    <n v="14.25"/>
  </r>
  <r>
    <d v="2024-11-03T00:00:00"/>
    <s v="CK-4765-7"/>
    <x v="8"/>
    <s v="Plano"/>
    <x v="2"/>
    <s v="ARP"/>
    <n v="22"/>
    <n v="55"/>
    <n v="1210"/>
    <s v="Check"/>
    <n v="27.83"/>
  </r>
  <r>
    <d v="2024-11-03T00:00:00"/>
    <s v="CK-8427-7"/>
    <x v="4"/>
    <s v="Coppell"/>
    <x v="0"/>
    <s v="ZAA"/>
    <n v="60"/>
    <n v="30"/>
    <n v="1800"/>
    <s v="Credit card"/>
    <n v="41.4"/>
  </r>
  <r>
    <d v="2024-11-03T00:00:00"/>
    <s v="HK-5907-7"/>
    <x v="7"/>
    <s v="McKinney"/>
    <x v="6"/>
    <s v="PKH"/>
    <n v="52"/>
    <n v="41"/>
    <n v="2132"/>
    <s v="Cash"/>
    <n v="63.96"/>
  </r>
  <r>
    <d v="2024-11-03T00:00:00"/>
    <s v="EK-8995-7"/>
    <x v="1"/>
    <s v="Frisco"/>
    <x v="3"/>
    <s v="AKJ"/>
    <n v="25"/>
    <n v="21"/>
    <n v="525"/>
    <s v="Cash"/>
    <n v="15.225"/>
  </r>
  <r>
    <d v="2024-11-03T00:00:00"/>
    <s v="DK-2359-7"/>
    <x v="7"/>
    <s v="McKinney"/>
    <x v="2"/>
    <s v="AKJ"/>
    <n v="53"/>
    <n v="25"/>
    <n v="1325"/>
    <s v="Gift card"/>
    <n v="34.450000000000003"/>
  </r>
  <r>
    <d v="2024-11-03T00:00:00"/>
    <s v="HK-7714-7"/>
    <x v="6"/>
    <s v="Dallas"/>
    <x v="2"/>
    <s v="AKJ"/>
    <n v="59"/>
    <n v="24"/>
    <n v="1416"/>
    <s v="Gift card"/>
    <n v="32.567999999999998"/>
  </r>
  <r>
    <d v="2024-11-03T00:00:00"/>
    <s v="BK-5262-7"/>
    <x v="0"/>
    <s v="McKinney"/>
    <x v="0"/>
    <s v="PFF"/>
    <n v="51"/>
    <n v="32"/>
    <n v="1632"/>
    <s v="Cash"/>
    <n v="44.064"/>
  </r>
  <r>
    <d v="2024-11-03T00:00:00"/>
    <s v="EK-7010-7"/>
    <x v="8"/>
    <s v="McKinney"/>
    <x v="1"/>
    <s v="TAP"/>
    <n v="20"/>
    <n v="37"/>
    <n v="740"/>
    <s v="Cash"/>
    <n v="15.54"/>
  </r>
  <r>
    <d v="2024-11-03T00:00:00"/>
    <s v="CK-5587-7"/>
    <x v="4"/>
    <s v="Frisco"/>
    <x v="4"/>
    <s v="ARP"/>
    <n v="53"/>
    <n v="48"/>
    <n v="2544"/>
    <s v="Cash"/>
    <n v="53.423999999999999"/>
  </r>
  <r>
    <d v="2024-11-03T00:00:00"/>
    <s v="AK-9294-7"/>
    <x v="2"/>
    <s v="McKinney"/>
    <x v="5"/>
    <s v="ZAA"/>
    <n v="30"/>
    <n v="40"/>
    <n v="1200"/>
    <s v="Credit card"/>
    <n v="34.799999999999997"/>
  </r>
  <r>
    <d v="2024-11-03T00:00:00"/>
    <s v="GK-7599-7"/>
    <x v="8"/>
    <s v="Richardson"/>
    <x v="3"/>
    <s v="ARP"/>
    <n v="27"/>
    <n v="56"/>
    <n v="1512"/>
    <s v="Gift card"/>
    <n v="30.24"/>
  </r>
  <r>
    <d v="2024-11-04T00:00:00"/>
    <s v="HK-2195-8"/>
    <x v="6"/>
    <s v="McKinney"/>
    <x v="3"/>
    <s v="KQR"/>
    <n v="28"/>
    <n v="41"/>
    <n v="1148"/>
    <s v="Credit card"/>
    <n v="27.552"/>
  </r>
  <r>
    <d v="2024-11-04T00:00:00"/>
    <s v="GK-2772-8"/>
    <x v="1"/>
    <s v="McKinney"/>
    <x v="1"/>
    <s v="ATP"/>
    <n v="38"/>
    <n v="54"/>
    <n v="2052"/>
    <s v="Cash"/>
    <n v="49.247999999999998"/>
  </r>
  <r>
    <d v="2024-11-04T00:00:00"/>
    <s v="CK-1520-8"/>
    <x v="8"/>
    <s v="Plano"/>
    <x v="4"/>
    <s v="SAT"/>
    <n v="59"/>
    <n v="31"/>
    <n v="1829"/>
    <s v="Credit card"/>
    <n v="42.067"/>
  </r>
  <r>
    <d v="2024-11-04T00:00:00"/>
    <s v="DK-7178-8"/>
    <x v="7"/>
    <s v="Dallas"/>
    <x v="1"/>
    <s v="AKJ"/>
    <n v="12"/>
    <n v="32"/>
    <n v="384"/>
    <s v="Credit card"/>
    <n v="7.68"/>
  </r>
  <r>
    <d v="2024-11-05T00:00:00"/>
    <s v="DK-2821-9"/>
    <x v="7"/>
    <s v="Plano"/>
    <x v="0"/>
    <s v="KQR"/>
    <n v="17"/>
    <n v="32"/>
    <n v="544"/>
    <s v="Cash"/>
    <n v="12.512"/>
  </r>
  <r>
    <d v="2024-11-05T00:00:00"/>
    <s v="DK-5875-9"/>
    <x v="3"/>
    <s v="Dallas"/>
    <x v="1"/>
    <s v="JKA"/>
    <n v="28"/>
    <n v="25"/>
    <n v="700"/>
    <s v="Credit card"/>
    <n v="15.4"/>
  </r>
  <r>
    <d v="2024-11-05T00:00:00"/>
    <s v="CK-9872-9"/>
    <x v="4"/>
    <s v="Coppell"/>
    <x v="4"/>
    <s v="TSQ"/>
    <n v="45"/>
    <n v="44"/>
    <n v="1980"/>
    <s v="Check"/>
    <n v="53.46"/>
  </r>
  <r>
    <d v="2024-11-05T00:00:00"/>
    <s v="HK-5962-9"/>
    <x v="7"/>
    <s v="Dallas"/>
    <x v="0"/>
    <s v="APS"/>
    <n v="38"/>
    <n v="48"/>
    <n v="1824"/>
    <s v="Gift card"/>
    <n v="40.128"/>
  </r>
  <r>
    <d v="2024-11-05T00:00:00"/>
    <s v="EK-4046-9"/>
    <x v="2"/>
    <s v="Dallas"/>
    <x v="2"/>
    <s v="KQR"/>
    <n v="21"/>
    <n v="42"/>
    <n v="882"/>
    <s v="Cash"/>
    <n v="23.814"/>
  </r>
  <r>
    <d v="2024-11-05T00:00:00"/>
    <s v="GK-8378-9"/>
    <x v="6"/>
    <s v="Allen"/>
    <x v="3"/>
    <s v="HTE"/>
    <n v="42"/>
    <n v="57"/>
    <n v="2394"/>
    <s v="Gift card"/>
    <n v="67.031999999999996"/>
  </r>
  <r>
    <d v="2024-11-05T00:00:00"/>
    <s v="DK-8453-9"/>
    <x v="4"/>
    <s v="Dallas"/>
    <x v="2"/>
    <s v="ATP"/>
    <n v="24"/>
    <n v="37"/>
    <n v="888"/>
    <s v="Credit card"/>
    <n v="19.536000000000001"/>
  </r>
  <r>
    <d v="2024-11-05T00:00:00"/>
    <s v="DK-9629-9"/>
    <x v="5"/>
    <s v="Plano"/>
    <x v="1"/>
    <s v="SMH"/>
    <n v="33"/>
    <n v="39"/>
    <n v="1287"/>
    <s v="Cash"/>
    <n v="38.61"/>
  </r>
  <r>
    <d v="2024-11-05T00:00:00"/>
    <s v="DK-6768-9"/>
    <x v="1"/>
    <s v="McKinney"/>
    <x v="4"/>
    <s v="JKA"/>
    <n v="24"/>
    <n v="27"/>
    <n v="648"/>
    <s v="Gift card"/>
    <n v="13.608000000000001"/>
  </r>
  <r>
    <d v="2024-11-06T00:00:00"/>
    <s v="A-2500-10"/>
    <x v="7"/>
    <s v="Plano"/>
    <x v="2"/>
    <s v="ATP"/>
    <n v="51"/>
    <n v="20"/>
    <n v="1020"/>
    <s v="Gift card"/>
    <n v="29.58"/>
  </r>
  <r>
    <d v="2024-11-06T00:00:00"/>
    <s v="H-3673-10"/>
    <x v="3"/>
    <s v="Coppell"/>
    <x v="0"/>
    <s v="ZAA"/>
    <n v="11"/>
    <n v="43"/>
    <n v="473"/>
    <s v="Check"/>
    <n v="10.406000000000001"/>
  </r>
  <r>
    <d v="2024-11-06T00:00:00"/>
    <s v="C-3162-10"/>
    <x v="5"/>
    <s v="Plano"/>
    <x v="1"/>
    <s v="SMH"/>
    <n v="19"/>
    <n v="53"/>
    <n v="1007"/>
    <s v="Credit card"/>
    <n v="23.161000000000001"/>
  </r>
  <r>
    <d v="2024-11-06T00:00:00"/>
    <s v="A-4372-10"/>
    <x v="4"/>
    <s v="Dallas"/>
    <x v="1"/>
    <s v="HNP"/>
    <n v="42"/>
    <n v="35"/>
    <n v="1470"/>
    <s v="Check"/>
    <n v="29.4"/>
  </r>
  <r>
    <d v="2024-11-07T00:00:00"/>
    <s v="B-8679-11"/>
    <x v="7"/>
    <s v="Plano"/>
    <x v="1"/>
    <s v="ARP"/>
    <n v="25"/>
    <n v="45"/>
    <n v="1125"/>
    <s v="Credit card"/>
    <n v="27"/>
  </r>
  <r>
    <d v="2024-11-07T00:00:00"/>
    <s v="C-8479-11"/>
    <x v="4"/>
    <s v="Plano"/>
    <x v="2"/>
    <s v="APS"/>
    <n v="15"/>
    <n v="22"/>
    <n v="330"/>
    <s v="Cash"/>
    <n v="8.58"/>
  </r>
  <r>
    <d v="2024-11-08T00:00:00"/>
    <s v="H-3122-12"/>
    <x v="6"/>
    <s v="Plano"/>
    <x v="3"/>
    <s v="KQR"/>
    <n v="37"/>
    <n v="44"/>
    <n v="1628"/>
    <s v="Cash"/>
    <n v="48.84"/>
  </r>
  <r>
    <d v="2024-11-09T00:00:00"/>
    <s v="G-4327-13"/>
    <x v="6"/>
    <s v="Richardson"/>
    <x v="6"/>
    <s v="TSA"/>
    <n v="28"/>
    <n v="32"/>
    <n v="896"/>
    <s v="Check"/>
    <n v="26.88"/>
  </r>
  <r>
    <d v="2024-11-09T00:00:00"/>
    <s v="G-8159-13"/>
    <x v="4"/>
    <s v="Plano"/>
    <x v="6"/>
    <s v="ARP"/>
    <n v="25"/>
    <n v="44"/>
    <n v="1100"/>
    <s v="Gift card"/>
    <n v="27.5"/>
  </r>
  <r>
    <d v="2024-11-09T00:00:00"/>
    <s v="B-8113-13"/>
    <x v="4"/>
    <s v="Plano"/>
    <x v="2"/>
    <s v="TAP"/>
    <n v="42"/>
    <n v="40"/>
    <n v="1680"/>
    <s v="Credit card"/>
    <n v="47.04"/>
  </r>
  <r>
    <d v="2024-11-10T00:00:00"/>
    <s v="D-7817-14"/>
    <x v="4"/>
    <s v="Dallas"/>
    <x v="3"/>
    <s v="JKA"/>
    <n v="15"/>
    <n v="54"/>
    <n v="810"/>
    <s v="Credit card"/>
    <n v="20.25"/>
  </r>
  <r>
    <d v="2024-11-10T00:00:00"/>
    <s v="D-3286-14"/>
    <x v="7"/>
    <s v="Dallas"/>
    <x v="1"/>
    <s v="ARP"/>
    <n v="48"/>
    <n v="50"/>
    <n v="2400"/>
    <s v="Credit card"/>
    <n v="62.4"/>
  </r>
  <r>
    <d v="2024-11-10T00:00:00"/>
    <s v="C-3215-14"/>
    <x v="1"/>
    <s v="Dallas"/>
    <x v="0"/>
    <s v="JKA"/>
    <n v="50"/>
    <n v="24"/>
    <n v="1200"/>
    <s v="Cash"/>
    <n v="27.6"/>
  </r>
  <r>
    <d v="2024-11-10T00:00:00"/>
    <s v="D-3675-14"/>
    <x v="5"/>
    <s v="Richardson"/>
    <x v="3"/>
    <s v="ARP"/>
    <n v="58"/>
    <n v="57"/>
    <n v="3306"/>
    <s v="Credit card"/>
    <n v="69.426000000000002"/>
  </r>
  <r>
    <d v="2024-11-10T00:00:00"/>
    <s v="F-1685-14"/>
    <x v="6"/>
    <s v="Coppell"/>
    <x v="3"/>
    <s v="ZAA"/>
    <n v="31"/>
    <n v="40"/>
    <n v="1240"/>
    <s v="Gift card"/>
    <n v="31"/>
  </r>
  <r>
    <d v="2024-11-10T00:00:00"/>
    <s v="A-3956-14"/>
    <x v="1"/>
    <s v="Dallas"/>
    <x v="4"/>
    <s v="ATP"/>
    <n v="48"/>
    <n v="53"/>
    <n v="2544"/>
    <s v="Credit card"/>
    <n v="66.144000000000005"/>
  </r>
  <r>
    <d v="2024-11-10T00:00:00"/>
    <s v="A-7890-14"/>
    <x v="6"/>
    <s v="Richardson"/>
    <x v="2"/>
    <s v="PKH"/>
    <n v="51"/>
    <n v="32"/>
    <n v="1632"/>
    <s v="Cash"/>
    <n v="35.904000000000003"/>
  </r>
  <r>
    <d v="2024-11-11T00:00:00"/>
    <s v="D-6975-15"/>
    <x v="1"/>
    <s v="Allen"/>
    <x v="0"/>
    <s v="SAT"/>
    <n v="33"/>
    <n v="43"/>
    <n v="1419"/>
    <s v="Credit card"/>
    <n v="38.313000000000002"/>
  </r>
  <r>
    <d v="2024-11-11T00:00:00"/>
    <s v="E-7115-15"/>
    <x v="4"/>
    <s v="Richardson"/>
    <x v="6"/>
    <s v="MSP"/>
    <n v="47"/>
    <n v="55"/>
    <n v="2585"/>
    <s v="Credit card"/>
    <n v="59.454999999999998"/>
  </r>
  <r>
    <d v="2024-11-11T00:00:00"/>
    <s v="B-9454-15"/>
    <x v="3"/>
    <s v="Allen"/>
    <x v="4"/>
    <s v="SMH"/>
    <n v="27"/>
    <n v="38"/>
    <n v="1026"/>
    <s v="Cash"/>
    <n v="22.571999999999999"/>
  </r>
  <r>
    <d v="2024-11-11T00:00:00"/>
    <s v="C-1607-15"/>
    <x v="3"/>
    <s v="Richardson"/>
    <x v="2"/>
    <s v="AKJ"/>
    <n v="48"/>
    <n v="44"/>
    <n v="2112"/>
    <s v="Credit card"/>
    <n v="52.8"/>
  </r>
  <r>
    <d v="2024-11-11T00:00:00"/>
    <s v="H-6756-15"/>
    <x v="8"/>
    <s v="Dallas"/>
    <x v="1"/>
    <s v="SMH"/>
    <n v="40"/>
    <n v="25"/>
    <n v="1000"/>
    <s v="Cash"/>
    <n v="28"/>
  </r>
  <r>
    <d v="2024-11-11T00:00:00"/>
    <s v="B-9866-15"/>
    <x v="0"/>
    <s v="Dallas"/>
    <x v="2"/>
    <s v="TSA"/>
    <n v="40"/>
    <n v="36"/>
    <n v="1440"/>
    <s v="Gift card"/>
    <n v="28.8"/>
  </r>
  <r>
    <d v="2024-11-11T00:00:00"/>
    <s v="G-8247-15"/>
    <x v="8"/>
    <s v="Plano"/>
    <x v="6"/>
    <s v="AKJ"/>
    <n v="31"/>
    <n v="50"/>
    <n v="1550"/>
    <s v="Gift card"/>
    <n v="34.1"/>
  </r>
  <r>
    <d v="2024-11-11T00:00:00"/>
    <s v="C-5816-15"/>
    <x v="2"/>
    <s v="Richardson"/>
    <x v="2"/>
    <s v="AKJ"/>
    <n v="38"/>
    <n v="29"/>
    <n v="1102"/>
    <s v="Cash"/>
    <n v="26.448"/>
  </r>
  <r>
    <d v="2024-11-11T00:00:00"/>
    <s v="E-1198-15"/>
    <x v="2"/>
    <s v="Dallas"/>
    <x v="3"/>
    <s v="TAP"/>
    <n v="17"/>
    <n v="51"/>
    <n v="867"/>
    <s v="Cash"/>
    <n v="24.276"/>
  </r>
  <r>
    <d v="2024-11-11T00:00:00"/>
    <s v="C-5558-15"/>
    <x v="1"/>
    <s v="McKinney"/>
    <x v="0"/>
    <s v="HNP"/>
    <n v="42"/>
    <n v="46"/>
    <n v="1932"/>
    <s v="Cash"/>
    <n v="52.164000000000001"/>
  </r>
  <r>
    <d v="2024-11-11T00:00:00"/>
    <s v="D-9800-15"/>
    <x v="1"/>
    <s v="Coppell"/>
    <x v="3"/>
    <s v="HNP"/>
    <n v="27"/>
    <n v="48"/>
    <n v="1296"/>
    <s v="Credit card"/>
    <n v="34.991999999999997"/>
  </r>
  <r>
    <d v="2024-11-12T00:00:00"/>
    <s v="B-1286-16"/>
    <x v="8"/>
    <s v="Plano"/>
    <x v="1"/>
    <s v="HNP"/>
    <n v="11"/>
    <n v="50"/>
    <n v="550"/>
    <s v="Cash"/>
    <n v="13.2"/>
  </r>
  <r>
    <d v="2024-11-13T00:00:00"/>
    <s v="E-2531-17"/>
    <x v="7"/>
    <s v="Frisco"/>
    <x v="1"/>
    <s v="SMH"/>
    <n v="32"/>
    <n v="49"/>
    <n v="1568"/>
    <s v="Credit card"/>
    <n v="45.472000000000001"/>
  </r>
  <r>
    <d v="2024-11-13T00:00:00"/>
    <s v="D-7520-17"/>
    <x v="3"/>
    <s v="Frisco"/>
    <x v="6"/>
    <s v="TSA"/>
    <n v="47"/>
    <n v="28"/>
    <n v="1316"/>
    <s v="Gift card"/>
    <n v="28.952000000000002"/>
  </r>
  <r>
    <d v="2024-11-14T00:00:00"/>
    <s v="B-9277-18"/>
    <x v="3"/>
    <s v="Coppell"/>
    <x v="3"/>
    <s v="ZAA"/>
    <n v="16"/>
    <n v="35"/>
    <n v="560"/>
    <s v="Credit card"/>
    <n v="14"/>
  </r>
  <r>
    <d v="2024-11-14T00:00:00"/>
    <s v="A-1451-18"/>
    <x v="4"/>
    <s v="Dallas"/>
    <x v="0"/>
    <s v="MSP"/>
    <n v="29"/>
    <n v="21"/>
    <n v="609"/>
    <s v="Gift card"/>
    <n v="12.789"/>
  </r>
  <r>
    <d v="2024-11-14T00:00:00"/>
    <s v="G-4013-18"/>
    <x v="6"/>
    <s v="Dallas"/>
    <x v="2"/>
    <s v="TAP"/>
    <n v="50"/>
    <n v="27"/>
    <n v="1350"/>
    <s v="Cash"/>
    <n v="40.5"/>
  </r>
  <r>
    <d v="2024-11-14T00:00:00"/>
    <s v="G-3621-18"/>
    <x v="1"/>
    <s v="Dallas"/>
    <x v="4"/>
    <s v="SMH"/>
    <n v="53"/>
    <n v="50"/>
    <n v="2650"/>
    <s v="Credit card"/>
    <n v="68.900000000000006"/>
  </r>
  <r>
    <d v="2024-11-14T00:00:00"/>
    <s v="C-8288-18"/>
    <x v="4"/>
    <s v="Coppell"/>
    <x v="6"/>
    <s v="SAT"/>
    <n v="22"/>
    <n v="45"/>
    <n v="990"/>
    <s v="Gift card"/>
    <n v="26.73"/>
  </r>
  <r>
    <d v="2024-11-14T00:00:00"/>
    <s v="F-8722-18"/>
    <x v="6"/>
    <s v="McKinney"/>
    <x v="5"/>
    <s v="ATP"/>
    <n v="57"/>
    <n v="60"/>
    <n v="3420"/>
    <s v="Credit card"/>
    <n v="92.34"/>
  </r>
  <r>
    <d v="2024-11-14T00:00:00"/>
    <s v="D-5438-18"/>
    <x v="0"/>
    <s v="Richardson"/>
    <x v="6"/>
    <s v="APS"/>
    <n v="46"/>
    <n v="26"/>
    <n v="1196"/>
    <s v="Credit card"/>
    <n v="28.704000000000001"/>
  </r>
  <r>
    <d v="2024-11-14T00:00:00"/>
    <s v="B-4067-18"/>
    <x v="5"/>
    <s v="Richardson"/>
    <x v="3"/>
    <s v="HNP"/>
    <n v="60"/>
    <n v="59"/>
    <n v="3540"/>
    <s v="Cash"/>
    <n v="77.88"/>
  </r>
  <r>
    <d v="2024-11-14T00:00:00"/>
    <s v="A-7500-18"/>
    <x v="0"/>
    <s v="Plano"/>
    <x v="0"/>
    <s v="ARP"/>
    <n v="27"/>
    <n v="22"/>
    <n v="594"/>
    <s v="Gift card"/>
    <n v="14.256"/>
  </r>
  <r>
    <d v="2024-11-14T00:00:00"/>
    <s v="H-5297-18"/>
    <x v="4"/>
    <s v="Richardson"/>
    <x v="5"/>
    <s v="TSA"/>
    <n v="40"/>
    <n v="57"/>
    <n v="2280"/>
    <s v="Credit card"/>
    <n v="68.400000000000006"/>
  </r>
  <r>
    <d v="2024-11-14T00:00:00"/>
    <s v="C-5304-18"/>
    <x v="8"/>
    <s v="Coppell"/>
    <x v="4"/>
    <s v="HTE"/>
    <n v="50"/>
    <n v="21"/>
    <n v="1050"/>
    <s v="Cash"/>
    <n v="30.45"/>
  </r>
  <r>
    <d v="2024-11-14T00:00:00"/>
    <s v="H-8153-18"/>
    <x v="7"/>
    <s v="Allen"/>
    <x v="2"/>
    <s v="SMH"/>
    <n v="54"/>
    <n v="38"/>
    <n v="2052"/>
    <s v="Credit card"/>
    <n v="53.351999999999997"/>
  </r>
  <r>
    <d v="2024-11-14T00:00:00"/>
    <s v="A-8524-18"/>
    <x v="5"/>
    <s v="Allen"/>
    <x v="1"/>
    <s v="KQR"/>
    <n v="58"/>
    <n v="51"/>
    <n v="2958"/>
    <s v="Credit card"/>
    <n v="62.118000000000002"/>
  </r>
  <r>
    <d v="2024-11-14T00:00:00"/>
    <s v="C-1592-18"/>
    <x v="7"/>
    <s v="Dallas"/>
    <x v="1"/>
    <s v="ZAA"/>
    <n v="53"/>
    <n v="58"/>
    <n v="3074"/>
    <s v="Cash"/>
    <n v="86.072000000000003"/>
  </r>
  <r>
    <d v="2024-11-14T00:00:00"/>
    <s v="F-1292-18"/>
    <x v="7"/>
    <s v="McKinney"/>
    <x v="4"/>
    <s v="KQR"/>
    <n v="39"/>
    <n v="44"/>
    <n v="1716"/>
    <s v="Credit card"/>
    <n v="44.616"/>
  </r>
  <r>
    <d v="2024-11-14T00:00:00"/>
    <s v="H-7947-18"/>
    <x v="3"/>
    <s v="Dallas"/>
    <x v="2"/>
    <s v="TSQ"/>
    <n v="36"/>
    <n v="24"/>
    <n v="864"/>
    <s v="Cash"/>
    <n v="25.056000000000001"/>
  </r>
  <r>
    <d v="2024-11-14T00:00:00"/>
    <s v="E-8735-18"/>
    <x v="1"/>
    <s v="Dallas"/>
    <x v="6"/>
    <s v="SMH"/>
    <n v="49"/>
    <n v="41"/>
    <n v="2009"/>
    <s v="Cash"/>
    <n v="56.252000000000002"/>
  </r>
  <r>
    <d v="2024-11-14T00:00:00"/>
    <s v="G-7680-18"/>
    <x v="8"/>
    <s v="Plano"/>
    <x v="6"/>
    <s v="ATP"/>
    <n v="24"/>
    <n v="38"/>
    <n v="912"/>
    <s v="Cash"/>
    <n v="21.888000000000002"/>
  </r>
  <r>
    <d v="2024-11-14T00:00:00"/>
    <s v="C-1896-18"/>
    <x v="6"/>
    <s v="Frisco"/>
    <x v="4"/>
    <s v="AKJ"/>
    <n v="17"/>
    <n v="23"/>
    <n v="391"/>
    <s v="Cash"/>
    <n v="9.3840000000000003"/>
  </r>
  <r>
    <d v="2024-11-14T00:00:00"/>
    <s v="G-6818-18"/>
    <x v="2"/>
    <s v="Richardson"/>
    <x v="3"/>
    <s v="PKH"/>
    <n v="14"/>
    <n v="52"/>
    <n v="728"/>
    <s v="Credit card"/>
    <n v="20.384"/>
  </r>
  <r>
    <d v="2024-11-14T00:00:00"/>
    <s v="E-7340-18"/>
    <x v="1"/>
    <s v="Dallas"/>
    <x v="2"/>
    <s v="SAT"/>
    <n v="47"/>
    <n v="46"/>
    <n v="2162"/>
    <s v="Credit card"/>
    <n v="58.374000000000002"/>
  </r>
  <r>
    <d v="2024-11-14T00:00:00"/>
    <s v="C-3788-18"/>
    <x v="4"/>
    <s v="Frisco"/>
    <x v="1"/>
    <s v="HNP"/>
    <n v="14"/>
    <n v="39"/>
    <n v="546"/>
    <s v="Check"/>
    <n v="16.38"/>
  </r>
  <r>
    <d v="2024-11-14T00:00:00"/>
    <s v="C-4579-18"/>
    <x v="6"/>
    <s v="Plano"/>
    <x v="4"/>
    <s v="JKA"/>
    <n v="21"/>
    <n v="29"/>
    <n v="609"/>
    <s v="Credit card"/>
    <n v="18.27"/>
  </r>
  <r>
    <d v="2024-11-15T00:00:00"/>
    <s v="E-8748-19"/>
    <x v="1"/>
    <s v="Plano"/>
    <x v="3"/>
    <s v="MSP"/>
    <n v="17"/>
    <n v="58"/>
    <n v="986"/>
    <s v="Gift card"/>
    <n v="24.65"/>
  </r>
  <r>
    <d v="2024-11-15T00:00:00"/>
    <s v="A-5748-19"/>
    <x v="0"/>
    <s v="Richardson"/>
    <x v="6"/>
    <s v="TSQ"/>
    <n v="58"/>
    <n v="60"/>
    <n v="3480"/>
    <s v="Credit card"/>
    <n v="87"/>
  </r>
  <r>
    <d v="2024-11-16T00:00:00"/>
    <s v="F-7577-20"/>
    <x v="3"/>
    <s v="Dallas"/>
    <x v="0"/>
    <s v="SAT"/>
    <n v="56"/>
    <n v="48"/>
    <n v="2688"/>
    <s v="Credit card"/>
    <n v="53.76"/>
  </r>
  <r>
    <d v="2024-11-16T00:00:00"/>
    <s v="B-2507-20"/>
    <x v="2"/>
    <s v="Plano"/>
    <x v="1"/>
    <s v="APS"/>
    <n v="20"/>
    <n v="23"/>
    <n v="460"/>
    <s v="Cash"/>
    <n v="11.5"/>
  </r>
  <r>
    <d v="2024-11-16T00:00:00"/>
    <s v="C-5093-20"/>
    <x v="0"/>
    <s v="Plano"/>
    <x v="4"/>
    <s v="SAT"/>
    <n v="13"/>
    <n v="47"/>
    <n v="611"/>
    <s v="Credit card"/>
    <n v="13.442"/>
  </r>
  <r>
    <d v="2024-11-16T00:00:00"/>
    <s v="G-9974-20"/>
    <x v="4"/>
    <s v="Coppell"/>
    <x v="4"/>
    <s v="HTE"/>
    <n v="18"/>
    <n v="55"/>
    <n v="990"/>
    <s v="Cash"/>
    <n v="29.7"/>
  </r>
  <r>
    <d v="2024-11-16T00:00:00"/>
    <s v="E-2245-20"/>
    <x v="7"/>
    <s v="Dallas"/>
    <x v="2"/>
    <s v="MSP"/>
    <n v="19"/>
    <n v="39"/>
    <n v="741"/>
    <s v="Cash"/>
    <n v="17.042999999999999"/>
  </r>
  <r>
    <d v="2024-11-17T00:00:00"/>
    <s v="C-1872-21"/>
    <x v="8"/>
    <s v="Plano"/>
    <x v="4"/>
    <s v="SAT"/>
    <n v="35"/>
    <n v="40"/>
    <n v="1400"/>
    <s v="Credit card"/>
    <n v="30.8"/>
  </r>
  <r>
    <d v="2024-11-17T00:00:00"/>
    <s v="C-6430-21"/>
    <x v="7"/>
    <s v="McKinney"/>
    <x v="4"/>
    <s v="PKH"/>
    <n v="19"/>
    <n v="28"/>
    <n v="532"/>
    <s v="Cash"/>
    <n v="14.364000000000001"/>
  </r>
  <r>
    <d v="2024-11-17T00:00:00"/>
    <s v="F-4678-21"/>
    <x v="7"/>
    <s v="Plano"/>
    <x v="6"/>
    <s v="AKJ"/>
    <n v="36"/>
    <n v="31"/>
    <n v="1116"/>
    <s v="Credit card"/>
    <n v="31.248000000000001"/>
  </r>
  <r>
    <d v="2024-11-18T00:00:00"/>
    <s v="H-9195-22"/>
    <x v="4"/>
    <s v="Plano"/>
    <x v="2"/>
    <s v="MSP"/>
    <n v="34"/>
    <n v="28"/>
    <n v="952"/>
    <s v="Cash"/>
    <n v="22.847999999999999"/>
  </r>
  <r>
    <d v="2024-11-18T00:00:00"/>
    <s v="A-3589-22"/>
    <x v="3"/>
    <s v="Frisco"/>
    <x v="0"/>
    <s v="JKA"/>
    <n v="47"/>
    <n v="43"/>
    <n v="2021"/>
    <s v="Cash"/>
    <n v="40.42"/>
  </r>
  <r>
    <d v="2024-11-18T00:00:00"/>
    <s v="B-7739-22"/>
    <x v="3"/>
    <s v="Dallas"/>
    <x v="1"/>
    <s v="KQR"/>
    <n v="30"/>
    <n v="49"/>
    <n v="1470"/>
    <s v="Cash"/>
    <n v="32.340000000000003"/>
  </r>
  <r>
    <d v="2024-11-18T00:00:00"/>
    <s v="F-6187-22"/>
    <x v="6"/>
    <s v="Allen"/>
    <x v="0"/>
    <s v="TAP"/>
    <n v="20"/>
    <n v="49"/>
    <n v="980"/>
    <s v="Check"/>
    <n v="19.600000000000001"/>
  </r>
  <r>
    <d v="2024-11-18T00:00:00"/>
    <s v="G-9943-22"/>
    <x v="5"/>
    <s v="McKinney"/>
    <x v="3"/>
    <s v="HNP"/>
    <n v="23"/>
    <n v="27"/>
    <n v="621"/>
    <s v="Credit card"/>
    <n v="16.766999999999999"/>
  </r>
  <r>
    <d v="2024-11-18T00:00:00"/>
    <s v="F-3857-22"/>
    <x v="4"/>
    <s v="Plano"/>
    <x v="2"/>
    <s v="SAT"/>
    <n v="15"/>
    <n v="50"/>
    <n v="750"/>
    <s v="Credit card"/>
    <n v="15.75"/>
  </r>
  <r>
    <d v="2024-11-18T00:00:00"/>
    <s v="B-4363-22"/>
    <x v="7"/>
    <s v="Frisco"/>
    <x v="4"/>
    <s v="JKA"/>
    <n v="55"/>
    <n v="20"/>
    <n v="1100"/>
    <s v="Gift card"/>
    <n v="26.4"/>
  </r>
  <r>
    <d v="2024-11-18T00:00:00"/>
    <s v="B-8603-22"/>
    <x v="2"/>
    <s v="Coppell"/>
    <x v="1"/>
    <s v="HNP"/>
    <n v="54"/>
    <n v="25"/>
    <n v="1350"/>
    <s v="Cash"/>
    <n v="35.1"/>
  </r>
  <r>
    <d v="2024-11-18T00:00:00"/>
    <s v="B-1816-22"/>
    <x v="2"/>
    <s v="Richardson"/>
    <x v="0"/>
    <s v="ZAA"/>
    <n v="10"/>
    <n v="40"/>
    <n v="400"/>
    <s v="Credit card"/>
    <n v="11.2"/>
  </r>
  <r>
    <d v="2024-11-18T00:00:00"/>
    <s v="G-4736-22"/>
    <x v="0"/>
    <s v="Plano"/>
    <x v="1"/>
    <s v="TAP"/>
    <n v="51"/>
    <n v="49"/>
    <n v="2499"/>
    <s v="Credit card"/>
    <n v="49.98"/>
  </r>
  <r>
    <d v="2024-11-18T00:00:00"/>
    <s v="G-9806-22"/>
    <x v="6"/>
    <s v="Plano"/>
    <x v="1"/>
    <s v="PKH"/>
    <n v="44"/>
    <n v="22"/>
    <n v="968"/>
    <s v="Credit card"/>
    <n v="24.2"/>
  </r>
  <r>
    <d v="2024-11-19T00:00:00"/>
    <s v="H-5329-23"/>
    <x v="4"/>
    <s v="Plano"/>
    <x v="4"/>
    <s v="PFF"/>
    <n v="39"/>
    <n v="59"/>
    <n v="2301"/>
    <s v="Check"/>
    <n v="48.320999999999998"/>
  </r>
  <r>
    <d v="2024-11-19T00:00:00"/>
    <s v="G-8208-23"/>
    <x v="4"/>
    <s v="McKinney"/>
    <x v="4"/>
    <s v="SAT"/>
    <n v="20"/>
    <n v="26"/>
    <n v="520"/>
    <s v="Credit card"/>
    <n v="15.6"/>
  </r>
  <r>
    <d v="2024-11-19T00:00:00"/>
    <s v="A-9867-23"/>
    <x v="4"/>
    <s v="Plano"/>
    <x v="0"/>
    <s v="PFF"/>
    <n v="23"/>
    <n v="50"/>
    <n v="1150"/>
    <s v="Credit card"/>
    <n v="34.5"/>
  </r>
  <r>
    <d v="2024-11-19T00:00:00"/>
    <s v="B-3005-23"/>
    <x v="0"/>
    <s v="Frisco"/>
    <x v="1"/>
    <s v="PFF"/>
    <n v="22"/>
    <n v="57"/>
    <n v="1254"/>
    <s v="Gift card"/>
    <n v="30.096"/>
  </r>
  <r>
    <d v="2024-11-19T00:00:00"/>
    <s v="A-2891-23"/>
    <x v="0"/>
    <s v="Dallas"/>
    <x v="4"/>
    <s v="APS"/>
    <n v="44"/>
    <n v="35"/>
    <n v="1540"/>
    <s v="Credit card"/>
    <n v="38.5"/>
  </r>
  <r>
    <d v="2024-11-19T00:00:00"/>
    <s v="E-9078-23"/>
    <x v="6"/>
    <s v="Plano"/>
    <x v="0"/>
    <s v="AKJ"/>
    <n v="12"/>
    <n v="38"/>
    <n v="456"/>
    <s v="Credit card"/>
    <n v="10.488"/>
  </r>
  <r>
    <d v="2024-11-20T00:00:00"/>
    <s v="D-6412-24"/>
    <x v="4"/>
    <s v="Dallas"/>
    <x v="4"/>
    <s v="ZAA"/>
    <n v="25"/>
    <n v="57"/>
    <n v="1425"/>
    <s v="Cash"/>
    <n v="28.5"/>
  </r>
  <r>
    <d v="2024-11-20T00:00:00"/>
    <s v="G-2220-24"/>
    <x v="8"/>
    <s v="Richardson"/>
    <x v="1"/>
    <s v="TAP"/>
    <n v="56"/>
    <n v="30"/>
    <n v="1680"/>
    <s v="Cash"/>
    <n v="42"/>
  </r>
  <r>
    <d v="2024-11-20T00:00:00"/>
    <s v="D-9509-24"/>
    <x v="4"/>
    <s v="Frisco"/>
    <x v="2"/>
    <s v="TAP"/>
    <n v="23"/>
    <n v="37"/>
    <n v="851"/>
    <s v="Cash"/>
    <n v="18.722000000000001"/>
  </r>
  <r>
    <d v="2024-11-20T00:00:00"/>
    <s v="A-1200-24"/>
    <x v="2"/>
    <s v="Dallas"/>
    <x v="4"/>
    <s v="SMH"/>
    <n v="20"/>
    <n v="46"/>
    <n v="920"/>
    <s v="Gift card"/>
    <n v="21.16"/>
  </r>
  <r>
    <d v="2024-11-20T00:00:00"/>
    <s v="F-2370-24"/>
    <x v="6"/>
    <s v="Allen"/>
    <x v="4"/>
    <s v="AKJ"/>
    <n v="48"/>
    <n v="38"/>
    <n v="1824"/>
    <s v="Cash"/>
    <n v="54.72"/>
  </r>
  <r>
    <d v="2024-11-20T00:00:00"/>
    <s v="H-9345-24"/>
    <x v="4"/>
    <s v="Dallas"/>
    <x v="0"/>
    <s v="MSP"/>
    <n v="50"/>
    <n v="57"/>
    <n v="2850"/>
    <s v="Credit card"/>
    <n v="82.65"/>
  </r>
  <r>
    <d v="2024-11-21T00:00:00"/>
    <s v="D-1689-25"/>
    <x v="4"/>
    <s v="Plano"/>
    <x v="4"/>
    <s v="PKH"/>
    <n v="43"/>
    <n v="34"/>
    <n v="1462"/>
    <s v="Credit card"/>
    <n v="43.86"/>
  </r>
  <r>
    <d v="2024-11-21T00:00:00"/>
    <s v="F-5230-25"/>
    <x v="8"/>
    <s v="Frisco"/>
    <x v="3"/>
    <s v="KQR"/>
    <n v="32"/>
    <n v="20"/>
    <n v="640"/>
    <s v="Cash"/>
    <n v="16"/>
  </r>
  <r>
    <d v="2024-11-21T00:00:00"/>
    <s v="F-7801-25"/>
    <x v="4"/>
    <s v="Dallas"/>
    <x v="0"/>
    <s v="APS"/>
    <n v="27"/>
    <n v="21"/>
    <n v="567"/>
    <s v="Cash"/>
    <n v="13.608000000000001"/>
  </r>
  <r>
    <d v="2024-11-22T00:00:00"/>
    <s v="E-6191-26"/>
    <x v="8"/>
    <s v="Richardson"/>
    <x v="0"/>
    <s v="SMH"/>
    <n v="42"/>
    <n v="34"/>
    <n v="1428"/>
    <s v="Cash"/>
    <n v="29.988"/>
  </r>
  <r>
    <d v="2024-11-22T00:00:00"/>
    <s v="B-1391-26"/>
    <x v="8"/>
    <s v="Dallas"/>
    <x v="1"/>
    <s v="PKH"/>
    <n v="15"/>
    <n v="40"/>
    <n v="600"/>
    <s v="Cash"/>
    <n v="13.2"/>
  </r>
  <r>
    <d v="2024-11-22T00:00:00"/>
    <s v="B-6077-26"/>
    <x v="7"/>
    <s v="Coppell"/>
    <x v="6"/>
    <s v="HTE"/>
    <n v="54"/>
    <n v="45"/>
    <n v="2430"/>
    <s v="Gift card"/>
    <n v="60.75"/>
  </r>
  <r>
    <d v="2024-11-22T00:00:00"/>
    <s v="E-4688-26"/>
    <x v="3"/>
    <s v="Richardson"/>
    <x v="3"/>
    <s v="ZAA"/>
    <n v="57"/>
    <n v="22"/>
    <n v="1254"/>
    <s v="Credit card"/>
    <n v="28.841999999999999"/>
  </r>
  <r>
    <d v="2024-11-22T00:00:00"/>
    <s v="A-1866-26"/>
    <x v="4"/>
    <s v="Richardson"/>
    <x v="4"/>
    <s v="APS"/>
    <n v="45"/>
    <n v="33"/>
    <n v="1485"/>
    <s v="Cash"/>
    <n v="43.064999999999998"/>
  </r>
  <r>
    <d v="2024-11-23T00:00:00"/>
    <s v="D-7908-27"/>
    <x v="7"/>
    <s v="Dallas"/>
    <x v="6"/>
    <s v="HNP"/>
    <n v="46"/>
    <n v="31"/>
    <n v="1426"/>
    <s v="Gift card"/>
    <n v="42.78"/>
  </r>
  <r>
    <d v="2024-11-23T00:00:00"/>
    <s v="E-9497-27"/>
    <x v="2"/>
    <s v="Plano"/>
    <x v="4"/>
    <s v="APS"/>
    <n v="33"/>
    <n v="33"/>
    <n v="1089"/>
    <s v="Cash"/>
    <n v="22.869"/>
  </r>
  <r>
    <d v="2024-11-23T00:00:00"/>
    <s v="C-7868-27"/>
    <x v="5"/>
    <s v="Plano"/>
    <x v="0"/>
    <s v="SAT"/>
    <n v="34"/>
    <n v="40"/>
    <n v="1360"/>
    <s v="Cash"/>
    <n v="28.56"/>
  </r>
  <r>
    <d v="2024-11-23T00:00:00"/>
    <s v="B-4107-27"/>
    <x v="3"/>
    <s v="Allen"/>
    <x v="3"/>
    <s v="SMH"/>
    <n v="52"/>
    <n v="22"/>
    <n v="1144"/>
    <s v="Credit card"/>
    <n v="24.024000000000001"/>
  </r>
  <r>
    <d v="2024-11-23T00:00:00"/>
    <s v="B-7625-27"/>
    <x v="7"/>
    <s v="Plano"/>
    <x v="3"/>
    <s v="MSP"/>
    <n v="21"/>
    <n v="54"/>
    <n v="1134"/>
    <s v="Gift card"/>
    <n v="22.68"/>
  </r>
  <r>
    <d v="2024-11-23T00:00:00"/>
    <s v="C-4235-27"/>
    <x v="2"/>
    <s v="Plano"/>
    <x v="4"/>
    <s v="JKA"/>
    <n v="25"/>
    <n v="58"/>
    <n v="1450"/>
    <s v="Cash"/>
    <n v="39.15"/>
  </r>
  <r>
    <d v="2024-11-23T00:00:00"/>
    <s v="H-6074-27"/>
    <x v="7"/>
    <s v="Plano"/>
    <x v="3"/>
    <s v="TAP"/>
    <n v="25"/>
    <n v="43"/>
    <n v="1075"/>
    <s v="Cash"/>
    <n v="25.8"/>
  </r>
  <r>
    <d v="2024-11-23T00:00:00"/>
    <s v="F-7377-27"/>
    <x v="8"/>
    <s v="Richardson"/>
    <x v="5"/>
    <s v="ATP"/>
    <n v="17"/>
    <n v="22"/>
    <n v="374"/>
    <s v="Cash"/>
    <n v="11.22"/>
  </r>
  <r>
    <d v="2024-11-23T00:00:00"/>
    <s v="D-8094-27"/>
    <x v="2"/>
    <s v="Dallas"/>
    <x v="3"/>
    <s v="TSQ"/>
    <n v="11"/>
    <n v="33"/>
    <n v="363"/>
    <s v="Credit card"/>
    <n v="10.526999999999999"/>
  </r>
  <r>
    <d v="2024-11-23T00:00:00"/>
    <s v="H-1997-27"/>
    <x v="7"/>
    <s v="Coppell"/>
    <x v="5"/>
    <s v="TAP"/>
    <n v="11"/>
    <n v="31"/>
    <n v="341"/>
    <s v="Cash"/>
    <n v="9.8889999999999993"/>
  </r>
  <r>
    <d v="2024-11-23T00:00:00"/>
    <s v="G-3574-27"/>
    <x v="4"/>
    <s v="Allen"/>
    <x v="6"/>
    <s v="PKH"/>
    <n v="29"/>
    <n v="31"/>
    <n v="899"/>
    <s v="Credit card"/>
    <n v="22.475000000000001"/>
  </r>
  <r>
    <d v="2024-11-23T00:00:00"/>
    <s v="D-8403-27"/>
    <x v="6"/>
    <s v="Dallas"/>
    <x v="5"/>
    <s v="HTE"/>
    <n v="42"/>
    <n v="58"/>
    <n v="2436"/>
    <s v="Gift card"/>
    <n v="48.72"/>
  </r>
  <r>
    <d v="2024-11-23T00:00:00"/>
    <s v="F-2259-27"/>
    <x v="4"/>
    <s v="McKinney"/>
    <x v="2"/>
    <s v="SMH"/>
    <n v="13"/>
    <n v="48"/>
    <n v="624"/>
    <s v="Credit card"/>
    <n v="13.728"/>
  </r>
  <r>
    <d v="2024-11-23T00:00:00"/>
    <s v="F-1818-27"/>
    <x v="4"/>
    <s v="Plano"/>
    <x v="1"/>
    <s v="TAP"/>
    <n v="58"/>
    <n v="49"/>
    <n v="2842"/>
    <s v="Cash"/>
    <n v="71.05"/>
  </r>
  <r>
    <d v="2024-11-23T00:00:00"/>
    <s v="F-8092-27"/>
    <x v="2"/>
    <s v="Dallas"/>
    <x v="6"/>
    <s v="APS"/>
    <n v="57"/>
    <n v="27"/>
    <n v="1539"/>
    <s v="Cash"/>
    <n v="41.552999999999997"/>
  </r>
  <r>
    <d v="2024-11-23T00:00:00"/>
    <s v="H-1763-27"/>
    <x v="0"/>
    <s v="McKinney"/>
    <x v="4"/>
    <s v="TAP"/>
    <n v="43"/>
    <n v="23"/>
    <n v="989"/>
    <s v="Credit card"/>
    <n v="27.692"/>
  </r>
  <r>
    <d v="2024-11-23T00:00:00"/>
    <s v="C-4682-27"/>
    <x v="0"/>
    <s v="Plano"/>
    <x v="0"/>
    <s v="TSA"/>
    <n v="58"/>
    <n v="52"/>
    <n v="3016"/>
    <s v="Check"/>
    <n v="87.463999999999999"/>
  </r>
  <r>
    <d v="2024-11-23T00:00:00"/>
    <s v="H-4159-27"/>
    <x v="8"/>
    <s v="Plano"/>
    <x v="6"/>
    <s v="TSQ"/>
    <n v="60"/>
    <n v="60"/>
    <n v="3600"/>
    <s v="Credit card"/>
    <n v="82.8"/>
  </r>
  <r>
    <d v="2024-11-23T00:00:00"/>
    <s v="C-9839-27"/>
    <x v="2"/>
    <s v="Dallas"/>
    <x v="1"/>
    <s v="APS"/>
    <n v="32"/>
    <n v="60"/>
    <n v="1920"/>
    <s v="Credit card"/>
    <n v="51.84"/>
  </r>
  <r>
    <d v="2024-11-23T00:00:00"/>
    <s v="C-4247-27"/>
    <x v="5"/>
    <s v="Richardson"/>
    <x v="2"/>
    <s v="APS"/>
    <n v="20"/>
    <n v="57"/>
    <n v="1140"/>
    <s v="Check"/>
    <n v="23.94"/>
  </r>
  <r>
    <d v="2024-11-23T00:00:00"/>
    <s v="C-1862-27"/>
    <x v="5"/>
    <s v="Frisco"/>
    <x v="6"/>
    <s v="SMH"/>
    <n v="27"/>
    <n v="53"/>
    <n v="1431"/>
    <s v="Credit card"/>
    <n v="30.050999999999998"/>
  </r>
  <r>
    <d v="2024-11-24T00:00:00"/>
    <s v="F-8944-28"/>
    <x v="7"/>
    <s v="Plano"/>
    <x v="4"/>
    <s v="TAP"/>
    <n v="28"/>
    <n v="25"/>
    <n v="700"/>
    <s v="Gift card"/>
    <n v="20.3"/>
  </r>
  <r>
    <d v="2024-11-24T00:00:00"/>
    <s v="E-4977-28"/>
    <x v="6"/>
    <s v="Frisco"/>
    <x v="1"/>
    <s v="PKH"/>
    <n v="27"/>
    <n v="37"/>
    <n v="999"/>
    <s v="Cash"/>
    <n v="23.975999999999999"/>
  </r>
  <r>
    <d v="2024-11-25T00:00:00"/>
    <s v="H-1540-29"/>
    <x v="4"/>
    <s v="Plano"/>
    <x v="0"/>
    <s v="SMH"/>
    <n v="48"/>
    <n v="28"/>
    <n v="1344"/>
    <s v="Cash"/>
    <n v="38.975999999999999"/>
  </r>
  <r>
    <d v="2024-11-25T00:00:00"/>
    <s v="G-2662-29"/>
    <x v="1"/>
    <s v="Dallas"/>
    <x v="1"/>
    <s v="TSA"/>
    <n v="20"/>
    <n v="47"/>
    <n v="940"/>
    <s v="Check"/>
    <n v="26.32"/>
  </r>
  <r>
    <d v="2024-11-25T00:00:00"/>
    <s v="B-6060-29"/>
    <x v="4"/>
    <s v="Allen"/>
    <x v="4"/>
    <s v="PFF"/>
    <n v="60"/>
    <n v="46"/>
    <n v="2760"/>
    <s v="Gift card"/>
    <n v="82.8"/>
  </r>
  <r>
    <d v="2024-11-26T00:00:00"/>
    <s v="F-4592-30"/>
    <x v="8"/>
    <s v="Coppell"/>
    <x v="5"/>
    <s v="SAT"/>
    <n v="11"/>
    <n v="45"/>
    <n v="495"/>
    <s v="Credit card"/>
    <n v="13.86"/>
  </r>
  <r>
    <d v="2024-11-26T00:00:00"/>
    <s v="G-8825-30"/>
    <x v="4"/>
    <s v="Plano"/>
    <x v="4"/>
    <s v="TAP"/>
    <n v="58"/>
    <n v="38"/>
    <n v="2204"/>
    <s v="Credit card"/>
    <n v="63.915999999999997"/>
  </r>
  <r>
    <d v="2024-11-26T00:00:00"/>
    <s v="C-9802-30"/>
    <x v="5"/>
    <s v="McKinney"/>
    <x v="6"/>
    <s v="JKA"/>
    <n v="24"/>
    <n v="55"/>
    <n v="1320"/>
    <s v="Check"/>
    <n v="27.72"/>
  </r>
  <r>
    <d v="2024-11-26T00:00:00"/>
    <s v="E-9864-30"/>
    <x v="0"/>
    <s v="Dallas"/>
    <x v="3"/>
    <s v="PFF"/>
    <n v="16"/>
    <n v="38"/>
    <n v="608"/>
    <s v="Credit card"/>
    <n v="14.592000000000001"/>
  </r>
  <r>
    <d v="2024-11-26T00:00:00"/>
    <s v="F-1588-30"/>
    <x v="0"/>
    <s v="Richardson"/>
    <x v="0"/>
    <s v="ZAA"/>
    <n v="37"/>
    <n v="43"/>
    <n v="1591"/>
    <s v="Credit card"/>
    <n v="33.411000000000001"/>
  </r>
  <r>
    <d v="2024-11-27T00:00:00"/>
    <s v="B-4065-31"/>
    <x v="7"/>
    <s v="Coppell"/>
    <x v="2"/>
    <s v="TAP"/>
    <n v="18"/>
    <n v="20"/>
    <n v="360"/>
    <s v="Check"/>
    <n v="10.8"/>
  </r>
  <r>
    <d v="2024-11-28T00:00:00"/>
    <s v="AK-9029-1"/>
    <x v="8"/>
    <s v="Plano"/>
    <x v="1"/>
    <s v="TSQ"/>
    <n v="45"/>
    <n v="58"/>
    <n v="2610"/>
    <s v="Cash"/>
    <n v="52.2"/>
  </r>
  <r>
    <d v="2024-11-29T00:00:00"/>
    <s v="BK-3365-2"/>
    <x v="4"/>
    <s v="Plano"/>
    <x v="5"/>
    <s v="TAP"/>
    <n v="23"/>
    <n v="44"/>
    <n v="1012"/>
    <s v="Credit card"/>
    <n v="23.276"/>
  </r>
  <r>
    <d v="2024-11-29T00:00:00"/>
    <s v="BK-4365-2"/>
    <x v="7"/>
    <s v="Dallas"/>
    <x v="4"/>
    <s v="TSQ"/>
    <n v="39"/>
    <n v="53"/>
    <n v="2067"/>
    <s v="Cash"/>
    <n v="47.540999999999997"/>
  </r>
  <r>
    <d v="2024-11-29T00:00:00"/>
    <s v="HK-8542-2"/>
    <x v="1"/>
    <s v="McKinney"/>
    <x v="0"/>
    <s v="HTE"/>
    <n v="22"/>
    <n v="20"/>
    <n v="440"/>
    <s v="Check"/>
    <n v="10.56"/>
  </r>
  <r>
    <d v="2024-11-29T00:00:00"/>
    <s v="HK-4668-2"/>
    <x v="0"/>
    <s v="Dallas"/>
    <x v="0"/>
    <s v="PFF"/>
    <n v="38"/>
    <n v="43"/>
    <n v="1634"/>
    <s v="Check"/>
    <n v="42.484000000000002"/>
  </r>
  <r>
    <d v="2024-11-30T00:00:00"/>
    <s v="EK-6646-3"/>
    <x v="2"/>
    <s v="Plano"/>
    <x v="4"/>
    <s v="APS"/>
    <n v="27"/>
    <n v="26"/>
    <n v="702"/>
    <s v="Cash"/>
    <n v="19.655999999999999"/>
  </r>
  <r>
    <d v="2024-12-01T00:00:00"/>
    <s v="FK-9788-4"/>
    <x v="4"/>
    <s v="Richardson"/>
    <x v="3"/>
    <s v="KQR"/>
    <n v="51"/>
    <n v="28"/>
    <n v="1428"/>
    <s v="Gift card"/>
    <n v="38.555999999999997"/>
  </r>
  <r>
    <d v="2024-12-01T00:00:00"/>
    <s v="AK-7544-4"/>
    <x v="5"/>
    <s v="Allen"/>
    <x v="5"/>
    <s v="KQR"/>
    <n v="19"/>
    <n v="52"/>
    <n v="988"/>
    <s v="Cash"/>
    <n v="26.675999999999998"/>
  </r>
  <r>
    <d v="2024-12-01T00:00:00"/>
    <s v="AK-8091-4"/>
    <x v="4"/>
    <s v="Dallas"/>
    <x v="3"/>
    <s v="SMH"/>
    <n v="30"/>
    <n v="25"/>
    <n v="750"/>
    <s v="Gift card"/>
    <n v="21.75"/>
  </r>
  <r>
    <d v="2024-12-01T00:00:00"/>
    <s v="HK-3730-4"/>
    <x v="1"/>
    <s v="McKinney"/>
    <x v="4"/>
    <s v="TAP"/>
    <n v="44"/>
    <n v="60"/>
    <n v="2640"/>
    <s v="Credit card"/>
    <n v="60.72"/>
  </r>
  <r>
    <d v="2024-12-01T00:00:00"/>
    <s v="AK-2951-4"/>
    <x v="6"/>
    <s v="Frisco"/>
    <x v="4"/>
    <s v="HNP"/>
    <n v="21"/>
    <n v="48"/>
    <n v="1008"/>
    <s v="Cash"/>
    <n v="25.2"/>
  </r>
  <r>
    <d v="2024-12-01T00:00:00"/>
    <s v="HK-2276-4"/>
    <x v="4"/>
    <s v="Plano"/>
    <x v="0"/>
    <s v="HTE"/>
    <n v="18"/>
    <n v="58"/>
    <n v="1044"/>
    <s v="Cash"/>
    <n v="26.1"/>
  </r>
  <r>
    <d v="2024-12-01T00:00:00"/>
    <s v="FK-9446-4"/>
    <x v="4"/>
    <s v="Richardson"/>
    <x v="5"/>
    <s v="MSP"/>
    <n v="26"/>
    <n v="32"/>
    <n v="832"/>
    <s v="Cash"/>
    <n v="17.472000000000001"/>
  </r>
  <r>
    <d v="2024-12-01T00:00:00"/>
    <s v="CK-4400-4"/>
    <x v="3"/>
    <s v="Dallas"/>
    <x v="2"/>
    <s v="KQR"/>
    <n v="36"/>
    <n v="30"/>
    <n v="1080"/>
    <s v="Credit card"/>
    <n v="29.16"/>
  </r>
  <r>
    <d v="2024-12-01T00:00:00"/>
    <s v="DK-2591-4"/>
    <x v="6"/>
    <s v="Allen"/>
    <x v="3"/>
    <s v="TAP"/>
    <n v="60"/>
    <n v="23"/>
    <n v="1380"/>
    <s v="Credit card"/>
    <n v="41.4"/>
  </r>
  <r>
    <d v="2024-12-01T00:00:00"/>
    <s v="AK-4511-4"/>
    <x v="1"/>
    <s v="Plano"/>
    <x v="6"/>
    <s v="KQR"/>
    <n v="49"/>
    <n v="52"/>
    <n v="2548"/>
    <s v="Credit card"/>
    <n v="73.891999999999996"/>
  </r>
  <r>
    <d v="2024-12-01T00:00:00"/>
    <s v="BK-2516-4"/>
    <x v="6"/>
    <s v="Dallas"/>
    <x v="0"/>
    <s v="TAP"/>
    <n v="49"/>
    <n v="53"/>
    <n v="2597"/>
    <s v="Credit card"/>
    <n v="54.536999999999999"/>
  </r>
  <r>
    <d v="2024-12-01T00:00:00"/>
    <s v="CK-5129-4"/>
    <x v="4"/>
    <s v="Plano"/>
    <x v="6"/>
    <s v="TAP"/>
    <n v="51"/>
    <n v="32"/>
    <n v="1632"/>
    <s v="Cash"/>
    <n v="48.96"/>
  </r>
  <r>
    <d v="2024-12-01T00:00:00"/>
    <s v="GK-3598-4"/>
    <x v="2"/>
    <s v="Frisco"/>
    <x v="3"/>
    <s v="SMH"/>
    <n v="36"/>
    <n v="22"/>
    <n v="792"/>
    <s v="Credit card"/>
    <n v="19.007999999999999"/>
  </r>
  <r>
    <d v="2024-12-01T00:00:00"/>
    <s v="GK-3174-4"/>
    <x v="3"/>
    <s v="Dallas"/>
    <x v="2"/>
    <s v="SMH"/>
    <n v="32"/>
    <n v="24"/>
    <n v="768"/>
    <s v="Credit card"/>
    <n v="16.128"/>
  </r>
  <r>
    <d v="2024-12-01T00:00:00"/>
    <s v="EK-8421-4"/>
    <x v="7"/>
    <s v="Plano"/>
    <x v="6"/>
    <s v="HNP"/>
    <n v="40"/>
    <n v="35"/>
    <n v="1400"/>
    <s v="Check"/>
    <n v="30.8"/>
  </r>
  <r>
    <d v="2024-12-01T00:00:00"/>
    <s v="EK-8662-4"/>
    <x v="8"/>
    <s v="McKinney"/>
    <x v="1"/>
    <s v="TAP"/>
    <n v="19"/>
    <n v="37"/>
    <n v="703"/>
    <s v="Cash"/>
    <n v="18.277999999999999"/>
  </r>
  <r>
    <d v="2024-12-01T00:00:00"/>
    <s v="FK-2176-4"/>
    <x v="5"/>
    <s v="Coppell"/>
    <x v="4"/>
    <s v="SAT"/>
    <n v="34"/>
    <n v="20"/>
    <n v="680"/>
    <s v="Cash"/>
    <n v="15.64"/>
  </r>
  <r>
    <d v="2024-12-01T00:00:00"/>
    <s v="EK-6353-4"/>
    <x v="7"/>
    <s v="Frisco"/>
    <x v="0"/>
    <s v="ARP"/>
    <n v="56"/>
    <n v="59"/>
    <n v="3304"/>
    <s v="Credit card"/>
    <n v="92.512"/>
  </r>
  <r>
    <d v="2024-12-02T00:00:00"/>
    <s v="FK-1656-5"/>
    <x v="0"/>
    <s v="Richardson"/>
    <x v="2"/>
    <s v="MSP"/>
    <n v="44"/>
    <n v="46"/>
    <n v="2024"/>
    <s v="Cash"/>
    <n v="56.671999999999997"/>
  </r>
  <r>
    <d v="2024-12-02T00:00:00"/>
    <s v="EK-9350-5"/>
    <x v="7"/>
    <s v="Dallas"/>
    <x v="0"/>
    <s v="PFF"/>
    <n v="40"/>
    <n v="21"/>
    <n v="840"/>
    <s v="Gift card"/>
    <n v="21.84"/>
  </r>
  <r>
    <d v="2024-12-02T00:00:00"/>
    <s v="EK-9619-5"/>
    <x v="1"/>
    <s v="Plano"/>
    <x v="3"/>
    <s v="TSA"/>
    <n v="32"/>
    <n v="27"/>
    <n v="864"/>
    <s v="Credit card"/>
    <n v="23.327999999999999"/>
  </r>
  <r>
    <d v="2024-12-02T00:00:00"/>
    <s v="DK-9815-5"/>
    <x v="4"/>
    <s v="Coppell"/>
    <x v="6"/>
    <s v="TSA"/>
    <n v="28"/>
    <n v="40"/>
    <n v="1120"/>
    <s v="Cash"/>
    <n v="30.24"/>
  </r>
  <r>
    <d v="2024-12-02T00:00:00"/>
    <s v="GK-5137-5"/>
    <x v="6"/>
    <s v="Plano"/>
    <x v="1"/>
    <s v="JKA"/>
    <n v="44"/>
    <n v="29"/>
    <n v="1276"/>
    <s v="Credit card"/>
    <n v="25.52"/>
  </r>
  <r>
    <d v="2024-12-02T00:00:00"/>
    <s v="AK-8048-5"/>
    <x v="1"/>
    <s v="Frisco"/>
    <x v="3"/>
    <s v="KQR"/>
    <n v="23"/>
    <n v="48"/>
    <n v="1104"/>
    <s v="Credit card"/>
    <n v="25.391999999999999"/>
  </r>
  <r>
    <d v="2024-12-02T00:00:00"/>
    <s v="CK-5635-5"/>
    <x v="4"/>
    <s v="Frisco"/>
    <x v="1"/>
    <s v="HTE"/>
    <n v="35"/>
    <n v="54"/>
    <n v="1890"/>
    <s v="Credit card"/>
    <n v="37.799999999999997"/>
  </r>
  <r>
    <d v="2024-12-02T00:00:00"/>
    <s v="EK-1218-5"/>
    <x v="0"/>
    <s v="Dallas"/>
    <x v="1"/>
    <s v="ARP"/>
    <n v="37"/>
    <n v="53"/>
    <n v="1961"/>
    <s v="Credit card"/>
    <n v="56.869"/>
  </r>
  <r>
    <d v="2024-12-03T00:00:00"/>
    <s v="AK-5388-6"/>
    <x v="4"/>
    <s v="Plano"/>
    <x v="1"/>
    <s v="HNP"/>
    <n v="45"/>
    <n v="29"/>
    <n v="1305"/>
    <s v="Credit card"/>
    <n v="30.015000000000001"/>
  </r>
  <r>
    <d v="2024-12-03T00:00:00"/>
    <s v="AK-2304-6"/>
    <x v="7"/>
    <s v="Dallas"/>
    <x v="1"/>
    <s v="ATP"/>
    <n v="27"/>
    <n v="20"/>
    <n v="540"/>
    <s v="Credit card"/>
    <n v="11.88"/>
  </r>
  <r>
    <d v="2024-12-03T00:00:00"/>
    <s v="DK-2522-6"/>
    <x v="1"/>
    <s v="Allen"/>
    <x v="3"/>
    <s v="ZAA"/>
    <n v="28"/>
    <n v="47"/>
    <n v="1316"/>
    <s v="Credit card"/>
    <n v="28.952000000000002"/>
  </r>
  <r>
    <d v="2024-12-03T00:00:00"/>
    <s v="AK-2511-6"/>
    <x v="5"/>
    <s v="McKinney"/>
    <x v="1"/>
    <s v="SMH"/>
    <n v="60"/>
    <n v="23"/>
    <n v="1380"/>
    <s v="Cash"/>
    <n v="35.880000000000003"/>
  </r>
  <r>
    <d v="2024-12-03T00:00:00"/>
    <s v="BK-3408-6"/>
    <x v="8"/>
    <s v="Plano"/>
    <x v="1"/>
    <s v="HNP"/>
    <n v="11"/>
    <n v="59"/>
    <n v="649"/>
    <s v="Gift card"/>
    <n v="15.576000000000001"/>
  </r>
  <r>
    <d v="2024-12-03T00:00:00"/>
    <s v="GK-4782-6"/>
    <x v="5"/>
    <s v="Richardson"/>
    <x v="1"/>
    <s v="ATP"/>
    <n v="44"/>
    <n v="42"/>
    <n v="1848"/>
    <s v="Credit card"/>
    <n v="55.44"/>
  </r>
  <r>
    <d v="2024-12-03T00:00:00"/>
    <s v="BK-4343-6"/>
    <x v="4"/>
    <s v="Frisco"/>
    <x v="1"/>
    <s v="SMH"/>
    <n v="53"/>
    <n v="26"/>
    <n v="1378"/>
    <s v="Check"/>
    <n v="33.072000000000003"/>
  </r>
  <r>
    <d v="2024-12-03T00:00:00"/>
    <s v="EK-7232-6"/>
    <x v="3"/>
    <s v="Plano"/>
    <x v="3"/>
    <s v="APS"/>
    <n v="17"/>
    <n v="32"/>
    <n v="544"/>
    <s v="Credit card"/>
    <n v="13.6"/>
  </r>
  <r>
    <d v="2024-12-03T00:00:00"/>
    <s v="FK-1633-6"/>
    <x v="3"/>
    <s v="Plano"/>
    <x v="4"/>
    <s v="TSA"/>
    <n v="55"/>
    <n v="26"/>
    <n v="1430"/>
    <s v="Cash"/>
    <n v="32.89"/>
  </r>
  <r>
    <d v="2024-12-03T00:00:00"/>
    <s v="GK-5785-6"/>
    <x v="6"/>
    <s v="Plano"/>
    <x v="4"/>
    <s v="AKJ"/>
    <n v="34"/>
    <n v="56"/>
    <n v="1904"/>
    <s v="Cash"/>
    <n v="49.503999999999998"/>
  </r>
  <r>
    <d v="2024-12-04T00:00:00"/>
    <s v="DK-1593-7"/>
    <x v="8"/>
    <s v="Plano"/>
    <x v="0"/>
    <s v="ZAA"/>
    <n v="12"/>
    <n v="52"/>
    <n v="624"/>
    <s v="Gift card"/>
    <n v="13.728"/>
  </r>
  <r>
    <d v="2024-12-04T00:00:00"/>
    <s v="BK-5444-7"/>
    <x v="2"/>
    <s v="Richardson"/>
    <x v="1"/>
    <s v="AKJ"/>
    <n v="54"/>
    <n v="57"/>
    <n v="3078"/>
    <s v="Cash"/>
    <n v="83.105999999999995"/>
  </r>
  <r>
    <d v="2024-12-04T00:00:00"/>
    <s v="FK-7815-7"/>
    <x v="4"/>
    <s v="Plano"/>
    <x v="2"/>
    <s v="KQR"/>
    <n v="57"/>
    <n v="52"/>
    <n v="2964"/>
    <s v="Credit card"/>
    <n v="59.28"/>
  </r>
  <r>
    <d v="2024-12-04T00:00:00"/>
    <s v="GK-2899-7"/>
    <x v="0"/>
    <s v="Plano"/>
    <x v="2"/>
    <s v="HNP"/>
    <n v="34"/>
    <n v="36"/>
    <n v="1224"/>
    <s v="Cash"/>
    <n v="36.72"/>
  </r>
  <r>
    <d v="2024-12-04T00:00:00"/>
    <s v="CK-7059-7"/>
    <x v="4"/>
    <s v="Dallas"/>
    <x v="3"/>
    <s v="TSQ"/>
    <n v="38"/>
    <n v="28"/>
    <n v="1064"/>
    <s v="Credit card"/>
    <n v="24.472000000000001"/>
  </r>
  <r>
    <d v="2024-12-04T00:00:00"/>
    <s v="GK-4548-7"/>
    <x v="5"/>
    <s v="Coppell"/>
    <x v="1"/>
    <s v="SMH"/>
    <n v="29"/>
    <n v="57"/>
    <n v="1653"/>
    <s v="Credit card"/>
    <n v="47.936999999999998"/>
  </r>
  <r>
    <d v="2024-12-04T00:00:00"/>
    <s v="FK-8664-7"/>
    <x v="8"/>
    <s v="Plano"/>
    <x v="0"/>
    <s v="APS"/>
    <n v="19"/>
    <n v="29"/>
    <n v="551"/>
    <s v="Credit card"/>
    <n v="13.775"/>
  </r>
  <r>
    <d v="2024-12-04T00:00:00"/>
    <s v="CK-8803-7"/>
    <x v="7"/>
    <s v="Frisco"/>
    <x v="2"/>
    <s v="HTE"/>
    <n v="30"/>
    <n v="45"/>
    <n v="1350"/>
    <s v="Gift card"/>
    <n v="36.450000000000003"/>
  </r>
  <r>
    <d v="2024-12-04T00:00:00"/>
    <s v="GK-8908-7"/>
    <x v="4"/>
    <s v="Frisco"/>
    <x v="5"/>
    <s v="APS"/>
    <n v="46"/>
    <n v="21"/>
    <n v="966"/>
    <s v="Cash"/>
    <n v="19.32"/>
  </r>
  <r>
    <d v="2024-12-05T00:00:00"/>
    <s v="BK-6589-8"/>
    <x v="3"/>
    <s v="Dallas"/>
    <x v="2"/>
    <s v="AKJ"/>
    <n v="33"/>
    <n v="57"/>
    <n v="1881"/>
    <s v="Credit card"/>
    <n v="37.619999999999997"/>
  </r>
  <r>
    <d v="2024-12-05T00:00:00"/>
    <s v="GK-2793-8"/>
    <x v="6"/>
    <s v="Plano"/>
    <x v="3"/>
    <s v="ZAA"/>
    <n v="25"/>
    <n v="25"/>
    <n v="625"/>
    <s v="Credit card"/>
    <n v="14.375"/>
  </r>
  <r>
    <d v="2024-12-05T00:00:00"/>
    <s v="BK-4710-8"/>
    <x v="2"/>
    <s v="McKinney"/>
    <x v="1"/>
    <s v="ATP"/>
    <n v="28"/>
    <n v="59"/>
    <n v="1652"/>
    <s v="Cash"/>
    <n v="46.256"/>
  </r>
  <r>
    <d v="2024-12-06T00:00:00"/>
    <s v="DK-1730-9"/>
    <x v="7"/>
    <s v="Coppell"/>
    <x v="5"/>
    <s v="HTE"/>
    <n v="40"/>
    <n v="55"/>
    <n v="2200"/>
    <s v="Gift card"/>
    <n v="63.8"/>
  </r>
  <r>
    <d v="2024-12-06T00:00:00"/>
    <s v="DK-3612-9"/>
    <x v="4"/>
    <s v="Coppell"/>
    <x v="4"/>
    <s v="TSQ"/>
    <n v="11"/>
    <n v="46"/>
    <n v="506"/>
    <s v="Gift card"/>
    <n v="11.132"/>
  </r>
  <r>
    <d v="2024-12-06T00:00:00"/>
    <s v="DK-2595-9"/>
    <x v="8"/>
    <s v="Allen"/>
    <x v="4"/>
    <s v="SMH"/>
    <n v="21"/>
    <n v="49"/>
    <n v="1029"/>
    <s v="Gift card"/>
    <n v="29.841000000000001"/>
  </r>
  <r>
    <d v="2024-12-06T00:00:00"/>
    <s v="AK-8628-9"/>
    <x v="0"/>
    <s v="Dallas"/>
    <x v="6"/>
    <s v="HTE"/>
    <n v="12"/>
    <n v="28"/>
    <n v="336"/>
    <s v="Cash"/>
    <n v="7.056"/>
  </r>
  <r>
    <d v="2024-12-06T00:00:00"/>
    <s v="HK-5930-9"/>
    <x v="6"/>
    <s v="Dallas"/>
    <x v="6"/>
    <s v="TSQ"/>
    <n v="11"/>
    <n v="37"/>
    <n v="407"/>
    <s v="Credit card"/>
    <n v="12.21"/>
  </r>
  <r>
    <d v="2024-12-06T00:00:00"/>
    <s v="CK-7352-9"/>
    <x v="5"/>
    <s v="Dallas"/>
    <x v="4"/>
    <s v="PFF"/>
    <n v="51"/>
    <n v="31"/>
    <n v="1581"/>
    <s v="Credit card"/>
    <n v="42.686999999999998"/>
  </r>
  <r>
    <d v="2024-12-07T00:00:00"/>
    <s v="B-3675-10"/>
    <x v="4"/>
    <s v="Plano"/>
    <x v="3"/>
    <s v="PFF"/>
    <n v="35"/>
    <n v="54"/>
    <n v="1890"/>
    <s v="Credit card"/>
    <n v="47.25"/>
  </r>
  <r>
    <d v="2024-12-07T00:00:00"/>
    <s v="H-8713-10"/>
    <x v="3"/>
    <s v="McKinney"/>
    <x v="4"/>
    <s v="SMH"/>
    <n v="34"/>
    <n v="39"/>
    <n v="1326"/>
    <s v="Credit card"/>
    <n v="29.172000000000001"/>
  </r>
  <r>
    <d v="2024-12-07T00:00:00"/>
    <s v="F-8198-10"/>
    <x v="8"/>
    <s v="Plano"/>
    <x v="0"/>
    <s v="SAT"/>
    <n v="18"/>
    <n v="42"/>
    <n v="756"/>
    <s v="Credit card"/>
    <n v="22.68"/>
  </r>
  <r>
    <d v="2024-12-08T00:00:00"/>
    <s v="C-4387-11"/>
    <x v="6"/>
    <s v="Plano"/>
    <x v="5"/>
    <s v="HNP"/>
    <n v="35"/>
    <n v="55"/>
    <n v="1925"/>
    <s v="Check"/>
    <n v="51.975000000000001"/>
  </r>
  <r>
    <d v="2024-12-09T00:00:00"/>
    <s v="E-5361-12"/>
    <x v="5"/>
    <s v="Plano"/>
    <x v="1"/>
    <s v="HTE"/>
    <n v="27"/>
    <n v="56"/>
    <n v="1512"/>
    <s v="Cash"/>
    <n v="31.751999999999999"/>
  </r>
  <r>
    <d v="2024-12-09T00:00:00"/>
    <s v="E-4155-12"/>
    <x v="2"/>
    <s v="Frisco"/>
    <x v="6"/>
    <s v="ATP"/>
    <n v="24"/>
    <n v="50"/>
    <n v="1200"/>
    <s v="Gift card"/>
    <n v="33.6"/>
  </r>
  <r>
    <d v="2024-12-09T00:00:00"/>
    <s v="E-2219-12"/>
    <x v="5"/>
    <s v="Plano"/>
    <x v="3"/>
    <s v="KQR"/>
    <n v="50"/>
    <n v="35"/>
    <n v="1750"/>
    <s v="Cash"/>
    <n v="47.25"/>
  </r>
  <r>
    <d v="2024-12-09T00:00:00"/>
    <s v="C-3280-12"/>
    <x v="8"/>
    <s v="Dallas"/>
    <x v="1"/>
    <s v="ARP"/>
    <n v="57"/>
    <n v="30"/>
    <n v="1710"/>
    <s v="Gift card"/>
    <n v="35.909999999999997"/>
  </r>
  <r>
    <d v="2024-12-09T00:00:00"/>
    <s v="C-8638-12"/>
    <x v="4"/>
    <s v="Richardson"/>
    <x v="3"/>
    <s v="HNP"/>
    <n v="12"/>
    <n v="40"/>
    <n v="480"/>
    <s v="Cash"/>
    <n v="10.56"/>
  </r>
  <r>
    <d v="2024-12-09T00:00:00"/>
    <s v="A-9567-12"/>
    <x v="0"/>
    <s v="Coppell"/>
    <x v="0"/>
    <s v="APS"/>
    <n v="34"/>
    <n v="25"/>
    <n v="850"/>
    <s v="Gift card"/>
    <n v="18.7"/>
  </r>
  <r>
    <d v="2024-12-09T00:00:00"/>
    <s v="A-1148-12"/>
    <x v="4"/>
    <s v="Plano"/>
    <x v="0"/>
    <s v="PKH"/>
    <n v="12"/>
    <n v="55"/>
    <n v="660"/>
    <s v="Credit card"/>
    <n v="18.48"/>
  </r>
  <r>
    <d v="2024-12-09T00:00:00"/>
    <s v="A-1201-12"/>
    <x v="5"/>
    <s v="Frisco"/>
    <x v="0"/>
    <s v="PFF"/>
    <n v="46"/>
    <n v="55"/>
    <n v="2530"/>
    <s v="Check"/>
    <n v="55.66"/>
  </r>
  <r>
    <d v="2024-12-09T00:00:00"/>
    <s v="D-4860-12"/>
    <x v="4"/>
    <s v="Dallas"/>
    <x v="6"/>
    <s v="JKA"/>
    <n v="40"/>
    <n v="40"/>
    <n v="1600"/>
    <s v="Credit card"/>
    <n v="44.8"/>
  </r>
  <r>
    <d v="2024-12-09T00:00:00"/>
    <s v="C-9259-12"/>
    <x v="0"/>
    <s v="Coppell"/>
    <x v="1"/>
    <s v="SAT"/>
    <n v="34"/>
    <n v="40"/>
    <n v="1360"/>
    <s v="Credit card"/>
    <n v="36.72"/>
  </r>
  <r>
    <d v="2024-12-09T00:00:00"/>
    <s v="A-2472-12"/>
    <x v="7"/>
    <s v="Plano"/>
    <x v="1"/>
    <s v="JKA"/>
    <n v="11"/>
    <n v="56"/>
    <n v="616"/>
    <s v="Credit card"/>
    <n v="17.248000000000001"/>
  </r>
  <r>
    <d v="2024-12-09T00:00:00"/>
    <s v="A-8775-12"/>
    <x v="8"/>
    <s v="Dallas"/>
    <x v="0"/>
    <s v="PKH"/>
    <n v="56"/>
    <n v="30"/>
    <n v="1680"/>
    <s v="Cash"/>
    <n v="40.32"/>
  </r>
  <r>
    <d v="2024-12-09T00:00:00"/>
    <s v="G-9909-12"/>
    <x v="6"/>
    <s v="Frisco"/>
    <x v="0"/>
    <s v="JKA"/>
    <n v="28"/>
    <n v="38"/>
    <n v="1064"/>
    <s v="Credit card"/>
    <n v="22.344000000000001"/>
  </r>
  <r>
    <d v="2024-12-09T00:00:00"/>
    <s v="D-9403-12"/>
    <x v="3"/>
    <s v="Frisco"/>
    <x v="2"/>
    <s v="HTE"/>
    <n v="24"/>
    <n v="39"/>
    <n v="936"/>
    <s v="Credit card"/>
    <n v="28.08"/>
  </r>
  <r>
    <d v="2024-12-09T00:00:00"/>
    <s v="G-5751-12"/>
    <x v="2"/>
    <s v="Dallas"/>
    <x v="0"/>
    <s v="JKA"/>
    <n v="44"/>
    <n v="21"/>
    <n v="924"/>
    <s v="Gift card"/>
    <n v="22.175999999999998"/>
  </r>
  <r>
    <d v="2024-12-09T00:00:00"/>
    <s v="D-6412-12"/>
    <x v="3"/>
    <s v="Dallas"/>
    <x v="1"/>
    <s v="APS"/>
    <n v="47"/>
    <n v="49"/>
    <n v="2303"/>
    <s v="Cash"/>
    <n v="59.878"/>
  </r>
  <r>
    <d v="2024-12-09T00:00:00"/>
    <s v="E-5475-12"/>
    <x v="0"/>
    <s v="Allen"/>
    <x v="6"/>
    <s v="HNP"/>
    <n v="42"/>
    <n v="58"/>
    <n v="2436"/>
    <s v="Gift card"/>
    <n v="63.335999999999999"/>
  </r>
  <r>
    <d v="2024-12-09T00:00:00"/>
    <s v="H-9360-12"/>
    <x v="5"/>
    <s v="Plano"/>
    <x v="3"/>
    <s v="APS"/>
    <n v="53"/>
    <n v="57"/>
    <n v="3021"/>
    <s v="Credit card"/>
    <n v="75.525000000000006"/>
  </r>
  <r>
    <d v="2024-12-09T00:00:00"/>
    <s v="E-2596-12"/>
    <x v="5"/>
    <s v="Plano"/>
    <x v="1"/>
    <s v="ZAA"/>
    <n v="56"/>
    <n v="57"/>
    <n v="3192"/>
    <s v="Credit card"/>
    <n v="86.183999999999997"/>
  </r>
  <r>
    <d v="2024-12-09T00:00:00"/>
    <s v="G-9668-12"/>
    <x v="1"/>
    <s v="Richardson"/>
    <x v="6"/>
    <s v="TSA"/>
    <n v="46"/>
    <n v="21"/>
    <n v="966"/>
    <s v="Gift card"/>
    <n v="20.286000000000001"/>
  </r>
  <r>
    <d v="2024-12-09T00:00:00"/>
    <s v="G-1266-12"/>
    <x v="1"/>
    <s v="Plano"/>
    <x v="1"/>
    <s v="PFF"/>
    <n v="12"/>
    <n v="40"/>
    <n v="480"/>
    <s v="Credit card"/>
    <n v="11.04"/>
  </r>
  <r>
    <d v="2024-12-09T00:00:00"/>
    <s v="G-9599-12"/>
    <x v="6"/>
    <s v="Coppell"/>
    <x v="2"/>
    <s v="SAT"/>
    <n v="45"/>
    <n v="47"/>
    <n v="2115"/>
    <s v="Credit card"/>
    <n v="52.875"/>
  </r>
  <r>
    <d v="2024-12-09T00:00:00"/>
    <s v="C-7233-12"/>
    <x v="6"/>
    <s v="Plano"/>
    <x v="3"/>
    <s v="PKH"/>
    <n v="58"/>
    <n v="39"/>
    <n v="2262"/>
    <s v="Credit card"/>
    <n v="65.597999999999999"/>
  </r>
  <r>
    <d v="2024-12-09T00:00:00"/>
    <s v="H-4672-12"/>
    <x v="0"/>
    <s v="Dallas"/>
    <x v="4"/>
    <s v="TSQ"/>
    <n v="53"/>
    <n v="53"/>
    <n v="2809"/>
    <s v="Credit card"/>
    <n v="81.460999999999999"/>
  </r>
  <r>
    <d v="2024-12-09T00:00:00"/>
    <s v="G-3836-12"/>
    <x v="7"/>
    <s v="Richardson"/>
    <x v="0"/>
    <s v="TSQ"/>
    <n v="56"/>
    <n v="54"/>
    <n v="3024"/>
    <s v="Credit card"/>
    <n v="72.575999999999993"/>
  </r>
  <r>
    <d v="2024-12-09T00:00:00"/>
    <s v="H-2948-12"/>
    <x v="4"/>
    <s v="Dallas"/>
    <x v="4"/>
    <s v="APS"/>
    <n v="56"/>
    <n v="21"/>
    <n v="1176"/>
    <s v="Credit card"/>
    <n v="23.52"/>
  </r>
  <r>
    <d v="2024-12-09T00:00:00"/>
    <s v="C-4318-12"/>
    <x v="0"/>
    <s v="McKinney"/>
    <x v="1"/>
    <s v="TAP"/>
    <n v="47"/>
    <n v="57"/>
    <n v="2679"/>
    <s v="Check"/>
    <n v="80.37"/>
  </r>
  <r>
    <d v="2024-12-09T00:00:00"/>
    <s v="G-4676-12"/>
    <x v="7"/>
    <s v="McKinney"/>
    <x v="4"/>
    <s v="TSA"/>
    <n v="57"/>
    <n v="49"/>
    <n v="2793"/>
    <s v="Check"/>
    <n v="83.79"/>
  </r>
  <r>
    <d v="2024-12-09T00:00:00"/>
    <s v="D-3465-12"/>
    <x v="4"/>
    <s v="Richardson"/>
    <x v="3"/>
    <s v="TAP"/>
    <n v="59"/>
    <n v="41"/>
    <n v="2419"/>
    <s v="Credit card"/>
    <n v="53.218000000000004"/>
  </r>
  <r>
    <d v="2024-12-09T00:00:00"/>
    <s v="E-1749-12"/>
    <x v="6"/>
    <s v="Allen"/>
    <x v="0"/>
    <s v="HTE"/>
    <n v="21"/>
    <n v="25"/>
    <n v="525"/>
    <s v="Cash"/>
    <n v="15.75"/>
  </r>
  <r>
    <d v="2024-12-09T00:00:00"/>
    <s v="C-2684-12"/>
    <x v="5"/>
    <s v="McKinney"/>
    <x v="2"/>
    <s v="TSA"/>
    <n v="14"/>
    <n v="36"/>
    <n v="504"/>
    <s v="Gift card"/>
    <n v="14.616"/>
  </r>
  <r>
    <d v="2024-12-09T00:00:00"/>
    <s v="D-4093-12"/>
    <x v="0"/>
    <s v="Plano"/>
    <x v="4"/>
    <s v="HNP"/>
    <n v="11"/>
    <n v="20"/>
    <n v="220"/>
    <s v="Credit card"/>
    <n v="5.28"/>
  </r>
  <r>
    <d v="2024-12-09T00:00:00"/>
    <s v="G-8626-12"/>
    <x v="7"/>
    <s v="Dallas"/>
    <x v="0"/>
    <s v="TSA"/>
    <n v="30"/>
    <n v="51"/>
    <n v="1530"/>
    <s v="Cash"/>
    <n v="39.78"/>
  </r>
  <r>
    <d v="2024-12-09T00:00:00"/>
    <s v="B-1136-12"/>
    <x v="2"/>
    <s v="McKinney"/>
    <x v="6"/>
    <s v="TAP"/>
    <n v="16"/>
    <n v="60"/>
    <n v="960"/>
    <s v="Credit card"/>
    <n v="28.8"/>
  </r>
  <r>
    <d v="2024-12-09T00:00:00"/>
    <s v="F-2112-12"/>
    <x v="4"/>
    <s v="Richardson"/>
    <x v="5"/>
    <s v="ATP"/>
    <n v="15"/>
    <n v="35"/>
    <n v="525"/>
    <s v="Credit card"/>
    <n v="13.65"/>
  </r>
  <r>
    <d v="2024-12-09T00:00:00"/>
    <s v="B-9730-12"/>
    <x v="3"/>
    <s v="Allen"/>
    <x v="1"/>
    <s v="HNP"/>
    <n v="18"/>
    <n v="57"/>
    <n v="1026"/>
    <s v="Credit card"/>
    <n v="23.597999999999999"/>
  </r>
  <r>
    <d v="2024-12-10T00:00:00"/>
    <s v="A-7986-13"/>
    <x v="4"/>
    <s v="Dallas"/>
    <x v="6"/>
    <s v="ARP"/>
    <n v="37"/>
    <n v="57"/>
    <n v="2109"/>
    <s v="Gift card"/>
    <n v="52.725000000000001"/>
  </r>
  <r>
    <d v="2024-12-10T00:00:00"/>
    <s v="G-8485-13"/>
    <x v="6"/>
    <s v="Dallas"/>
    <x v="0"/>
    <s v="HTE"/>
    <n v="17"/>
    <n v="43"/>
    <n v="731"/>
    <s v="Credit card"/>
    <n v="16.082000000000001"/>
  </r>
  <r>
    <d v="2024-12-10T00:00:00"/>
    <s v="E-8570-13"/>
    <x v="7"/>
    <s v="Coppell"/>
    <x v="5"/>
    <s v="HNP"/>
    <n v="13"/>
    <n v="33"/>
    <n v="429"/>
    <s v="Credit card"/>
    <n v="9.8670000000000009"/>
  </r>
  <r>
    <d v="2024-12-11T00:00:00"/>
    <s v="D-1705-14"/>
    <x v="4"/>
    <s v="Plano"/>
    <x v="1"/>
    <s v="ARP"/>
    <n v="33"/>
    <n v="31"/>
    <n v="1023"/>
    <s v="Check"/>
    <n v="29.667000000000002"/>
  </r>
  <r>
    <d v="2024-12-11T00:00:00"/>
    <s v="D-9393-14"/>
    <x v="0"/>
    <s v="Dallas"/>
    <x v="1"/>
    <s v="SAT"/>
    <n v="44"/>
    <n v="25"/>
    <n v="1100"/>
    <s v="Credit card"/>
    <n v="23.1"/>
  </r>
  <r>
    <d v="2024-12-11T00:00:00"/>
    <s v="B-1320-14"/>
    <x v="4"/>
    <s v="Plano"/>
    <x v="3"/>
    <s v="JKA"/>
    <n v="42"/>
    <n v="48"/>
    <n v="2016"/>
    <s v="Cash"/>
    <n v="54.432000000000002"/>
  </r>
  <r>
    <d v="2024-12-11T00:00:00"/>
    <s v="H-6692-14"/>
    <x v="2"/>
    <s v="Dallas"/>
    <x v="6"/>
    <s v="TSA"/>
    <n v="43"/>
    <n v="46"/>
    <n v="1978"/>
    <s v="Gift card"/>
    <n v="55.384"/>
  </r>
  <r>
    <d v="2024-12-11T00:00:00"/>
    <s v="B-7080-14"/>
    <x v="0"/>
    <s v="McKinney"/>
    <x v="6"/>
    <s v="JKA"/>
    <n v="29"/>
    <n v="46"/>
    <n v="1334"/>
    <s v="Gift card"/>
    <n v="38.686"/>
  </r>
  <r>
    <d v="2024-12-11T00:00:00"/>
    <s v="G-5332-14"/>
    <x v="1"/>
    <s v="McKinney"/>
    <x v="0"/>
    <s v="HNP"/>
    <n v="21"/>
    <n v="29"/>
    <n v="609"/>
    <s v="Gift card"/>
    <n v="15.834"/>
  </r>
  <r>
    <d v="2024-12-11T00:00:00"/>
    <s v="A-7743-14"/>
    <x v="1"/>
    <s v="Dallas"/>
    <x v="2"/>
    <s v="TSQ"/>
    <n v="41"/>
    <n v="26"/>
    <n v="1066"/>
    <s v="Credit card"/>
    <n v="21.32"/>
  </r>
  <r>
    <d v="2024-12-11T00:00:00"/>
    <s v="G-4829-14"/>
    <x v="4"/>
    <s v="Allen"/>
    <x v="2"/>
    <s v="JKA"/>
    <n v="47"/>
    <n v="54"/>
    <n v="2538"/>
    <s v="Credit card"/>
    <n v="58.374000000000002"/>
  </r>
  <r>
    <d v="2024-12-11T00:00:00"/>
    <s v="F-8036-14"/>
    <x v="7"/>
    <s v="Dallas"/>
    <x v="0"/>
    <s v="KQR"/>
    <n v="22"/>
    <n v="31"/>
    <n v="682"/>
    <s v="Cash"/>
    <n v="15.004"/>
  </r>
  <r>
    <d v="2024-12-11T00:00:00"/>
    <s v="F-4531-14"/>
    <x v="6"/>
    <s v="Dallas"/>
    <x v="6"/>
    <s v="JKA"/>
    <n v="13"/>
    <n v="42"/>
    <n v="546"/>
    <s v="Credit card"/>
    <n v="12.558"/>
  </r>
  <r>
    <d v="2024-12-11T00:00:00"/>
    <s v="A-5722-14"/>
    <x v="0"/>
    <s v="Plano"/>
    <x v="3"/>
    <s v="SMH"/>
    <n v="41"/>
    <n v="53"/>
    <n v="2173"/>
    <s v="Cash"/>
    <n v="52.152000000000001"/>
  </r>
  <r>
    <d v="2024-12-11T00:00:00"/>
    <s v="C-4409-14"/>
    <x v="8"/>
    <s v="Plano"/>
    <x v="4"/>
    <s v="TAP"/>
    <n v="25"/>
    <n v="23"/>
    <n v="575"/>
    <s v="Cash"/>
    <n v="16.100000000000001"/>
  </r>
  <r>
    <d v="2024-12-11T00:00:00"/>
    <s v="A-5500-14"/>
    <x v="7"/>
    <s v="Coppell"/>
    <x v="0"/>
    <s v="MSP"/>
    <n v="30"/>
    <n v="31"/>
    <n v="930"/>
    <s v="Credit card"/>
    <n v="18.600000000000001"/>
  </r>
  <r>
    <d v="2024-12-11T00:00:00"/>
    <s v="G-2546-14"/>
    <x v="5"/>
    <s v="Coppell"/>
    <x v="1"/>
    <s v="TSA"/>
    <n v="45"/>
    <n v="24"/>
    <n v="1080"/>
    <s v="Credit card"/>
    <n v="29.16"/>
  </r>
  <r>
    <d v="2024-12-11T00:00:00"/>
    <s v="E-8183-14"/>
    <x v="5"/>
    <s v="Dallas"/>
    <x v="4"/>
    <s v="ATP"/>
    <n v="29"/>
    <n v="51"/>
    <n v="1479"/>
    <s v="Cash"/>
    <n v="35.496000000000002"/>
  </r>
  <r>
    <d v="2024-12-11T00:00:00"/>
    <s v="G-1739-14"/>
    <x v="7"/>
    <s v="Plano"/>
    <x v="0"/>
    <s v="TSQ"/>
    <n v="54"/>
    <n v="44"/>
    <n v="2376"/>
    <s v="Credit card"/>
    <n v="68.903999999999996"/>
  </r>
  <r>
    <d v="2024-12-11T00:00:00"/>
    <s v="D-9746-14"/>
    <x v="8"/>
    <s v="Dallas"/>
    <x v="2"/>
    <s v="PKH"/>
    <n v="43"/>
    <n v="48"/>
    <n v="2064"/>
    <s v="Credit card"/>
    <n v="49.536000000000001"/>
  </r>
  <r>
    <d v="2024-12-11T00:00:00"/>
    <s v="F-1754-14"/>
    <x v="1"/>
    <s v="Allen"/>
    <x v="6"/>
    <s v="ATP"/>
    <n v="29"/>
    <n v="39"/>
    <n v="1131"/>
    <s v="Check"/>
    <n v="30.536999999999999"/>
  </r>
  <r>
    <d v="2024-12-11T00:00:00"/>
    <s v="B-1916-14"/>
    <x v="1"/>
    <s v="McKinney"/>
    <x v="3"/>
    <s v="SAT"/>
    <n v="47"/>
    <n v="56"/>
    <n v="2632"/>
    <s v="Gift card"/>
    <n v="68.432000000000002"/>
  </r>
  <r>
    <d v="2024-12-11T00:00:00"/>
    <s v="F-9699-14"/>
    <x v="2"/>
    <s v="Plano"/>
    <x v="0"/>
    <s v="MSP"/>
    <n v="18"/>
    <n v="52"/>
    <n v="936"/>
    <s v="Cash"/>
    <n v="25.271999999999998"/>
  </r>
  <r>
    <d v="2024-12-11T00:00:00"/>
    <s v="D-6042-14"/>
    <x v="8"/>
    <s v="McKinney"/>
    <x v="2"/>
    <s v="ATP"/>
    <n v="27"/>
    <n v="28"/>
    <n v="756"/>
    <s v="Credit card"/>
    <n v="18.143999999999998"/>
  </r>
  <r>
    <d v="2024-12-12T00:00:00"/>
    <s v="A-1671-15"/>
    <x v="8"/>
    <s v="Dallas"/>
    <x v="2"/>
    <s v="ATP"/>
    <n v="34"/>
    <n v="27"/>
    <n v="918"/>
    <s v="Check"/>
    <n v="19.277999999999999"/>
  </r>
  <r>
    <d v="2024-12-13T00:00:00"/>
    <s v="D-3169-16"/>
    <x v="3"/>
    <s v="McKinney"/>
    <x v="1"/>
    <s v="ARP"/>
    <n v="28"/>
    <n v="49"/>
    <n v="1372"/>
    <s v="Check"/>
    <n v="35.671999999999997"/>
  </r>
  <r>
    <d v="2024-12-13T00:00:00"/>
    <s v="B-7720-16"/>
    <x v="5"/>
    <s v="Dallas"/>
    <x v="0"/>
    <s v="AKJ"/>
    <n v="21"/>
    <n v="56"/>
    <n v="1176"/>
    <s v="Check"/>
    <n v="25.872"/>
  </r>
  <r>
    <d v="2024-12-13T00:00:00"/>
    <s v="B-5804-16"/>
    <x v="2"/>
    <s v="McKinney"/>
    <x v="1"/>
    <s v="MSP"/>
    <n v="47"/>
    <n v="45"/>
    <n v="2115"/>
    <s v="Cash"/>
    <n v="44.414999999999999"/>
  </r>
  <r>
    <d v="2024-12-13T00:00:00"/>
    <s v="B-1985-16"/>
    <x v="7"/>
    <s v="Richardson"/>
    <x v="3"/>
    <s v="PFF"/>
    <n v="24"/>
    <n v="33"/>
    <n v="792"/>
    <s v="Gift card"/>
    <n v="17.423999999999999"/>
  </r>
  <r>
    <d v="2024-12-13T00:00:00"/>
    <s v="E-7257-16"/>
    <x v="1"/>
    <s v="Dallas"/>
    <x v="2"/>
    <s v="AKJ"/>
    <n v="28"/>
    <n v="39"/>
    <n v="1092"/>
    <s v="Credit card"/>
    <n v="27.3"/>
  </r>
  <r>
    <d v="2024-12-13T00:00:00"/>
    <s v="G-6190-16"/>
    <x v="7"/>
    <s v="Plano"/>
    <x v="1"/>
    <s v="HNP"/>
    <n v="11"/>
    <n v="24"/>
    <n v="264"/>
    <s v="Check"/>
    <n v="6.6"/>
  </r>
  <r>
    <d v="2024-12-13T00:00:00"/>
    <s v="C-7081-16"/>
    <x v="2"/>
    <s v="Dallas"/>
    <x v="0"/>
    <s v="JKA"/>
    <n v="13"/>
    <n v="46"/>
    <n v="598"/>
    <s v="Gift card"/>
    <n v="12.558"/>
  </r>
  <r>
    <d v="2024-12-13T00:00:00"/>
    <s v="H-2229-16"/>
    <x v="2"/>
    <s v="Allen"/>
    <x v="3"/>
    <s v="PKH"/>
    <n v="11"/>
    <n v="41"/>
    <n v="451"/>
    <s v="Gift card"/>
    <n v="9.4710000000000001"/>
  </r>
  <r>
    <d v="2024-12-13T00:00:00"/>
    <s v="C-7288-16"/>
    <x v="4"/>
    <s v="Frisco"/>
    <x v="6"/>
    <s v="ATP"/>
    <n v="43"/>
    <n v="25"/>
    <n v="1075"/>
    <s v="Credit card"/>
    <n v="22.574999999999999"/>
  </r>
  <r>
    <d v="2024-12-13T00:00:00"/>
    <s v="E-5027-16"/>
    <x v="1"/>
    <s v="Plano"/>
    <x v="3"/>
    <s v="TAP"/>
    <n v="10"/>
    <n v="53"/>
    <n v="530"/>
    <s v="Check"/>
    <n v="11.66"/>
  </r>
  <r>
    <d v="2024-12-13T00:00:00"/>
    <s v="A-9615-16"/>
    <x v="7"/>
    <s v="Allen"/>
    <x v="6"/>
    <s v="ARP"/>
    <n v="18"/>
    <n v="42"/>
    <n v="756"/>
    <s v="Cash"/>
    <n v="21.167999999999999"/>
  </r>
  <r>
    <d v="2024-12-13T00:00:00"/>
    <s v="H-8458-16"/>
    <x v="5"/>
    <s v="Coppell"/>
    <x v="6"/>
    <s v="PKH"/>
    <n v="20"/>
    <n v="53"/>
    <n v="1060"/>
    <s v="Cash"/>
    <n v="25.44"/>
  </r>
  <r>
    <d v="2024-12-14T00:00:00"/>
    <s v="B-6281-17"/>
    <x v="6"/>
    <s v="Allen"/>
    <x v="5"/>
    <s v="TAP"/>
    <n v="22"/>
    <n v="29"/>
    <n v="638"/>
    <s v="Credit card"/>
    <n v="14.036"/>
  </r>
  <r>
    <d v="2024-12-14T00:00:00"/>
    <s v="B-3751-17"/>
    <x v="5"/>
    <s v="Richardson"/>
    <x v="4"/>
    <s v="AKJ"/>
    <n v="42"/>
    <n v="31"/>
    <n v="1302"/>
    <s v="Credit card"/>
    <n v="36.456000000000003"/>
  </r>
  <r>
    <d v="2024-12-14T00:00:00"/>
    <s v="E-6165-17"/>
    <x v="2"/>
    <s v="Frisco"/>
    <x v="3"/>
    <s v="TSQ"/>
    <n v="39"/>
    <n v="23"/>
    <n v="897"/>
    <s v="Credit card"/>
    <n v="20.631"/>
  </r>
  <r>
    <d v="2024-12-14T00:00:00"/>
    <s v="F-8649-17"/>
    <x v="6"/>
    <s v="Richardson"/>
    <x v="4"/>
    <s v="SAT"/>
    <n v="13"/>
    <n v="31"/>
    <n v="403"/>
    <s v="Credit card"/>
    <n v="12.09"/>
  </r>
  <r>
    <d v="2024-12-15T00:00:00"/>
    <s v="G-3437-18"/>
    <x v="8"/>
    <s v="McKinney"/>
    <x v="1"/>
    <s v="ZAA"/>
    <n v="51"/>
    <n v="55"/>
    <n v="2805"/>
    <s v="Gift card"/>
    <n v="78.540000000000006"/>
  </r>
  <r>
    <d v="2024-12-15T00:00:00"/>
    <s v="B-7095-18"/>
    <x v="4"/>
    <s v="Dallas"/>
    <x v="3"/>
    <s v="KQR"/>
    <n v="35"/>
    <n v="51"/>
    <n v="1785"/>
    <s v="Cash"/>
    <n v="41.055"/>
  </r>
  <r>
    <d v="2024-12-15T00:00:00"/>
    <s v="H-6047-18"/>
    <x v="0"/>
    <s v="Dallas"/>
    <x v="4"/>
    <s v="ATP"/>
    <n v="11"/>
    <n v="46"/>
    <n v="506"/>
    <s v="Gift card"/>
    <n v="10.119999999999999"/>
  </r>
  <r>
    <d v="2024-12-15T00:00:00"/>
    <s v="D-3700-18"/>
    <x v="8"/>
    <s v="Richardson"/>
    <x v="0"/>
    <s v="SAT"/>
    <n v="31"/>
    <n v="57"/>
    <n v="1767"/>
    <s v="Gift card"/>
    <n v="44.174999999999997"/>
  </r>
  <r>
    <d v="2024-12-15T00:00:00"/>
    <s v="F-2500-18"/>
    <x v="0"/>
    <s v="Richardson"/>
    <x v="4"/>
    <s v="TAP"/>
    <n v="27"/>
    <n v="23"/>
    <n v="621"/>
    <s v="Credit card"/>
    <n v="12.42"/>
  </r>
  <r>
    <d v="2024-12-15T00:00:00"/>
    <s v="B-6103-18"/>
    <x v="5"/>
    <s v="Coppell"/>
    <x v="6"/>
    <s v="PFF"/>
    <n v="43"/>
    <n v="55"/>
    <n v="2365"/>
    <s v="Gift card"/>
    <n v="66.22"/>
  </r>
  <r>
    <d v="2024-12-15T00:00:00"/>
    <s v="C-2934-18"/>
    <x v="0"/>
    <s v="Richardson"/>
    <x v="4"/>
    <s v="ARP"/>
    <n v="34"/>
    <n v="21"/>
    <n v="714"/>
    <s v="Credit card"/>
    <n v="17.850000000000001"/>
  </r>
  <r>
    <d v="2024-12-16T00:00:00"/>
    <s v="B-9870-19"/>
    <x v="3"/>
    <s v="Allen"/>
    <x v="2"/>
    <s v="JKA"/>
    <n v="28"/>
    <n v="29"/>
    <n v="812"/>
    <s v="Credit card"/>
    <n v="19.488"/>
  </r>
  <r>
    <d v="2024-12-16T00:00:00"/>
    <s v="C-3244-19"/>
    <x v="8"/>
    <s v="Frisco"/>
    <x v="0"/>
    <s v="HTE"/>
    <n v="26"/>
    <n v="20"/>
    <n v="520"/>
    <s v="Cash"/>
    <n v="14.56"/>
  </r>
  <r>
    <d v="2024-12-17T00:00:00"/>
    <s v="E-7335-20"/>
    <x v="7"/>
    <s v="Richardson"/>
    <x v="1"/>
    <s v="HNP"/>
    <n v="18"/>
    <n v="28"/>
    <n v="504"/>
    <s v="Cash"/>
    <n v="10.584"/>
  </r>
  <r>
    <d v="2024-12-17T00:00:00"/>
    <s v="B-4331-20"/>
    <x v="0"/>
    <s v="Dallas"/>
    <x v="4"/>
    <s v="PKH"/>
    <n v="33"/>
    <n v="57"/>
    <n v="1881"/>
    <s v="Credit card"/>
    <n v="54.548999999999999"/>
  </r>
  <r>
    <d v="2024-12-17T00:00:00"/>
    <s v="B-6254-20"/>
    <x v="5"/>
    <s v="Dallas"/>
    <x v="1"/>
    <s v="TSQ"/>
    <n v="28"/>
    <n v="37"/>
    <n v="1036"/>
    <s v="Credit card"/>
    <n v="26.936"/>
  </r>
  <r>
    <d v="2024-12-18T00:00:00"/>
    <s v="H-9202-21"/>
    <x v="4"/>
    <s v="Coppell"/>
    <x v="0"/>
    <s v="KQR"/>
    <n v="13"/>
    <n v="22"/>
    <n v="286"/>
    <s v="Cash"/>
    <n v="7.4359999999999999"/>
  </r>
  <r>
    <d v="2024-12-19T00:00:00"/>
    <s v="E-3239-22"/>
    <x v="6"/>
    <s v="Richardson"/>
    <x v="2"/>
    <s v="JKA"/>
    <n v="56"/>
    <n v="57"/>
    <n v="3192"/>
    <s v="Credit card"/>
    <n v="67.031999999999996"/>
  </r>
  <r>
    <d v="2024-12-19T00:00:00"/>
    <s v="G-3277-22"/>
    <x v="1"/>
    <s v="Dallas"/>
    <x v="3"/>
    <s v="ZAA"/>
    <n v="46"/>
    <n v="58"/>
    <n v="2668"/>
    <s v="Credit card"/>
    <n v="80.040000000000006"/>
  </r>
  <r>
    <d v="2024-12-19T00:00:00"/>
    <s v="E-7698-22"/>
    <x v="4"/>
    <s v="Allen"/>
    <x v="4"/>
    <s v="HNP"/>
    <n v="22"/>
    <n v="47"/>
    <n v="1034"/>
    <s v="Credit card"/>
    <n v="31.02"/>
  </r>
  <r>
    <d v="2024-12-19T00:00:00"/>
    <s v="F-5076-22"/>
    <x v="1"/>
    <s v="McKinney"/>
    <x v="4"/>
    <s v="MSP"/>
    <n v="32"/>
    <n v="26"/>
    <n v="832"/>
    <s v="Credit card"/>
    <n v="17.472000000000001"/>
  </r>
  <r>
    <d v="2024-12-19T00:00:00"/>
    <s v="G-7802-22"/>
    <x v="4"/>
    <s v="McKinney"/>
    <x v="5"/>
    <s v="ARP"/>
    <n v="20"/>
    <n v="60"/>
    <n v="1200"/>
    <s v="Gift card"/>
    <n v="31.2"/>
  </r>
  <r>
    <d v="2024-12-20T00:00:00"/>
    <s v="E-4040-23"/>
    <x v="6"/>
    <s v="Richardson"/>
    <x v="4"/>
    <s v="ARP"/>
    <n v="48"/>
    <n v="59"/>
    <n v="2832"/>
    <s v="Gift card"/>
    <n v="65.135999999999996"/>
  </r>
  <r>
    <d v="2024-12-20T00:00:00"/>
    <s v="E-9857-23"/>
    <x v="8"/>
    <s v="Dallas"/>
    <x v="4"/>
    <s v="KQR"/>
    <n v="57"/>
    <n v="26"/>
    <n v="1482"/>
    <s v="Credit card"/>
    <n v="34.085999999999999"/>
  </r>
  <r>
    <d v="2024-12-20T00:00:00"/>
    <s v="C-7949-23"/>
    <x v="4"/>
    <s v="Dallas"/>
    <x v="4"/>
    <s v="APS"/>
    <n v="45"/>
    <n v="42"/>
    <n v="1890"/>
    <s v="Credit card"/>
    <n v="49.14"/>
  </r>
  <r>
    <d v="2024-12-20T00:00:00"/>
    <s v="B-4128-23"/>
    <x v="0"/>
    <s v="Dallas"/>
    <x v="2"/>
    <s v="SMH"/>
    <n v="53"/>
    <n v="26"/>
    <n v="1378"/>
    <s v="Credit card"/>
    <n v="30.315999999999999"/>
  </r>
  <r>
    <d v="2024-12-20T00:00:00"/>
    <s v="H-3091-23"/>
    <x v="5"/>
    <s v="Allen"/>
    <x v="4"/>
    <s v="JKA"/>
    <n v="40"/>
    <n v="37"/>
    <n v="1480"/>
    <s v="Credit card"/>
    <n v="42.92"/>
  </r>
  <r>
    <d v="2024-12-20T00:00:00"/>
    <s v="G-4811-23"/>
    <x v="4"/>
    <s v="Dallas"/>
    <x v="1"/>
    <s v="ATP"/>
    <n v="10"/>
    <n v="35"/>
    <n v="350"/>
    <s v="Cash"/>
    <n v="9.4499999999999993"/>
  </r>
  <r>
    <d v="2024-12-20T00:00:00"/>
    <s v="A-7845-23"/>
    <x v="0"/>
    <s v="Richardson"/>
    <x v="2"/>
    <s v="ATP"/>
    <n v="12"/>
    <n v="23"/>
    <n v="276"/>
    <s v="Credit card"/>
    <n v="8.0039999999999996"/>
  </r>
  <r>
    <d v="2024-12-20T00:00:00"/>
    <s v="D-4055-23"/>
    <x v="6"/>
    <s v="Richardson"/>
    <x v="6"/>
    <s v="SMH"/>
    <n v="44"/>
    <n v="53"/>
    <n v="2332"/>
    <s v="Credit card"/>
    <n v="51.304000000000002"/>
  </r>
  <r>
    <d v="2024-12-20T00:00:00"/>
    <s v="H-3310-23"/>
    <x v="8"/>
    <s v="Plano"/>
    <x v="0"/>
    <s v="HNP"/>
    <n v="51"/>
    <n v="40"/>
    <n v="2040"/>
    <s v="Check"/>
    <n v="46.92"/>
  </r>
  <r>
    <d v="2024-12-20T00:00:00"/>
    <s v="A-7724-23"/>
    <x v="7"/>
    <s v="Dallas"/>
    <x v="6"/>
    <s v="SMH"/>
    <n v="56"/>
    <n v="28"/>
    <n v="1568"/>
    <s v="Check"/>
    <n v="42.335999999999999"/>
  </r>
  <r>
    <d v="2024-12-21T00:00:00"/>
    <s v="B-6713-24"/>
    <x v="1"/>
    <s v="Richardson"/>
    <x v="6"/>
    <s v="MSP"/>
    <n v="17"/>
    <n v="39"/>
    <n v="663"/>
    <s v="Check"/>
    <n v="13.26"/>
  </r>
  <r>
    <d v="2024-12-21T00:00:00"/>
    <s v="G-5665-24"/>
    <x v="3"/>
    <s v="Coppell"/>
    <x v="1"/>
    <s v="PKH"/>
    <n v="25"/>
    <n v="28"/>
    <n v="700"/>
    <s v="Cash"/>
    <n v="16.100000000000001"/>
  </r>
  <r>
    <d v="2024-12-21T00:00:00"/>
    <s v="B-1219-24"/>
    <x v="8"/>
    <s v="Richardson"/>
    <x v="3"/>
    <s v="AKJ"/>
    <n v="38"/>
    <n v="40"/>
    <n v="1520"/>
    <s v="Credit card"/>
    <n v="41.04"/>
  </r>
  <r>
    <d v="2024-12-21T00:00:00"/>
    <s v="A-1615-24"/>
    <x v="4"/>
    <s v="Allen"/>
    <x v="0"/>
    <s v="JKA"/>
    <n v="16"/>
    <n v="20"/>
    <n v="320"/>
    <s v="Credit card"/>
    <n v="9.6"/>
  </r>
  <r>
    <d v="2024-12-21T00:00:00"/>
    <s v="D-8845-24"/>
    <x v="4"/>
    <s v="Allen"/>
    <x v="2"/>
    <s v="ARP"/>
    <n v="26"/>
    <n v="38"/>
    <n v="988"/>
    <s v="Gift card"/>
    <n v="23.712"/>
  </r>
  <r>
    <d v="2024-12-21T00:00:00"/>
    <s v="F-2731-24"/>
    <x v="4"/>
    <s v="Richardson"/>
    <x v="6"/>
    <s v="TSA"/>
    <n v="21"/>
    <n v="51"/>
    <n v="1071"/>
    <s v="Cash"/>
    <n v="32.130000000000003"/>
  </r>
  <r>
    <d v="2024-12-21T00:00:00"/>
    <s v="C-7331-24"/>
    <x v="7"/>
    <s v="Dallas"/>
    <x v="2"/>
    <s v="JKA"/>
    <n v="50"/>
    <n v="45"/>
    <n v="2250"/>
    <s v="Gift card"/>
    <n v="58.5"/>
  </r>
  <r>
    <d v="2024-12-21T00:00:00"/>
    <s v="C-8004-24"/>
    <x v="4"/>
    <s v="McKinney"/>
    <x v="1"/>
    <s v="ATP"/>
    <n v="51"/>
    <n v="41"/>
    <n v="2091"/>
    <s v="Credit card"/>
    <n v="58.548000000000002"/>
  </r>
  <r>
    <d v="2024-12-21T00:00:00"/>
    <s v="C-2137-24"/>
    <x v="8"/>
    <s v="Dallas"/>
    <x v="1"/>
    <s v="ATP"/>
    <n v="36"/>
    <n v="44"/>
    <n v="1584"/>
    <s v="Credit card"/>
    <n v="44.351999999999997"/>
  </r>
  <r>
    <d v="2024-12-21T00:00:00"/>
    <s v="D-1370-24"/>
    <x v="6"/>
    <s v="Richardson"/>
    <x v="3"/>
    <s v="ARP"/>
    <n v="57"/>
    <n v="57"/>
    <n v="3249"/>
    <s v="Check"/>
    <n v="81.224999999999994"/>
  </r>
  <r>
    <d v="2024-12-21T00:00:00"/>
    <s v="G-6763-24"/>
    <x v="4"/>
    <s v="Allen"/>
    <x v="5"/>
    <s v="ATP"/>
    <n v="31"/>
    <n v="34"/>
    <n v="1054"/>
    <s v="Check"/>
    <n v="26.35"/>
  </r>
  <r>
    <d v="2024-12-21T00:00:00"/>
    <s v="F-4770-24"/>
    <x v="7"/>
    <s v="Coppell"/>
    <x v="2"/>
    <s v="ARP"/>
    <n v="44"/>
    <n v="37"/>
    <n v="1628"/>
    <s v="Credit card"/>
    <n v="48.84"/>
  </r>
  <r>
    <d v="2024-12-21T00:00:00"/>
    <s v="B-9765-24"/>
    <x v="7"/>
    <s v="Plano"/>
    <x v="2"/>
    <s v="TSQ"/>
    <n v="12"/>
    <n v="53"/>
    <n v="636"/>
    <s v="Credit card"/>
    <n v="16.536000000000001"/>
  </r>
  <r>
    <d v="2024-12-22T00:00:00"/>
    <s v="G-2432-25"/>
    <x v="4"/>
    <s v="Richardson"/>
    <x v="2"/>
    <s v="APS"/>
    <n v="36"/>
    <n v="47"/>
    <n v="1692"/>
    <s v="Gift card"/>
    <n v="50.76"/>
  </r>
  <r>
    <d v="2024-12-22T00:00:00"/>
    <s v="E-1696-25"/>
    <x v="1"/>
    <s v="Richardson"/>
    <x v="2"/>
    <s v="HTE"/>
    <n v="38"/>
    <n v="53"/>
    <n v="2014"/>
    <s v="Gift card"/>
    <n v="40.28"/>
  </r>
  <r>
    <d v="2024-12-22T00:00:00"/>
    <s v="H-9432-25"/>
    <x v="1"/>
    <s v="Dallas"/>
    <x v="2"/>
    <s v="TSQ"/>
    <n v="48"/>
    <n v="38"/>
    <n v="1824"/>
    <s v="Credit card"/>
    <n v="40.128"/>
  </r>
  <r>
    <d v="2024-12-22T00:00:00"/>
    <s v="C-1183-25"/>
    <x v="0"/>
    <s v="Coppell"/>
    <x v="4"/>
    <s v="PFF"/>
    <n v="41"/>
    <n v="50"/>
    <n v="2050"/>
    <s v="Gift card"/>
    <n v="49.2"/>
  </r>
  <r>
    <d v="2024-12-22T00:00:00"/>
    <s v="D-5044-25"/>
    <x v="0"/>
    <s v="Plano"/>
    <x v="4"/>
    <s v="ZAA"/>
    <n v="52"/>
    <n v="57"/>
    <n v="2964"/>
    <s v="Credit card"/>
    <n v="65.207999999999998"/>
  </r>
  <r>
    <d v="2024-12-22T00:00:00"/>
    <s v="D-6123-25"/>
    <x v="1"/>
    <s v="Allen"/>
    <x v="1"/>
    <s v="TAP"/>
    <n v="18"/>
    <n v="55"/>
    <n v="990"/>
    <s v="Check"/>
    <n v="26.73"/>
  </r>
  <r>
    <d v="2024-12-22T00:00:00"/>
    <s v="D-3426-25"/>
    <x v="1"/>
    <s v="Frisco"/>
    <x v="2"/>
    <s v="TAP"/>
    <n v="33"/>
    <n v="59"/>
    <n v="1947"/>
    <s v="Credit card"/>
    <n v="56.463000000000001"/>
  </r>
  <r>
    <d v="2024-12-23T00:00:00"/>
    <s v="E-6180-26"/>
    <x v="3"/>
    <s v="McKinney"/>
    <x v="2"/>
    <s v="SMH"/>
    <n v="15"/>
    <n v="32"/>
    <n v="480"/>
    <s v="Credit card"/>
    <n v="11.04"/>
  </r>
  <r>
    <d v="2024-12-24T00:00:00"/>
    <s v="B-4111-27"/>
    <x v="8"/>
    <s v="Richardson"/>
    <x v="2"/>
    <s v="TSA"/>
    <n v="38"/>
    <n v="55"/>
    <n v="2090"/>
    <s v="Gift card"/>
    <n v="43.89"/>
  </r>
  <r>
    <d v="2024-12-24T00:00:00"/>
    <s v="D-9906-27"/>
    <x v="4"/>
    <s v="Coppell"/>
    <x v="2"/>
    <s v="PFF"/>
    <n v="18"/>
    <n v="37"/>
    <n v="666"/>
    <s v="Credit card"/>
    <n v="18.648"/>
  </r>
  <r>
    <d v="2024-12-24T00:00:00"/>
    <s v="G-8518-27"/>
    <x v="6"/>
    <s v="Coppell"/>
    <x v="5"/>
    <s v="SAT"/>
    <n v="58"/>
    <n v="59"/>
    <n v="3422"/>
    <s v="Credit card"/>
    <n v="95.816000000000003"/>
  </r>
  <r>
    <d v="2024-12-24T00:00:00"/>
    <s v="D-4862-27"/>
    <x v="5"/>
    <s v="Frisco"/>
    <x v="1"/>
    <s v="KQR"/>
    <n v="55"/>
    <n v="48"/>
    <n v="2640"/>
    <s v="Credit card"/>
    <n v="79.2"/>
  </r>
  <r>
    <d v="2024-12-24T00:00:00"/>
    <s v="B-1290-27"/>
    <x v="6"/>
    <s v="Richardson"/>
    <x v="1"/>
    <s v="SAT"/>
    <n v="26"/>
    <n v="25"/>
    <n v="650"/>
    <s v="Cash"/>
    <n v="14.3"/>
  </r>
  <r>
    <d v="2024-12-24T00:00:00"/>
    <s v="A-1409-27"/>
    <x v="4"/>
    <s v="Frisco"/>
    <x v="1"/>
    <s v="SAT"/>
    <n v="36"/>
    <n v="42"/>
    <n v="1512"/>
    <s v="Gift card"/>
    <n v="39.311999999999998"/>
  </r>
  <r>
    <d v="2024-12-24T00:00:00"/>
    <s v="E-1112-27"/>
    <x v="6"/>
    <s v="Richardson"/>
    <x v="6"/>
    <s v="PFF"/>
    <n v="60"/>
    <n v="48"/>
    <n v="2880"/>
    <s v="Gift card"/>
    <n v="86.4"/>
  </r>
  <r>
    <d v="2024-12-24T00:00:00"/>
    <s v="B-4448-27"/>
    <x v="6"/>
    <s v="Richardson"/>
    <x v="6"/>
    <s v="PFF"/>
    <n v="27"/>
    <n v="50"/>
    <n v="1350"/>
    <s v="Credit card"/>
    <n v="35.1"/>
  </r>
  <r>
    <d v="2024-12-24T00:00:00"/>
    <s v="D-7576-27"/>
    <x v="3"/>
    <s v="Richardson"/>
    <x v="0"/>
    <s v="MSP"/>
    <n v="37"/>
    <n v="46"/>
    <n v="1702"/>
    <s v="Credit card"/>
    <n v="44.252000000000002"/>
  </r>
  <r>
    <d v="2024-12-24T00:00:00"/>
    <s v="H-8418-27"/>
    <x v="5"/>
    <s v="Plano"/>
    <x v="3"/>
    <s v="SAT"/>
    <n v="56"/>
    <n v="27"/>
    <n v="1512"/>
    <s v="Credit card"/>
    <n v="45.36"/>
  </r>
  <r>
    <d v="2024-12-24T00:00:00"/>
    <s v="F-7005-27"/>
    <x v="5"/>
    <s v="Richardson"/>
    <x v="2"/>
    <s v="SAT"/>
    <n v="36"/>
    <n v="55"/>
    <n v="1980"/>
    <s v="Cash"/>
    <n v="49.5"/>
  </r>
  <r>
    <d v="2024-12-24T00:00:00"/>
    <s v="G-8122-27"/>
    <x v="8"/>
    <s v="Coppell"/>
    <x v="4"/>
    <s v="SMH"/>
    <n v="15"/>
    <n v="57"/>
    <n v="855"/>
    <s v="Credit card"/>
    <n v="17.100000000000001"/>
  </r>
  <r>
    <d v="2024-12-25T00:00:00"/>
    <s v="D-5863-28"/>
    <x v="4"/>
    <s v="Plano"/>
    <x v="4"/>
    <s v="ATP"/>
    <n v="15"/>
    <n v="58"/>
    <n v="870"/>
    <s v="Cash"/>
    <n v="24.36"/>
  </r>
  <r>
    <d v="2024-12-25T00:00:00"/>
    <s v="G-4670-28"/>
    <x v="2"/>
    <s v="Dallas"/>
    <x v="1"/>
    <s v="TSA"/>
    <n v="11"/>
    <n v="25"/>
    <n v="275"/>
    <s v="Cash"/>
    <n v="7.4249999999999998"/>
  </r>
  <r>
    <d v="2024-12-25T00:00:00"/>
    <s v="B-7296-28"/>
    <x v="0"/>
    <s v="Allen"/>
    <x v="5"/>
    <s v="TSA"/>
    <n v="53"/>
    <n v="54"/>
    <n v="2862"/>
    <s v="Check"/>
    <n v="57.24"/>
  </r>
  <r>
    <d v="2024-12-25T00:00:00"/>
    <s v="G-5993-28"/>
    <x v="7"/>
    <s v="Frisco"/>
    <x v="0"/>
    <s v="ARP"/>
    <n v="25"/>
    <n v="33"/>
    <n v="825"/>
    <s v="Credit card"/>
    <n v="24.75"/>
  </r>
  <r>
    <d v="2024-12-25T00:00:00"/>
    <s v="G-9128-28"/>
    <x v="4"/>
    <s v="Plano"/>
    <x v="3"/>
    <s v="PKH"/>
    <n v="34"/>
    <n v="28"/>
    <n v="952"/>
    <s v="Credit card"/>
    <n v="28.56"/>
  </r>
  <r>
    <d v="2024-12-25T00:00:00"/>
    <s v="C-5965-28"/>
    <x v="3"/>
    <s v="Richardson"/>
    <x v="6"/>
    <s v="TAP"/>
    <n v="56"/>
    <n v="39"/>
    <n v="2184"/>
    <s v="Cash"/>
    <n v="56.783999999999999"/>
  </r>
  <r>
    <d v="2024-12-25T00:00:00"/>
    <s v="E-4928-28"/>
    <x v="7"/>
    <s v="Dallas"/>
    <x v="1"/>
    <s v="TSQ"/>
    <n v="37"/>
    <n v="54"/>
    <n v="1998"/>
    <s v="Credit card"/>
    <n v="57.942"/>
  </r>
  <r>
    <d v="2024-12-26T00:00:00"/>
    <s v="A-9605-29"/>
    <x v="4"/>
    <s v="Plano"/>
    <x v="6"/>
    <s v="TSA"/>
    <n v="19"/>
    <n v="31"/>
    <n v="589"/>
    <s v="Credit card"/>
    <n v="12.958"/>
  </r>
  <r>
    <d v="2024-12-26T00:00:00"/>
    <s v="D-7126-29"/>
    <x v="7"/>
    <s v="Dallas"/>
    <x v="0"/>
    <s v="AKJ"/>
    <n v="24"/>
    <n v="54"/>
    <n v="1296"/>
    <s v="Gift card"/>
    <n v="34.991999999999997"/>
  </r>
  <r>
    <d v="2024-12-26T00:00:00"/>
    <s v="A-3006-29"/>
    <x v="3"/>
    <s v="Plano"/>
    <x v="5"/>
    <s v="ATP"/>
    <n v="37"/>
    <n v="29"/>
    <n v="1073"/>
    <s v="Credit card"/>
    <n v="28.971"/>
  </r>
  <r>
    <d v="2024-12-27T00:00:00"/>
    <s v="C-9582-30"/>
    <x v="2"/>
    <s v="Plano"/>
    <x v="3"/>
    <s v="SAT"/>
    <n v="23"/>
    <n v="32"/>
    <n v="736"/>
    <s v="Credit card"/>
    <n v="17.664000000000001"/>
  </r>
  <r>
    <d v="2024-12-27T00:00:00"/>
    <s v="F-2577-30"/>
    <x v="6"/>
    <s v="Dallas"/>
    <x v="0"/>
    <s v="PFF"/>
    <n v="50"/>
    <n v="33"/>
    <n v="1650"/>
    <s v="Cash"/>
    <n v="33"/>
  </r>
  <r>
    <d v="2024-12-27T00:00:00"/>
    <s v="D-7837-30"/>
    <x v="6"/>
    <s v="Dallas"/>
    <x v="0"/>
    <s v="ZAA"/>
    <n v="47"/>
    <n v="53"/>
    <n v="2491"/>
    <s v="Cash"/>
    <n v="49.82"/>
  </r>
  <r>
    <d v="2024-12-27T00:00:00"/>
    <s v="E-3389-30"/>
    <x v="2"/>
    <s v="Richardson"/>
    <x v="2"/>
    <s v="PFF"/>
    <n v="60"/>
    <n v="38"/>
    <n v="2280"/>
    <s v="Credit card"/>
    <n v="45.6"/>
  </r>
  <r>
    <d v="2024-12-27T00:00:00"/>
    <s v="C-6531-30"/>
    <x v="7"/>
    <s v="Richardson"/>
    <x v="0"/>
    <s v="APS"/>
    <n v="26"/>
    <n v="23"/>
    <n v="598"/>
    <s v="Cash"/>
    <n v="17.940000000000001"/>
  </r>
  <r>
    <d v="2024-12-27T00:00:00"/>
    <s v="E-1696-30"/>
    <x v="2"/>
    <s v="Coppell"/>
    <x v="6"/>
    <s v="AKJ"/>
    <n v="15"/>
    <n v="27"/>
    <n v="405"/>
    <s v="Credit card"/>
    <n v="10.53"/>
  </r>
  <r>
    <d v="2024-12-27T00:00:00"/>
    <s v="H-2122-30"/>
    <x v="4"/>
    <s v="McKinney"/>
    <x v="0"/>
    <s v="SMH"/>
    <n v="42"/>
    <n v="52"/>
    <n v="2184"/>
    <s v="Credit card"/>
    <n v="45.863999999999997"/>
  </r>
  <r>
    <d v="2024-12-27T00:00:00"/>
    <s v="B-1908-30"/>
    <x v="7"/>
    <s v="Frisco"/>
    <x v="3"/>
    <s v="ARP"/>
    <n v="48"/>
    <n v="59"/>
    <n v="2832"/>
    <s v="Gift card"/>
    <n v="62.304000000000002"/>
  </r>
  <r>
    <d v="2024-12-27T00:00:00"/>
    <s v="H-6633-30"/>
    <x v="2"/>
    <s v="Plano"/>
    <x v="2"/>
    <s v="JKA"/>
    <n v="14"/>
    <n v="41"/>
    <n v="574"/>
    <s v="Gift card"/>
    <n v="15.497999999999999"/>
  </r>
  <r>
    <d v="2024-12-27T00:00:00"/>
    <s v="B-2711-30"/>
    <x v="6"/>
    <s v="Plano"/>
    <x v="2"/>
    <s v="AKJ"/>
    <n v="43"/>
    <n v="53"/>
    <n v="2279"/>
    <s v="Credit card"/>
    <n v="52.417000000000002"/>
  </r>
  <r>
    <d v="2024-12-27T00:00:00"/>
    <s v="F-2456-30"/>
    <x v="5"/>
    <s v="McKinney"/>
    <x v="6"/>
    <s v="SAT"/>
    <n v="40"/>
    <n v="48"/>
    <n v="1920"/>
    <s v="Gift card"/>
    <n v="55.68"/>
  </r>
  <r>
    <d v="2024-12-28T00:00:00"/>
    <s v="B-5198-31"/>
    <x v="1"/>
    <s v="Coppell"/>
    <x v="5"/>
    <s v="MSP"/>
    <n v="17"/>
    <n v="41"/>
    <n v="697"/>
    <s v="Credit card"/>
    <n v="18.122"/>
  </r>
  <r>
    <d v="2024-12-28T00:00:00"/>
    <s v="F-3014-31"/>
    <x v="3"/>
    <s v="Richardson"/>
    <x v="1"/>
    <s v="HNP"/>
    <n v="32"/>
    <n v="31"/>
    <n v="992"/>
    <s v="Cash"/>
    <n v="20.832000000000001"/>
  </r>
  <r>
    <d v="2024-12-29T00:00:00"/>
    <s v="EK-3967-1"/>
    <x v="2"/>
    <s v="Richardson"/>
    <x v="3"/>
    <s v="KQR"/>
    <n v="36"/>
    <n v="43"/>
    <n v="1548"/>
    <s v="Credit card"/>
    <n v="46.44"/>
  </r>
  <r>
    <d v="2024-12-29T00:00:00"/>
    <s v="GK-2982-1"/>
    <x v="8"/>
    <s v="Dallas"/>
    <x v="2"/>
    <s v="PFF"/>
    <n v="15"/>
    <n v="22"/>
    <n v="330"/>
    <s v="Credit card"/>
    <n v="8.58"/>
  </r>
  <r>
    <d v="2024-12-29T00:00:00"/>
    <s v="FK-9299-1"/>
    <x v="7"/>
    <s v="McKinney"/>
    <x v="0"/>
    <s v="PKH"/>
    <n v="40"/>
    <n v="45"/>
    <n v="1800"/>
    <s v="Cash"/>
    <n v="46.8"/>
  </r>
  <r>
    <d v="2024-12-29T00:00:00"/>
    <s v="BK-6031-1"/>
    <x v="3"/>
    <s v="McKinney"/>
    <x v="0"/>
    <s v="PFF"/>
    <n v="17"/>
    <n v="63"/>
    <n v="1071"/>
    <s v="Credit card"/>
    <n v="23.562000000000001"/>
  </r>
  <r>
    <d v="2024-12-29T00:00:00"/>
    <s v="EK-1276-1"/>
    <x v="8"/>
    <s v="McKinney"/>
    <x v="1"/>
    <s v="PKH"/>
    <n v="33"/>
    <n v="31"/>
    <n v="1023"/>
    <s v="Credit card"/>
    <n v="26.597999999999999"/>
  </r>
  <r>
    <d v="2024-12-29T00:00:00"/>
    <s v="HK-3043-1"/>
    <x v="7"/>
    <s v="Frisco"/>
    <x v="0"/>
    <s v="JKA"/>
    <n v="20"/>
    <n v="52"/>
    <n v="1040"/>
    <s v="Credit card"/>
    <n v="28.08"/>
  </r>
  <r>
    <d v="2024-12-30T00:00:00"/>
    <s v="EK-6733-2"/>
    <x v="8"/>
    <s v="Dallas"/>
    <x v="1"/>
    <s v="AKJ"/>
    <n v="45"/>
    <n v="38"/>
    <n v="1710"/>
    <s v="Cash"/>
    <n v="39.33"/>
  </r>
  <r>
    <d v="2024-12-30T00:00:00"/>
    <s v="GK-4789-2"/>
    <x v="6"/>
    <s v="Plano"/>
    <x v="2"/>
    <s v="ARP"/>
    <n v="44"/>
    <n v="53"/>
    <n v="2332"/>
    <s v="Credit card"/>
    <n v="65.296000000000006"/>
  </r>
  <r>
    <d v="2024-12-30T00:00:00"/>
    <s v="EK-5023-2"/>
    <x v="4"/>
    <s v="Dallas"/>
    <x v="0"/>
    <s v="MSP"/>
    <n v="32"/>
    <n v="38"/>
    <n v="1216"/>
    <s v="Credit card"/>
    <n v="29.184000000000001"/>
  </r>
  <r>
    <d v="2024-12-30T00:00:00"/>
    <s v="FK-4284-2"/>
    <x v="6"/>
    <s v="McKinney"/>
    <x v="5"/>
    <s v="TAP"/>
    <n v="42"/>
    <n v="32"/>
    <n v="1344"/>
    <s v="Gift card"/>
    <n v="36.287999999999997"/>
  </r>
  <r>
    <d v="2024-12-31T00:00:00"/>
    <s v="DK-7025-3"/>
    <x v="7"/>
    <s v="Dallas"/>
    <x v="2"/>
    <s v="TSA"/>
    <n v="35"/>
    <n v="58"/>
    <n v="2030"/>
    <s v="Gift card"/>
    <n v="58.87"/>
  </r>
  <r>
    <d v="2024-12-31T00:00:00"/>
    <s v="DK-4869-3"/>
    <x v="3"/>
    <s v="Richardson"/>
    <x v="2"/>
    <s v="MSP"/>
    <n v="37"/>
    <n v="45"/>
    <n v="1665"/>
    <s v="Credit card"/>
    <n v="33.299999999999997"/>
  </r>
  <r>
    <d v="2025-01-01T00:00:00"/>
    <s v="BK-6916-4"/>
    <x v="1"/>
    <s v="Allen"/>
    <x v="4"/>
    <s v="ATP"/>
    <n v="21"/>
    <n v="52"/>
    <n v="1092"/>
    <s v="Credit card"/>
    <n v="31.667999999999999"/>
  </r>
  <r>
    <d v="2025-01-01T00:00:00"/>
    <s v="CK-8325-4"/>
    <x v="8"/>
    <s v="Dallas"/>
    <x v="6"/>
    <s v="PKH"/>
    <n v="56"/>
    <n v="58"/>
    <n v="3248"/>
    <s v="Cash"/>
    <n v="87.695999999999998"/>
  </r>
  <r>
    <d v="2025-01-02T00:00:00"/>
    <s v="CK-5357-5"/>
    <x v="4"/>
    <s v="Dallas"/>
    <x v="2"/>
    <s v="SAT"/>
    <n v="49"/>
    <n v="75"/>
    <n v="3675"/>
    <s v="Credit card"/>
    <n v="84.525000000000006"/>
  </r>
  <r>
    <d v="2025-01-02T00:00:00"/>
    <s v="BK-9467-5"/>
    <x v="7"/>
    <s v="Richardson"/>
    <x v="3"/>
    <s v="HTE"/>
    <n v="58"/>
    <n v="51"/>
    <n v="2958"/>
    <s v="Cash"/>
    <n v="73.95"/>
  </r>
  <r>
    <d v="2025-01-02T00:00:00"/>
    <s v="BK-5718-5"/>
    <x v="3"/>
    <s v="Allen"/>
    <x v="0"/>
    <s v="TSQ"/>
    <n v="39"/>
    <n v="60"/>
    <n v="2340"/>
    <s v="Credit card"/>
    <n v="56.16"/>
  </r>
  <r>
    <d v="2025-01-02T00:00:00"/>
    <s v="EK-3619-5"/>
    <x v="2"/>
    <s v="McKinney"/>
    <x v="3"/>
    <s v="PFF"/>
    <n v="49"/>
    <n v="62"/>
    <n v="3038"/>
    <s v="Credit card"/>
    <n v="91.14"/>
  </r>
  <r>
    <d v="2025-01-02T00:00:00"/>
    <s v="FK-6379-5"/>
    <x v="1"/>
    <s v="Coppell"/>
    <x v="3"/>
    <s v="ARP"/>
    <n v="47"/>
    <n v="76"/>
    <n v="3572"/>
    <s v="Cash"/>
    <n v="82.156000000000006"/>
  </r>
  <r>
    <d v="2025-01-02T00:00:00"/>
    <s v="AK-8461-5"/>
    <x v="7"/>
    <s v="Richardson"/>
    <x v="3"/>
    <s v="KQR"/>
    <n v="18"/>
    <n v="60"/>
    <n v="1080"/>
    <s v="Gift card"/>
    <n v="29.16"/>
  </r>
  <r>
    <d v="2025-01-03T00:00:00"/>
    <s v="CK-1475-6"/>
    <x v="0"/>
    <s v="Plano"/>
    <x v="3"/>
    <s v="HNP"/>
    <n v="13"/>
    <n v="64"/>
    <n v="832"/>
    <s v="Credit card"/>
    <n v="19.968"/>
  </r>
  <r>
    <d v="2025-01-03T00:00:00"/>
    <s v="DK-9976-6"/>
    <x v="8"/>
    <s v="Dallas"/>
    <x v="3"/>
    <s v="TAP"/>
    <n v="10"/>
    <n v="79"/>
    <n v="790"/>
    <s v="Credit card"/>
    <n v="20.54"/>
  </r>
  <r>
    <d v="2025-01-04T00:00:00"/>
    <s v="DK-2199-7"/>
    <x v="8"/>
    <s v="Plano"/>
    <x v="4"/>
    <s v="AKJ"/>
    <n v="22"/>
    <n v="80"/>
    <n v="1760"/>
    <s v="Credit card"/>
    <n v="49.28"/>
  </r>
  <r>
    <d v="2025-01-04T00:00:00"/>
    <s v="DK-8884-7"/>
    <x v="2"/>
    <s v="Plano"/>
    <x v="5"/>
    <s v="HTE"/>
    <n v="35"/>
    <n v="37"/>
    <n v="1295"/>
    <s v="Credit card"/>
    <n v="25.9"/>
  </r>
  <r>
    <d v="2025-01-04T00:00:00"/>
    <s v="DK-2163-7"/>
    <x v="0"/>
    <s v="Plano"/>
    <x v="3"/>
    <s v="SMH"/>
    <n v="60"/>
    <n v="30"/>
    <n v="1800"/>
    <s v="Check"/>
    <n v="48.6"/>
  </r>
  <r>
    <d v="2025-01-04T00:00:00"/>
    <s v="DK-7784-7"/>
    <x v="0"/>
    <s v="McKinney"/>
    <x v="3"/>
    <s v="TSA"/>
    <n v="22"/>
    <n v="73"/>
    <n v="1606"/>
    <s v="Cash"/>
    <n v="40.15"/>
  </r>
  <r>
    <d v="2025-01-04T00:00:00"/>
    <s v="AK-9082-7"/>
    <x v="5"/>
    <s v="Dallas"/>
    <x v="3"/>
    <s v="PKH"/>
    <n v="47"/>
    <n v="75"/>
    <n v="3525"/>
    <s v="Credit card"/>
    <n v="77.55"/>
  </r>
  <r>
    <d v="2025-01-04T00:00:00"/>
    <s v="FK-6202-7"/>
    <x v="3"/>
    <s v="McKinney"/>
    <x v="1"/>
    <s v="KQR"/>
    <n v="20"/>
    <n v="30"/>
    <n v="600"/>
    <s v="Credit card"/>
    <n v="16.8"/>
  </r>
  <r>
    <d v="2025-01-04T00:00:00"/>
    <s v="HK-5799-7"/>
    <x v="1"/>
    <s v="Richardson"/>
    <x v="2"/>
    <s v="AKJ"/>
    <n v="27"/>
    <n v="59"/>
    <n v="1593"/>
    <s v="Cash"/>
    <n v="35.045999999999999"/>
  </r>
  <r>
    <d v="2025-01-04T00:00:00"/>
    <s v="BK-5472-7"/>
    <x v="3"/>
    <s v="Frisco"/>
    <x v="0"/>
    <s v="PKH"/>
    <n v="12"/>
    <n v="72"/>
    <n v="864"/>
    <s v="Credit card"/>
    <n v="23.327999999999999"/>
  </r>
  <r>
    <d v="2025-01-04T00:00:00"/>
    <s v="FK-7633-7"/>
    <x v="8"/>
    <s v="Frisco"/>
    <x v="6"/>
    <s v="HNP"/>
    <n v="45"/>
    <n v="70"/>
    <n v="3150"/>
    <s v="Cash"/>
    <n v="94.5"/>
  </r>
  <r>
    <d v="2025-01-04T00:00:00"/>
    <s v="AK-4128-7"/>
    <x v="4"/>
    <s v="McKinney"/>
    <x v="1"/>
    <s v="PFF"/>
    <n v="25"/>
    <n v="57"/>
    <n v="1425"/>
    <s v="Credit card"/>
    <n v="28.5"/>
  </r>
  <r>
    <d v="2025-01-04T00:00:00"/>
    <s v="DK-6365-7"/>
    <x v="2"/>
    <s v="Plano"/>
    <x v="3"/>
    <s v="APS"/>
    <n v="17"/>
    <n v="78"/>
    <n v="1326"/>
    <s v="Credit card"/>
    <n v="37.128"/>
  </r>
  <r>
    <d v="2025-01-05T00:00:00"/>
    <s v="DK-9887-8"/>
    <x v="4"/>
    <s v="Dallas"/>
    <x v="4"/>
    <s v="TSA"/>
    <n v="24"/>
    <n v="75"/>
    <n v="1800"/>
    <s v="Cash"/>
    <n v="45"/>
  </r>
  <r>
    <d v="2025-01-05T00:00:00"/>
    <s v="EK-5625-8"/>
    <x v="6"/>
    <s v="Dallas"/>
    <x v="2"/>
    <s v="TAP"/>
    <n v="36"/>
    <n v="75"/>
    <n v="2700"/>
    <s v="Cash"/>
    <n v="75.599999999999994"/>
  </r>
  <r>
    <d v="2025-01-05T00:00:00"/>
    <s v="HK-9185-8"/>
    <x v="1"/>
    <s v="Richardson"/>
    <x v="4"/>
    <s v="PKH"/>
    <n v="50"/>
    <n v="76"/>
    <n v="3800"/>
    <s v="Cash"/>
    <n v="106.4"/>
  </r>
  <r>
    <d v="2025-01-05T00:00:00"/>
    <s v="AK-6759-8"/>
    <x v="6"/>
    <s v="Frisco"/>
    <x v="1"/>
    <s v="SMH"/>
    <n v="26"/>
    <n v="80"/>
    <n v="2080"/>
    <s v="Credit card"/>
    <n v="41.6"/>
  </r>
  <r>
    <d v="2025-01-05T00:00:00"/>
    <s v="GK-3347-8"/>
    <x v="7"/>
    <s v="Allen"/>
    <x v="0"/>
    <s v="HNP"/>
    <n v="40"/>
    <n v="45"/>
    <n v="1800"/>
    <s v="Credit card"/>
    <n v="46.8"/>
  </r>
  <r>
    <d v="2025-01-05T00:00:00"/>
    <s v="HK-4875-8"/>
    <x v="7"/>
    <s v="McKinney"/>
    <x v="1"/>
    <s v="ATP"/>
    <n v="12"/>
    <n v="45"/>
    <n v="540"/>
    <s v="Cash"/>
    <n v="11.88"/>
  </r>
  <r>
    <d v="2025-01-05T00:00:00"/>
    <s v="HK-1682-8"/>
    <x v="6"/>
    <s v="Richardson"/>
    <x v="4"/>
    <s v="MSP"/>
    <n v="58"/>
    <n v="47"/>
    <n v="2726"/>
    <s v="Check"/>
    <n v="79.054000000000002"/>
  </r>
  <r>
    <d v="2025-01-05T00:00:00"/>
    <s v="EK-2573-8"/>
    <x v="4"/>
    <s v="Plano"/>
    <x v="3"/>
    <s v="APS"/>
    <n v="11"/>
    <n v="36"/>
    <n v="396"/>
    <s v="Cash"/>
    <n v="9.5039999999999996"/>
  </r>
  <r>
    <d v="2025-01-05T00:00:00"/>
    <s v="GK-9401-8"/>
    <x v="4"/>
    <s v="McKinney"/>
    <x v="2"/>
    <s v="SMH"/>
    <n v="43"/>
    <n v="37"/>
    <n v="1591"/>
    <s v="Gift card"/>
    <n v="42.957000000000001"/>
  </r>
  <r>
    <d v="2025-01-05T00:00:00"/>
    <s v="DK-2001-8"/>
    <x v="2"/>
    <s v="McKinney"/>
    <x v="1"/>
    <s v="MSP"/>
    <n v="42"/>
    <n v="64"/>
    <n v="2688"/>
    <s v="Credit card"/>
    <n v="80.64"/>
  </r>
  <r>
    <d v="2025-01-05T00:00:00"/>
    <s v="EK-9789-8"/>
    <x v="7"/>
    <s v="Frisco"/>
    <x v="2"/>
    <s v="PKH"/>
    <n v="53"/>
    <n v="54"/>
    <n v="2862"/>
    <s v="Gift card"/>
    <n v="57.24"/>
  </r>
  <r>
    <d v="2025-01-05T00:00:00"/>
    <s v="CK-9106-8"/>
    <x v="5"/>
    <s v="Dallas"/>
    <x v="2"/>
    <s v="HTE"/>
    <n v="17"/>
    <n v="59"/>
    <n v="1003"/>
    <s v="Credit card"/>
    <n v="20.059999999999999"/>
  </r>
  <r>
    <d v="2025-01-05T00:00:00"/>
    <s v="DK-8725-8"/>
    <x v="4"/>
    <s v="Allen"/>
    <x v="0"/>
    <s v="ZAA"/>
    <n v="29"/>
    <n v="54"/>
    <n v="1566"/>
    <s v="Credit card"/>
    <n v="43.847999999999999"/>
  </r>
  <r>
    <d v="2025-01-05T00:00:00"/>
    <s v="EK-1415-8"/>
    <x v="1"/>
    <s v="Plano"/>
    <x v="1"/>
    <s v="AKJ"/>
    <n v="26"/>
    <n v="38"/>
    <n v="988"/>
    <s v="Check"/>
    <n v="20.748000000000001"/>
  </r>
  <r>
    <d v="2025-01-05T00:00:00"/>
    <s v="EK-3709-8"/>
    <x v="6"/>
    <s v="Plano"/>
    <x v="3"/>
    <s v="SMH"/>
    <n v="53"/>
    <n v="37"/>
    <n v="1961"/>
    <s v="Cash"/>
    <n v="43.142000000000003"/>
  </r>
  <r>
    <d v="2025-01-05T00:00:00"/>
    <s v="CK-4036-8"/>
    <x v="5"/>
    <s v="Richardson"/>
    <x v="1"/>
    <s v="APS"/>
    <n v="29"/>
    <n v="32"/>
    <n v="928"/>
    <s v="Credit card"/>
    <n v="20.416"/>
  </r>
  <r>
    <d v="2025-01-05T00:00:00"/>
    <s v="DK-4724-8"/>
    <x v="2"/>
    <s v="Coppell"/>
    <x v="1"/>
    <s v="AKJ"/>
    <n v="59"/>
    <n v="41"/>
    <n v="2419"/>
    <s v="Credit card"/>
    <n v="50.798999999999999"/>
  </r>
  <r>
    <d v="2025-01-05T00:00:00"/>
    <s v="GK-9303-8"/>
    <x v="4"/>
    <s v="Allen"/>
    <x v="0"/>
    <s v="SMH"/>
    <n v="21"/>
    <n v="44"/>
    <n v="924"/>
    <s v="Credit card"/>
    <n v="26.795999999999999"/>
  </r>
  <r>
    <d v="2025-01-06T00:00:00"/>
    <s v="FK-6473-9"/>
    <x v="8"/>
    <s v="Frisco"/>
    <x v="6"/>
    <s v="TSQ"/>
    <n v="28"/>
    <n v="49"/>
    <n v="1372"/>
    <s v="Cash"/>
    <n v="28.812000000000001"/>
  </r>
  <r>
    <d v="2025-01-07T00:00:00"/>
    <s v="D-3640-10"/>
    <x v="5"/>
    <s v="Plano"/>
    <x v="2"/>
    <s v="MSP"/>
    <n v="50"/>
    <n v="47"/>
    <n v="2350"/>
    <s v="Credit card"/>
    <n v="54.05"/>
  </r>
  <r>
    <d v="2025-01-07T00:00:00"/>
    <s v="C-2255-10"/>
    <x v="7"/>
    <s v="Plano"/>
    <x v="4"/>
    <s v="AKJ"/>
    <n v="58"/>
    <n v="46"/>
    <n v="2668"/>
    <s v="Cash"/>
    <n v="66.7"/>
  </r>
  <r>
    <d v="2025-01-07T00:00:00"/>
    <s v="D-2784-10"/>
    <x v="0"/>
    <s v="Plano"/>
    <x v="2"/>
    <s v="TAP"/>
    <n v="24"/>
    <n v="35"/>
    <n v="840"/>
    <s v="Credit card"/>
    <n v="23.52"/>
  </r>
  <r>
    <d v="2025-01-07T00:00:00"/>
    <s v="G-1394-10"/>
    <x v="7"/>
    <s v="Allen"/>
    <x v="4"/>
    <s v="SAT"/>
    <n v="55"/>
    <n v="48"/>
    <n v="2640"/>
    <s v="Credit card"/>
    <n v="55.44"/>
  </r>
  <r>
    <d v="2025-01-07T00:00:00"/>
    <s v="A-3537-10"/>
    <x v="7"/>
    <s v="Dallas"/>
    <x v="3"/>
    <s v="ATP"/>
    <n v="19"/>
    <n v="73"/>
    <n v="1387"/>
    <s v="Cash"/>
    <n v="41.61"/>
  </r>
  <r>
    <d v="2025-01-07T00:00:00"/>
    <s v="H-9798-10"/>
    <x v="8"/>
    <s v="McKinney"/>
    <x v="4"/>
    <s v="APS"/>
    <n v="37"/>
    <n v="73"/>
    <n v="2701"/>
    <s v="Credit card"/>
    <n v="59.421999999999997"/>
  </r>
  <r>
    <d v="2025-01-07T00:00:00"/>
    <s v="E-2526-10"/>
    <x v="4"/>
    <s v="Plano"/>
    <x v="0"/>
    <s v="MSP"/>
    <n v="32"/>
    <n v="34"/>
    <n v="1088"/>
    <s v="Credit card"/>
    <n v="23.936"/>
  </r>
  <r>
    <d v="2025-01-07T00:00:00"/>
    <s v="F-1937-10"/>
    <x v="4"/>
    <s v="Plano"/>
    <x v="3"/>
    <s v="ZAA"/>
    <n v="46"/>
    <n v="42"/>
    <n v="1932"/>
    <s v="Credit card"/>
    <n v="38.64"/>
  </r>
  <r>
    <d v="2025-01-07T00:00:00"/>
    <s v="B-9255-10"/>
    <x v="6"/>
    <s v="McKinney"/>
    <x v="5"/>
    <s v="ZAA"/>
    <n v="53"/>
    <n v="36"/>
    <n v="1908"/>
    <s v="Cash"/>
    <n v="45.792000000000002"/>
  </r>
  <r>
    <d v="2025-01-07T00:00:00"/>
    <s v="D-2451-10"/>
    <x v="7"/>
    <s v="Dallas"/>
    <x v="1"/>
    <s v="SMH"/>
    <n v="33"/>
    <n v="73"/>
    <n v="2409"/>
    <s v="Cash"/>
    <n v="50.588999999999999"/>
  </r>
  <r>
    <d v="2025-01-07T00:00:00"/>
    <s v="C-5100-10"/>
    <x v="0"/>
    <s v="Plano"/>
    <x v="2"/>
    <s v="APS"/>
    <n v="20"/>
    <n v="59"/>
    <n v="1180"/>
    <s v="Credit card"/>
    <n v="31.86"/>
  </r>
  <r>
    <d v="2025-01-07T00:00:00"/>
    <s v="D-9932-10"/>
    <x v="0"/>
    <s v="Coppell"/>
    <x v="3"/>
    <s v="AKJ"/>
    <n v="46"/>
    <n v="30"/>
    <n v="1380"/>
    <s v="Cash"/>
    <n v="37.26"/>
  </r>
  <r>
    <d v="2025-01-07T00:00:00"/>
    <s v="E-6813-10"/>
    <x v="1"/>
    <s v="Frisco"/>
    <x v="4"/>
    <s v="AKJ"/>
    <n v="38"/>
    <n v="36"/>
    <n v="1368"/>
    <s v="Credit card"/>
    <n v="32.832000000000001"/>
  </r>
  <r>
    <d v="2025-01-07T00:00:00"/>
    <s v="E-4901-10"/>
    <x v="8"/>
    <s v="Dallas"/>
    <x v="0"/>
    <s v="TSQ"/>
    <n v="20"/>
    <n v="67"/>
    <n v="1340"/>
    <s v="Credit card"/>
    <n v="32.159999999999997"/>
  </r>
  <r>
    <d v="2025-01-07T00:00:00"/>
    <s v="B-5848-10"/>
    <x v="3"/>
    <s v="McKinney"/>
    <x v="6"/>
    <s v="SMH"/>
    <n v="30"/>
    <n v="67"/>
    <n v="2010"/>
    <s v="Credit card"/>
    <n v="40.200000000000003"/>
  </r>
  <r>
    <d v="2025-01-07T00:00:00"/>
    <s v="H-5691-10"/>
    <x v="5"/>
    <s v="Allen"/>
    <x v="0"/>
    <s v="ARP"/>
    <n v="50"/>
    <n v="79"/>
    <n v="3950"/>
    <s v="Cash"/>
    <n v="79"/>
  </r>
  <r>
    <d v="2025-01-07T00:00:00"/>
    <s v="H-5307-10"/>
    <x v="0"/>
    <s v="Plano"/>
    <x v="2"/>
    <s v="PKH"/>
    <n v="38"/>
    <n v="59"/>
    <n v="2242"/>
    <s v="Credit card"/>
    <n v="44.84"/>
  </r>
  <r>
    <d v="2025-01-07T00:00:00"/>
    <s v="B-4632-10"/>
    <x v="7"/>
    <s v="Plano"/>
    <x v="2"/>
    <s v="HNP"/>
    <n v="27"/>
    <n v="59"/>
    <n v="1593"/>
    <s v="Credit card"/>
    <n v="33.453000000000003"/>
  </r>
  <r>
    <d v="2025-01-07T00:00:00"/>
    <s v="D-5350-10"/>
    <x v="7"/>
    <s v="Plano"/>
    <x v="1"/>
    <s v="TSA"/>
    <n v="49"/>
    <n v="65"/>
    <n v="3185"/>
    <s v="Gift card"/>
    <n v="89.18"/>
  </r>
  <r>
    <d v="2025-01-07T00:00:00"/>
    <s v="F-3743-10"/>
    <x v="2"/>
    <s v="Coppell"/>
    <x v="0"/>
    <s v="TSA"/>
    <n v="22"/>
    <n v="55"/>
    <n v="1210"/>
    <s v="Credit card"/>
    <n v="33.880000000000003"/>
  </r>
  <r>
    <d v="2025-01-07T00:00:00"/>
    <s v="B-5988-10"/>
    <x v="2"/>
    <s v="Coppell"/>
    <x v="5"/>
    <s v="APS"/>
    <n v="37"/>
    <n v="47"/>
    <n v="1739"/>
    <s v="Credit card"/>
    <n v="45.213999999999999"/>
  </r>
  <r>
    <d v="2025-01-08T00:00:00"/>
    <s v="F-5206-11"/>
    <x v="3"/>
    <s v="Plano"/>
    <x v="0"/>
    <s v="APS"/>
    <n v="34"/>
    <n v="60"/>
    <n v="2040"/>
    <s v="Credit card"/>
    <n v="48.96"/>
  </r>
  <r>
    <d v="2025-01-08T00:00:00"/>
    <s v="F-2031-11"/>
    <x v="6"/>
    <s v="Allen"/>
    <x v="1"/>
    <s v="TSQ"/>
    <n v="19"/>
    <n v="52"/>
    <n v="988"/>
    <s v="Credit card"/>
    <n v="25.687999999999999"/>
  </r>
  <r>
    <d v="2025-01-08T00:00:00"/>
    <s v="D-8387-11"/>
    <x v="4"/>
    <s v="Plano"/>
    <x v="4"/>
    <s v="AKJ"/>
    <n v="12"/>
    <n v="69"/>
    <n v="828"/>
    <s v="Credit card"/>
    <n v="24.012"/>
  </r>
  <r>
    <d v="2025-01-08T00:00:00"/>
    <s v="G-1710-11"/>
    <x v="5"/>
    <s v="Dallas"/>
    <x v="3"/>
    <s v="AKJ"/>
    <n v="11"/>
    <n v="63"/>
    <n v="693"/>
    <s v="Credit card"/>
    <n v="13.86"/>
  </r>
  <r>
    <d v="2025-01-08T00:00:00"/>
    <s v="C-7062-11"/>
    <x v="3"/>
    <s v="Dallas"/>
    <x v="1"/>
    <s v="PKH"/>
    <n v="41"/>
    <n v="48"/>
    <n v="1968"/>
    <s v="Credit card"/>
    <n v="49.2"/>
  </r>
  <r>
    <d v="2025-01-09T00:00:00"/>
    <s v="B-5680-12"/>
    <x v="1"/>
    <s v="Plano"/>
    <x v="1"/>
    <s v="JKA"/>
    <n v="27"/>
    <n v="30"/>
    <n v="810"/>
    <s v="Credit card"/>
    <n v="17.82"/>
  </r>
  <r>
    <d v="2025-01-09T00:00:00"/>
    <s v="C-9923-12"/>
    <x v="8"/>
    <s v="McKinney"/>
    <x v="6"/>
    <s v="KQR"/>
    <n v="49"/>
    <n v="31"/>
    <n v="1519"/>
    <s v="Cash"/>
    <n v="44.051000000000002"/>
  </r>
  <r>
    <d v="2025-01-09T00:00:00"/>
    <s v="C-9974-12"/>
    <x v="8"/>
    <s v="McKinney"/>
    <x v="2"/>
    <s v="TAP"/>
    <n v="15"/>
    <n v="48"/>
    <n v="720"/>
    <s v="Credit card"/>
    <n v="17.28"/>
  </r>
  <r>
    <d v="2025-01-09T00:00:00"/>
    <s v="B-8334-12"/>
    <x v="2"/>
    <s v="Richardson"/>
    <x v="4"/>
    <s v="JKA"/>
    <n v="27"/>
    <n v="64"/>
    <n v="1728"/>
    <s v="Gift card"/>
    <n v="51.84"/>
  </r>
  <r>
    <d v="2025-01-09T00:00:00"/>
    <s v="F-1616-12"/>
    <x v="5"/>
    <s v="McKinney"/>
    <x v="4"/>
    <s v="HNP"/>
    <n v="19"/>
    <n v="69"/>
    <n v="1311"/>
    <s v="Credit card"/>
    <n v="34.085999999999999"/>
  </r>
  <r>
    <d v="2025-01-09T00:00:00"/>
    <s v="A-2062-12"/>
    <x v="5"/>
    <s v="Allen"/>
    <x v="2"/>
    <s v="JKA"/>
    <n v="33"/>
    <n v="79"/>
    <n v="2607"/>
    <s v="Credit card"/>
    <n v="62.567999999999998"/>
  </r>
  <r>
    <d v="2025-01-09T00:00:00"/>
    <s v="F-8361-12"/>
    <x v="3"/>
    <s v="Plano"/>
    <x v="0"/>
    <s v="TSA"/>
    <n v="53"/>
    <n v="38"/>
    <n v="2014"/>
    <s v="Gift card"/>
    <n v="52.363999999999997"/>
  </r>
  <r>
    <d v="2025-01-09T00:00:00"/>
    <s v="E-9161-12"/>
    <x v="8"/>
    <s v="Plano"/>
    <x v="4"/>
    <s v="KQR"/>
    <n v="16"/>
    <n v="47"/>
    <n v="752"/>
    <s v="Credit card"/>
    <n v="18.8"/>
  </r>
  <r>
    <d v="2025-01-09T00:00:00"/>
    <s v="G-6980-12"/>
    <x v="7"/>
    <s v="Dallas"/>
    <x v="2"/>
    <s v="ATP"/>
    <n v="49"/>
    <n v="43"/>
    <n v="2107"/>
    <s v="Gift card"/>
    <n v="56.889000000000003"/>
  </r>
  <r>
    <d v="2025-01-10T00:00:00"/>
    <s v="C-1827-13"/>
    <x v="3"/>
    <s v="Dallas"/>
    <x v="4"/>
    <s v="KQR"/>
    <n v="22"/>
    <n v="53"/>
    <n v="1166"/>
    <s v="Check"/>
    <n v="25.652000000000001"/>
  </r>
  <r>
    <d v="2025-01-10T00:00:00"/>
    <s v="H-2284-13"/>
    <x v="8"/>
    <s v="Coppell"/>
    <x v="6"/>
    <s v="MSP"/>
    <n v="30"/>
    <n v="55"/>
    <n v="1650"/>
    <s v="Credit card"/>
    <n v="34.65"/>
  </r>
  <r>
    <d v="2025-01-10T00:00:00"/>
    <s v="A-3151-13"/>
    <x v="1"/>
    <s v="Coppell"/>
    <x v="1"/>
    <s v="TAP"/>
    <n v="14"/>
    <n v="68"/>
    <n v="952"/>
    <s v="Check"/>
    <n v="28.56"/>
  </r>
  <r>
    <d v="2025-01-10T00:00:00"/>
    <s v="E-8292-13"/>
    <x v="2"/>
    <s v="Dallas"/>
    <x v="4"/>
    <s v="APS"/>
    <n v="59"/>
    <n v="63"/>
    <n v="3717"/>
    <s v="Credit card"/>
    <n v="89.207999999999998"/>
  </r>
  <r>
    <d v="2025-01-10T00:00:00"/>
    <s v="D-4814-13"/>
    <x v="7"/>
    <s v="Dallas"/>
    <x v="5"/>
    <s v="SMH"/>
    <n v="51"/>
    <n v="78"/>
    <n v="3978"/>
    <s v="Cash"/>
    <n v="103.428"/>
  </r>
  <r>
    <d v="2025-01-10T00:00:00"/>
    <s v="D-5274-13"/>
    <x v="1"/>
    <s v="McKinney"/>
    <x v="6"/>
    <s v="ATP"/>
    <n v="14"/>
    <n v="59"/>
    <n v="826"/>
    <s v="Credit card"/>
    <n v="17.346"/>
  </r>
  <r>
    <d v="2025-01-10T00:00:00"/>
    <s v="H-8921-13"/>
    <x v="1"/>
    <s v="Plano"/>
    <x v="4"/>
    <s v="MSP"/>
    <n v="52"/>
    <n v="80"/>
    <n v="4160"/>
    <s v="Cash"/>
    <n v="124.8"/>
  </r>
  <r>
    <d v="2025-01-10T00:00:00"/>
    <s v="F-5060-13"/>
    <x v="1"/>
    <s v="Plano"/>
    <x v="6"/>
    <s v="ATP"/>
    <n v="49"/>
    <n v="35"/>
    <n v="1715"/>
    <s v="Credit card"/>
    <n v="41.16"/>
  </r>
  <r>
    <d v="2025-01-10T00:00:00"/>
    <s v="G-3354-13"/>
    <x v="7"/>
    <s v="Richardson"/>
    <x v="4"/>
    <s v="JKA"/>
    <n v="48"/>
    <n v="72"/>
    <n v="3456"/>
    <s v="Credit card"/>
    <n v="76.031999999999996"/>
  </r>
  <r>
    <d v="2025-01-10T00:00:00"/>
    <s v="H-9120-13"/>
    <x v="1"/>
    <s v="Richardson"/>
    <x v="4"/>
    <s v="KQR"/>
    <n v="47"/>
    <n v="41"/>
    <n v="1927"/>
    <s v="Check"/>
    <n v="46.247999999999998"/>
  </r>
  <r>
    <d v="2025-01-11T00:00:00"/>
    <s v="E-9449-14"/>
    <x v="5"/>
    <s v="Dallas"/>
    <x v="5"/>
    <s v="ARP"/>
    <n v="39"/>
    <n v="51"/>
    <n v="1989"/>
    <s v="Check"/>
    <n v="55.692"/>
  </r>
  <r>
    <d v="2025-01-12T00:00:00"/>
    <s v="G-1951-15"/>
    <x v="7"/>
    <s v="Dallas"/>
    <x v="2"/>
    <s v="TSA"/>
    <n v="10"/>
    <n v="70"/>
    <n v="700"/>
    <s v="Gift card"/>
    <n v="21"/>
  </r>
  <r>
    <d v="2025-01-12T00:00:00"/>
    <s v="F-9833-15"/>
    <x v="7"/>
    <s v="Richardson"/>
    <x v="3"/>
    <s v="TSQ"/>
    <n v="15"/>
    <n v="52"/>
    <n v="780"/>
    <s v="Credit card"/>
    <n v="16.38"/>
  </r>
  <r>
    <d v="2025-01-12T00:00:00"/>
    <s v="B-5594-15"/>
    <x v="7"/>
    <s v="Plano"/>
    <x v="4"/>
    <s v="TAP"/>
    <n v="58"/>
    <n v="56"/>
    <n v="3248"/>
    <s v="Gift card"/>
    <n v="84.447999999999993"/>
  </r>
  <r>
    <d v="2025-01-12T00:00:00"/>
    <s v="F-2237-15"/>
    <x v="4"/>
    <s v="Dallas"/>
    <x v="1"/>
    <s v="SMH"/>
    <n v="46"/>
    <n v="31"/>
    <n v="1426"/>
    <s v="Check"/>
    <n v="34.223999999999997"/>
  </r>
  <r>
    <d v="2025-01-12T00:00:00"/>
    <s v="C-1507-15"/>
    <x v="7"/>
    <s v="Frisco"/>
    <x v="1"/>
    <s v="APS"/>
    <n v="30"/>
    <n v="69"/>
    <n v="2070"/>
    <s v="Credit card"/>
    <n v="62.1"/>
  </r>
  <r>
    <d v="2025-01-12T00:00:00"/>
    <s v="H-1724-15"/>
    <x v="8"/>
    <s v="McKinney"/>
    <x v="3"/>
    <s v="SAT"/>
    <n v="12"/>
    <n v="58"/>
    <n v="696"/>
    <s v="Credit card"/>
    <n v="18.792000000000002"/>
  </r>
  <r>
    <d v="2025-01-12T00:00:00"/>
    <s v="G-9589-15"/>
    <x v="8"/>
    <s v="Dallas"/>
    <x v="0"/>
    <s v="JKA"/>
    <n v="11"/>
    <n v="73"/>
    <n v="803"/>
    <s v="Cash"/>
    <n v="18.469000000000001"/>
  </r>
  <r>
    <d v="2025-01-12T00:00:00"/>
    <s v="F-2146-15"/>
    <x v="2"/>
    <s v="Frisco"/>
    <x v="0"/>
    <s v="HNP"/>
    <n v="51"/>
    <n v="38"/>
    <n v="1938"/>
    <s v="Gift card"/>
    <n v="50.387999999999998"/>
  </r>
  <r>
    <d v="2025-01-12T00:00:00"/>
    <s v="B-2485-15"/>
    <x v="8"/>
    <s v="McKinney"/>
    <x v="3"/>
    <s v="KQR"/>
    <n v="48"/>
    <n v="41"/>
    <n v="1968"/>
    <s v="Credit card"/>
    <n v="55.103999999999999"/>
  </r>
  <r>
    <d v="2025-01-12T00:00:00"/>
    <s v="A-8561-15"/>
    <x v="8"/>
    <s v="McKinney"/>
    <x v="3"/>
    <s v="PKH"/>
    <n v="35"/>
    <n v="36"/>
    <n v="1260"/>
    <s v="Credit card"/>
    <n v="32.76"/>
  </r>
  <r>
    <d v="2025-01-12T00:00:00"/>
    <s v="E-1973-15"/>
    <x v="1"/>
    <s v="Plano"/>
    <x v="2"/>
    <s v="TSQ"/>
    <n v="45"/>
    <n v="76"/>
    <n v="3420"/>
    <s v="Cash"/>
    <n v="82.08"/>
  </r>
  <r>
    <d v="2025-01-12T00:00:00"/>
    <s v="C-2575-15"/>
    <x v="6"/>
    <s v="Plano"/>
    <x v="4"/>
    <s v="ATP"/>
    <n v="30"/>
    <n v="68"/>
    <n v="2040"/>
    <s v="Gift card"/>
    <n v="51"/>
  </r>
  <r>
    <d v="2025-01-13T00:00:00"/>
    <s v="F-1408-16"/>
    <x v="4"/>
    <s v="Frisco"/>
    <x v="2"/>
    <s v="HTE"/>
    <n v="33"/>
    <n v="65"/>
    <n v="2145"/>
    <s v="Gift card"/>
    <n v="55.77"/>
  </r>
  <r>
    <d v="2025-01-13T00:00:00"/>
    <s v="F-7593-16"/>
    <x v="5"/>
    <s v="Plano"/>
    <x v="5"/>
    <s v="AKJ"/>
    <n v="32"/>
    <n v="70"/>
    <n v="2240"/>
    <s v="Cash"/>
    <n v="51.52"/>
  </r>
  <r>
    <d v="2025-01-13T00:00:00"/>
    <s v="G-9773-16"/>
    <x v="4"/>
    <s v="Frisco"/>
    <x v="4"/>
    <s v="TSQ"/>
    <n v="14"/>
    <n v="51"/>
    <n v="714"/>
    <s v="Cash"/>
    <n v="14.28"/>
  </r>
  <r>
    <d v="2025-01-13T00:00:00"/>
    <s v="A-3637-16"/>
    <x v="0"/>
    <s v="Allen"/>
    <x v="4"/>
    <s v="HTE"/>
    <n v="12"/>
    <n v="77"/>
    <n v="924"/>
    <s v="Cash"/>
    <n v="26.795999999999999"/>
  </r>
  <r>
    <d v="2025-01-13T00:00:00"/>
    <s v="E-9377-16"/>
    <x v="8"/>
    <s v="Dallas"/>
    <x v="4"/>
    <s v="AKJ"/>
    <n v="36"/>
    <n v="67"/>
    <n v="2412"/>
    <s v="Cash"/>
    <n v="50.652000000000001"/>
  </r>
  <r>
    <d v="2025-01-14T00:00:00"/>
    <s v="E-2445-17"/>
    <x v="1"/>
    <s v="Frisco"/>
    <x v="6"/>
    <s v="MSP"/>
    <n v="27"/>
    <n v="34"/>
    <n v="918"/>
    <s v="Gift card"/>
    <n v="25.704000000000001"/>
  </r>
  <r>
    <d v="2025-01-14T00:00:00"/>
    <s v="F-8326-17"/>
    <x v="1"/>
    <s v="McKinney"/>
    <x v="6"/>
    <s v="PKH"/>
    <n v="27"/>
    <n v="32"/>
    <n v="864"/>
    <s v="Gift card"/>
    <n v="20.736000000000001"/>
  </r>
  <r>
    <d v="2025-01-15T00:00:00"/>
    <s v="D-5080-18"/>
    <x v="8"/>
    <s v="Dallas"/>
    <x v="4"/>
    <s v="PFF"/>
    <n v="53"/>
    <n v="33"/>
    <n v="1749"/>
    <s v="Credit card"/>
    <n v="34.979999999999997"/>
  </r>
  <r>
    <d v="2025-01-15T00:00:00"/>
    <s v="H-6655-18"/>
    <x v="4"/>
    <s v="McKinney"/>
    <x v="3"/>
    <s v="JKA"/>
    <n v="45"/>
    <n v="48"/>
    <n v="2160"/>
    <s v="Check"/>
    <n v="43.2"/>
  </r>
  <r>
    <d v="2025-01-15T00:00:00"/>
    <s v="B-2634-18"/>
    <x v="7"/>
    <s v="McKinney"/>
    <x v="5"/>
    <s v="PKH"/>
    <n v="53"/>
    <n v="79"/>
    <n v="4187"/>
    <s v="Check"/>
    <n v="113.04900000000001"/>
  </r>
  <r>
    <d v="2025-01-15T00:00:00"/>
    <s v="C-5256-18"/>
    <x v="7"/>
    <s v="Allen"/>
    <x v="3"/>
    <s v="HNP"/>
    <n v="16"/>
    <n v="67"/>
    <n v="1072"/>
    <s v="Cash"/>
    <n v="31.088000000000001"/>
  </r>
  <r>
    <d v="2025-01-15T00:00:00"/>
    <s v="D-6751-18"/>
    <x v="2"/>
    <s v="McKinney"/>
    <x v="6"/>
    <s v="HTE"/>
    <n v="24"/>
    <n v="73"/>
    <n v="1752"/>
    <s v="Credit card"/>
    <n v="52.56"/>
  </r>
  <r>
    <d v="2025-01-16T00:00:00"/>
    <s v="A-7027-19"/>
    <x v="4"/>
    <s v="Frisco"/>
    <x v="1"/>
    <s v="HNP"/>
    <n v="16"/>
    <n v="65"/>
    <n v="1040"/>
    <s v="Credit card"/>
    <n v="27.04"/>
  </r>
  <r>
    <d v="2025-01-16T00:00:00"/>
    <s v="B-9216-19"/>
    <x v="0"/>
    <s v="Frisco"/>
    <x v="2"/>
    <s v="ZAA"/>
    <n v="41"/>
    <n v="78"/>
    <n v="3198"/>
    <s v="Credit card"/>
    <n v="63.96"/>
  </r>
  <r>
    <d v="2025-01-16T00:00:00"/>
    <s v="D-5653-19"/>
    <x v="5"/>
    <s v="Frisco"/>
    <x v="2"/>
    <s v="HNP"/>
    <n v="49"/>
    <n v="45"/>
    <n v="2205"/>
    <s v="Credit card"/>
    <n v="55.125"/>
  </r>
  <r>
    <d v="2025-01-16T00:00:00"/>
    <s v="B-5071-19"/>
    <x v="1"/>
    <s v="Allen"/>
    <x v="3"/>
    <s v="ATP"/>
    <n v="22"/>
    <n v="71"/>
    <n v="1562"/>
    <s v="Credit card"/>
    <n v="37.488"/>
  </r>
  <r>
    <d v="2025-01-17T00:00:00"/>
    <s v="A-5990-20"/>
    <x v="7"/>
    <s v="Dallas"/>
    <x v="5"/>
    <s v="APS"/>
    <n v="59"/>
    <n v="57"/>
    <n v="3363"/>
    <s v="Credit card"/>
    <n v="100.89"/>
  </r>
  <r>
    <d v="2025-01-17T00:00:00"/>
    <s v="C-2988-20"/>
    <x v="3"/>
    <s v="Allen"/>
    <x v="5"/>
    <s v="PFF"/>
    <n v="40"/>
    <n v="41"/>
    <n v="1640"/>
    <s v="Credit card"/>
    <n v="45.92"/>
  </r>
  <r>
    <d v="2025-01-17T00:00:00"/>
    <s v="H-7138-20"/>
    <x v="5"/>
    <s v="Richardson"/>
    <x v="2"/>
    <s v="JKA"/>
    <n v="52"/>
    <n v="40"/>
    <n v="2080"/>
    <s v="Cash"/>
    <n v="41.6"/>
  </r>
  <r>
    <d v="2025-01-17T00:00:00"/>
    <s v="D-7753-20"/>
    <x v="7"/>
    <s v="Allen"/>
    <x v="6"/>
    <s v="TAP"/>
    <n v="43"/>
    <n v="67"/>
    <n v="2881"/>
    <s v="Cash"/>
    <n v="60.500999999999998"/>
  </r>
  <r>
    <d v="2025-01-17T00:00:00"/>
    <s v="B-2729-20"/>
    <x v="7"/>
    <s v="Allen"/>
    <x v="1"/>
    <s v="KQR"/>
    <n v="44"/>
    <n v="35"/>
    <n v="1540"/>
    <s v="Credit card"/>
    <n v="40.04"/>
  </r>
  <r>
    <d v="2025-01-17T00:00:00"/>
    <s v="A-8052-20"/>
    <x v="2"/>
    <s v="Allen"/>
    <x v="0"/>
    <s v="TSA"/>
    <n v="54"/>
    <n v="72"/>
    <n v="3888"/>
    <s v="Gift card"/>
    <n v="97.2"/>
  </r>
  <r>
    <d v="2025-01-17T00:00:00"/>
    <s v="E-3156-20"/>
    <x v="6"/>
    <s v="Richardson"/>
    <x v="1"/>
    <s v="HTE"/>
    <n v="24"/>
    <n v="52"/>
    <n v="1248"/>
    <s v="Cash"/>
    <n v="27.456"/>
  </r>
  <r>
    <d v="2025-01-17T00:00:00"/>
    <s v="B-8352-20"/>
    <x v="7"/>
    <s v="Dallas"/>
    <x v="1"/>
    <s v="AKJ"/>
    <n v="58"/>
    <n v="69"/>
    <n v="4002"/>
    <s v="Credit card"/>
    <n v="84.042000000000002"/>
  </r>
  <r>
    <d v="2025-01-18T00:00:00"/>
    <s v="A-6540-21"/>
    <x v="3"/>
    <s v="Frisco"/>
    <x v="3"/>
    <s v="HNP"/>
    <n v="20"/>
    <n v="60"/>
    <n v="1200"/>
    <s v="Check"/>
    <n v="33.6"/>
  </r>
  <r>
    <d v="2025-01-18T00:00:00"/>
    <s v="G-5792-21"/>
    <x v="7"/>
    <s v="Frisco"/>
    <x v="1"/>
    <s v="JKA"/>
    <n v="43"/>
    <n v="44"/>
    <n v="1892"/>
    <s v="Cash"/>
    <n v="52.975999999999999"/>
  </r>
  <r>
    <d v="2025-01-18T00:00:00"/>
    <s v="A-9461-21"/>
    <x v="6"/>
    <s v="Dallas"/>
    <x v="5"/>
    <s v="AKJ"/>
    <n v="16"/>
    <n v="58"/>
    <n v="928"/>
    <s v="Gift card"/>
    <n v="24.128"/>
  </r>
  <r>
    <d v="2025-01-18T00:00:00"/>
    <s v="A-9384-21"/>
    <x v="3"/>
    <s v="Dallas"/>
    <x v="6"/>
    <s v="PFF"/>
    <n v="20"/>
    <n v="50"/>
    <n v="1000"/>
    <s v="Credit card"/>
    <n v="30"/>
  </r>
  <r>
    <d v="2025-01-18T00:00:00"/>
    <s v="H-1901-21"/>
    <x v="6"/>
    <s v="Coppell"/>
    <x v="4"/>
    <s v="SMH"/>
    <n v="48"/>
    <n v="45"/>
    <n v="2160"/>
    <s v="Credit card"/>
    <n v="54"/>
  </r>
  <r>
    <d v="2025-01-18T00:00:00"/>
    <s v="G-8543-21"/>
    <x v="1"/>
    <s v="Plano"/>
    <x v="3"/>
    <s v="HTE"/>
    <n v="13"/>
    <n v="56"/>
    <n v="728"/>
    <s v="Credit card"/>
    <n v="18.928000000000001"/>
  </r>
  <r>
    <d v="2025-01-19T00:00:00"/>
    <s v="C-5827-22"/>
    <x v="4"/>
    <s v="Dallas"/>
    <x v="1"/>
    <s v="SMH"/>
    <n v="59"/>
    <n v="57"/>
    <n v="3363"/>
    <s v="Gift card"/>
    <n v="97.527000000000001"/>
  </r>
  <r>
    <d v="2025-01-20T00:00:00"/>
    <s v="B-9755-23"/>
    <x v="1"/>
    <s v="Dallas"/>
    <x v="6"/>
    <s v="APS"/>
    <n v="25"/>
    <n v="51"/>
    <n v="1275"/>
    <s v="Credit card"/>
    <n v="35.700000000000003"/>
  </r>
  <r>
    <d v="2025-01-20T00:00:00"/>
    <s v="A-3397-23"/>
    <x v="8"/>
    <s v="Dallas"/>
    <x v="6"/>
    <s v="KQR"/>
    <n v="46"/>
    <n v="53"/>
    <n v="2438"/>
    <s v="Gift card"/>
    <n v="63.387999999999998"/>
  </r>
  <r>
    <d v="2025-01-20T00:00:00"/>
    <s v="D-2654-23"/>
    <x v="7"/>
    <s v="Coppell"/>
    <x v="1"/>
    <s v="APS"/>
    <n v="34"/>
    <n v="21"/>
    <n v="714"/>
    <s v="Cash"/>
    <n v="17.135999999999999"/>
  </r>
  <r>
    <d v="2025-01-20T00:00:00"/>
    <s v="B-8289-23"/>
    <x v="4"/>
    <s v="Allen"/>
    <x v="2"/>
    <s v="TSQ"/>
    <n v="24"/>
    <n v="49"/>
    <n v="1176"/>
    <s v="Check"/>
    <n v="35.28"/>
  </r>
  <r>
    <d v="2025-01-20T00:00:00"/>
    <s v="F-8959-23"/>
    <x v="4"/>
    <s v="Coppell"/>
    <x v="1"/>
    <s v="TSQ"/>
    <n v="29"/>
    <n v="48"/>
    <n v="1392"/>
    <s v="Cash"/>
    <n v="32.015999999999998"/>
  </r>
  <r>
    <d v="2025-01-20T00:00:00"/>
    <s v="A-9801-23"/>
    <x v="1"/>
    <s v="Coppell"/>
    <x v="0"/>
    <s v="PKH"/>
    <n v="11"/>
    <n v="30"/>
    <n v="330"/>
    <s v="Gift card"/>
    <n v="6.93"/>
  </r>
  <r>
    <d v="2025-01-20T00:00:00"/>
    <s v="F-7391-23"/>
    <x v="7"/>
    <s v="Dallas"/>
    <x v="3"/>
    <s v="JKA"/>
    <n v="40"/>
    <n v="53"/>
    <n v="2120"/>
    <s v="Credit card"/>
    <n v="48.76"/>
  </r>
  <r>
    <d v="2025-01-20T00:00:00"/>
    <s v="C-5676-23"/>
    <x v="4"/>
    <s v="Dallas"/>
    <x v="0"/>
    <s v="JKA"/>
    <n v="15"/>
    <n v="40"/>
    <n v="600"/>
    <s v="Cash"/>
    <n v="16.8"/>
  </r>
  <r>
    <d v="2025-01-20T00:00:00"/>
    <s v="C-7062-23"/>
    <x v="5"/>
    <s v="Richardson"/>
    <x v="4"/>
    <s v="TSA"/>
    <n v="29"/>
    <n v="24"/>
    <n v="696"/>
    <s v="Gift card"/>
    <n v="18.792000000000002"/>
  </r>
  <r>
    <d v="2025-01-20T00:00:00"/>
    <s v="H-3794-23"/>
    <x v="4"/>
    <s v="McKinney"/>
    <x v="5"/>
    <s v="TSA"/>
    <n v="56"/>
    <n v="46"/>
    <n v="2576"/>
    <s v="Cash"/>
    <n v="59.247999999999998"/>
  </r>
  <r>
    <d v="2025-01-21T00:00:00"/>
    <s v="G-8822-24"/>
    <x v="1"/>
    <s v="McKinney"/>
    <x v="4"/>
    <s v="ARP"/>
    <n v="12"/>
    <n v="37"/>
    <n v="444"/>
    <s v="Gift card"/>
    <n v="11.544"/>
  </r>
  <r>
    <d v="2025-01-21T00:00:00"/>
    <s v="G-6764-24"/>
    <x v="4"/>
    <s v="Frisco"/>
    <x v="3"/>
    <s v="TAP"/>
    <n v="24"/>
    <n v="47"/>
    <n v="1128"/>
    <s v="Credit card"/>
    <n v="22.56"/>
  </r>
  <r>
    <d v="2025-01-21T00:00:00"/>
    <s v="B-7942-24"/>
    <x v="4"/>
    <s v="McKinney"/>
    <x v="0"/>
    <s v="ARP"/>
    <n v="30"/>
    <n v="60"/>
    <n v="1800"/>
    <s v="Credit card"/>
    <n v="48.6"/>
  </r>
  <r>
    <d v="2025-01-21T00:00:00"/>
    <s v="D-7149-24"/>
    <x v="8"/>
    <s v="Plano"/>
    <x v="2"/>
    <s v="APS"/>
    <n v="26"/>
    <n v="53"/>
    <n v="1378"/>
    <s v="Gift card"/>
    <n v="31.693999999999999"/>
  </r>
  <r>
    <d v="2025-01-21T00:00:00"/>
    <s v="C-7312-24"/>
    <x v="7"/>
    <s v="Plano"/>
    <x v="4"/>
    <s v="ATP"/>
    <n v="56"/>
    <n v="52"/>
    <n v="2912"/>
    <s v="Credit card"/>
    <n v="87.36"/>
  </r>
  <r>
    <d v="2025-01-21T00:00:00"/>
    <s v="B-2139-24"/>
    <x v="4"/>
    <s v="Dallas"/>
    <x v="4"/>
    <s v="ZAA"/>
    <n v="10"/>
    <n v="48"/>
    <n v="480"/>
    <s v="Cash"/>
    <n v="12.48"/>
  </r>
  <r>
    <d v="2025-01-21T00:00:00"/>
    <s v="F-3760-24"/>
    <x v="0"/>
    <s v="Richardson"/>
    <x v="3"/>
    <s v="PKH"/>
    <n v="38"/>
    <n v="52"/>
    <n v="1976"/>
    <s v="Cash"/>
    <n v="55.328000000000003"/>
  </r>
  <r>
    <d v="2025-01-21T00:00:00"/>
    <s v="A-7109-24"/>
    <x v="7"/>
    <s v="Richardson"/>
    <x v="1"/>
    <s v="JKA"/>
    <n v="48"/>
    <n v="47"/>
    <n v="2256"/>
    <s v="Credit card"/>
    <n v="47.375999999999998"/>
  </r>
  <r>
    <d v="2025-01-21T00:00:00"/>
    <s v="H-3727-24"/>
    <x v="6"/>
    <s v="Frisco"/>
    <x v="1"/>
    <s v="TSA"/>
    <n v="41"/>
    <n v="45"/>
    <n v="1845"/>
    <s v="Check"/>
    <n v="47.97"/>
  </r>
  <r>
    <d v="2025-01-21T00:00:00"/>
    <s v="A-3611-24"/>
    <x v="4"/>
    <s v="McKinney"/>
    <x v="4"/>
    <s v="AKJ"/>
    <n v="29"/>
    <n v="47"/>
    <n v="1363"/>
    <s v="Credit card"/>
    <n v="35.438000000000002"/>
  </r>
  <r>
    <d v="2025-01-21T00:00:00"/>
    <s v="E-9911-24"/>
    <x v="0"/>
    <s v="Richardson"/>
    <x v="2"/>
    <s v="HTE"/>
    <n v="28"/>
    <n v="31"/>
    <n v="868"/>
    <s v="Credit card"/>
    <n v="19.963999999999999"/>
  </r>
  <r>
    <d v="2025-01-21T00:00:00"/>
    <s v="D-3829-24"/>
    <x v="1"/>
    <s v="Frisco"/>
    <x v="4"/>
    <s v="JKA"/>
    <n v="35"/>
    <n v="53"/>
    <n v="1855"/>
    <s v="Credit card"/>
    <n v="50.085000000000001"/>
  </r>
  <r>
    <d v="2025-01-21T00:00:00"/>
    <s v="G-6459-24"/>
    <x v="1"/>
    <s v="Frisco"/>
    <x v="3"/>
    <s v="JKA"/>
    <n v="60"/>
    <n v="36"/>
    <n v="2160"/>
    <s v="Cash"/>
    <n v="45.36"/>
  </r>
  <r>
    <d v="2025-01-21T00:00:00"/>
    <s v="B-9035-24"/>
    <x v="4"/>
    <s v="Coppell"/>
    <x v="1"/>
    <s v="TSA"/>
    <n v="27"/>
    <n v="48"/>
    <n v="1296"/>
    <s v="Gift card"/>
    <n v="33.695999999999998"/>
  </r>
  <r>
    <d v="2025-01-21T00:00:00"/>
    <s v="E-4407-24"/>
    <x v="3"/>
    <s v="Allen"/>
    <x v="4"/>
    <s v="TSQ"/>
    <n v="16"/>
    <n v="35"/>
    <n v="560"/>
    <s v="Gift card"/>
    <n v="15.68"/>
  </r>
  <r>
    <d v="2025-01-22T00:00:00"/>
    <s v="F-4120-25"/>
    <x v="6"/>
    <s v="Dallas"/>
    <x v="0"/>
    <s v="TAP"/>
    <n v="60"/>
    <n v="60"/>
    <n v="3600"/>
    <s v="Cash"/>
    <n v="108"/>
  </r>
  <r>
    <d v="2025-01-22T00:00:00"/>
    <s v="A-4157-25"/>
    <x v="4"/>
    <s v="McKinney"/>
    <x v="0"/>
    <s v="TSQ"/>
    <n v="44"/>
    <n v="53"/>
    <n v="2332"/>
    <s v="Cash"/>
    <n v="51.304000000000002"/>
  </r>
  <r>
    <d v="2025-01-22T00:00:00"/>
    <s v="D-7379-25"/>
    <x v="2"/>
    <s v="Plano"/>
    <x v="4"/>
    <s v="SMH"/>
    <n v="60"/>
    <n v="38"/>
    <n v="2280"/>
    <s v="Credit card"/>
    <n v="61.56"/>
  </r>
  <r>
    <d v="2025-01-22T00:00:00"/>
    <s v="F-2201-25"/>
    <x v="2"/>
    <s v="Coppell"/>
    <x v="1"/>
    <s v="TAP"/>
    <n v="51"/>
    <n v="20"/>
    <n v="1020"/>
    <s v="Cash"/>
    <n v="24.48"/>
  </r>
  <r>
    <d v="2025-01-23T00:00:00"/>
    <s v="H-4610-26"/>
    <x v="7"/>
    <s v="Coppell"/>
    <x v="4"/>
    <s v="SAT"/>
    <n v="39"/>
    <n v="26"/>
    <n v="1014"/>
    <s v="Credit card"/>
    <n v="20.28"/>
  </r>
  <r>
    <d v="2025-01-24T00:00:00"/>
    <s v="D-8415-27"/>
    <x v="3"/>
    <s v="Allen"/>
    <x v="0"/>
    <s v="KQR"/>
    <n v="59"/>
    <n v="41"/>
    <n v="2419"/>
    <s v="Check"/>
    <n v="65.313000000000002"/>
  </r>
  <r>
    <d v="2025-01-24T00:00:00"/>
    <s v="A-8370-27"/>
    <x v="2"/>
    <s v="Coppell"/>
    <x v="2"/>
    <s v="MSP"/>
    <n v="56"/>
    <n v="25"/>
    <n v="1400"/>
    <s v="Credit card"/>
    <n v="42"/>
  </r>
  <r>
    <d v="2025-01-25T00:00:00"/>
    <s v="B-5256-28"/>
    <x v="4"/>
    <s v="Dallas"/>
    <x v="6"/>
    <s v="JKA"/>
    <n v="41"/>
    <n v="25"/>
    <n v="1025"/>
    <s v="Cash"/>
    <n v="26.65"/>
  </r>
  <r>
    <d v="2025-01-25T00:00:00"/>
    <s v="E-4834-28"/>
    <x v="4"/>
    <s v="Dallas"/>
    <x v="1"/>
    <s v="ATP"/>
    <n v="32"/>
    <n v="51"/>
    <n v="1632"/>
    <s v="Cash"/>
    <n v="40.799999999999997"/>
  </r>
  <r>
    <d v="2025-01-25T00:00:00"/>
    <s v="E-3039-28"/>
    <x v="7"/>
    <s v="Allen"/>
    <x v="6"/>
    <s v="SMH"/>
    <n v="10"/>
    <n v="39"/>
    <n v="390"/>
    <s v="Cash"/>
    <n v="8.19"/>
  </r>
  <r>
    <d v="2025-01-25T00:00:00"/>
    <s v="H-3123-28"/>
    <x v="6"/>
    <s v="Plano"/>
    <x v="1"/>
    <s v="TAP"/>
    <n v="17"/>
    <n v="55"/>
    <n v="935"/>
    <s v="Credit card"/>
    <n v="24.31"/>
  </r>
  <r>
    <d v="2025-01-25T00:00:00"/>
    <s v="G-9353-28"/>
    <x v="2"/>
    <s v="Plano"/>
    <x v="2"/>
    <s v="SAT"/>
    <n v="37"/>
    <n v="45"/>
    <n v="1665"/>
    <s v="Cash"/>
    <n v="33.299999999999997"/>
  </r>
  <r>
    <d v="2025-01-25T00:00:00"/>
    <s v="F-4940-28"/>
    <x v="7"/>
    <s v="Allen"/>
    <x v="6"/>
    <s v="AKJ"/>
    <n v="43"/>
    <n v="25"/>
    <n v="1075"/>
    <s v="Credit card"/>
    <n v="22.574999999999999"/>
  </r>
  <r>
    <d v="2025-01-25T00:00:00"/>
    <s v="E-7772-28"/>
    <x v="2"/>
    <s v="McKinney"/>
    <x v="4"/>
    <s v="ATP"/>
    <n v="53"/>
    <n v="57"/>
    <n v="3021"/>
    <s v="Credit card"/>
    <n v="66.462000000000003"/>
  </r>
  <r>
    <d v="2025-01-25T00:00:00"/>
    <s v="A-7396-28"/>
    <x v="5"/>
    <s v="Dallas"/>
    <x v="3"/>
    <s v="JKA"/>
    <n v="13"/>
    <n v="49"/>
    <n v="637"/>
    <s v="Credit card"/>
    <n v="15.925000000000001"/>
  </r>
  <r>
    <d v="2025-01-25T00:00:00"/>
    <s v="B-5994-28"/>
    <x v="3"/>
    <s v="Richardson"/>
    <x v="0"/>
    <s v="HTE"/>
    <n v="30"/>
    <n v="58"/>
    <n v="1740"/>
    <s v="Check"/>
    <n v="48.72"/>
  </r>
  <r>
    <d v="2025-01-25T00:00:00"/>
    <s v="H-5035-28"/>
    <x v="4"/>
    <s v="Richardson"/>
    <x v="3"/>
    <s v="ARP"/>
    <n v="21"/>
    <n v="47"/>
    <n v="987"/>
    <s v="Credit card"/>
    <n v="28.623000000000001"/>
  </r>
  <r>
    <d v="2025-01-25T00:00:00"/>
    <s v="B-5673-28"/>
    <x v="1"/>
    <s v="Allen"/>
    <x v="2"/>
    <s v="ZAA"/>
    <n v="12"/>
    <n v="37"/>
    <n v="444"/>
    <s v="Check"/>
    <n v="9.3239999999999998"/>
  </r>
  <r>
    <d v="2025-01-25T00:00:00"/>
    <s v="H-8854-28"/>
    <x v="4"/>
    <s v="Richardson"/>
    <x v="3"/>
    <s v="HNP"/>
    <n v="25"/>
    <n v="43"/>
    <n v="1075"/>
    <s v="Cash"/>
    <n v="31.175000000000001"/>
  </r>
  <r>
    <d v="2025-01-25T00:00:00"/>
    <s v="G-2325-28"/>
    <x v="0"/>
    <s v="Allen"/>
    <x v="3"/>
    <s v="ATP"/>
    <n v="15"/>
    <n v="30"/>
    <n v="450"/>
    <s v="Gift card"/>
    <n v="12.6"/>
  </r>
  <r>
    <d v="2025-01-26T00:00:00"/>
    <s v="E-5747-29"/>
    <x v="5"/>
    <s v="Dallas"/>
    <x v="1"/>
    <s v="JKA"/>
    <n v="56"/>
    <n v="45"/>
    <n v="2520"/>
    <s v="Credit card"/>
    <n v="57.96"/>
  </r>
  <r>
    <d v="2025-01-26T00:00:00"/>
    <s v="G-8471-29"/>
    <x v="6"/>
    <s v="Plano"/>
    <x v="4"/>
    <s v="AKJ"/>
    <n v="51"/>
    <n v="55"/>
    <n v="2805"/>
    <s v="Credit card"/>
    <n v="72.930000000000007"/>
  </r>
  <r>
    <d v="2025-01-26T00:00:00"/>
    <s v="B-9189-29"/>
    <x v="3"/>
    <s v="McKinney"/>
    <x v="6"/>
    <s v="HTE"/>
    <n v="15"/>
    <n v="40"/>
    <n v="600"/>
    <s v="Credit card"/>
    <n v="15"/>
  </r>
  <r>
    <d v="2025-01-26T00:00:00"/>
    <s v="F-9069-29"/>
    <x v="2"/>
    <s v="Plano"/>
    <x v="3"/>
    <s v="MSP"/>
    <n v="19"/>
    <n v="23"/>
    <n v="437"/>
    <s v="Credit card"/>
    <n v="8.74"/>
  </r>
  <r>
    <d v="2025-01-26T00:00:00"/>
    <s v="B-5795-29"/>
    <x v="2"/>
    <s v="Richardson"/>
    <x v="3"/>
    <s v="PKH"/>
    <n v="45"/>
    <n v="52"/>
    <n v="2340"/>
    <s v="Credit card"/>
    <n v="60.84"/>
  </r>
  <r>
    <d v="2025-01-26T00:00:00"/>
    <s v="G-3498-29"/>
    <x v="3"/>
    <s v="McKinney"/>
    <x v="4"/>
    <s v="ARP"/>
    <n v="22"/>
    <n v="59"/>
    <n v="1298"/>
    <s v="Gift card"/>
    <n v="38.94"/>
  </r>
  <r>
    <d v="2025-01-27T00:00:00"/>
    <s v="E-7059-30"/>
    <x v="7"/>
    <s v="Allen"/>
    <x v="3"/>
    <s v="APS"/>
    <n v="38"/>
    <n v="53"/>
    <n v="2014"/>
    <s v="Gift card"/>
    <n v="44.308"/>
  </r>
  <r>
    <d v="2025-01-27T00:00:00"/>
    <s v="G-7869-30"/>
    <x v="7"/>
    <s v="Allen"/>
    <x v="2"/>
    <s v="ZAA"/>
    <n v="60"/>
    <n v="33"/>
    <n v="1980"/>
    <s v="Gift card"/>
    <n v="41.58"/>
  </r>
  <r>
    <d v="2025-01-27T00:00:00"/>
    <s v="B-4423-30"/>
    <x v="7"/>
    <s v="Plano"/>
    <x v="1"/>
    <s v="HTE"/>
    <n v="11"/>
    <n v="56"/>
    <n v="616"/>
    <s v="Credit card"/>
    <n v="12.936"/>
  </r>
  <r>
    <d v="2025-01-27T00:00:00"/>
    <s v="H-6321-30"/>
    <x v="8"/>
    <s v="Dallas"/>
    <x v="1"/>
    <s v="HTE"/>
    <n v="34"/>
    <n v="20"/>
    <n v="680"/>
    <s v="Check"/>
    <n v="19.04"/>
  </r>
  <r>
    <d v="2025-01-27T00:00:00"/>
    <s v="A-4221-30"/>
    <x v="7"/>
    <s v="Plano"/>
    <x v="6"/>
    <s v="PKH"/>
    <n v="27"/>
    <n v="32"/>
    <n v="864"/>
    <s v="Credit card"/>
    <n v="19.007999999999999"/>
  </r>
  <r>
    <d v="2025-01-27T00:00:00"/>
    <s v="E-9208-30"/>
    <x v="0"/>
    <s v="Plano"/>
    <x v="1"/>
    <s v="KQR"/>
    <n v="25"/>
    <n v="56"/>
    <n v="1400"/>
    <s v="Gift card"/>
    <n v="40.6"/>
  </r>
  <r>
    <d v="2025-01-27T00:00:00"/>
    <s v="F-3283-30"/>
    <x v="7"/>
    <s v="Coppell"/>
    <x v="1"/>
    <s v="PFF"/>
    <n v="16"/>
    <n v="25"/>
    <n v="400"/>
    <s v="Cash"/>
    <n v="9.1999999999999993"/>
  </r>
  <r>
    <d v="2025-01-28T00:00:00"/>
    <s v="HK-2365-1"/>
    <x v="4"/>
    <s v="McKinney"/>
    <x v="3"/>
    <s v="AKJ"/>
    <n v="13"/>
    <n v="33"/>
    <n v="429"/>
    <s v="Credit card"/>
    <n v="9.8670000000000009"/>
  </r>
  <r>
    <d v="2025-01-28T00:00:00"/>
    <s v="GK-1304-1"/>
    <x v="4"/>
    <s v="Plano"/>
    <x v="3"/>
    <s v="SMH"/>
    <n v="36"/>
    <n v="28"/>
    <n v="1008"/>
    <s v="Credit card"/>
    <n v="23.184000000000001"/>
  </r>
  <r>
    <d v="2025-01-28T00:00:00"/>
    <s v="AK-7202-1"/>
    <x v="7"/>
    <s v="McKinney"/>
    <x v="6"/>
    <s v="KQR"/>
    <n v="33"/>
    <n v="51"/>
    <n v="1683"/>
    <s v="Credit card"/>
    <n v="33.659999999999997"/>
  </r>
  <r>
    <d v="2025-01-28T00:00:00"/>
    <s v="DK-7169-1"/>
    <x v="8"/>
    <s v="Dallas"/>
    <x v="1"/>
    <s v="PKH"/>
    <n v="30"/>
    <n v="60"/>
    <n v="1800"/>
    <s v="Credit card"/>
    <n v="43.2"/>
  </r>
  <r>
    <d v="2025-01-28T00:00:00"/>
    <s v="DK-6784-1"/>
    <x v="7"/>
    <s v="Plano"/>
    <x v="2"/>
    <s v="PKH"/>
    <n v="12"/>
    <n v="59"/>
    <n v="708"/>
    <s v="Credit card"/>
    <n v="16.283999999999999"/>
  </r>
  <r>
    <d v="2025-01-28T00:00:00"/>
    <s v="CK-1573-1"/>
    <x v="0"/>
    <s v="Dallas"/>
    <x v="2"/>
    <s v="TSQ"/>
    <n v="14"/>
    <n v="58"/>
    <n v="812"/>
    <s v="Gift card"/>
    <n v="21.111999999999998"/>
  </r>
  <r>
    <d v="2025-01-28T00:00:00"/>
    <s v="BK-2630-1"/>
    <x v="4"/>
    <s v="Frisco"/>
    <x v="5"/>
    <s v="ARP"/>
    <n v="24"/>
    <n v="26"/>
    <n v="624"/>
    <s v="Credit card"/>
    <n v="16.847999999999999"/>
  </r>
  <r>
    <d v="2025-01-28T00:00:00"/>
    <s v="BK-1512-1"/>
    <x v="3"/>
    <s v="Dallas"/>
    <x v="1"/>
    <s v="SMH"/>
    <n v="12"/>
    <n v="38"/>
    <n v="456"/>
    <s v="Credit card"/>
    <n v="9.1199999999999992"/>
  </r>
  <r>
    <d v="2025-01-28T00:00:00"/>
    <s v="FK-7331-1"/>
    <x v="2"/>
    <s v="Dallas"/>
    <x v="4"/>
    <s v="SAT"/>
    <n v="43"/>
    <n v="57"/>
    <n v="2451"/>
    <s v="Credit card"/>
    <n v="49.02"/>
  </r>
  <r>
    <d v="2025-01-28T00:00:00"/>
    <s v="AK-5074-1"/>
    <x v="1"/>
    <s v="Coppell"/>
    <x v="3"/>
    <s v="TAP"/>
    <n v="41"/>
    <n v="34"/>
    <n v="1394"/>
    <s v="Credit card"/>
    <n v="32.061999999999998"/>
  </r>
  <r>
    <d v="2025-01-28T00:00:00"/>
    <s v="GK-1549-1"/>
    <x v="4"/>
    <s v="Dallas"/>
    <x v="3"/>
    <s v="MSP"/>
    <n v="30"/>
    <n v="22"/>
    <n v="660"/>
    <s v="Cash"/>
    <n v="17.82"/>
  </r>
  <r>
    <d v="2025-01-29T00:00:00"/>
    <s v="CK-5588-2"/>
    <x v="8"/>
    <s v="Dallas"/>
    <x v="3"/>
    <s v="TAP"/>
    <n v="33"/>
    <n v="40"/>
    <n v="1320"/>
    <s v="Gift card"/>
    <n v="27.72"/>
  </r>
  <r>
    <d v="2025-01-29T00:00:00"/>
    <s v="BK-4182-2"/>
    <x v="7"/>
    <s v="Frisco"/>
    <x v="0"/>
    <s v="ARP"/>
    <n v="22"/>
    <n v="23"/>
    <n v="506"/>
    <s v="Cash"/>
    <n v="10.625999999999999"/>
  </r>
  <r>
    <d v="2025-01-29T00:00:00"/>
    <s v="HK-1218-2"/>
    <x v="2"/>
    <s v="Coppell"/>
    <x v="0"/>
    <s v="JKA"/>
    <n v="31"/>
    <n v="40"/>
    <n v="1240"/>
    <s v="Cash"/>
    <n v="37.200000000000003"/>
  </r>
  <r>
    <d v="2025-01-29T00:00:00"/>
    <s v="HK-5888-2"/>
    <x v="4"/>
    <s v="Allen"/>
    <x v="5"/>
    <s v="ZAA"/>
    <n v="33"/>
    <n v="38"/>
    <n v="1254"/>
    <s v="Cash"/>
    <n v="33.857999999999997"/>
  </r>
  <r>
    <d v="2025-01-29T00:00:00"/>
    <s v="CK-7951-2"/>
    <x v="3"/>
    <s v="Plano"/>
    <x v="6"/>
    <s v="JKA"/>
    <n v="34"/>
    <n v="49"/>
    <n v="1666"/>
    <s v="Credit card"/>
    <n v="43.316000000000003"/>
  </r>
  <r>
    <d v="2025-01-29T00:00:00"/>
    <s v="AK-5163-2"/>
    <x v="7"/>
    <s v="McKinney"/>
    <x v="4"/>
    <s v="JKA"/>
    <n v="37"/>
    <n v="21"/>
    <n v="777"/>
    <s v="Credit card"/>
    <n v="16.317"/>
  </r>
  <r>
    <d v="2025-01-29T00:00:00"/>
    <s v="HK-9598-2"/>
    <x v="1"/>
    <s v="McKinney"/>
    <x v="0"/>
    <s v="TSQ"/>
    <n v="28"/>
    <n v="24"/>
    <n v="672"/>
    <s v="Check"/>
    <n v="19.488"/>
  </r>
  <r>
    <d v="2025-01-29T00:00:00"/>
    <s v="EK-7780-2"/>
    <x v="0"/>
    <s v="Plano"/>
    <x v="2"/>
    <s v="ZAA"/>
    <n v="51"/>
    <n v="41"/>
    <n v="2091"/>
    <s v="Credit card"/>
    <n v="52.274999999999999"/>
  </r>
  <r>
    <d v="2025-01-29T00:00:00"/>
    <s v="BK-8588-2"/>
    <x v="8"/>
    <s v="Coppell"/>
    <x v="6"/>
    <s v="TSA"/>
    <n v="25"/>
    <n v="46"/>
    <n v="1150"/>
    <s v="Gift card"/>
    <n v="27.6"/>
  </r>
  <r>
    <d v="2025-01-29T00:00:00"/>
    <s v="EK-2054-2"/>
    <x v="0"/>
    <s v="Plano"/>
    <x v="4"/>
    <s v="PKH"/>
    <n v="18"/>
    <n v="21"/>
    <n v="378"/>
    <s v="Credit card"/>
    <n v="10.962"/>
  </r>
  <r>
    <d v="2025-01-29T00:00:00"/>
    <s v="GK-5861-2"/>
    <x v="8"/>
    <s v="Allen"/>
    <x v="3"/>
    <s v="SMH"/>
    <n v="10"/>
    <n v="49"/>
    <n v="490"/>
    <s v="Cash"/>
    <n v="13.72"/>
  </r>
  <r>
    <d v="2025-01-29T00:00:00"/>
    <s v="GK-1895-2"/>
    <x v="0"/>
    <s v="Plano"/>
    <x v="3"/>
    <s v="APS"/>
    <n v="50"/>
    <n v="50"/>
    <n v="2500"/>
    <s v="Cash"/>
    <n v="65"/>
  </r>
  <r>
    <d v="2025-01-29T00:00:00"/>
    <s v="GK-4844-2"/>
    <x v="8"/>
    <s v="Allen"/>
    <x v="2"/>
    <s v="MSP"/>
    <n v="14"/>
    <n v="31"/>
    <n v="434"/>
    <s v="Cash"/>
    <n v="11.718"/>
  </r>
  <r>
    <d v="2025-01-29T00:00:00"/>
    <s v="BK-6385-2"/>
    <x v="2"/>
    <s v="Plano"/>
    <x v="2"/>
    <s v="JKA"/>
    <n v="47"/>
    <n v="59"/>
    <n v="2773"/>
    <s v="Credit card"/>
    <n v="83.19"/>
  </r>
  <r>
    <d v="2025-01-29T00:00:00"/>
    <s v="GK-2803-2"/>
    <x v="5"/>
    <s v="Frisco"/>
    <x v="0"/>
    <s v="ARP"/>
    <n v="16"/>
    <n v="39"/>
    <n v="624"/>
    <s v="Credit card"/>
    <n v="13.728"/>
  </r>
  <r>
    <d v="2025-01-29T00:00:00"/>
    <s v="BK-1326-2"/>
    <x v="8"/>
    <s v="McKinney"/>
    <x v="5"/>
    <s v="TSA"/>
    <n v="17"/>
    <n v="40"/>
    <n v="680"/>
    <s v="Cash"/>
    <n v="19.04"/>
  </r>
  <r>
    <d v="2025-01-30T00:00:00"/>
    <s v="HK-8473-3"/>
    <x v="8"/>
    <s v="McKinney"/>
    <x v="3"/>
    <s v="HTE"/>
    <n v="43"/>
    <n v="46"/>
    <n v="1978"/>
    <s v="Gift card"/>
    <n v="41.537999999999997"/>
  </r>
  <r>
    <d v="2025-01-30T00:00:00"/>
    <s v="FK-5868-3"/>
    <x v="3"/>
    <s v="Dallas"/>
    <x v="3"/>
    <s v="APS"/>
    <n v="15"/>
    <n v="60"/>
    <n v="900"/>
    <s v="Credit card"/>
    <n v="18"/>
  </r>
  <r>
    <d v="2025-01-30T00:00:00"/>
    <s v="DK-6770-3"/>
    <x v="5"/>
    <s v="Allen"/>
    <x v="0"/>
    <s v="APS"/>
    <n v="17"/>
    <n v="42"/>
    <n v="714"/>
    <s v="Credit card"/>
    <n v="18.564"/>
  </r>
  <r>
    <d v="2025-01-30T00:00:00"/>
    <s v="CK-3377-3"/>
    <x v="7"/>
    <s v="Frisco"/>
    <x v="2"/>
    <s v="SMH"/>
    <n v="14"/>
    <n v="42"/>
    <n v="588"/>
    <s v="Credit card"/>
    <n v="15.288"/>
  </r>
  <r>
    <d v="2025-01-30T00:00:00"/>
    <s v="CK-4807-3"/>
    <x v="0"/>
    <s v="Allen"/>
    <x v="1"/>
    <s v="PKH"/>
    <n v="40"/>
    <n v="51"/>
    <n v="2040"/>
    <s v="Cash"/>
    <n v="42.84"/>
  </r>
  <r>
    <d v="2025-01-30T00:00:00"/>
    <s v="FK-2238-3"/>
    <x v="4"/>
    <s v="Dallas"/>
    <x v="6"/>
    <s v="PKH"/>
    <n v="23"/>
    <n v="57"/>
    <n v="1311"/>
    <s v="Check"/>
    <n v="26.22"/>
  </r>
  <r>
    <d v="2025-01-30T00:00:00"/>
    <s v="DK-8735-3"/>
    <x v="3"/>
    <s v="Richardson"/>
    <x v="3"/>
    <s v="APS"/>
    <n v="46"/>
    <n v="23"/>
    <n v="1058"/>
    <s v="Cash"/>
    <n v="30.681999999999999"/>
  </r>
  <r>
    <d v="2025-01-30T00:00:00"/>
    <s v="AK-4696-3"/>
    <x v="5"/>
    <s v="Dallas"/>
    <x v="1"/>
    <s v="JKA"/>
    <n v="30"/>
    <n v="46"/>
    <n v="1380"/>
    <s v="Cash"/>
    <n v="37.26"/>
  </r>
  <r>
    <d v="2025-01-30T00:00:00"/>
    <s v="HK-2340-3"/>
    <x v="4"/>
    <s v="Plano"/>
    <x v="5"/>
    <s v="HNP"/>
    <n v="43"/>
    <n v="46"/>
    <n v="1978"/>
    <s v="Credit card"/>
    <n v="51.427999999999997"/>
  </r>
  <r>
    <d v="2025-01-30T00:00:00"/>
    <s v="BK-6226-3"/>
    <x v="0"/>
    <s v="Plano"/>
    <x v="4"/>
    <s v="ZAA"/>
    <n v="27"/>
    <n v="25"/>
    <n v="675"/>
    <s v="Check"/>
    <n v="16.875"/>
  </r>
  <r>
    <d v="2025-01-30T00:00:00"/>
    <s v="FK-2583-3"/>
    <x v="4"/>
    <s v="Plano"/>
    <x v="0"/>
    <s v="SMH"/>
    <n v="39"/>
    <n v="33"/>
    <n v="1287"/>
    <s v="Credit card"/>
    <n v="30.888000000000002"/>
  </r>
  <r>
    <d v="2025-01-30T00:00:00"/>
    <s v="FK-4902-3"/>
    <x v="7"/>
    <s v="Dallas"/>
    <x v="0"/>
    <s v="TSA"/>
    <n v="19"/>
    <n v="55"/>
    <n v="1045"/>
    <s v="Gift card"/>
    <n v="27.17"/>
  </r>
  <r>
    <d v="2025-01-30T00:00:00"/>
    <s v="CK-9440-3"/>
    <x v="2"/>
    <s v="Plano"/>
    <x v="1"/>
    <s v="MSP"/>
    <n v="23"/>
    <n v="22"/>
    <n v="506"/>
    <s v="Check"/>
    <n v="11.132"/>
  </r>
  <r>
    <d v="2025-01-31T00:00:00"/>
    <s v="GK-7330-4"/>
    <x v="2"/>
    <s v="Plano"/>
    <x v="6"/>
    <s v="SAT"/>
    <n v="44"/>
    <n v="21"/>
    <n v="924"/>
    <s v="Credit card"/>
    <n v="19.404"/>
  </r>
  <r>
    <d v="2025-01-31T00:00:00"/>
    <s v="FK-4815-4"/>
    <x v="1"/>
    <s v="Dallas"/>
    <x v="5"/>
    <s v="PKH"/>
    <n v="29"/>
    <n v="33"/>
    <n v="957"/>
    <s v="Credit card"/>
    <n v="26.795999999999999"/>
  </r>
  <r>
    <d v="2025-01-31T00:00:00"/>
    <s v="EK-4908-4"/>
    <x v="0"/>
    <s v="Plano"/>
    <x v="3"/>
    <s v="ZAA"/>
    <n v="53"/>
    <n v="35"/>
    <n v="1855"/>
    <s v="Credit card"/>
    <n v="44.52"/>
  </r>
  <r>
    <d v="2025-01-31T00:00:00"/>
    <s v="FK-6086-4"/>
    <x v="7"/>
    <s v="Dallas"/>
    <x v="1"/>
    <s v="JKA"/>
    <n v="39"/>
    <n v="23"/>
    <n v="897"/>
    <s v="Cash"/>
    <n v="18.837"/>
  </r>
  <r>
    <d v="2025-01-31T00:00:00"/>
    <s v="HK-6404-4"/>
    <x v="7"/>
    <s v="Plano"/>
    <x v="2"/>
    <s v="ATP"/>
    <n v="49"/>
    <n v="37"/>
    <n v="1813"/>
    <s v="Check"/>
    <n v="47.137999999999998"/>
  </r>
  <r>
    <d v="2025-01-31T00:00:00"/>
    <s v="AK-4572-4"/>
    <x v="7"/>
    <s v="Frisco"/>
    <x v="5"/>
    <s v="TSA"/>
    <n v="44"/>
    <n v="49"/>
    <n v="2156"/>
    <s v="Cash"/>
    <n v="58.212000000000003"/>
  </r>
  <r>
    <d v="2025-01-31T00:00:00"/>
    <s v="GK-8935-4"/>
    <x v="2"/>
    <s v="Frisco"/>
    <x v="6"/>
    <s v="HTE"/>
    <n v="32"/>
    <n v="54"/>
    <n v="1728"/>
    <s v="Cash"/>
    <n v="38.015999999999998"/>
  </r>
  <r>
    <d v="2025-01-31T00:00:00"/>
    <s v="FK-9751-4"/>
    <x v="3"/>
    <s v="Plano"/>
    <x v="6"/>
    <s v="ZAA"/>
    <n v="21"/>
    <n v="39"/>
    <n v="819"/>
    <s v="Credit card"/>
    <n v="22.931999999999999"/>
  </r>
  <r>
    <d v="2025-01-31T00:00:00"/>
    <s v="DK-6879-4"/>
    <x v="7"/>
    <s v="Allen"/>
    <x v="1"/>
    <s v="JKA"/>
    <n v="48"/>
    <n v="43"/>
    <n v="2064"/>
    <s v="Credit card"/>
    <n v="59.856000000000002"/>
  </r>
  <r>
    <d v="2025-01-31T00:00:00"/>
    <s v="EK-8624-4"/>
    <x v="3"/>
    <s v="Plano"/>
    <x v="2"/>
    <s v="PFF"/>
    <n v="24"/>
    <n v="45"/>
    <n v="1080"/>
    <s v="Credit card"/>
    <n v="21.6"/>
  </r>
  <r>
    <d v="2025-01-31T00:00:00"/>
    <s v="EK-9971-4"/>
    <x v="7"/>
    <s v="Plano"/>
    <x v="6"/>
    <s v="JKA"/>
    <n v="12"/>
    <n v="55"/>
    <n v="660"/>
    <s v="Cash"/>
    <n v="17.82"/>
  </r>
  <r>
    <d v="2025-01-31T00:00:00"/>
    <s v="DK-8857-4"/>
    <x v="0"/>
    <s v="Frisco"/>
    <x v="1"/>
    <s v="KQR"/>
    <n v="56"/>
    <n v="37"/>
    <n v="2072"/>
    <s v="Credit card"/>
    <n v="60.088000000000001"/>
  </r>
  <r>
    <d v="2025-01-31T00:00:00"/>
    <s v="EK-1696-4"/>
    <x v="6"/>
    <s v="Allen"/>
    <x v="0"/>
    <s v="APS"/>
    <n v="50"/>
    <n v="43"/>
    <n v="2150"/>
    <s v="Credit card"/>
    <n v="53.75"/>
  </r>
  <r>
    <d v="2025-01-31T00:00:00"/>
    <s v="GK-1739-4"/>
    <x v="5"/>
    <s v="Richardson"/>
    <x v="0"/>
    <s v="MSP"/>
    <n v="14"/>
    <n v="46"/>
    <n v="644"/>
    <s v="Credit card"/>
    <n v="14.167999999999999"/>
  </r>
  <r>
    <d v="2025-01-31T00:00:00"/>
    <s v="DK-8748-4"/>
    <x v="3"/>
    <s v="Plano"/>
    <x v="5"/>
    <s v="SMH"/>
    <n v="31"/>
    <n v="31"/>
    <n v="961"/>
    <s v="Check"/>
    <n v="25.946999999999999"/>
  </r>
  <r>
    <d v="2025-01-31T00:00:00"/>
    <s v="BK-3059-4"/>
    <x v="4"/>
    <s v="Coppell"/>
    <x v="1"/>
    <s v="PFF"/>
    <n v="27"/>
    <n v="38"/>
    <n v="1026"/>
    <s v="Gift card"/>
    <n v="30.78"/>
  </r>
  <r>
    <d v="2025-02-01T00:00:00"/>
    <s v="CK-7648-5"/>
    <x v="4"/>
    <s v="Plano"/>
    <x v="4"/>
    <s v="HTE"/>
    <n v="54"/>
    <n v="59"/>
    <n v="3186"/>
    <s v="Gift card"/>
    <n v="76.463999999999999"/>
  </r>
  <r>
    <d v="2025-02-01T00:00:00"/>
    <s v="BK-5416-5"/>
    <x v="0"/>
    <s v="Coppell"/>
    <x v="1"/>
    <s v="PFF"/>
    <n v="45"/>
    <n v="59"/>
    <n v="2655"/>
    <s v="Credit card"/>
    <n v="74.34"/>
  </r>
  <r>
    <d v="2025-02-01T00:00:00"/>
    <s v="BK-8123-5"/>
    <x v="2"/>
    <s v="Allen"/>
    <x v="4"/>
    <s v="TAP"/>
    <n v="53"/>
    <n v="34"/>
    <n v="1802"/>
    <s v="Credit card"/>
    <n v="46.851999999999997"/>
  </r>
  <r>
    <d v="2025-02-01T00:00:00"/>
    <s v="EK-2243-5"/>
    <x v="5"/>
    <s v="Dallas"/>
    <x v="1"/>
    <s v="ZAA"/>
    <n v="34"/>
    <n v="26"/>
    <n v="884"/>
    <s v="Credit card"/>
    <n v="25.635999999999999"/>
  </r>
  <r>
    <d v="2025-02-01T00:00:00"/>
    <s v="FK-7821-5"/>
    <x v="4"/>
    <s v="Dallas"/>
    <x v="0"/>
    <s v="APS"/>
    <n v="49"/>
    <n v="53"/>
    <n v="2597"/>
    <s v="Credit card"/>
    <n v="51.94"/>
  </r>
  <r>
    <d v="2025-02-01T00:00:00"/>
    <s v="GK-8520-5"/>
    <x v="6"/>
    <s v="Coppell"/>
    <x v="2"/>
    <s v="ZAA"/>
    <n v="46"/>
    <n v="42"/>
    <n v="1932"/>
    <s v="Check"/>
    <n v="52.164000000000001"/>
  </r>
  <r>
    <d v="2025-02-01T00:00:00"/>
    <s v="HK-9085-5"/>
    <x v="5"/>
    <s v="Plano"/>
    <x v="3"/>
    <s v="PKH"/>
    <n v="51"/>
    <n v="53"/>
    <n v="2703"/>
    <s v="Check"/>
    <n v="67.575000000000003"/>
  </r>
  <r>
    <d v="2025-02-01T00:00:00"/>
    <s v="EK-9162-5"/>
    <x v="3"/>
    <s v="Allen"/>
    <x v="2"/>
    <s v="HTE"/>
    <n v="60"/>
    <n v="57"/>
    <n v="3420"/>
    <s v="Cash"/>
    <n v="102.6"/>
  </r>
  <r>
    <d v="2025-02-01T00:00:00"/>
    <s v="GK-2023-5"/>
    <x v="0"/>
    <s v="Richardson"/>
    <x v="5"/>
    <s v="PFF"/>
    <n v="54"/>
    <n v="34"/>
    <n v="1836"/>
    <s v="Check"/>
    <n v="55.08"/>
  </r>
  <r>
    <d v="2025-02-01T00:00:00"/>
    <s v="DK-4803-5"/>
    <x v="4"/>
    <s v="McKinney"/>
    <x v="0"/>
    <s v="TSQ"/>
    <n v="55"/>
    <n v="35"/>
    <n v="1925"/>
    <s v="Cash"/>
    <n v="42.35"/>
  </r>
  <r>
    <d v="2025-02-01T00:00:00"/>
    <s v="EK-7436-5"/>
    <x v="7"/>
    <s v="Plano"/>
    <x v="0"/>
    <s v="APS"/>
    <n v="20"/>
    <n v="42"/>
    <n v="840"/>
    <s v="Cash"/>
    <n v="20.16"/>
  </r>
  <r>
    <d v="2025-02-01T00:00:00"/>
    <s v="AK-4042-5"/>
    <x v="7"/>
    <s v="McKinney"/>
    <x v="1"/>
    <s v="TSA"/>
    <n v="45"/>
    <n v="25"/>
    <n v="1125"/>
    <s v="Cash"/>
    <n v="27"/>
  </r>
  <r>
    <d v="2025-02-01T00:00:00"/>
    <s v="CK-2423-5"/>
    <x v="2"/>
    <s v="Dallas"/>
    <x v="1"/>
    <s v="HTE"/>
    <n v="11"/>
    <n v="25"/>
    <n v="275"/>
    <s v="Credit card"/>
    <n v="8.25"/>
  </r>
  <r>
    <d v="2025-02-01T00:00:00"/>
    <s v="GK-5560-5"/>
    <x v="0"/>
    <s v="Allen"/>
    <x v="1"/>
    <s v="KQR"/>
    <n v="36"/>
    <n v="33"/>
    <n v="1188"/>
    <s v="Cash"/>
    <n v="34.451999999999998"/>
  </r>
  <r>
    <d v="2025-02-01T00:00:00"/>
    <s v="DK-7233-5"/>
    <x v="4"/>
    <s v="Plano"/>
    <x v="2"/>
    <s v="PFF"/>
    <n v="23"/>
    <n v="38"/>
    <n v="874"/>
    <s v="Cash"/>
    <n v="26.22"/>
  </r>
  <r>
    <d v="2025-02-01T00:00:00"/>
    <s v="BK-6819-5"/>
    <x v="4"/>
    <s v="Coppell"/>
    <x v="0"/>
    <s v="MSP"/>
    <n v="14"/>
    <n v="26"/>
    <n v="364"/>
    <s v="Credit card"/>
    <n v="7.6440000000000001"/>
  </r>
  <r>
    <d v="2025-02-01T00:00:00"/>
    <s v="HK-4472-5"/>
    <x v="8"/>
    <s v="Allen"/>
    <x v="6"/>
    <s v="HTE"/>
    <n v="36"/>
    <n v="57"/>
    <n v="2052"/>
    <s v="Gift card"/>
    <n v="61.56"/>
  </r>
  <r>
    <d v="2025-02-02T00:00:00"/>
    <s v="BK-8277-6"/>
    <x v="2"/>
    <s v="Dallas"/>
    <x v="1"/>
    <s v="TSQ"/>
    <n v="16"/>
    <n v="30"/>
    <n v="480"/>
    <s v="Credit card"/>
    <n v="11.52"/>
  </r>
  <r>
    <d v="2025-02-02T00:00:00"/>
    <s v="HK-9072-6"/>
    <x v="4"/>
    <s v="Dallas"/>
    <x v="6"/>
    <s v="PKH"/>
    <n v="33"/>
    <n v="21"/>
    <n v="693"/>
    <s v="Cash"/>
    <n v="14.553000000000001"/>
  </r>
  <r>
    <d v="2025-02-02T00:00:00"/>
    <s v="FK-7361-6"/>
    <x v="5"/>
    <s v="Plano"/>
    <x v="6"/>
    <s v="TSA"/>
    <n v="19"/>
    <n v="48"/>
    <n v="912"/>
    <s v="Credit card"/>
    <n v="22.8"/>
  </r>
  <r>
    <d v="2025-02-03T00:00:00"/>
    <s v="HK-2868-7"/>
    <x v="0"/>
    <s v="Plano"/>
    <x v="0"/>
    <s v="HTE"/>
    <n v="29"/>
    <n v="57"/>
    <n v="1653"/>
    <s v="Credit card"/>
    <n v="38.018999999999998"/>
  </r>
  <r>
    <d v="2025-02-03T00:00:00"/>
    <s v="HK-2406-7"/>
    <x v="4"/>
    <s v="Frisco"/>
    <x v="3"/>
    <s v="SMH"/>
    <n v="56"/>
    <n v="45"/>
    <n v="2520"/>
    <s v="Credit card"/>
    <n v="63"/>
  </r>
  <r>
    <d v="2025-02-03T00:00:00"/>
    <s v="GK-1291-7"/>
    <x v="2"/>
    <s v="Dallas"/>
    <x v="3"/>
    <s v="AKJ"/>
    <n v="48"/>
    <n v="43"/>
    <n v="2064"/>
    <s v="Gift card"/>
    <n v="55.728000000000002"/>
  </r>
  <r>
    <d v="2025-02-03T00:00:00"/>
    <s v="BK-5500-7"/>
    <x v="7"/>
    <s v="Plano"/>
    <x v="2"/>
    <s v="TAP"/>
    <n v="37"/>
    <n v="32"/>
    <n v="1184"/>
    <s v="Gift card"/>
    <n v="35.520000000000003"/>
  </r>
  <r>
    <d v="2025-02-03T00:00:00"/>
    <s v="BK-5613-7"/>
    <x v="0"/>
    <s v="Plano"/>
    <x v="1"/>
    <s v="ZAA"/>
    <n v="10"/>
    <n v="22"/>
    <n v="220"/>
    <s v="Credit card"/>
    <n v="6.6"/>
  </r>
  <r>
    <d v="2025-02-03T00:00:00"/>
    <s v="BK-5545-7"/>
    <x v="3"/>
    <s v="Plano"/>
    <x v="0"/>
    <s v="APS"/>
    <n v="54"/>
    <n v="52"/>
    <n v="2808"/>
    <s v="Gift card"/>
    <n v="64.584000000000003"/>
  </r>
  <r>
    <d v="2025-02-03T00:00:00"/>
    <s v="EK-8978-7"/>
    <x v="4"/>
    <s v="McKinney"/>
    <x v="5"/>
    <s v="HNP"/>
    <n v="53"/>
    <n v="38"/>
    <n v="2014"/>
    <s v="Cash"/>
    <n v="50.35"/>
  </r>
  <r>
    <d v="2025-02-03T00:00:00"/>
    <s v="FK-4850-7"/>
    <x v="4"/>
    <s v="Frisco"/>
    <x v="1"/>
    <s v="PKH"/>
    <n v="55"/>
    <n v="24"/>
    <n v="1320"/>
    <s v="Gift card"/>
    <n v="29.04"/>
  </r>
  <r>
    <d v="2025-02-03T00:00:00"/>
    <s v="FK-2746-7"/>
    <x v="8"/>
    <s v="Dallas"/>
    <x v="5"/>
    <s v="HTE"/>
    <n v="30"/>
    <n v="58"/>
    <n v="1740"/>
    <s v="Gift card"/>
    <n v="48.72"/>
  </r>
  <r>
    <d v="2025-02-03T00:00:00"/>
    <s v="FK-9596-7"/>
    <x v="4"/>
    <s v="Plano"/>
    <x v="3"/>
    <s v="PFF"/>
    <n v="31"/>
    <n v="39"/>
    <n v="1209"/>
    <s v="Gift card"/>
    <n v="24.18"/>
  </r>
  <r>
    <d v="2025-02-03T00:00:00"/>
    <s v="CK-4491-7"/>
    <x v="8"/>
    <s v="Dallas"/>
    <x v="5"/>
    <s v="AKJ"/>
    <n v="35"/>
    <n v="40"/>
    <n v="1400"/>
    <s v="Credit card"/>
    <n v="35"/>
  </r>
  <r>
    <d v="2025-02-03T00:00:00"/>
    <s v="AK-4579-7"/>
    <x v="8"/>
    <s v="Coppell"/>
    <x v="3"/>
    <s v="TSQ"/>
    <n v="33"/>
    <n v="25"/>
    <n v="825"/>
    <s v="Check"/>
    <n v="22.274999999999999"/>
  </r>
  <r>
    <d v="2025-02-03T00:00:00"/>
    <s v="EK-7873-7"/>
    <x v="0"/>
    <s v="Plano"/>
    <x v="5"/>
    <s v="SAT"/>
    <n v="11"/>
    <n v="36"/>
    <n v="396"/>
    <s v="Cash"/>
    <n v="11.484"/>
  </r>
  <r>
    <d v="2025-02-03T00:00:00"/>
    <s v="GK-7515-7"/>
    <x v="2"/>
    <s v="Frisco"/>
    <x v="1"/>
    <s v="TSQ"/>
    <n v="42"/>
    <n v="51"/>
    <n v="2142"/>
    <s v="Check"/>
    <n v="51.408000000000001"/>
  </r>
  <r>
    <d v="2025-02-04T00:00:00"/>
    <s v="CK-2449-8"/>
    <x v="3"/>
    <s v="Frisco"/>
    <x v="2"/>
    <s v="PFF"/>
    <n v="14"/>
    <n v="22"/>
    <n v="308"/>
    <s v="Credit card"/>
    <n v="8.9320000000000004"/>
  </r>
  <r>
    <d v="2025-02-04T00:00:00"/>
    <s v="CK-7432-8"/>
    <x v="8"/>
    <s v="Coppell"/>
    <x v="2"/>
    <s v="PKH"/>
    <n v="19"/>
    <n v="54"/>
    <n v="1026"/>
    <s v="Check"/>
    <n v="27.702000000000002"/>
  </r>
  <r>
    <d v="2025-02-04T00:00:00"/>
    <s v="GK-8142-8"/>
    <x v="6"/>
    <s v="McKinney"/>
    <x v="3"/>
    <s v="ZAA"/>
    <n v="22"/>
    <n v="55"/>
    <n v="1210"/>
    <s v="Credit card"/>
    <n v="24.2"/>
  </r>
  <r>
    <d v="2025-02-05T00:00:00"/>
    <s v="CK-6273-9"/>
    <x v="6"/>
    <s v="Richardson"/>
    <x v="4"/>
    <s v="TSQ"/>
    <n v="49"/>
    <n v="20"/>
    <n v="980"/>
    <s v="Cash"/>
    <n v="20.58"/>
  </r>
  <r>
    <d v="2025-02-05T00:00:00"/>
    <s v="HK-7215-9"/>
    <x v="8"/>
    <s v="Plano"/>
    <x v="2"/>
    <s v="HNP"/>
    <n v="54"/>
    <n v="23"/>
    <n v="1242"/>
    <s v="Cash"/>
    <n v="33.533999999999999"/>
  </r>
  <r>
    <d v="2025-02-05T00:00:00"/>
    <s v="HK-2654-9"/>
    <x v="7"/>
    <s v="Frisco"/>
    <x v="1"/>
    <s v="APS"/>
    <n v="33"/>
    <n v="37"/>
    <n v="1221"/>
    <s v="Credit card"/>
    <n v="31.745999999999999"/>
  </r>
  <r>
    <d v="2025-02-05T00:00:00"/>
    <s v="EK-6136-9"/>
    <x v="8"/>
    <s v="Richardson"/>
    <x v="4"/>
    <s v="HTE"/>
    <n v="41"/>
    <n v="55"/>
    <n v="2255"/>
    <s v="Gift card"/>
    <n v="56.375"/>
  </r>
  <r>
    <d v="2025-02-05T00:00:00"/>
    <s v="HK-8398-9"/>
    <x v="4"/>
    <s v="Dallas"/>
    <x v="2"/>
    <s v="HTE"/>
    <n v="27"/>
    <n v="49"/>
    <n v="1323"/>
    <s v="Gift card"/>
    <n v="29.106000000000002"/>
  </r>
  <r>
    <d v="2025-02-05T00:00:00"/>
    <s v="GK-5838-9"/>
    <x v="4"/>
    <s v="Coppell"/>
    <x v="3"/>
    <s v="TAP"/>
    <n v="38"/>
    <n v="44"/>
    <n v="1672"/>
    <s v="Check"/>
    <n v="48.488"/>
  </r>
  <r>
    <d v="2025-02-05T00:00:00"/>
    <s v="FK-8516-9"/>
    <x v="7"/>
    <s v="Dallas"/>
    <x v="4"/>
    <s v="TAP"/>
    <n v="55"/>
    <n v="60"/>
    <n v="3300"/>
    <s v="Cash"/>
    <n v="99"/>
  </r>
  <r>
    <d v="2025-02-05T00:00:00"/>
    <s v="DK-3054-9"/>
    <x v="1"/>
    <s v="Plano"/>
    <x v="4"/>
    <s v="PKH"/>
    <n v="16"/>
    <n v="25"/>
    <n v="400"/>
    <s v="Cash"/>
    <n v="8.8000000000000007"/>
  </r>
  <r>
    <d v="2025-02-05T00:00:00"/>
    <s v="GK-3139-9"/>
    <x v="6"/>
    <s v="Richardson"/>
    <x v="3"/>
    <s v="PKH"/>
    <n v="55"/>
    <n v="48"/>
    <n v="2640"/>
    <s v="Cash"/>
    <n v="55.44"/>
  </r>
  <r>
    <d v="2025-02-05T00:00:00"/>
    <s v="DK-6771-9"/>
    <x v="3"/>
    <s v="Richardson"/>
    <x v="1"/>
    <s v="HNP"/>
    <n v="23"/>
    <n v="43"/>
    <n v="989"/>
    <s v="Gift card"/>
    <n v="19.78"/>
  </r>
  <r>
    <d v="2025-02-05T00:00:00"/>
    <s v="GK-7130-9"/>
    <x v="2"/>
    <s v="Frisco"/>
    <x v="2"/>
    <s v="ATP"/>
    <n v="46"/>
    <n v="24"/>
    <n v="1104"/>
    <s v="Cash"/>
    <n v="22.08"/>
  </r>
  <r>
    <d v="2025-02-05T00:00:00"/>
    <s v="DK-1176-9"/>
    <x v="7"/>
    <s v="Dallas"/>
    <x v="2"/>
    <s v="TSA"/>
    <n v="29"/>
    <n v="47"/>
    <n v="1363"/>
    <s v="Credit card"/>
    <n v="36.801000000000002"/>
  </r>
  <r>
    <d v="2025-02-05T00:00:00"/>
    <s v="BK-5889-9"/>
    <x v="4"/>
    <s v="Dallas"/>
    <x v="2"/>
    <s v="TSQ"/>
    <n v="39"/>
    <n v="34"/>
    <n v="1326"/>
    <s v="Check"/>
    <n v="35.802"/>
  </r>
  <r>
    <d v="2025-02-06T00:00:00"/>
    <s v="G-5678-10"/>
    <x v="3"/>
    <s v="McKinney"/>
    <x v="0"/>
    <s v="ATP"/>
    <n v="21"/>
    <n v="53"/>
    <n v="1113"/>
    <s v="Credit card"/>
    <n v="22.26"/>
  </r>
  <r>
    <d v="2025-02-06T00:00:00"/>
    <s v="B-1693-10"/>
    <x v="5"/>
    <s v="McKinney"/>
    <x v="5"/>
    <s v="TAP"/>
    <n v="44"/>
    <n v="57"/>
    <n v="2508"/>
    <s v="Credit card"/>
    <n v="52.667999999999999"/>
  </r>
  <r>
    <d v="2025-02-06T00:00:00"/>
    <s v="G-2998-10"/>
    <x v="6"/>
    <s v="Plano"/>
    <x v="1"/>
    <s v="PKH"/>
    <n v="28"/>
    <n v="56"/>
    <n v="1568"/>
    <s v="Credit card"/>
    <n v="36.064"/>
  </r>
  <r>
    <d v="2025-02-06T00:00:00"/>
    <s v="H-3385-10"/>
    <x v="4"/>
    <s v="Plano"/>
    <x v="4"/>
    <s v="PFF"/>
    <n v="40"/>
    <n v="44"/>
    <n v="1760"/>
    <s v="Cash"/>
    <n v="38.72"/>
  </r>
  <r>
    <d v="2025-02-06T00:00:00"/>
    <s v="G-9594-10"/>
    <x v="6"/>
    <s v="Dallas"/>
    <x v="3"/>
    <s v="TSQ"/>
    <n v="41"/>
    <n v="49"/>
    <n v="2009"/>
    <s v="Credit card"/>
    <n v="44.198"/>
  </r>
  <r>
    <d v="2025-02-06T00:00:00"/>
    <s v="A-2666-10"/>
    <x v="0"/>
    <s v="Plano"/>
    <x v="3"/>
    <s v="HTE"/>
    <n v="55"/>
    <n v="21"/>
    <n v="1155"/>
    <s v="Credit card"/>
    <n v="25.41"/>
  </r>
  <r>
    <d v="2025-02-06T00:00:00"/>
    <s v="D-4220-10"/>
    <x v="6"/>
    <s v="Plano"/>
    <x v="4"/>
    <s v="TSA"/>
    <n v="31"/>
    <n v="59"/>
    <n v="1829"/>
    <s v="Credit card"/>
    <n v="53.040999999999997"/>
  </r>
  <r>
    <d v="2025-02-06T00:00:00"/>
    <s v="A-9652-10"/>
    <x v="5"/>
    <s v="Allen"/>
    <x v="6"/>
    <s v="HNP"/>
    <n v="26"/>
    <n v="24"/>
    <n v="624"/>
    <s v="Cash"/>
    <n v="15.6"/>
  </r>
  <r>
    <d v="2025-02-06T00:00:00"/>
    <s v="B-7240-10"/>
    <x v="7"/>
    <s v="McKinney"/>
    <x v="2"/>
    <s v="ZAA"/>
    <n v="34"/>
    <n v="24"/>
    <n v="816"/>
    <s v="Cash"/>
    <n v="16.32"/>
  </r>
  <r>
    <d v="2025-02-06T00:00:00"/>
    <s v="B-8195-10"/>
    <x v="4"/>
    <s v="Plano"/>
    <x v="2"/>
    <s v="ATP"/>
    <n v="11"/>
    <n v="47"/>
    <n v="517"/>
    <s v="Gift card"/>
    <n v="12.925000000000001"/>
  </r>
  <r>
    <d v="2025-02-07T00:00:00"/>
    <s v="G-7544-11"/>
    <x v="7"/>
    <s v="Allen"/>
    <x v="4"/>
    <s v="JKA"/>
    <n v="25"/>
    <n v="20"/>
    <n v="500"/>
    <s v="Cash"/>
    <n v="13.5"/>
  </r>
  <r>
    <d v="2025-02-07T00:00:00"/>
    <s v="E-6798-11"/>
    <x v="7"/>
    <s v="Plano"/>
    <x v="4"/>
    <s v="JKA"/>
    <n v="36"/>
    <n v="37"/>
    <n v="1332"/>
    <s v="Credit card"/>
    <n v="35.963999999999999"/>
  </r>
  <r>
    <d v="2025-02-07T00:00:00"/>
    <s v="H-8200-11"/>
    <x v="0"/>
    <s v="Dallas"/>
    <x v="2"/>
    <s v="MSP"/>
    <n v="10"/>
    <n v="25"/>
    <n v="250"/>
    <s v="Credit card"/>
    <n v="5"/>
  </r>
  <r>
    <d v="2025-02-07T00:00:00"/>
    <s v="A-6068-11"/>
    <x v="0"/>
    <s v="Frisco"/>
    <x v="2"/>
    <s v="TAP"/>
    <n v="30"/>
    <n v="38"/>
    <n v="1140"/>
    <s v="Credit card"/>
    <n v="34.200000000000003"/>
  </r>
  <r>
    <d v="2025-02-07T00:00:00"/>
    <s v="C-5593-11"/>
    <x v="7"/>
    <s v="Frisco"/>
    <x v="4"/>
    <s v="MSP"/>
    <n v="38"/>
    <n v="50"/>
    <n v="1900"/>
    <s v="Cash"/>
    <n v="38"/>
  </r>
  <r>
    <d v="2025-02-07T00:00:00"/>
    <s v="B-1449-11"/>
    <x v="4"/>
    <s v="Frisco"/>
    <x v="2"/>
    <s v="ARP"/>
    <n v="27"/>
    <n v="42"/>
    <n v="1134"/>
    <s v="Credit card"/>
    <n v="27.216000000000001"/>
  </r>
  <r>
    <d v="2025-02-08T00:00:00"/>
    <s v="D-1897-12"/>
    <x v="1"/>
    <s v="Coppell"/>
    <x v="3"/>
    <s v="ARP"/>
    <n v="53"/>
    <n v="30"/>
    <n v="1590"/>
    <s v="Credit card"/>
    <n v="47.7"/>
  </r>
  <r>
    <d v="2025-02-08T00:00:00"/>
    <s v="H-4299-12"/>
    <x v="8"/>
    <s v="Allen"/>
    <x v="0"/>
    <s v="MSP"/>
    <n v="20"/>
    <n v="56"/>
    <n v="1120"/>
    <s v="Credit card"/>
    <n v="32.479999999999997"/>
  </r>
  <r>
    <d v="2025-02-08T00:00:00"/>
    <s v="B-8579-12"/>
    <x v="0"/>
    <s v="McKinney"/>
    <x v="0"/>
    <s v="TAP"/>
    <n v="34"/>
    <n v="21"/>
    <n v="714"/>
    <s v="Credit card"/>
    <n v="16.422000000000001"/>
  </r>
  <r>
    <d v="2025-02-08T00:00:00"/>
    <s v="C-4483-12"/>
    <x v="5"/>
    <s v="Frisco"/>
    <x v="0"/>
    <s v="TAP"/>
    <n v="55"/>
    <n v="23"/>
    <n v="1265"/>
    <s v="Gift card"/>
    <n v="29.094999999999999"/>
  </r>
  <r>
    <d v="2025-02-08T00:00:00"/>
    <s v="C-1228-12"/>
    <x v="3"/>
    <s v="McKinney"/>
    <x v="5"/>
    <s v="SAT"/>
    <n v="13"/>
    <n v="39"/>
    <n v="507"/>
    <s v="Cash"/>
    <n v="10.14"/>
  </r>
  <r>
    <d v="2025-02-08T00:00:00"/>
    <s v="C-3116-12"/>
    <x v="7"/>
    <s v="McKinney"/>
    <x v="1"/>
    <s v="APS"/>
    <n v="10"/>
    <n v="60"/>
    <n v="600"/>
    <s v="Credit card"/>
    <n v="15"/>
  </r>
  <r>
    <d v="2025-02-08T00:00:00"/>
    <s v="C-9761-12"/>
    <x v="3"/>
    <s v="Frisco"/>
    <x v="0"/>
    <s v="PKH"/>
    <n v="56"/>
    <n v="43"/>
    <n v="2408"/>
    <s v="Gift card"/>
    <n v="55.384"/>
  </r>
  <r>
    <d v="2025-02-08T00:00:00"/>
    <s v="A-3184-12"/>
    <x v="1"/>
    <s v="Allen"/>
    <x v="2"/>
    <s v="ZAA"/>
    <n v="22"/>
    <n v="30"/>
    <n v="660"/>
    <s v="Credit card"/>
    <n v="16.5"/>
  </r>
  <r>
    <d v="2025-02-08T00:00:00"/>
    <s v="C-4207-12"/>
    <x v="3"/>
    <s v="Frisco"/>
    <x v="3"/>
    <s v="ATP"/>
    <n v="21"/>
    <n v="35"/>
    <n v="735"/>
    <s v="Cash"/>
    <n v="14.7"/>
  </r>
  <r>
    <d v="2025-02-08T00:00:00"/>
    <s v="F-9538-12"/>
    <x v="4"/>
    <s v="McKinney"/>
    <x v="2"/>
    <s v="ZAA"/>
    <n v="22"/>
    <n v="56"/>
    <n v="1232"/>
    <s v="Cash"/>
    <n v="34.496000000000002"/>
  </r>
  <r>
    <d v="2025-02-08T00:00:00"/>
    <s v="B-2218-12"/>
    <x v="2"/>
    <s v="Dallas"/>
    <x v="1"/>
    <s v="KQR"/>
    <n v="54"/>
    <n v="44"/>
    <n v="2376"/>
    <s v="Credit card"/>
    <n v="71.28"/>
  </r>
  <r>
    <d v="2025-02-08T00:00:00"/>
    <s v="D-1985-12"/>
    <x v="6"/>
    <s v="Dallas"/>
    <x v="6"/>
    <s v="ARP"/>
    <n v="23"/>
    <n v="43"/>
    <n v="989"/>
    <s v="Credit card"/>
    <n v="26.702999999999999"/>
  </r>
  <r>
    <d v="2025-02-08T00:00:00"/>
    <s v="F-2467-12"/>
    <x v="8"/>
    <s v="Plano"/>
    <x v="2"/>
    <s v="HTE"/>
    <n v="48"/>
    <n v="21"/>
    <n v="1008"/>
    <s v="Gift card"/>
    <n v="30.24"/>
  </r>
  <r>
    <d v="2025-02-09T00:00:00"/>
    <s v="E-4677-13"/>
    <x v="7"/>
    <s v="McKinney"/>
    <x v="5"/>
    <s v="KQR"/>
    <n v="36"/>
    <n v="38"/>
    <n v="1368"/>
    <s v="Cash"/>
    <n v="38.304000000000002"/>
  </r>
  <r>
    <d v="2025-02-09T00:00:00"/>
    <s v="D-5506-13"/>
    <x v="2"/>
    <s v="Plano"/>
    <x v="0"/>
    <s v="TSQ"/>
    <n v="31"/>
    <n v="38"/>
    <n v="1178"/>
    <s v="Credit card"/>
    <n v="35.340000000000003"/>
  </r>
  <r>
    <d v="2025-02-09T00:00:00"/>
    <s v="D-9541-13"/>
    <x v="4"/>
    <s v="Frisco"/>
    <x v="4"/>
    <s v="MSP"/>
    <n v="47"/>
    <n v="46"/>
    <n v="2162"/>
    <s v="Credit card"/>
    <n v="45.402000000000001"/>
  </r>
  <r>
    <d v="2025-02-09T00:00:00"/>
    <s v="A-6173-13"/>
    <x v="0"/>
    <s v="Coppell"/>
    <x v="0"/>
    <s v="JKA"/>
    <n v="48"/>
    <n v="43"/>
    <n v="2064"/>
    <s v="Credit card"/>
    <n v="55.728000000000002"/>
  </r>
  <r>
    <d v="2025-02-09T00:00:00"/>
    <s v="G-5883-13"/>
    <x v="0"/>
    <s v="Coppell"/>
    <x v="4"/>
    <s v="JKA"/>
    <n v="34"/>
    <n v="43"/>
    <n v="1462"/>
    <s v="Credit card"/>
    <n v="30.702000000000002"/>
  </r>
  <r>
    <d v="2025-02-09T00:00:00"/>
    <s v="E-8025-13"/>
    <x v="7"/>
    <s v="Dallas"/>
    <x v="2"/>
    <s v="KQR"/>
    <n v="17"/>
    <n v="23"/>
    <n v="391"/>
    <s v="Gift card"/>
    <n v="11.73"/>
  </r>
  <r>
    <d v="2025-02-09T00:00:00"/>
    <s v="A-9677-13"/>
    <x v="0"/>
    <s v="Richardson"/>
    <x v="3"/>
    <s v="HTE"/>
    <n v="18"/>
    <n v="46"/>
    <n v="828"/>
    <s v="Credit card"/>
    <n v="21.527999999999999"/>
  </r>
  <r>
    <d v="2025-02-09T00:00:00"/>
    <s v="F-1739-13"/>
    <x v="2"/>
    <s v="Coppell"/>
    <x v="0"/>
    <s v="SAT"/>
    <n v="19"/>
    <n v="23"/>
    <n v="437"/>
    <s v="Cash"/>
    <n v="9.1769999999999996"/>
  </r>
  <r>
    <d v="2025-02-10T00:00:00"/>
    <s v="C-4952-14"/>
    <x v="4"/>
    <s v="Plano"/>
    <x v="0"/>
    <s v="ATP"/>
    <n v="33"/>
    <n v="59"/>
    <n v="1947"/>
    <s v="Cash"/>
    <n v="46.728000000000002"/>
  </r>
  <r>
    <d v="2025-02-11T00:00:00"/>
    <s v="H-6680-15"/>
    <x v="3"/>
    <s v="McKinney"/>
    <x v="3"/>
    <s v="TSQ"/>
    <n v="15"/>
    <n v="56"/>
    <n v="840"/>
    <s v="Gift card"/>
    <n v="22.68"/>
  </r>
  <r>
    <d v="2025-02-11T00:00:00"/>
    <s v="H-8686-15"/>
    <x v="4"/>
    <s v="McKinney"/>
    <x v="3"/>
    <s v="SAT"/>
    <n v="60"/>
    <n v="58"/>
    <n v="3480"/>
    <s v="Cash"/>
    <n v="83.52"/>
  </r>
  <r>
    <d v="2025-02-11T00:00:00"/>
    <s v="C-8422-15"/>
    <x v="6"/>
    <s v="Coppell"/>
    <x v="0"/>
    <s v="HTE"/>
    <n v="57"/>
    <n v="40"/>
    <n v="2280"/>
    <s v="Credit card"/>
    <n v="45.6"/>
  </r>
  <r>
    <d v="2025-02-11T00:00:00"/>
    <s v="B-3711-15"/>
    <x v="2"/>
    <s v="Dallas"/>
    <x v="2"/>
    <s v="AKJ"/>
    <n v="14"/>
    <n v="23"/>
    <n v="322"/>
    <s v="Gift card"/>
    <n v="8.3719999999999999"/>
  </r>
  <r>
    <d v="2025-02-11T00:00:00"/>
    <s v="C-1491-15"/>
    <x v="3"/>
    <s v="Coppell"/>
    <x v="1"/>
    <s v="ATP"/>
    <n v="51"/>
    <n v="42"/>
    <n v="2142"/>
    <s v="Cash"/>
    <n v="62.118000000000002"/>
  </r>
  <r>
    <d v="2025-02-11T00:00:00"/>
    <s v="F-9851-15"/>
    <x v="8"/>
    <s v="Plano"/>
    <x v="4"/>
    <s v="KQR"/>
    <n v="58"/>
    <n v="31"/>
    <n v="1798"/>
    <s v="Cash"/>
    <n v="44.95"/>
  </r>
  <r>
    <d v="2025-02-11T00:00:00"/>
    <s v="H-6718-15"/>
    <x v="0"/>
    <s v="Allen"/>
    <x v="1"/>
    <s v="ZAA"/>
    <n v="18"/>
    <n v="51"/>
    <n v="918"/>
    <s v="Credit card"/>
    <n v="21.114000000000001"/>
  </r>
  <r>
    <d v="2025-02-11T00:00:00"/>
    <s v="B-3967-15"/>
    <x v="8"/>
    <s v="Plano"/>
    <x v="4"/>
    <s v="APS"/>
    <n v="40"/>
    <n v="47"/>
    <n v="1880"/>
    <s v="Gift card"/>
    <n v="39.479999999999997"/>
  </r>
  <r>
    <d v="2025-02-11T00:00:00"/>
    <s v="A-3099-15"/>
    <x v="7"/>
    <s v="McKinney"/>
    <x v="5"/>
    <s v="TSA"/>
    <n v="54"/>
    <n v="59"/>
    <n v="3186"/>
    <s v="Credit card"/>
    <n v="82.835999999999999"/>
  </r>
  <r>
    <d v="2025-02-12T00:00:00"/>
    <s v="C-4090-16"/>
    <x v="5"/>
    <s v="Coppell"/>
    <x v="6"/>
    <s v="TSA"/>
    <n v="17"/>
    <n v="34"/>
    <n v="578"/>
    <s v="Credit card"/>
    <n v="16.762"/>
  </r>
  <r>
    <d v="2025-02-12T00:00:00"/>
    <s v="A-2907-16"/>
    <x v="7"/>
    <s v="Plano"/>
    <x v="2"/>
    <s v="ATP"/>
    <n v="24"/>
    <n v="33"/>
    <n v="792"/>
    <s v="Cash"/>
    <n v="18.216000000000001"/>
  </r>
  <r>
    <d v="2025-02-12T00:00:00"/>
    <s v="F-5221-16"/>
    <x v="8"/>
    <s v="Allen"/>
    <x v="0"/>
    <s v="PKH"/>
    <n v="38"/>
    <n v="59"/>
    <n v="2242"/>
    <s v="Cash"/>
    <n v="47.082000000000001"/>
  </r>
  <r>
    <d v="2025-02-12T00:00:00"/>
    <s v="A-3243-16"/>
    <x v="7"/>
    <s v="Richardson"/>
    <x v="2"/>
    <s v="TSA"/>
    <n v="18"/>
    <n v="50"/>
    <n v="900"/>
    <s v="Gift card"/>
    <n v="20.7"/>
  </r>
  <r>
    <d v="2025-02-12T00:00:00"/>
    <s v="C-1269-16"/>
    <x v="4"/>
    <s v="Richardson"/>
    <x v="3"/>
    <s v="APS"/>
    <n v="52"/>
    <n v="55"/>
    <n v="2860"/>
    <s v="Gift card"/>
    <n v="60.06"/>
  </r>
  <r>
    <d v="2025-02-12T00:00:00"/>
    <s v="D-1233-16"/>
    <x v="2"/>
    <s v="Plano"/>
    <x v="0"/>
    <s v="PFF"/>
    <n v="25"/>
    <n v="50"/>
    <n v="1250"/>
    <s v="Check"/>
    <n v="28.75"/>
  </r>
  <r>
    <d v="2025-02-12T00:00:00"/>
    <s v="H-3210-16"/>
    <x v="7"/>
    <s v="McKinney"/>
    <x v="4"/>
    <s v="APS"/>
    <n v="20"/>
    <n v="21"/>
    <n v="420"/>
    <s v="Check"/>
    <n v="8.82"/>
  </r>
  <r>
    <d v="2025-02-13T00:00:00"/>
    <s v="E-8489-17"/>
    <x v="3"/>
    <s v="Dallas"/>
    <x v="1"/>
    <s v="PFF"/>
    <n v="12"/>
    <n v="35"/>
    <n v="420"/>
    <s v="Cash"/>
    <n v="8.82"/>
  </r>
  <r>
    <d v="2025-02-13T00:00:00"/>
    <s v="D-4787-17"/>
    <x v="4"/>
    <s v="Allen"/>
    <x v="0"/>
    <s v="APS"/>
    <n v="20"/>
    <n v="30"/>
    <n v="600"/>
    <s v="Check"/>
    <n v="14.4"/>
  </r>
  <r>
    <d v="2025-02-13T00:00:00"/>
    <s v="B-4415-17"/>
    <x v="3"/>
    <s v="Dallas"/>
    <x v="3"/>
    <s v="ARP"/>
    <n v="41"/>
    <n v="26"/>
    <n v="1066"/>
    <s v="Gift card"/>
    <n v="27.716000000000001"/>
  </r>
  <r>
    <d v="2025-02-13T00:00:00"/>
    <s v="E-6713-17"/>
    <x v="6"/>
    <s v="Plano"/>
    <x v="5"/>
    <s v="APS"/>
    <n v="49"/>
    <n v="45"/>
    <n v="2205"/>
    <s v="Credit card"/>
    <n v="52.92"/>
  </r>
  <r>
    <d v="2025-02-13T00:00:00"/>
    <s v="A-7068-17"/>
    <x v="1"/>
    <s v="Allen"/>
    <x v="0"/>
    <s v="PFF"/>
    <n v="11"/>
    <n v="24"/>
    <n v="264"/>
    <s v="Gift card"/>
    <n v="6.8639999999999999"/>
  </r>
  <r>
    <d v="2025-02-13T00:00:00"/>
    <s v="C-9712-17"/>
    <x v="0"/>
    <s v="Plano"/>
    <x v="1"/>
    <s v="JKA"/>
    <n v="49"/>
    <n v="53"/>
    <n v="2597"/>
    <s v="Credit card"/>
    <n v="54.536999999999999"/>
  </r>
  <r>
    <d v="2025-02-13T00:00:00"/>
    <s v="C-8033-17"/>
    <x v="7"/>
    <s v="Plano"/>
    <x v="0"/>
    <s v="AKJ"/>
    <n v="10"/>
    <n v="36"/>
    <n v="360"/>
    <s v="Credit card"/>
    <n v="8.64"/>
  </r>
  <r>
    <d v="2025-02-13T00:00:00"/>
    <s v="G-6105-17"/>
    <x v="1"/>
    <s v="Richardson"/>
    <x v="4"/>
    <s v="KQR"/>
    <n v="17"/>
    <n v="20"/>
    <n v="340"/>
    <s v="Cash"/>
    <n v="7.14"/>
  </r>
  <r>
    <d v="2025-02-13T00:00:00"/>
    <s v="A-7270-17"/>
    <x v="7"/>
    <s v="Plano"/>
    <x v="6"/>
    <s v="SMH"/>
    <n v="54"/>
    <n v="59"/>
    <n v="3186"/>
    <s v="Cash"/>
    <n v="63.72"/>
  </r>
  <r>
    <d v="2025-02-13T00:00:00"/>
    <s v="A-1186-17"/>
    <x v="3"/>
    <s v="Coppell"/>
    <x v="4"/>
    <s v="KQR"/>
    <n v="44"/>
    <n v="25"/>
    <n v="1100"/>
    <s v="Credit card"/>
    <n v="33"/>
  </r>
  <r>
    <d v="2025-02-13T00:00:00"/>
    <s v="E-5052-17"/>
    <x v="5"/>
    <s v="McKinney"/>
    <x v="0"/>
    <s v="KQR"/>
    <n v="49"/>
    <n v="32"/>
    <n v="1568"/>
    <s v="Check"/>
    <n v="45.472000000000001"/>
  </r>
  <r>
    <d v="2025-02-13T00:00:00"/>
    <s v="D-4144-17"/>
    <x v="4"/>
    <s v="Plano"/>
    <x v="3"/>
    <s v="ZAA"/>
    <n v="12"/>
    <n v="27"/>
    <n v="324"/>
    <s v="Credit card"/>
    <n v="9.3960000000000008"/>
  </r>
  <r>
    <d v="2025-02-14T00:00:00"/>
    <s v="A-1408-18"/>
    <x v="3"/>
    <s v="Plano"/>
    <x v="5"/>
    <s v="ZAA"/>
    <n v="52"/>
    <n v="25"/>
    <n v="1300"/>
    <s v="Gift card"/>
    <n v="35.1"/>
  </r>
  <r>
    <d v="2025-02-14T00:00:00"/>
    <s v="A-9692-18"/>
    <x v="3"/>
    <s v="Plano"/>
    <x v="2"/>
    <s v="TSQ"/>
    <n v="19"/>
    <n v="46"/>
    <n v="874"/>
    <s v="Credit card"/>
    <n v="18.353999999999999"/>
  </r>
  <r>
    <d v="2025-02-14T00:00:00"/>
    <s v="G-6900-18"/>
    <x v="4"/>
    <s v="Allen"/>
    <x v="4"/>
    <s v="ZAA"/>
    <n v="37"/>
    <n v="24"/>
    <n v="888"/>
    <s v="Cash"/>
    <n v="23.088000000000001"/>
  </r>
  <r>
    <d v="2025-02-14T00:00:00"/>
    <s v="E-8231-18"/>
    <x v="4"/>
    <s v="Dallas"/>
    <x v="6"/>
    <s v="AKJ"/>
    <n v="13"/>
    <n v="21"/>
    <n v="273"/>
    <s v="Cash"/>
    <n v="7.9169999999999998"/>
  </r>
  <r>
    <d v="2025-02-14T00:00:00"/>
    <s v="G-7632-18"/>
    <x v="6"/>
    <s v="Dallas"/>
    <x v="0"/>
    <s v="TAP"/>
    <n v="56"/>
    <n v="25"/>
    <n v="1400"/>
    <s v="Credit card"/>
    <n v="42"/>
  </r>
  <r>
    <d v="2025-02-14T00:00:00"/>
    <s v="E-4301-18"/>
    <x v="8"/>
    <s v="Richardson"/>
    <x v="1"/>
    <s v="HNP"/>
    <n v="20"/>
    <n v="24"/>
    <n v="480"/>
    <s v="Credit card"/>
    <n v="13.92"/>
  </r>
  <r>
    <d v="2025-02-14T00:00:00"/>
    <s v="F-5358-18"/>
    <x v="2"/>
    <s v="Frisco"/>
    <x v="0"/>
    <s v="TAP"/>
    <n v="21"/>
    <n v="41"/>
    <n v="861"/>
    <s v="Credit card"/>
    <n v="23.247"/>
  </r>
  <r>
    <d v="2025-02-14T00:00:00"/>
    <s v="B-9647-18"/>
    <x v="1"/>
    <s v="Coppell"/>
    <x v="2"/>
    <s v="KQR"/>
    <n v="17"/>
    <n v="21"/>
    <n v="357"/>
    <s v="Credit card"/>
    <n v="9.282"/>
  </r>
  <r>
    <d v="2025-02-14T00:00:00"/>
    <s v="C-3304-18"/>
    <x v="7"/>
    <s v="Frisco"/>
    <x v="6"/>
    <s v="ZAA"/>
    <n v="48"/>
    <n v="49"/>
    <n v="2352"/>
    <s v="Credit card"/>
    <n v="68.207999999999998"/>
  </r>
  <r>
    <d v="2025-02-14T00:00:00"/>
    <s v="D-1859-18"/>
    <x v="2"/>
    <s v="Dallas"/>
    <x v="4"/>
    <s v="SMH"/>
    <n v="51"/>
    <n v="47"/>
    <n v="2397"/>
    <s v="Cash"/>
    <n v="59.924999999999997"/>
  </r>
  <r>
    <d v="2025-02-14T00:00:00"/>
    <s v="H-3933-18"/>
    <x v="4"/>
    <s v="Plano"/>
    <x v="2"/>
    <s v="JKA"/>
    <n v="17"/>
    <n v="31"/>
    <n v="527"/>
    <s v="Credit card"/>
    <n v="13.175000000000001"/>
  </r>
  <r>
    <d v="2025-02-15T00:00:00"/>
    <s v="B-1197-19"/>
    <x v="8"/>
    <s v="Coppell"/>
    <x v="0"/>
    <s v="KQR"/>
    <n v="45"/>
    <n v="56"/>
    <n v="2520"/>
    <s v="Credit card"/>
    <n v="60.48"/>
  </r>
  <r>
    <d v="2025-02-15T00:00:00"/>
    <s v="D-9676-19"/>
    <x v="1"/>
    <s v="Allen"/>
    <x v="5"/>
    <s v="TSQ"/>
    <n v="18"/>
    <n v="41"/>
    <n v="738"/>
    <s v="Gift card"/>
    <n v="15.497999999999999"/>
  </r>
  <r>
    <d v="2025-02-15T00:00:00"/>
    <s v="H-5613-19"/>
    <x v="4"/>
    <s v="Frisco"/>
    <x v="6"/>
    <s v="SAT"/>
    <n v="42"/>
    <n v="54"/>
    <n v="2268"/>
    <s v="Credit card"/>
    <n v="68.040000000000006"/>
  </r>
  <r>
    <d v="2025-02-15T00:00:00"/>
    <s v="D-3727-19"/>
    <x v="0"/>
    <s v="Frisco"/>
    <x v="1"/>
    <s v="KQR"/>
    <n v="32"/>
    <n v="33"/>
    <n v="1056"/>
    <s v="Cash"/>
    <n v="26.4"/>
  </r>
  <r>
    <d v="2025-02-15T00:00:00"/>
    <s v="H-6020-19"/>
    <x v="6"/>
    <s v="Plano"/>
    <x v="3"/>
    <s v="TSA"/>
    <n v="17"/>
    <n v="22"/>
    <n v="374"/>
    <s v="Credit card"/>
    <n v="9.35"/>
  </r>
  <r>
    <d v="2025-02-15T00:00:00"/>
    <s v="D-4109-19"/>
    <x v="6"/>
    <s v="Dallas"/>
    <x v="3"/>
    <s v="SAT"/>
    <n v="16"/>
    <n v="24"/>
    <n v="384"/>
    <s v="Cash"/>
    <n v="9.2159999999999993"/>
  </r>
  <r>
    <d v="2025-02-15T00:00:00"/>
    <s v="E-1149-19"/>
    <x v="3"/>
    <s v="Plano"/>
    <x v="6"/>
    <s v="JKA"/>
    <n v="48"/>
    <n v="58"/>
    <n v="2784"/>
    <s v="Cash"/>
    <n v="75.168000000000006"/>
  </r>
  <r>
    <d v="2025-02-15T00:00:00"/>
    <s v="C-7175-19"/>
    <x v="1"/>
    <s v="Allen"/>
    <x v="0"/>
    <s v="PFF"/>
    <n v="27"/>
    <n v="28"/>
    <n v="756"/>
    <s v="Credit card"/>
    <n v="17.388000000000002"/>
  </r>
  <r>
    <d v="2025-02-15T00:00:00"/>
    <s v="B-6343-19"/>
    <x v="4"/>
    <s v="Coppell"/>
    <x v="1"/>
    <s v="HNP"/>
    <n v="48"/>
    <n v="47"/>
    <n v="2256"/>
    <s v="Check"/>
    <n v="56.4"/>
  </r>
  <r>
    <d v="2025-02-15T00:00:00"/>
    <s v="B-4389-19"/>
    <x v="7"/>
    <s v="Richardson"/>
    <x v="0"/>
    <s v="PFF"/>
    <n v="38"/>
    <n v="46"/>
    <n v="1748"/>
    <s v="Credit card"/>
    <n v="50.692"/>
  </r>
  <r>
    <d v="2025-02-15T00:00:00"/>
    <s v="A-3527-19"/>
    <x v="2"/>
    <s v="Plano"/>
    <x v="3"/>
    <s v="TSQ"/>
    <n v="46"/>
    <n v="53"/>
    <n v="2438"/>
    <s v="Cash"/>
    <n v="51.198"/>
  </r>
  <r>
    <d v="2025-02-15T00:00:00"/>
    <s v="B-4281-19"/>
    <x v="4"/>
    <s v="McKinney"/>
    <x v="0"/>
    <s v="TSQ"/>
    <n v="49"/>
    <n v="48"/>
    <n v="2352"/>
    <s v="Credit card"/>
    <n v="47.04"/>
  </r>
  <r>
    <d v="2025-02-15T00:00:00"/>
    <s v="A-3608-19"/>
    <x v="5"/>
    <s v="Frisco"/>
    <x v="2"/>
    <s v="TAP"/>
    <n v="51"/>
    <n v="53"/>
    <n v="2703"/>
    <s v="Credit card"/>
    <n v="70.278000000000006"/>
  </r>
  <r>
    <d v="2025-02-15T00:00:00"/>
    <s v="D-4317-19"/>
    <x v="6"/>
    <s v="Frisco"/>
    <x v="6"/>
    <s v="PKH"/>
    <n v="55"/>
    <n v="39"/>
    <n v="2145"/>
    <s v="Check"/>
    <n v="47.19"/>
  </r>
  <r>
    <d v="2025-02-15T00:00:00"/>
    <s v="H-5888-19"/>
    <x v="1"/>
    <s v="Dallas"/>
    <x v="0"/>
    <s v="TSQ"/>
    <n v="53"/>
    <n v="42"/>
    <n v="2226"/>
    <s v="Credit card"/>
    <n v="48.972000000000001"/>
  </r>
  <r>
    <d v="2025-02-15T00:00:00"/>
    <s v="G-8931-19"/>
    <x v="6"/>
    <s v="Coppell"/>
    <x v="0"/>
    <s v="JKA"/>
    <n v="17"/>
    <n v="50"/>
    <n v="850"/>
    <s v="Gift card"/>
    <n v="23.8"/>
  </r>
  <r>
    <d v="2025-02-15T00:00:00"/>
    <s v="A-6255-19"/>
    <x v="3"/>
    <s v="McKinney"/>
    <x v="6"/>
    <s v="TSA"/>
    <n v="36"/>
    <n v="52"/>
    <n v="1872"/>
    <s v="Credit card"/>
    <n v="56.16"/>
  </r>
  <r>
    <d v="2025-02-15T00:00:00"/>
    <s v="C-1957-19"/>
    <x v="5"/>
    <s v="Dallas"/>
    <x v="2"/>
    <s v="TAP"/>
    <n v="45"/>
    <n v="33"/>
    <n v="1485"/>
    <s v="Gift card"/>
    <n v="31.184999999999999"/>
  </r>
  <r>
    <d v="2025-02-15T00:00:00"/>
    <s v="G-8726-19"/>
    <x v="0"/>
    <s v="McKinney"/>
    <x v="1"/>
    <s v="HNP"/>
    <n v="14"/>
    <n v="26"/>
    <n v="364"/>
    <s v="Credit card"/>
    <n v="9.4640000000000004"/>
  </r>
  <r>
    <d v="2025-02-15T00:00:00"/>
    <s v="C-4832-19"/>
    <x v="0"/>
    <s v="Dallas"/>
    <x v="1"/>
    <s v="PKH"/>
    <n v="35"/>
    <n v="41"/>
    <n v="1435"/>
    <s v="Gift card"/>
    <n v="34.44"/>
  </r>
  <r>
    <d v="2025-02-15T00:00:00"/>
    <s v="G-3812-19"/>
    <x v="3"/>
    <s v="Allen"/>
    <x v="2"/>
    <s v="TSQ"/>
    <n v="28"/>
    <n v="26"/>
    <n v="728"/>
    <s v="Cash"/>
    <n v="14.56"/>
  </r>
  <r>
    <d v="2025-02-15T00:00:00"/>
    <s v="C-7746-19"/>
    <x v="4"/>
    <s v="Richardson"/>
    <x v="1"/>
    <s v="HNP"/>
    <n v="58"/>
    <n v="25"/>
    <n v="1450"/>
    <s v="Cash"/>
    <n v="39.15"/>
  </r>
  <r>
    <d v="2025-02-15T00:00:00"/>
    <s v="E-4472-19"/>
    <x v="7"/>
    <s v="Richardson"/>
    <x v="2"/>
    <s v="ZAA"/>
    <n v="34"/>
    <n v="45"/>
    <n v="1530"/>
    <s v="Credit card"/>
    <n v="39.78"/>
  </r>
  <r>
    <d v="2025-02-15T00:00:00"/>
    <s v="F-2017-19"/>
    <x v="6"/>
    <s v="McKinney"/>
    <x v="2"/>
    <s v="TSA"/>
    <n v="15"/>
    <n v="28"/>
    <n v="420"/>
    <s v="Credit card"/>
    <n v="8.82"/>
  </r>
  <r>
    <d v="2025-02-15T00:00:00"/>
    <s v="A-6209-19"/>
    <x v="3"/>
    <s v="Dallas"/>
    <x v="2"/>
    <s v="PKH"/>
    <n v="27"/>
    <n v="54"/>
    <n v="1458"/>
    <s v="Gift card"/>
    <n v="40.823999999999998"/>
  </r>
  <r>
    <d v="2025-02-15T00:00:00"/>
    <s v="E-8566-19"/>
    <x v="4"/>
    <s v="Allen"/>
    <x v="1"/>
    <s v="SMH"/>
    <n v="27"/>
    <n v="33"/>
    <n v="891"/>
    <s v="Cash"/>
    <n v="19.602"/>
  </r>
  <r>
    <d v="2025-02-15T00:00:00"/>
    <s v="H-1743-19"/>
    <x v="4"/>
    <s v="Plano"/>
    <x v="3"/>
    <s v="PKH"/>
    <n v="31"/>
    <n v="31"/>
    <n v="961"/>
    <s v="Credit card"/>
    <n v="26.908000000000001"/>
  </r>
  <r>
    <d v="2025-02-15T00:00:00"/>
    <s v="A-4076-19"/>
    <x v="5"/>
    <s v="McKinney"/>
    <x v="4"/>
    <s v="HTE"/>
    <n v="56"/>
    <n v="35"/>
    <n v="1960"/>
    <s v="Cash"/>
    <n v="43.12"/>
  </r>
  <r>
    <d v="2025-02-15T00:00:00"/>
    <s v="G-6384-19"/>
    <x v="0"/>
    <s v="McKinney"/>
    <x v="0"/>
    <s v="JKA"/>
    <n v="17"/>
    <n v="57"/>
    <n v="969"/>
    <s v="Credit card"/>
    <n v="23.256"/>
  </r>
  <r>
    <d v="2025-02-15T00:00:00"/>
    <s v="B-2330-19"/>
    <x v="6"/>
    <s v="McKinney"/>
    <x v="4"/>
    <s v="ARP"/>
    <n v="38"/>
    <n v="31"/>
    <n v="1178"/>
    <s v="Credit card"/>
    <n v="32.984000000000002"/>
  </r>
  <r>
    <d v="2025-02-16T00:00:00"/>
    <s v="E-9343-20"/>
    <x v="4"/>
    <s v="Coppell"/>
    <x v="4"/>
    <s v="TSQ"/>
    <n v="60"/>
    <n v="35"/>
    <n v="2100"/>
    <s v="Cash"/>
    <n v="63"/>
  </r>
  <r>
    <d v="2025-02-16T00:00:00"/>
    <s v="G-1427-20"/>
    <x v="4"/>
    <s v="Allen"/>
    <x v="3"/>
    <s v="HTE"/>
    <n v="31"/>
    <n v="25"/>
    <n v="775"/>
    <s v="Cash"/>
    <n v="20.925000000000001"/>
  </r>
  <r>
    <d v="2025-02-16T00:00:00"/>
    <s v="A-5939-20"/>
    <x v="4"/>
    <s v="Frisco"/>
    <x v="1"/>
    <s v="SMH"/>
    <n v="35"/>
    <n v="51"/>
    <n v="1785"/>
    <s v="Cash"/>
    <n v="49.98"/>
  </r>
  <r>
    <d v="2025-02-16T00:00:00"/>
    <s v="B-1746-20"/>
    <x v="6"/>
    <s v="Coppell"/>
    <x v="0"/>
    <s v="TSA"/>
    <n v="28"/>
    <n v="28"/>
    <n v="784"/>
    <s v="Gift card"/>
    <n v="18.032"/>
  </r>
  <r>
    <d v="2025-02-16T00:00:00"/>
    <s v="G-2090-20"/>
    <x v="3"/>
    <s v="Plano"/>
    <x v="6"/>
    <s v="APS"/>
    <n v="13"/>
    <n v="38"/>
    <n v="494"/>
    <s v="Credit card"/>
    <n v="12.35"/>
  </r>
  <r>
    <d v="2025-02-17T00:00:00"/>
    <s v="F-5040-21"/>
    <x v="4"/>
    <s v="Allen"/>
    <x v="5"/>
    <s v="TSQ"/>
    <n v="26"/>
    <n v="41"/>
    <n v="1066"/>
    <s v="Credit card"/>
    <n v="27.716000000000001"/>
  </r>
  <r>
    <d v="2025-02-17T00:00:00"/>
    <s v="D-2433-21"/>
    <x v="2"/>
    <s v="Dallas"/>
    <x v="1"/>
    <s v="SMH"/>
    <n v="10"/>
    <n v="38"/>
    <n v="380"/>
    <s v="Credit card"/>
    <n v="9.1199999999999992"/>
  </r>
  <r>
    <d v="2025-02-17T00:00:00"/>
    <s v="F-5565-21"/>
    <x v="3"/>
    <s v="Plano"/>
    <x v="4"/>
    <s v="JKA"/>
    <n v="41"/>
    <n v="56"/>
    <n v="2296"/>
    <s v="Gift card"/>
    <n v="59.695999999999998"/>
  </r>
  <r>
    <d v="2025-02-18T00:00:00"/>
    <s v="G-8452-22"/>
    <x v="7"/>
    <s v="Coppell"/>
    <x v="1"/>
    <s v="HNP"/>
    <n v="34"/>
    <n v="30"/>
    <n v="1020"/>
    <s v="Credit card"/>
    <n v="30.6"/>
  </r>
  <r>
    <d v="2025-02-18T00:00:00"/>
    <s v="H-1770-22"/>
    <x v="7"/>
    <s v="Plano"/>
    <x v="6"/>
    <s v="SMH"/>
    <n v="10"/>
    <n v="57"/>
    <n v="570"/>
    <s v="Check"/>
    <n v="14.82"/>
  </r>
  <r>
    <d v="2025-02-18T00:00:00"/>
    <s v="H-7960-22"/>
    <x v="7"/>
    <s v="Plano"/>
    <x v="2"/>
    <s v="PFF"/>
    <n v="59"/>
    <n v="26"/>
    <n v="1534"/>
    <s v="Credit card"/>
    <n v="39.884"/>
  </r>
  <r>
    <d v="2025-02-18T00:00:00"/>
    <s v="E-9287-22"/>
    <x v="5"/>
    <s v="Plano"/>
    <x v="1"/>
    <s v="TSA"/>
    <n v="25"/>
    <n v="36"/>
    <n v="900"/>
    <s v="Credit card"/>
    <n v="21.6"/>
  </r>
  <r>
    <d v="2025-02-18T00:00:00"/>
    <s v="B-8593-22"/>
    <x v="5"/>
    <s v="Dallas"/>
    <x v="3"/>
    <s v="PKH"/>
    <n v="41"/>
    <n v="43"/>
    <n v="1763"/>
    <s v="Cash"/>
    <n v="35.26"/>
  </r>
  <r>
    <d v="2025-02-18T00:00:00"/>
    <s v="F-7774-22"/>
    <x v="5"/>
    <s v="Dallas"/>
    <x v="2"/>
    <s v="TAP"/>
    <n v="50"/>
    <n v="33"/>
    <n v="1650"/>
    <s v="Cash"/>
    <n v="47.85"/>
  </r>
  <r>
    <d v="2025-02-18T00:00:00"/>
    <s v="C-6544-22"/>
    <x v="2"/>
    <s v="Richardson"/>
    <x v="4"/>
    <s v="ARP"/>
    <n v="26"/>
    <n v="53"/>
    <n v="1378"/>
    <s v="Check"/>
    <n v="34.450000000000003"/>
  </r>
  <r>
    <d v="2025-02-18T00:00:00"/>
    <s v="B-7883-22"/>
    <x v="1"/>
    <s v="Plano"/>
    <x v="4"/>
    <s v="APS"/>
    <n v="17"/>
    <n v="23"/>
    <n v="391"/>
    <s v="Gift card"/>
    <n v="7.82"/>
  </r>
  <r>
    <d v="2025-02-18T00:00:00"/>
    <s v="H-5508-22"/>
    <x v="5"/>
    <s v="Dallas"/>
    <x v="2"/>
    <s v="PFF"/>
    <n v="37"/>
    <n v="24"/>
    <n v="888"/>
    <s v="Credit card"/>
    <n v="22.2"/>
  </r>
  <r>
    <d v="2025-02-18T00:00:00"/>
    <s v="E-4175-22"/>
    <x v="0"/>
    <s v="Plano"/>
    <x v="3"/>
    <s v="TSA"/>
    <n v="54"/>
    <n v="29"/>
    <n v="1566"/>
    <s v="Gift card"/>
    <n v="34.451999999999998"/>
  </r>
  <r>
    <d v="2025-02-18T00:00:00"/>
    <s v="E-1179-22"/>
    <x v="5"/>
    <s v="Frisco"/>
    <x v="2"/>
    <s v="TAP"/>
    <n v="43"/>
    <n v="44"/>
    <n v="1892"/>
    <s v="Gift card"/>
    <n v="37.840000000000003"/>
  </r>
  <r>
    <d v="2025-02-18T00:00:00"/>
    <s v="G-3511-22"/>
    <x v="3"/>
    <s v="Frisco"/>
    <x v="2"/>
    <s v="SMH"/>
    <n v="51"/>
    <n v="30"/>
    <n v="1530"/>
    <s v="Gift card"/>
    <n v="44.37"/>
  </r>
  <r>
    <d v="2025-02-18T00:00:00"/>
    <s v="D-6333-22"/>
    <x v="3"/>
    <s v="McKinney"/>
    <x v="6"/>
    <s v="ARP"/>
    <n v="42"/>
    <n v="57"/>
    <n v="2394"/>
    <s v="Credit card"/>
    <n v="52.667999999999999"/>
  </r>
  <r>
    <d v="2025-02-18T00:00:00"/>
    <s v="E-6109-22"/>
    <x v="2"/>
    <s v="Dallas"/>
    <x v="3"/>
    <s v="HNP"/>
    <n v="59"/>
    <n v="55"/>
    <n v="3245"/>
    <s v="Gift card"/>
    <n v="71.39"/>
  </r>
  <r>
    <d v="2025-02-18T00:00:00"/>
    <s v="E-6379-22"/>
    <x v="1"/>
    <s v="Coppell"/>
    <x v="1"/>
    <s v="TSQ"/>
    <n v="16"/>
    <n v="48"/>
    <n v="768"/>
    <s v="Gift card"/>
    <n v="23.04"/>
  </r>
  <r>
    <d v="2025-02-18T00:00:00"/>
    <s v="E-5867-22"/>
    <x v="7"/>
    <s v="Richardson"/>
    <x v="3"/>
    <s v="PFF"/>
    <n v="56"/>
    <n v="59"/>
    <n v="3304"/>
    <s v="Check"/>
    <n v="69.384"/>
  </r>
  <r>
    <d v="2025-02-18T00:00:00"/>
    <s v="H-6413-22"/>
    <x v="4"/>
    <s v="Dallas"/>
    <x v="0"/>
    <s v="SMH"/>
    <n v="42"/>
    <n v="59"/>
    <n v="2478"/>
    <s v="Gift card"/>
    <n v="49.56"/>
  </r>
  <r>
    <d v="2025-02-19T00:00:00"/>
    <s v="D-5009-23"/>
    <x v="6"/>
    <s v="Plano"/>
    <x v="0"/>
    <s v="TSQ"/>
    <n v="42"/>
    <n v="42"/>
    <n v="1764"/>
    <s v="Credit card"/>
    <n v="44.1"/>
  </r>
  <r>
    <d v="2025-02-19T00:00:00"/>
    <s v="B-1724-23"/>
    <x v="0"/>
    <s v="Dallas"/>
    <x v="2"/>
    <s v="PFF"/>
    <n v="37"/>
    <n v="32"/>
    <n v="1184"/>
    <s v="Gift card"/>
    <n v="34.335999999999999"/>
  </r>
  <r>
    <d v="2025-02-19T00:00:00"/>
    <s v="G-3297-23"/>
    <x v="1"/>
    <s v="Allen"/>
    <x v="2"/>
    <s v="SAT"/>
    <n v="47"/>
    <n v="49"/>
    <n v="2303"/>
    <s v="Credit card"/>
    <n v="62.180999999999997"/>
  </r>
  <r>
    <d v="2025-02-19T00:00:00"/>
    <s v="D-6705-23"/>
    <x v="7"/>
    <s v="Frisco"/>
    <x v="3"/>
    <s v="ATP"/>
    <n v="28"/>
    <n v="52"/>
    <n v="1456"/>
    <s v="Cash"/>
    <n v="30.576000000000001"/>
  </r>
  <r>
    <d v="2025-02-19T00:00:00"/>
    <s v="A-7035-23"/>
    <x v="4"/>
    <s v="Plano"/>
    <x v="0"/>
    <s v="HNP"/>
    <n v="36"/>
    <n v="37"/>
    <n v="1332"/>
    <s v="Gift card"/>
    <n v="26.64"/>
  </r>
  <r>
    <d v="2025-02-19T00:00:00"/>
    <s v="F-4295-23"/>
    <x v="2"/>
    <s v="Richardson"/>
    <x v="4"/>
    <s v="TSQ"/>
    <n v="57"/>
    <n v="40"/>
    <n v="2280"/>
    <s v="Gift card"/>
    <n v="57"/>
  </r>
  <r>
    <d v="2025-02-19T00:00:00"/>
    <s v="A-9240-23"/>
    <x v="5"/>
    <s v="Plano"/>
    <x v="3"/>
    <s v="SAT"/>
    <n v="10"/>
    <n v="20"/>
    <n v="200"/>
    <s v="Credit card"/>
    <n v="4.4000000000000004"/>
  </r>
  <r>
    <d v="2025-02-19T00:00:00"/>
    <s v="B-2154-23"/>
    <x v="4"/>
    <s v="Coppell"/>
    <x v="3"/>
    <s v="PKH"/>
    <n v="28"/>
    <n v="52"/>
    <n v="1456"/>
    <s v="Credit card"/>
    <n v="29.12"/>
  </r>
  <r>
    <d v="2025-02-20T00:00:00"/>
    <s v="E-8673-24"/>
    <x v="7"/>
    <s v="Plano"/>
    <x v="4"/>
    <s v="ATP"/>
    <n v="16"/>
    <n v="21"/>
    <n v="336"/>
    <s v="Gift card"/>
    <n v="9.4079999999999995"/>
  </r>
  <r>
    <d v="2025-02-20T00:00:00"/>
    <s v="C-8752-24"/>
    <x v="4"/>
    <s v="Richardson"/>
    <x v="2"/>
    <s v="MSP"/>
    <n v="33"/>
    <n v="45"/>
    <n v="1485"/>
    <s v="Gift card"/>
    <n v="31.184999999999999"/>
  </r>
  <r>
    <d v="2025-02-20T00:00:00"/>
    <s v="G-7622-24"/>
    <x v="7"/>
    <s v="McKinney"/>
    <x v="0"/>
    <s v="TSQ"/>
    <n v="27"/>
    <n v="37"/>
    <n v="999"/>
    <s v="Credit card"/>
    <n v="25.974"/>
  </r>
  <r>
    <d v="2025-02-20T00:00:00"/>
    <s v="E-7834-24"/>
    <x v="1"/>
    <s v="Allen"/>
    <x v="1"/>
    <s v="JKA"/>
    <n v="42"/>
    <n v="58"/>
    <n v="2436"/>
    <s v="Credit card"/>
    <n v="56.027999999999999"/>
  </r>
  <r>
    <d v="2025-02-20T00:00:00"/>
    <s v="C-6376-24"/>
    <x v="0"/>
    <s v="Plano"/>
    <x v="6"/>
    <s v="PFF"/>
    <n v="59"/>
    <n v="53"/>
    <n v="3127"/>
    <s v="Check"/>
    <n v="90.683000000000007"/>
  </r>
  <r>
    <d v="2025-02-21T00:00:00"/>
    <s v="F-1642-25"/>
    <x v="3"/>
    <s v="McKinney"/>
    <x v="2"/>
    <s v="ARP"/>
    <n v="35"/>
    <n v="34"/>
    <n v="1190"/>
    <s v="Credit card"/>
    <n v="32.130000000000003"/>
  </r>
  <r>
    <d v="2025-02-21T00:00:00"/>
    <s v="D-3856-25"/>
    <x v="7"/>
    <s v="Frisco"/>
    <x v="0"/>
    <s v="KQR"/>
    <n v="57"/>
    <n v="29"/>
    <n v="1653"/>
    <s v="Credit card"/>
    <n v="49.59"/>
  </r>
  <r>
    <d v="2025-02-21T00:00:00"/>
    <s v="E-2216-25"/>
    <x v="2"/>
    <s v="Dallas"/>
    <x v="2"/>
    <s v="ARP"/>
    <n v="16"/>
    <n v="59"/>
    <n v="944"/>
    <s v="Credit card"/>
    <n v="24.544"/>
  </r>
  <r>
    <d v="2025-02-21T00:00:00"/>
    <s v="B-8654-25"/>
    <x v="3"/>
    <s v="Richardson"/>
    <x v="4"/>
    <s v="SAT"/>
    <n v="12"/>
    <n v="37"/>
    <n v="444"/>
    <s v="Credit card"/>
    <n v="11.988"/>
  </r>
  <r>
    <d v="2025-02-21T00:00:00"/>
    <s v="D-4338-25"/>
    <x v="5"/>
    <s v="Plano"/>
    <x v="2"/>
    <s v="ARP"/>
    <n v="59"/>
    <n v="57"/>
    <n v="3363"/>
    <s v="Credit card"/>
    <n v="97.527000000000001"/>
  </r>
  <r>
    <d v="2025-02-21T00:00:00"/>
    <s v="D-9981-25"/>
    <x v="6"/>
    <s v="Plano"/>
    <x v="3"/>
    <s v="ATP"/>
    <n v="29"/>
    <n v="23"/>
    <n v="667"/>
    <s v="Credit card"/>
    <n v="16.007999999999999"/>
  </r>
  <r>
    <d v="2025-02-22T00:00:00"/>
    <s v="B-6202-26"/>
    <x v="7"/>
    <s v="Richardson"/>
    <x v="1"/>
    <s v="ATP"/>
    <n v="49"/>
    <n v="25"/>
    <n v="1225"/>
    <s v="Credit card"/>
    <n v="36.75"/>
  </r>
  <r>
    <d v="2025-02-23T00:00:00"/>
    <s v="G-2655-27"/>
    <x v="7"/>
    <s v="Frisco"/>
    <x v="6"/>
    <s v="TAP"/>
    <n v="17"/>
    <n v="35"/>
    <n v="595"/>
    <s v="Gift card"/>
    <n v="16.065000000000001"/>
  </r>
  <r>
    <d v="2025-02-23T00:00:00"/>
    <s v="H-8670-27"/>
    <x v="0"/>
    <s v="Plano"/>
    <x v="1"/>
    <s v="TSA"/>
    <n v="14"/>
    <n v="57"/>
    <n v="798"/>
    <s v="Credit card"/>
    <n v="18.353999999999999"/>
  </r>
  <r>
    <d v="2025-02-23T00:00:00"/>
    <s v="H-7698-27"/>
    <x v="3"/>
    <s v="Richardson"/>
    <x v="5"/>
    <s v="HTE"/>
    <n v="12"/>
    <n v="34"/>
    <n v="408"/>
    <s v="Gift card"/>
    <n v="10.608000000000001"/>
  </r>
  <r>
    <d v="2025-02-23T00:00:00"/>
    <s v="F-7648-27"/>
    <x v="2"/>
    <s v="Dallas"/>
    <x v="2"/>
    <s v="TSA"/>
    <n v="30"/>
    <n v="37"/>
    <n v="1110"/>
    <s v="Cash"/>
    <n v="25.53"/>
  </r>
  <r>
    <d v="2025-02-23T00:00:00"/>
    <s v="F-9881-27"/>
    <x v="7"/>
    <s v="Plano"/>
    <x v="5"/>
    <s v="TAP"/>
    <n v="45"/>
    <n v="42"/>
    <n v="1890"/>
    <s v="Gift card"/>
    <n v="39.69"/>
  </r>
  <r>
    <d v="2025-02-23T00:00:00"/>
    <s v="H-2797-27"/>
    <x v="7"/>
    <s v="Dallas"/>
    <x v="0"/>
    <s v="ATP"/>
    <n v="59"/>
    <n v="29"/>
    <n v="1711"/>
    <s v="Gift card"/>
    <n v="46.197000000000003"/>
  </r>
  <r>
    <d v="2025-02-23T00:00:00"/>
    <s v="B-9202-27"/>
    <x v="4"/>
    <s v="Coppell"/>
    <x v="0"/>
    <s v="JKA"/>
    <n v="27"/>
    <n v="50"/>
    <n v="1350"/>
    <s v="Credit card"/>
    <n v="31.05"/>
  </r>
  <r>
    <d v="2025-02-24T00:00:00"/>
    <s v="D-2496-28"/>
    <x v="3"/>
    <s v="Dallas"/>
    <x v="0"/>
    <s v="AKJ"/>
    <n v="54"/>
    <n v="51"/>
    <n v="2754"/>
    <s v="Cash"/>
    <n v="74.358000000000004"/>
  </r>
  <r>
    <d v="2025-02-24T00:00:00"/>
    <s v="F-7474-28"/>
    <x v="1"/>
    <s v="Richardson"/>
    <x v="3"/>
    <s v="AKJ"/>
    <n v="39"/>
    <n v="46"/>
    <n v="1794"/>
    <s v="Cash"/>
    <n v="37.673999999999999"/>
  </r>
  <r>
    <d v="2025-02-24T00:00:00"/>
    <s v="A-3363-28"/>
    <x v="5"/>
    <s v="Coppell"/>
    <x v="5"/>
    <s v="AKJ"/>
    <n v="26"/>
    <n v="53"/>
    <n v="1378"/>
    <s v="Gift card"/>
    <n v="39.962000000000003"/>
  </r>
  <r>
    <d v="2025-02-25T00:00:00"/>
    <s v="E-8248-29"/>
    <x v="6"/>
    <s v="Plano"/>
    <x v="4"/>
    <s v="HTE"/>
    <n v="55"/>
    <n v="33"/>
    <n v="1815"/>
    <s v="Cash"/>
    <n v="49.005000000000003"/>
  </r>
  <r>
    <d v="2025-02-25T00:00:00"/>
    <s v="D-8959-29"/>
    <x v="4"/>
    <s v="McKinney"/>
    <x v="4"/>
    <s v="APS"/>
    <n v="17"/>
    <n v="49"/>
    <n v="833"/>
    <s v="Credit card"/>
    <n v="23.324000000000002"/>
  </r>
  <r>
    <d v="2025-02-25T00:00:00"/>
    <s v="B-6034-29"/>
    <x v="7"/>
    <s v="Coppell"/>
    <x v="2"/>
    <s v="ARP"/>
    <n v="37"/>
    <n v="49"/>
    <n v="1813"/>
    <s v="Credit card"/>
    <n v="50.764000000000003"/>
  </r>
  <r>
    <d v="2025-02-25T00:00:00"/>
    <s v="G-4019-29"/>
    <x v="3"/>
    <s v="Dallas"/>
    <x v="3"/>
    <s v="SMH"/>
    <n v="25"/>
    <n v="32"/>
    <n v="800"/>
    <s v="Credit card"/>
    <n v="20"/>
  </r>
  <r>
    <d v="2025-02-25T00:00:00"/>
    <s v="G-5529-29"/>
    <x v="7"/>
    <s v="McKinney"/>
    <x v="0"/>
    <s v="SAT"/>
    <n v="52"/>
    <n v="34"/>
    <n v="1768"/>
    <s v="Cash"/>
    <n v="44.2"/>
  </r>
  <r>
    <d v="2025-02-25T00:00:00"/>
    <s v="B-3029-29"/>
    <x v="5"/>
    <s v="Allen"/>
    <x v="1"/>
    <s v="ARP"/>
    <n v="49"/>
    <n v="48"/>
    <n v="2352"/>
    <s v="Gift card"/>
    <n v="58.8"/>
  </r>
  <r>
    <d v="2025-02-25T00:00:00"/>
    <s v="H-4212-29"/>
    <x v="0"/>
    <s v="McKinney"/>
    <x v="3"/>
    <s v="HNP"/>
    <n v="54"/>
    <n v="59"/>
    <n v="3186"/>
    <s v="Credit card"/>
    <n v="79.650000000000006"/>
  </r>
  <r>
    <d v="2025-02-25T00:00:00"/>
    <s v="A-2136-29"/>
    <x v="5"/>
    <s v="Dallas"/>
    <x v="5"/>
    <s v="APS"/>
    <n v="39"/>
    <n v="58"/>
    <n v="2262"/>
    <s v="Credit card"/>
    <n v="67.86"/>
  </r>
  <r>
    <d v="2025-02-25T00:00:00"/>
    <s v="H-2878-29"/>
    <x v="7"/>
    <s v="Plano"/>
    <x v="4"/>
    <s v="PKH"/>
    <n v="24"/>
    <n v="29"/>
    <n v="696"/>
    <s v="Gift card"/>
    <n v="15.311999999999999"/>
  </r>
  <r>
    <d v="2025-02-25T00:00:00"/>
    <s v="B-1985-29"/>
    <x v="2"/>
    <s v="Coppell"/>
    <x v="4"/>
    <s v="HTE"/>
    <n v="30"/>
    <n v="59"/>
    <n v="1770"/>
    <s v="Gift card"/>
    <n v="53.1"/>
  </r>
  <r>
    <d v="2025-02-25T00:00:00"/>
    <s v="H-4722-29"/>
    <x v="4"/>
    <s v="Frisco"/>
    <x v="0"/>
    <s v="MSP"/>
    <n v="37"/>
    <n v="39"/>
    <n v="1443"/>
    <s v="Gift card"/>
    <n v="37.518000000000001"/>
  </r>
  <r>
    <d v="2025-02-25T00:00:00"/>
    <s v="D-8203-29"/>
    <x v="8"/>
    <s v="Allen"/>
    <x v="0"/>
    <s v="MSP"/>
    <n v="49"/>
    <n v="22"/>
    <n v="1078"/>
    <s v="Cash"/>
    <n v="22.638000000000002"/>
  </r>
  <r>
    <d v="2025-02-25T00:00:00"/>
    <s v="E-7333-29"/>
    <x v="4"/>
    <s v="Allen"/>
    <x v="3"/>
    <s v="ATP"/>
    <n v="34"/>
    <n v="55"/>
    <n v="1870"/>
    <s v="Cash"/>
    <n v="56.1"/>
  </r>
  <r>
    <d v="2025-02-25T00:00:00"/>
    <s v="A-4255-29"/>
    <x v="6"/>
    <s v="Dallas"/>
    <x v="3"/>
    <s v="SAT"/>
    <n v="53"/>
    <n v="29"/>
    <n v="1537"/>
    <s v="Gift card"/>
    <n v="44.573"/>
  </r>
  <r>
    <d v="2025-02-25T00:00:00"/>
    <s v="H-8844-29"/>
    <x v="8"/>
    <s v="McKinney"/>
    <x v="3"/>
    <s v="TAP"/>
    <n v="31"/>
    <n v="45"/>
    <n v="1395"/>
    <s v="Cash"/>
    <n v="37.664999999999999"/>
  </r>
  <r>
    <d v="2025-02-25T00:00:00"/>
    <s v="C-9214-29"/>
    <x v="5"/>
    <s v="McKinney"/>
    <x v="1"/>
    <s v="TAP"/>
    <n v="20"/>
    <n v="38"/>
    <n v="760"/>
    <s v="Cash"/>
    <n v="21.28"/>
  </r>
  <r>
    <d v="2025-02-25T00:00:00"/>
    <s v="C-6866-29"/>
    <x v="2"/>
    <s v="Richardson"/>
    <x v="4"/>
    <s v="MSP"/>
    <n v="29"/>
    <n v="55"/>
    <n v="1595"/>
    <s v="Credit card"/>
    <n v="33.494999999999997"/>
  </r>
  <r>
    <d v="2025-02-25T00:00:00"/>
    <s v="C-8083-29"/>
    <x v="4"/>
    <s v="Coppell"/>
    <x v="1"/>
    <s v="PKH"/>
    <n v="55"/>
    <n v="31"/>
    <n v="1705"/>
    <s v="Credit card"/>
    <n v="49.445"/>
  </r>
  <r>
    <d v="2025-02-25T00:00:00"/>
    <s v="H-2535-29"/>
    <x v="6"/>
    <s v="Plano"/>
    <x v="6"/>
    <s v="PFF"/>
    <n v="29"/>
    <n v="51"/>
    <n v="1479"/>
    <s v="Credit card"/>
    <n v="35.496000000000002"/>
  </r>
  <r>
    <d v="2025-02-26T00:00:00"/>
    <s v="B-9705-30"/>
    <x v="8"/>
    <s v="Coppell"/>
    <x v="4"/>
    <s v="MSP"/>
    <n v="41"/>
    <n v="36"/>
    <n v="1476"/>
    <s v="Credit card"/>
    <n v="36.9"/>
  </r>
  <r>
    <d v="2025-02-26T00:00:00"/>
    <s v="G-6283-30"/>
    <x v="6"/>
    <s v="Allen"/>
    <x v="0"/>
    <s v="AKJ"/>
    <n v="59"/>
    <n v="58"/>
    <n v="3422"/>
    <s v="Cash"/>
    <n v="95.816000000000003"/>
  </r>
  <r>
    <d v="2025-02-26T00:00:00"/>
    <s v="D-8715-30"/>
    <x v="4"/>
    <s v="Dallas"/>
    <x v="6"/>
    <s v="KQR"/>
    <n v="21"/>
    <n v="53"/>
    <n v="1113"/>
    <s v="Check"/>
    <n v="31.164000000000001"/>
  </r>
  <r>
    <d v="2025-02-26T00:00:00"/>
    <s v="B-4453-30"/>
    <x v="5"/>
    <s v="Coppell"/>
    <x v="6"/>
    <s v="JKA"/>
    <n v="46"/>
    <n v="24"/>
    <n v="1104"/>
    <s v="Credit card"/>
    <n v="27.6"/>
  </r>
  <r>
    <d v="2025-02-26T00:00:00"/>
    <s v="E-7931-30"/>
    <x v="7"/>
    <s v="McKinney"/>
    <x v="4"/>
    <s v="APS"/>
    <n v="47"/>
    <n v="29"/>
    <n v="1363"/>
    <s v="Gift card"/>
    <n v="36.801000000000002"/>
  </r>
  <r>
    <d v="2025-02-26T00:00:00"/>
    <s v="A-1457-30"/>
    <x v="1"/>
    <s v="Dallas"/>
    <x v="5"/>
    <s v="SMH"/>
    <n v="19"/>
    <n v="20"/>
    <n v="380"/>
    <s v="Check"/>
    <n v="7.98"/>
  </r>
  <r>
    <d v="2025-02-26T00:00:00"/>
    <s v="H-7901-30"/>
    <x v="7"/>
    <s v="Coppell"/>
    <x v="6"/>
    <s v="TSA"/>
    <n v="41"/>
    <n v="56"/>
    <n v="2296"/>
    <s v="Credit card"/>
    <n v="48.216000000000001"/>
  </r>
  <r>
    <d v="2025-02-26T00:00:00"/>
    <s v="A-4190-30"/>
    <x v="4"/>
    <s v="Richardson"/>
    <x v="2"/>
    <s v="TSA"/>
    <n v="38"/>
    <n v="26"/>
    <n v="988"/>
    <s v="Cash"/>
    <n v="21.736000000000001"/>
  </r>
  <r>
    <d v="2025-02-27T00:00:00"/>
    <s v="C-6925-31"/>
    <x v="8"/>
    <s v="Frisco"/>
    <x v="0"/>
    <s v="APS"/>
    <n v="38"/>
    <n v="60"/>
    <n v="2280"/>
    <s v="Credit card"/>
    <n v="50.16"/>
  </r>
  <r>
    <d v="2025-02-27T00:00:00"/>
    <s v="D-3939-31"/>
    <x v="8"/>
    <s v="McKinney"/>
    <x v="4"/>
    <s v="SMH"/>
    <n v="43"/>
    <n v="55"/>
    <n v="2365"/>
    <s v="Cash"/>
    <n v="61.49"/>
  </r>
  <r>
    <d v="2025-02-27T00:00:00"/>
    <s v="D-4477-31"/>
    <x v="4"/>
    <s v="McKinney"/>
    <x v="0"/>
    <s v="HTE"/>
    <n v="54"/>
    <n v="31"/>
    <n v="1674"/>
    <s v="Gift card"/>
    <n v="43.524000000000001"/>
  </r>
  <r>
    <d v="2025-02-27T00:00:00"/>
    <s v="B-9616-31"/>
    <x v="7"/>
    <s v="Dallas"/>
    <x v="3"/>
    <s v="ATP"/>
    <n v="38"/>
    <n v="41"/>
    <n v="1558"/>
    <s v="Cash"/>
    <n v="43.624000000000002"/>
  </r>
  <r>
    <d v="2025-02-27T00:00:00"/>
    <s v="H-4342-31"/>
    <x v="7"/>
    <s v="Plano"/>
    <x v="2"/>
    <s v="ZAA"/>
    <n v="36"/>
    <n v="44"/>
    <n v="1584"/>
    <s v="Credit card"/>
    <n v="39.6"/>
  </r>
  <r>
    <d v="2025-02-27T00:00:00"/>
    <s v="A-5138-31"/>
    <x v="4"/>
    <s v="Plano"/>
    <x v="6"/>
    <s v="AKJ"/>
    <n v="28"/>
    <n v="28"/>
    <n v="784"/>
    <s v="Credit card"/>
    <n v="18.815999999999999"/>
  </r>
  <r>
    <d v="2025-02-27T00:00:00"/>
    <s v="B-7817-31"/>
    <x v="4"/>
    <s v="Frisco"/>
    <x v="4"/>
    <s v="ARP"/>
    <n v="11"/>
    <n v="53"/>
    <n v="583"/>
    <s v="Cash"/>
    <n v="15.741"/>
  </r>
  <r>
    <d v="2025-02-27T00:00:00"/>
    <s v="D-5105-31"/>
    <x v="3"/>
    <s v="Coppell"/>
    <x v="2"/>
    <s v="APS"/>
    <n v="39"/>
    <n v="45"/>
    <n v="1755"/>
    <s v="Credit card"/>
    <n v="35.1"/>
  </r>
  <r>
    <d v="2025-02-27T00:00:00"/>
    <s v="C-5231-31"/>
    <x v="7"/>
    <s v="Frisco"/>
    <x v="3"/>
    <s v="ZAA"/>
    <n v="59"/>
    <n v="41"/>
    <n v="2419"/>
    <s v="Cash"/>
    <n v="55.637"/>
  </r>
  <r>
    <d v="2025-02-27T00:00:00"/>
    <s v="A-3721-31"/>
    <x v="5"/>
    <s v="Coppell"/>
    <x v="1"/>
    <s v="JKA"/>
    <n v="57"/>
    <n v="39"/>
    <n v="2223"/>
    <s v="Gift card"/>
    <n v="62.244"/>
  </r>
  <r>
    <d v="2025-02-27T00:00:00"/>
    <s v="G-2551-31"/>
    <x v="8"/>
    <s v="McKinney"/>
    <x v="2"/>
    <s v="ATP"/>
    <n v="42"/>
    <n v="50"/>
    <n v="2100"/>
    <s v="Gift card"/>
    <n v="58.8"/>
  </r>
  <r>
    <d v="2025-02-27T00:00:00"/>
    <s v="F-2250-31"/>
    <x v="8"/>
    <s v="Plano"/>
    <x v="3"/>
    <s v="HTE"/>
    <n v="52"/>
    <n v="22"/>
    <n v="1144"/>
    <s v="Credit card"/>
    <n v="29.744"/>
  </r>
  <r>
    <d v="2025-02-27T00:00:00"/>
    <s v="E-3226-31"/>
    <x v="2"/>
    <s v="Dallas"/>
    <x v="0"/>
    <s v="TSQ"/>
    <n v="22"/>
    <n v="29"/>
    <n v="638"/>
    <s v="Cash"/>
    <n v="19.14"/>
  </r>
  <r>
    <d v="2025-02-27T00:00:00"/>
    <s v="G-1609-31"/>
    <x v="7"/>
    <s v="Coppell"/>
    <x v="6"/>
    <s v="AKJ"/>
    <n v="40"/>
    <n v="44"/>
    <n v="1760"/>
    <s v="Credit card"/>
    <n v="42.24"/>
  </r>
  <r>
    <d v="2025-02-27T00:00:00"/>
    <s v="C-4964-31"/>
    <x v="2"/>
    <s v="Coppell"/>
    <x v="1"/>
    <s v="TSA"/>
    <n v="41"/>
    <n v="27"/>
    <n v="1107"/>
    <s v="Gift card"/>
    <n v="23.247"/>
  </r>
  <r>
    <d v="2025-02-27T00:00:00"/>
    <s v="F-9020-31"/>
    <x v="7"/>
    <s v="Allen"/>
    <x v="5"/>
    <s v="SMH"/>
    <n v="16"/>
    <n v="42"/>
    <n v="672"/>
    <s v="Credit card"/>
    <n v="20.16"/>
  </r>
  <r>
    <d v="2025-02-27T00:00:00"/>
    <s v="F-8851-31"/>
    <x v="5"/>
    <s v="Richardson"/>
    <x v="3"/>
    <s v="PFF"/>
    <n v="37"/>
    <n v="38"/>
    <n v="1406"/>
    <s v="Gift card"/>
    <n v="39.368000000000002"/>
  </r>
  <r>
    <d v="2025-02-27T00:00:00"/>
    <s v="F-1458-31"/>
    <x v="0"/>
    <s v="Allen"/>
    <x v="2"/>
    <s v="SAT"/>
    <n v="29"/>
    <n v="37"/>
    <n v="1073"/>
    <s v="Gift card"/>
    <n v="28.971"/>
  </r>
  <r>
    <d v="2025-02-27T00:00:00"/>
    <s v="A-4152-31"/>
    <x v="2"/>
    <s v="Frisco"/>
    <x v="4"/>
    <s v="ARP"/>
    <n v="53"/>
    <n v="29"/>
    <n v="1537"/>
    <s v="Credit card"/>
    <n v="38.424999999999997"/>
  </r>
  <r>
    <d v="2025-02-27T00:00:00"/>
    <s v="A-9901-31"/>
    <x v="6"/>
    <s v="Plano"/>
    <x v="5"/>
    <s v="TSA"/>
    <n v="48"/>
    <n v="59"/>
    <n v="2832"/>
    <s v="Cash"/>
    <n v="79.296000000000006"/>
  </r>
  <r>
    <d v="2025-02-27T00:00:00"/>
    <s v="C-4489-31"/>
    <x v="0"/>
    <s v="Dallas"/>
    <x v="6"/>
    <s v="SAT"/>
    <n v="43"/>
    <n v="56"/>
    <n v="2408"/>
    <s v="Cash"/>
    <n v="50.567999999999998"/>
  </r>
  <r>
    <d v="2025-02-27T00:00:00"/>
    <s v="A-1525-31"/>
    <x v="3"/>
    <s v="Allen"/>
    <x v="2"/>
    <s v="SAT"/>
    <n v="13"/>
    <n v="36"/>
    <n v="468"/>
    <s v="Credit card"/>
    <n v="13.571999999999999"/>
  </r>
  <r>
    <d v="2025-02-27T00:00:00"/>
    <s v="E-6773-31"/>
    <x v="7"/>
    <s v="Coppell"/>
    <x v="3"/>
    <s v="KQR"/>
    <n v="21"/>
    <n v="47"/>
    <n v="987"/>
    <s v="Cash"/>
    <n v="20.727"/>
  </r>
  <r>
    <d v="2025-02-27T00:00:00"/>
    <s v="G-1387-31"/>
    <x v="8"/>
    <s v="Plano"/>
    <x v="4"/>
    <s v="TSA"/>
    <n v="30"/>
    <n v="30"/>
    <n v="900"/>
    <s v="Cash"/>
    <n v="18"/>
  </r>
  <r>
    <d v="2025-02-27T00:00:00"/>
    <s v="A-9642-31"/>
    <x v="6"/>
    <s v="Coppell"/>
    <x v="4"/>
    <s v="TAP"/>
    <n v="35"/>
    <n v="56"/>
    <n v="1960"/>
    <s v="Credit card"/>
    <n v="43.12"/>
  </r>
  <r>
    <d v="2025-02-27T00:00:00"/>
    <s v="F-7338-31"/>
    <x v="7"/>
    <s v="Plano"/>
    <x v="3"/>
    <s v="PKH"/>
    <n v="34"/>
    <n v="51"/>
    <n v="1734"/>
    <s v="Cash"/>
    <n v="50.286000000000001"/>
  </r>
  <r>
    <d v="2025-02-27T00:00:00"/>
    <s v="D-1116-31"/>
    <x v="4"/>
    <s v="Allen"/>
    <x v="6"/>
    <s v="HNP"/>
    <n v="38"/>
    <n v="26"/>
    <n v="988"/>
    <s v="Cash"/>
    <n v="21.736000000000001"/>
  </r>
  <r>
    <d v="2025-02-27T00:00:00"/>
    <s v="D-3753-31"/>
    <x v="2"/>
    <s v="Coppell"/>
    <x v="2"/>
    <s v="ATP"/>
    <n v="32"/>
    <n v="29"/>
    <n v="928"/>
    <s v="Credit card"/>
    <n v="22.271999999999998"/>
  </r>
  <r>
    <d v="2025-02-28T00:00:00"/>
    <s v="AK-4698-1"/>
    <x v="7"/>
    <s v="Dallas"/>
    <x v="1"/>
    <s v="JKA"/>
    <n v="55"/>
    <n v="46"/>
    <n v="2530"/>
    <s v="Cash"/>
    <n v="58.19"/>
  </r>
  <r>
    <d v="2025-02-28T00:00:00"/>
    <s v="GK-4980-1"/>
    <x v="0"/>
    <s v="Dallas"/>
    <x v="3"/>
    <s v="HTE"/>
    <n v="48"/>
    <n v="38"/>
    <n v="1824"/>
    <s v="Credit card"/>
    <n v="51.072000000000003"/>
  </r>
  <r>
    <d v="2025-02-28T00:00:00"/>
    <s v="HK-7415-1"/>
    <x v="6"/>
    <s v="Plano"/>
    <x v="1"/>
    <s v="APS"/>
    <n v="21"/>
    <n v="54"/>
    <n v="1134"/>
    <s v="Credit card"/>
    <n v="23.814"/>
  </r>
  <r>
    <d v="2025-02-28T00:00:00"/>
    <s v="CK-2358-1"/>
    <x v="1"/>
    <s v="Dallas"/>
    <x v="2"/>
    <s v="TAP"/>
    <n v="22"/>
    <n v="25"/>
    <n v="550"/>
    <s v="Credit card"/>
    <n v="12.1"/>
  </r>
  <r>
    <d v="2025-02-28T00:00:00"/>
    <s v="AK-7983-1"/>
    <x v="5"/>
    <s v="Dallas"/>
    <x v="0"/>
    <s v="JKA"/>
    <n v="24"/>
    <n v="42"/>
    <n v="1008"/>
    <s v="Credit card"/>
    <n v="23.184000000000001"/>
  </r>
  <r>
    <d v="2025-02-28T00:00:00"/>
    <s v="AK-6925-1"/>
    <x v="0"/>
    <s v="Plano"/>
    <x v="0"/>
    <s v="TSQ"/>
    <n v="48"/>
    <n v="56"/>
    <n v="2688"/>
    <s v="Check"/>
    <n v="72.575999999999993"/>
  </r>
  <r>
    <d v="2025-02-28T00:00:00"/>
    <s v="AK-1456-1"/>
    <x v="7"/>
    <s v="Dallas"/>
    <x v="5"/>
    <s v="PKH"/>
    <n v="19"/>
    <n v="32"/>
    <n v="608"/>
    <s v="Credit card"/>
    <n v="15.2"/>
  </r>
  <r>
    <d v="2025-02-28T00:00:00"/>
    <s v="DK-6113-1"/>
    <x v="1"/>
    <s v="Richardson"/>
    <x v="1"/>
    <s v="PFF"/>
    <n v="36"/>
    <n v="21"/>
    <n v="756"/>
    <s v="Check"/>
    <n v="21.167999999999999"/>
  </r>
  <r>
    <d v="2025-02-28T00:00:00"/>
    <s v="FK-7924-1"/>
    <x v="7"/>
    <s v="Frisco"/>
    <x v="5"/>
    <s v="TSQ"/>
    <n v="29"/>
    <n v="55"/>
    <n v="1595"/>
    <s v="Check"/>
    <n v="44.66"/>
  </r>
  <r>
    <d v="2025-03-01T00:00:00"/>
    <s v="GK-6114-2"/>
    <x v="4"/>
    <s v="Frisco"/>
    <x v="2"/>
    <s v="HTE"/>
    <n v="32"/>
    <n v="46"/>
    <n v="1472"/>
    <s v="Credit card"/>
    <n v="29.44"/>
  </r>
  <r>
    <d v="2025-03-01T00:00:00"/>
    <s v="AK-5346-2"/>
    <x v="3"/>
    <s v="Richardson"/>
    <x v="3"/>
    <s v="PFF"/>
    <n v="54"/>
    <n v="28"/>
    <n v="1512"/>
    <s v="Cash"/>
    <n v="42.335999999999999"/>
  </r>
  <r>
    <d v="2025-03-01T00:00:00"/>
    <s v="DK-4701-2"/>
    <x v="1"/>
    <s v="Allen"/>
    <x v="1"/>
    <s v="ARP"/>
    <n v="41"/>
    <n v="20"/>
    <n v="820"/>
    <s v="Gift card"/>
    <n v="17.22"/>
  </r>
  <r>
    <d v="2025-03-01T00:00:00"/>
    <s v="BK-3403-2"/>
    <x v="4"/>
    <s v="Coppell"/>
    <x v="2"/>
    <s v="ZAA"/>
    <n v="23"/>
    <n v="24"/>
    <n v="552"/>
    <s v="Credit card"/>
    <n v="13.247999999999999"/>
  </r>
  <r>
    <d v="2025-03-01T00:00:00"/>
    <s v="BK-1761-2"/>
    <x v="7"/>
    <s v="Dallas"/>
    <x v="1"/>
    <s v="ATP"/>
    <n v="36"/>
    <n v="42"/>
    <n v="1512"/>
    <s v="Credit card"/>
    <n v="30.24"/>
  </r>
  <r>
    <d v="2025-03-01T00:00:00"/>
    <s v="EK-6591-2"/>
    <x v="0"/>
    <s v="Plano"/>
    <x v="4"/>
    <s v="JKA"/>
    <n v="55"/>
    <n v="26"/>
    <n v="1430"/>
    <s v="Cash"/>
    <n v="32.89"/>
  </r>
  <r>
    <d v="2025-03-01T00:00:00"/>
    <s v="GK-9231-2"/>
    <x v="6"/>
    <s v="McKinney"/>
    <x v="3"/>
    <s v="KQR"/>
    <n v="12"/>
    <n v="54"/>
    <n v="648"/>
    <s v="Credit card"/>
    <n v="12.96"/>
  </r>
  <r>
    <d v="2025-03-01T00:00:00"/>
    <s v="HK-2787-2"/>
    <x v="4"/>
    <s v="McKinney"/>
    <x v="1"/>
    <s v="HNP"/>
    <n v="23"/>
    <n v="23"/>
    <n v="529"/>
    <s v="Gift card"/>
    <n v="11.638"/>
  </r>
  <r>
    <d v="2025-03-01T00:00:00"/>
    <s v="GK-7484-2"/>
    <x v="3"/>
    <s v="Frisco"/>
    <x v="6"/>
    <s v="ZAA"/>
    <n v="10"/>
    <n v="36"/>
    <n v="360"/>
    <s v="Gift card"/>
    <n v="9"/>
  </r>
  <r>
    <d v="2025-03-01T00:00:00"/>
    <s v="HK-1887-2"/>
    <x v="6"/>
    <s v="Richardson"/>
    <x v="4"/>
    <s v="MSP"/>
    <n v="15"/>
    <n v="34"/>
    <n v="510"/>
    <s v="Gift card"/>
    <n v="15.3"/>
  </r>
  <r>
    <d v="2025-03-01T00:00:00"/>
    <s v="CK-9325-2"/>
    <x v="1"/>
    <s v="Dallas"/>
    <x v="1"/>
    <s v="TSQ"/>
    <n v="30"/>
    <n v="30"/>
    <n v="900"/>
    <s v="Credit card"/>
    <n v="19.8"/>
  </r>
  <r>
    <d v="2025-03-01T00:00:00"/>
    <s v="HK-4797-2"/>
    <x v="4"/>
    <s v="Frisco"/>
    <x v="3"/>
    <s v="APS"/>
    <n v="14"/>
    <n v="54"/>
    <n v="756"/>
    <s v="Cash"/>
    <n v="15.875999999999999"/>
  </r>
  <r>
    <d v="2025-03-01T00:00:00"/>
    <s v="FK-4028-2"/>
    <x v="0"/>
    <s v="Richardson"/>
    <x v="0"/>
    <s v="HNP"/>
    <n v="45"/>
    <n v="25"/>
    <n v="1125"/>
    <s v="Gift card"/>
    <n v="32.625"/>
  </r>
  <r>
    <d v="2025-03-02T00:00:00"/>
    <s v="EK-9345-3"/>
    <x v="5"/>
    <s v="Dallas"/>
    <x v="0"/>
    <s v="KQR"/>
    <n v="47"/>
    <n v="58"/>
    <n v="2726"/>
    <s v="Credit card"/>
    <n v="59.972000000000001"/>
  </r>
  <r>
    <d v="2025-03-02T00:00:00"/>
    <s v="AK-4260-3"/>
    <x v="3"/>
    <s v="Dallas"/>
    <x v="2"/>
    <s v="SAT"/>
    <n v="43"/>
    <n v="50"/>
    <n v="2150"/>
    <s v="Cash"/>
    <n v="62.35"/>
  </r>
  <r>
    <d v="2025-03-02T00:00:00"/>
    <s v="DK-8880-3"/>
    <x v="7"/>
    <s v="Richardson"/>
    <x v="1"/>
    <s v="TSA"/>
    <n v="17"/>
    <n v="43"/>
    <n v="731"/>
    <s v="Cash"/>
    <n v="16.812999999999999"/>
  </r>
  <r>
    <d v="2025-03-02T00:00:00"/>
    <s v="FK-3748-3"/>
    <x v="8"/>
    <s v="Dallas"/>
    <x v="0"/>
    <s v="SAT"/>
    <n v="53"/>
    <n v="25"/>
    <n v="1325"/>
    <s v="Cash"/>
    <n v="31.8"/>
  </r>
  <r>
    <d v="2025-03-02T00:00:00"/>
    <s v="AK-2314-3"/>
    <x v="8"/>
    <s v="Coppell"/>
    <x v="2"/>
    <s v="ARP"/>
    <n v="27"/>
    <n v="43"/>
    <n v="1161"/>
    <s v="Credit card"/>
    <n v="27.864000000000001"/>
  </r>
  <r>
    <d v="2025-03-02T00:00:00"/>
    <s v="AK-7426-3"/>
    <x v="0"/>
    <s v="Plano"/>
    <x v="3"/>
    <s v="APS"/>
    <n v="26"/>
    <n v="34"/>
    <n v="884"/>
    <s v="Cash"/>
    <n v="22.1"/>
  </r>
  <r>
    <d v="2025-03-02T00:00:00"/>
    <s v="DK-6575-3"/>
    <x v="8"/>
    <s v="Coppell"/>
    <x v="1"/>
    <s v="PFF"/>
    <n v="30"/>
    <n v="50"/>
    <n v="1500"/>
    <s v="Cash"/>
    <n v="33"/>
  </r>
  <r>
    <d v="2025-03-03T00:00:00"/>
    <s v="BK-2553-4"/>
    <x v="6"/>
    <s v="Richardson"/>
    <x v="4"/>
    <s v="TSQ"/>
    <n v="11"/>
    <n v="53"/>
    <n v="583"/>
    <s v="Credit card"/>
    <n v="14.574999999999999"/>
  </r>
  <r>
    <d v="2025-03-03T00:00:00"/>
    <s v="FK-8584-4"/>
    <x v="8"/>
    <s v="Coppell"/>
    <x v="2"/>
    <s v="ATP"/>
    <n v="40"/>
    <n v="55"/>
    <n v="2200"/>
    <s v="Credit card"/>
    <n v="63.8"/>
  </r>
  <r>
    <d v="2025-03-03T00:00:00"/>
    <s v="EK-3125-4"/>
    <x v="0"/>
    <s v="Plano"/>
    <x v="2"/>
    <s v="SAT"/>
    <n v="14"/>
    <n v="58"/>
    <n v="812"/>
    <s v="Cash"/>
    <n v="22.736000000000001"/>
  </r>
  <r>
    <d v="2025-03-03T00:00:00"/>
    <s v="DK-2834-4"/>
    <x v="3"/>
    <s v="Plano"/>
    <x v="3"/>
    <s v="ARP"/>
    <n v="58"/>
    <n v="35"/>
    <n v="2030"/>
    <s v="Check"/>
    <n v="58.87"/>
  </r>
  <r>
    <d v="2025-03-03T00:00:00"/>
    <s v="AK-2645-4"/>
    <x v="0"/>
    <s v="Plano"/>
    <x v="0"/>
    <s v="SMH"/>
    <n v="59"/>
    <n v="55"/>
    <n v="3245"/>
    <s v="Check"/>
    <n v="64.900000000000006"/>
  </r>
  <r>
    <d v="2025-03-03T00:00:00"/>
    <s v="HK-3926-4"/>
    <x v="6"/>
    <s v="Plano"/>
    <x v="0"/>
    <s v="ATP"/>
    <n v="21"/>
    <n v="34"/>
    <n v="714"/>
    <s v="Credit card"/>
    <n v="14.994"/>
  </r>
  <r>
    <d v="2025-03-03T00:00:00"/>
    <s v="EK-4065-4"/>
    <x v="0"/>
    <s v="Allen"/>
    <x v="2"/>
    <s v="APS"/>
    <n v="33"/>
    <n v="56"/>
    <n v="1848"/>
    <s v="Credit card"/>
    <n v="49.896000000000001"/>
  </r>
  <r>
    <d v="2025-03-03T00:00:00"/>
    <s v="FK-9034-4"/>
    <x v="1"/>
    <s v="Richardson"/>
    <x v="2"/>
    <s v="TSQ"/>
    <n v="17"/>
    <n v="59"/>
    <n v="1003"/>
    <s v="Cash"/>
    <n v="30.09"/>
  </r>
  <r>
    <d v="2025-03-03T00:00:00"/>
    <s v="BK-6780-4"/>
    <x v="4"/>
    <s v="Frisco"/>
    <x v="3"/>
    <s v="PFF"/>
    <n v="36"/>
    <n v="53"/>
    <n v="1908"/>
    <s v="Credit card"/>
    <n v="55.332000000000001"/>
  </r>
  <r>
    <d v="2025-03-03T00:00:00"/>
    <s v="CK-4662-4"/>
    <x v="5"/>
    <s v="Dallas"/>
    <x v="4"/>
    <s v="ATP"/>
    <n v="18"/>
    <n v="43"/>
    <n v="774"/>
    <s v="Cash"/>
    <n v="17.027999999999999"/>
  </r>
  <r>
    <d v="2025-03-03T00:00:00"/>
    <s v="DK-9020-4"/>
    <x v="1"/>
    <s v="Allen"/>
    <x v="4"/>
    <s v="APS"/>
    <n v="10"/>
    <n v="39"/>
    <n v="390"/>
    <s v="Cash"/>
    <n v="10.53"/>
  </r>
  <r>
    <d v="2025-03-03T00:00:00"/>
    <s v="GK-9752-4"/>
    <x v="8"/>
    <s v="Dallas"/>
    <x v="4"/>
    <s v="APS"/>
    <n v="29"/>
    <n v="44"/>
    <n v="1276"/>
    <s v="Credit card"/>
    <n v="35.728000000000002"/>
  </r>
  <r>
    <d v="2025-03-03T00:00:00"/>
    <s v="GK-3832-4"/>
    <x v="3"/>
    <s v="Dallas"/>
    <x v="3"/>
    <s v="PKH"/>
    <n v="55"/>
    <n v="46"/>
    <n v="2530"/>
    <s v="Credit card"/>
    <n v="68.31"/>
  </r>
  <r>
    <d v="2025-03-03T00:00:00"/>
    <s v="BK-7087-4"/>
    <x v="1"/>
    <s v="Plano"/>
    <x v="3"/>
    <s v="SMH"/>
    <n v="12"/>
    <n v="53"/>
    <n v="636"/>
    <s v="Cash"/>
    <n v="13.356"/>
  </r>
  <r>
    <d v="2025-03-03T00:00:00"/>
    <s v="AK-3222-4"/>
    <x v="1"/>
    <s v="Plano"/>
    <x v="0"/>
    <s v="JKA"/>
    <n v="28"/>
    <n v="42"/>
    <n v="1176"/>
    <s v="Gift card"/>
    <n v="30.576000000000001"/>
  </r>
  <r>
    <d v="2025-03-03T00:00:00"/>
    <s v="EK-8285-4"/>
    <x v="6"/>
    <s v="Allen"/>
    <x v="3"/>
    <s v="AKJ"/>
    <n v="32"/>
    <n v="39"/>
    <n v="1248"/>
    <s v="Credit card"/>
    <n v="36.192"/>
  </r>
  <r>
    <d v="2025-03-03T00:00:00"/>
    <s v="BK-8859-4"/>
    <x v="7"/>
    <s v="Dallas"/>
    <x v="0"/>
    <s v="TAP"/>
    <n v="53"/>
    <n v="23"/>
    <n v="1219"/>
    <s v="Credit card"/>
    <n v="34.131999999999998"/>
  </r>
  <r>
    <d v="2025-03-03T00:00:00"/>
    <s v="DK-5249-4"/>
    <x v="6"/>
    <s v="Plano"/>
    <x v="1"/>
    <s v="TAP"/>
    <n v="17"/>
    <n v="44"/>
    <n v="748"/>
    <s v="Credit card"/>
    <n v="14.96"/>
  </r>
  <r>
    <d v="2025-03-04T00:00:00"/>
    <s v="EK-5510-5"/>
    <x v="5"/>
    <s v="Frisco"/>
    <x v="0"/>
    <s v="APS"/>
    <n v="10"/>
    <n v="25"/>
    <n v="250"/>
    <s v="Credit card"/>
    <n v="7.5"/>
  </r>
  <r>
    <d v="2025-03-04T00:00:00"/>
    <s v="DK-1589-5"/>
    <x v="8"/>
    <s v="Coppell"/>
    <x v="3"/>
    <s v="APS"/>
    <n v="21"/>
    <n v="48"/>
    <n v="1008"/>
    <s v="Cash"/>
    <n v="20.16"/>
  </r>
  <r>
    <d v="2025-03-05T00:00:00"/>
    <s v="DK-8736-6"/>
    <x v="4"/>
    <s v="Dallas"/>
    <x v="4"/>
    <s v="JKA"/>
    <n v="27"/>
    <n v="36"/>
    <n v="972"/>
    <s v="Gift card"/>
    <n v="19.440000000000001"/>
  </r>
  <r>
    <d v="2025-03-05T00:00:00"/>
    <s v="AK-2642-6"/>
    <x v="8"/>
    <s v="Plano"/>
    <x v="5"/>
    <s v="ARP"/>
    <n v="56"/>
    <n v="57"/>
    <n v="3192"/>
    <s v="Credit card"/>
    <n v="89.376000000000005"/>
  </r>
  <r>
    <d v="2025-03-05T00:00:00"/>
    <s v="FK-1274-6"/>
    <x v="4"/>
    <s v="Richardson"/>
    <x v="2"/>
    <s v="TAP"/>
    <n v="20"/>
    <n v="59"/>
    <n v="1180"/>
    <s v="Credit card"/>
    <n v="35.4"/>
  </r>
  <r>
    <d v="2025-03-05T00:00:00"/>
    <s v="AK-3358-6"/>
    <x v="6"/>
    <s v="Frisco"/>
    <x v="5"/>
    <s v="ZAA"/>
    <n v="13"/>
    <n v="36"/>
    <n v="468"/>
    <s v="Credit card"/>
    <n v="11.231999999999999"/>
  </r>
  <r>
    <d v="2025-03-05T00:00:00"/>
    <s v="DK-8038-6"/>
    <x v="5"/>
    <s v="Dallas"/>
    <x v="2"/>
    <s v="ARP"/>
    <n v="31"/>
    <n v="51"/>
    <n v="1581"/>
    <s v="Credit card"/>
    <n v="45.848999999999997"/>
  </r>
  <r>
    <d v="2025-03-05T00:00:00"/>
    <s v="DK-9735-6"/>
    <x v="5"/>
    <s v="Frisco"/>
    <x v="3"/>
    <s v="APS"/>
    <n v="30"/>
    <n v="55"/>
    <n v="1650"/>
    <s v="Credit card"/>
    <n v="42.9"/>
  </r>
  <r>
    <d v="2025-03-05T00:00:00"/>
    <s v="CK-8273-6"/>
    <x v="5"/>
    <s v="Plano"/>
    <x v="4"/>
    <s v="TAP"/>
    <n v="17"/>
    <n v="32"/>
    <n v="544"/>
    <s v="Check"/>
    <n v="11.968"/>
  </r>
  <r>
    <d v="2025-03-05T00:00:00"/>
    <s v="HK-4139-6"/>
    <x v="1"/>
    <s v="Plano"/>
    <x v="3"/>
    <s v="ARP"/>
    <n v="60"/>
    <n v="52"/>
    <n v="3120"/>
    <s v="Cash"/>
    <n v="90.48"/>
  </r>
  <r>
    <d v="2025-03-05T00:00:00"/>
    <s v="FK-8467-6"/>
    <x v="2"/>
    <s v="Allen"/>
    <x v="0"/>
    <s v="TSA"/>
    <n v="38"/>
    <n v="54"/>
    <n v="2052"/>
    <s v="Cash"/>
    <n v="51.3"/>
  </r>
  <r>
    <d v="2025-03-06T00:00:00"/>
    <s v="CK-8500-7"/>
    <x v="7"/>
    <s v="Dallas"/>
    <x v="1"/>
    <s v="APS"/>
    <n v="25"/>
    <n v="40"/>
    <n v="1000"/>
    <s v="Credit card"/>
    <n v="30"/>
  </r>
  <r>
    <d v="2025-03-06T00:00:00"/>
    <s v="CK-5161-7"/>
    <x v="4"/>
    <s v="Dallas"/>
    <x v="3"/>
    <s v="TSA"/>
    <n v="24"/>
    <n v="33"/>
    <n v="792"/>
    <s v="Cash"/>
    <n v="19.007999999999999"/>
  </r>
  <r>
    <d v="2025-03-06T00:00:00"/>
    <s v="GK-9838-7"/>
    <x v="8"/>
    <s v="Richardson"/>
    <x v="1"/>
    <s v="APS"/>
    <n v="56"/>
    <n v="23"/>
    <n v="1288"/>
    <s v="Check"/>
    <n v="34.776000000000003"/>
  </r>
  <r>
    <d v="2025-03-06T00:00:00"/>
    <s v="HK-9940-7"/>
    <x v="6"/>
    <s v="Frisco"/>
    <x v="4"/>
    <s v="AKJ"/>
    <n v="20"/>
    <n v="25"/>
    <n v="500"/>
    <s v="Credit card"/>
    <n v="13.5"/>
  </r>
  <r>
    <d v="2025-03-07T00:00:00"/>
    <s v="DK-5485-8"/>
    <x v="6"/>
    <s v="Coppell"/>
    <x v="3"/>
    <s v="JKA"/>
    <n v="48"/>
    <n v="33"/>
    <n v="1584"/>
    <s v="Cash"/>
    <n v="47.52"/>
  </r>
  <r>
    <d v="2025-03-07T00:00:00"/>
    <s v="BK-1943-8"/>
    <x v="8"/>
    <s v="Richardson"/>
    <x v="3"/>
    <s v="TSA"/>
    <n v="57"/>
    <n v="48"/>
    <n v="2736"/>
    <s v="Credit card"/>
    <n v="54.72"/>
  </r>
  <r>
    <d v="2025-03-08T00:00:00"/>
    <s v="FK-1913-9"/>
    <x v="0"/>
    <s v="Plano"/>
    <x v="3"/>
    <s v="PFF"/>
    <n v="41"/>
    <n v="56"/>
    <n v="2296"/>
    <s v="Gift card"/>
    <n v="64.287999999999997"/>
  </r>
  <r>
    <d v="2025-03-08T00:00:00"/>
    <s v="CK-5314-9"/>
    <x v="7"/>
    <s v="Dallas"/>
    <x v="1"/>
    <s v="MSP"/>
    <n v="56"/>
    <n v="57"/>
    <n v="3192"/>
    <s v="Credit card"/>
    <n v="92.567999999999998"/>
  </r>
  <r>
    <d v="2025-03-08T00:00:00"/>
    <s v="FK-9193-9"/>
    <x v="7"/>
    <s v="Allen"/>
    <x v="0"/>
    <s v="PFF"/>
    <n v="41"/>
    <n v="41"/>
    <n v="1681"/>
    <s v="Gift card"/>
    <n v="42.024999999999999"/>
  </r>
  <r>
    <d v="2025-03-09T00:00:00"/>
    <s v="D-4113-10"/>
    <x v="4"/>
    <s v="McKinney"/>
    <x v="3"/>
    <s v="ATP"/>
    <n v="33"/>
    <n v="43"/>
    <n v="1419"/>
    <s v="Gift card"/>
    <n v="34.055999999999997"/>
  </r>
  <r>
    <d v="2025-03-09T00:00:00"/>
    <s v="H-3150-10"/>
    <x v="1"/>
    <s v="Frisco"/>
    <x v="3"/>
    <s v="TSQ"/>
    <n v="17"/>
    <n v="21"/>
    <n v="357"/>
    <s v="Check"/>
    <n v="8.9250000000000007"/>
  </r>
  <r>
    <d v="2025-03-09T00:00:00"/>
    <s v="H-3838-10"/>
    <x v="0"/>
    <s v="Allen"/>
    <x v="0"/>
    <s v="SMH"/>
    <n v="14"/>
    <n v="30"/>
    <n v="420"/>
    <s v="Credit card"/>
    <n v="8.82"/>
  </r>
  <r>
    <d v="2025-03-09T00:00:00"/>
    <s v="E-6984-10"/>
    <x v="2"/>
    <s v="Allen"/>
    <x v="4"/>
    <s v="ATP"/>
    <n v="33"/>
    <n v="21"/>
    <n v="693"/>
    <s v="Gift card"/>
    <n v="20.79"/>
  </r>
  <r>
    <d v="2025-03-09T00:00:00"/>
    <s v="E-7674-10"/>
    <x v="2"/>
    <s v="Plano"/>
    <x v="3"/>
    <s v="APS"/>
    <n v="45"/>
    <n v="20"/>
    <n v="900"/>
    <s v="Check"/>
    <n v="21.6"/>
  </r>
  <r>
    <d v="2025-03-09T00:00:00"/>
    <s v="H-5815-10"/>
    <x v="4"/>
    <s v="Plano"/>
    <x v="4"/>
    <s v="APS"/>
    <n v="46"/>
    <n v="52"/>
    <n v="2392"/>
    <s v="Cash"/>
    <n v="52.624000000000002"/>
  </r>
  <r>
    <d v="2025-03-09T00:00:00"/>
    <s v="F-2430-10"/>
    <x v="1"/>
    <s v="Plano"/>
    <x v="6"/>
    <s v="TSQ"/>
    <n v="51"/>
    <n v="43"/>
    <n v="2193"/>
    <s v="Gift card"/>
    <n v="61.404000000000003"/>
  </r>
  <r>
    <d v="2025-03-09T00:00:00"/>
    <s v="A-3008-10"/>
    <x v="1"/>
    <s v="McKinney"/>
    <x v="4"/>
    <s v="HTE"/>
    <n v="23"/>
    <n v="30"/>
    <n v="690"/>
    <s v="Gift card"/>
    <n v="20.010000000000002"/>
  </r>
  <r>
    <d v="2025-03-10T00:00:00"/>
    <s v="E-1832-11"/>
    <x v="3"/>
    <s v="Richardson"/>
    <x v="0"/>
    <s v="TSA"/>
    <n v="28"/>
    <n v="41"/>
    <n v="1148"/>
    <s v="Credit card"/>
    <n v="29.847999999999999"/>
  </r>
  <r>
    <d v="2025-03-10T00:00:00"/>
    <s v="D-1985-11"/>
    <x v="7"/>
    <s v="Plano"/>
    <x v="4"/>
    <s v="AKJ"/>
    <n v="18"/>
    <n v="38"/>
    <n v="684"/>
    <s v="Gift card"/>
    <n v="20.52"/>
  </r>
  <r>
    <d v="2025-03-10T00:00:00"/>
    <s v="B-7827-11"/>
    <x v="7"/>
    <s v="Plano"/>
    <x v="3"/>
    <s v="PFF"/>
    <n v="55"/>
    <n v="44"/>
    <n v="2420"/>
    <s v="Credit card"/>
    <n v="58.08"/>
  </r>
  <r>
    <d v="2025-03-10T00:00:00"/>
    <s v="E-6718-11"/>
    <x v="4"/>
    <s v="Richardson"/>
    <x v="0"/>
    <s v="KQR"/>
    <n v="27"/>
    <n v="42"/>
    <n v="1134"/>
    <s v="Credit card"/>
    <n v="23.814"/>
  </r>
  <r>
    <d v="2025-03-10T00:00:00"/>
    <s v="C-9578-11"/>
    <x v="7"/>
    <s v="Dallas"/>
    <x v="0"/>
    <s v="ARP"/>
    <n v="35"/>
    <n v="45"/>
    <n v="1575"/>
    <s v="Credit card"/>
    <n v="42.524999999999999"/>
  </r>
  <r>
    <d v="2025-03-10T00:00:00"/>
    <s v="B-2578-11"/>
    <x v="7"/>
    <s v="Coppell"/>
    <x v="3"/>
    <s v="TSA"/>
    <n v="30"/>
    <n v="47"/>
    <n v="1410"/>
    <s v="Cash"/>
    <n v="40.89"/>
  </r>
  <r>
    <d v="2025-03-11T00:00:00"/>
    <s v="B-9997-12"/>
    <x v="5"/>
    <s v="Dallas"/>
    <x v="6"/>
    <s v="TSQ"/>
    <n v="42"/>
    <n v="44"/>
    <n v="1848"/>
    <s v="Cash"/>
    <n v="42.503999999999998"/>
  </r>
  <r>
    <d v="2025-03-11T00:00:00"/>
    <s v="C-8084-12"/>
    <x v="0"/>
    <s v="Coppell"/>
    <x v="1"/>
    <s v="KQR"/>
    <n v="31"/>
    <n v="41"/>
    <n v="1271"/>
    <s v="Cash"/>
    <n v="30.504000000000001"/>
  </r>
  <r>
    <d v="2025-03-11T00:00:00"/>
    <s v="E-8033-12"/>
    <x v="5"/>
    <s v="Plano"/>
    <x v="4"/>
    <s v="ARP"/>
    <n v="15"/>
    <n v="35"/>
    <n v="525"/>
    <s v="Cash"/>
    <n v="13.65"/>
  </r>
  <r>
    <d v="2025-03-11T00:00:00"/>
    <s v="E-9750-12"/>
    <x v="6"/>
    <s v="McKinney"/>
    <x v="6"/>
    <s v="ARP"/>
    <n v="11"/>
    <n v="46"/>
    <n v="506"/>
    <s v="Check"/>
    <n v="12.144"/>
  </r>
  <r>
    <d v="2025-03-11T00:00:00"/>
    <s v="C-8912-12"/>
    <x v="0"/>
    <s v="Dallas"/>
    <x v="0"/>
    <s v="TSQ"/>
    <n v="25"/>
    <n v="21"/>
    <n v="525"/>
    <s v="Credit card"/>
    <n v="12.6"/>
  </r>
  <r>
    <d v="2025-03-11T00:00:00"/>
    <s v="A-7550-12"/>
    <x v="8"/>
    <s v="Allen"/>
    <x v="2"/>
    <s v="HNP"/>
    <n v="44"/>
    <n v="42"/>
    <n v="1848"/>
    <s v="Cash"/>
    <n v="48.048000000000002"/>
  </r>
  <r>
    <d v="2025-03-11T00:00:00"/>
    <s v="H-9725-12"/>
    <x v="8"/>
    <s v="Richardson"/>
    <x v="1"/>
    <s v="SAT"/>
    <n v="53"/>
    <n v="30"/>
    <n v="1590"/>
    <s v="Credit card"/>
    <n v="36.57"/>
  </r>
  <r>
    <d v="2025-03-11T00:00:00"/>
    <s v="A-2897-12"/>
    <x v="1"/>
    <s v="McKinney"/>
    <x v="4"/>
    <s v="PKH"/>
    <n v="53"/>
    <n v="36"/>
    <n v="1908"/>
    <s v="Gift card"/>
    <n v="40.067999999999998"/>
  </r>
  <r>
    <d v="2025-03-11T00:00:00"/>
    <s v="B-9820-12"/>
    <x v="0"/>
    <s v="Allen"/>
    <x v="0"/>
    <s v="SAT"/>
    <n v="41"/>
    <n v="30"/>
    <n v="1230"/>
    <s v="Cash"/>
    <n v="35.67"/>
  </r>
  <r>
    <d v="2025-03-11T00:00:00"/>
    <s v="A-8882-12"/>
    <x v="0"/>
    <s v="Coppell"/>
    <x v="0"/>
    <s v="APS"/>
    <n v="51"/>
    <n v="21"/>
    <n v="1071"/>
    <s v="Gift card"/>
    <n v="25.704000000000001"/>
  </r>
  <r>
    <d v="2025-03-11T00:00:00"/>
    <s v="G-3259-12"/>
    <x v="1"/>
    <s v="Plano"/>
    <x v="3"/>
    <s v="HTE"/>
    <n v="52"/>
    <n v="45"/>
    <n v="2340"/>
    <s v="Credit card"/>
    <n v="46.8"/>
  </r>
  <r>
    <d v="2025-03-11T00:00:00"/>
    <s v="G-6868-12"/>
    <x v="4"/>
    <s v="Plano"/>
    <x v="3"/>
    <s v="SAT"/>
    <n v="19"/>
    <n v="60"/>
    <n v="1140"/>
    <s v="Gift card"/>
    <n v="28.5"/>
  </r>
  <r>
    <d v="2025-03-11T00:00:00"/>
    <s v="B-2204-12"/>
    <x v="2"/>
    <s v="Richardson"/>
    <x v="1"/>
    <s v="SAT"/>
    <n v="14"/>
    <n v="32"/>
    <n v="448"/>
    <s v="Gift card"/>
    <n v="9.4079999999999995"/>
  </r>
  <r>
    <d v="2025-03-11T00:00:00"/>
    <s v="B-6171-12"/>
    <x v="1"/>
    <s v="Dallas"/>
    <x v="0"/>
    <s v="PFF"/>
    <n v="51"/>
    <n v="42"/>
    <n v="2142"/>
    <s v="Cash"/>
    <n v="55.692"/>
  </r>
  <r>
    <d v="2025-03-11T00:00:00"/>
    <s v="G-5977-12"/>
    <x v="4"/>
    <s v="McKinney"/>
    <x v="0"/>
    <s v="PKH"/>
    <n v="50"/>
    <n v="37"/>
    <n v="1850"/>
    <s v="Cash"/>
    <n v="48.1"/>
  </r>
  <r>
    <d v="2025-03-11T00:00:00"/>
    <s v="G-7237-12"/>
    <x v="8"/>
    <s v="Plano"/>
    <x v="4"/>
    <s v="SMH"/>
    <n v="34"/>
    <n v="54"/>
    <n v="1836"/>
    <s v="Credit card"/>
    <n v="36.72"/>
  </r>
  <r>
    <d v="2025-03-11T00:00:00"/>
    <s v="F-3702-12"/>
    <x v="6"/>
    <s v="Dallas"/>
    <x v="3"/>
    <s v="SAT"/>
    <n v="40"/>
    <n v="47"/>
    <n v="1880"/>
    <s v="Credit card"/>
    <n v="47"/>
  </r>
  <r>
    <d v="2025-03-11T00:00:00"/>
    <s v="C-7678-12"/>
    <x v="6"/>
    <s v="Plano"/>
    <x v="6"/>
    <s v="ATP"/>
    <n v="47"/>
    <n v="39"/>
    <n v="1833"/>
    <s v="Credit card"/>
    <n v="38.493000000000002"/>
  </r>
  <r>
    <d v="2025-03-11T00:00:00"/>
    <s v="F-4204-12"/>
    <x v="1"/>
    <s v="Plano"/>
    <x v="4"/>
    <s v="HNP"/>
    <n v="28"/>
    <n v="28"/>
    <n v="784"/>
    <s v="Credit card"/>
    <n v="16.463999999999999"/>
  </r>
  <r>
    <d v="2025-03-11T00:00:00"/>
    <s v="D-4658-12"/>
    <x v="2"/>
    <s v="Dallas"/>
    <x v="2"/>
    <s v="HNP"/>
    <n v="25"/>
    <n v="50"/>
    <n v="1250"/>
    <s v="Cash"/>
    <n v="26.25"/>
  </r>
  <r>
    <d v="2025-03-11T00:00:00"/>
    <s v="E-5459-12"/>
    <x v="7"/>
    <s v="Plano"/>
    <x v="1"/>
    <s v="KQR"/>
    <n v="40"/>
    <n v="48"/>
    <n v="1920"/>
    <s v="Cash"/>
    <n v="38.4"/>
  </r>
  <r>
    <d v="2025-03-11T00:00:00"/>
    <s v="D-4452-12"/>
    <x v="8"/>
    <s v="Allen"/>
    <x v="4"/>
    <s v="TAP"/>
    <n v="41"/>
    <n v="57"/>
    <n v="2337"/>
    <s v="Credit card"/>
    <n v="58.424999999999997"/>
  </r>
  <r>
    <d v="2025-03-11T00:00:00"/>
    <s v="F-8906-12"/>
    <x v="0"/>
    <s v="Dallas"/>
    <x v="3"/>
    <s v="TSA"/>
    <n v="41"/>
    <n v="53"/>
    <n v="2173"/>
    <s v="Check"/>
    <n v="58.670999999999999"/>
  </r>
  <r>
    <d v="2025-03-12T00:00:00"/>
    <s v="F-7832-13"/>
    <x v="7"/>
    <s v="Dallas"/>
    <x v="4"/>
    <s v="ATP"/>
    <n v="41"/>
    <n v="24"/>
    <n v="984"/>
    <s v="Gift card"/>
    <n v="22.632000000000001"/>
  </r>
  <r>
    <d v="2025-03-13T00:00:00"/>
    <s v="D-3657-14"/>
    <x v="0"/>
    <s v="Plano"/>
    <x v="1"/>
    <s v="PFF"/>
    <n v="16"/>
    <n v="22"/>
    <n v="352"/>
    <s v="Credit card"/>
    <n v="9.5039999999999996"/>
  </r>
  <r>
    <d v="2025-03-13T00:00:00"/>
    <s v="F-7772-14"/>
    <x v="8"/>
    <s v="Dallas"/>
    <x v="1"/>
    <s v="KQR"/>
    <n v="35"/>
    <n v="22"/>
    <n v="770"/>
    <s v="Credit card"/>
    <n v="21.56"/>
  </r>
  <r>
    <d v="2025-03-13T00:00:00"/>
    <s v="H-2557-14"/>
    <x v="7"/>
    <s v="Coppell"/>
    <x v="3"/>
    <s v="TSQ"/>
    <n v="28"/>
    <n v="46"/>
    <n v="1288"/>
    <s v="Credit card"/>
    <n v="37.351999999999997"/>
  </r>
  <r>
    <d v="2025-03-13T00:00:00"/>
    <s v="G-7704-14"/>
    <x v="6"/>
    <s v="Frisco"/>
    <x v="2"/>
    <s v="SAT"/>
    <n v="25"/>
    <n v="31"/>
    <n v="775"/>
    <s v="Credit card"/>
    <n v="18.600000000000001"/>
  </r>
  <r>
    <d v="2025-03-13T00:00:00"/>
    <s v="D-6952-14"/>
    <x v="7"/>
    <s v="Plano"/>
    <x v="1"/>
    <s v="SAT"/>
    <n v="25"/>
    <n v="29"/>
    <n v="725"/>
    <s v="Credit card"/>
    <n v="20.3"/>
  </r>
  <r>
    <d v="2025-03-13T00:00:00"/>
    <s v="D-3851-14"/>
    <x v="7"/>
    <s v="Plano"/>
    <x v="0"/>
    <s v="ATP"/>
    <n v="38"/>
    <n v="58"/>
    <n v="2204"/>
    <s v="Credit card"/>
    <n v="44.08"/>
  </r>
  <r>
    <d v="2025-03-13T00:00:00"/>
    <s v="G-6459-14"/>
    <x v="1"/>
    <s v="Frisco"/>
    <x v="1"/>
    <s v="KQR"/>
    <n v="47"/>
    <n v="25"/>
    <n v="1175"/>
    <s v="Cash"/>
    <n v="23.5"/>
  </r>
  <r>
    <d v="2025-03-13T00:00:00"/>
    <s v="D-5181-14"/>
    <x v="5"/>
    <s v="Allen"/>
    <x v="6"/>
    <s v="JKA"/>
    <n v="19"/>
    <n v="37"/>
    <n v="703"/>
    <s v="Gift card"/>
    <n v="21.09"/>
  </r>
  <r>
    <d v="2025-03-13T00:00:00"/>
    <s v="E-5770-14"/>
    <x v="3"/>
    <s v="Allen"/>
    <x v="0"/>
    <s v="PKH"/>
    <n v="27"/>
    <n v="34"/>
    <n v="918"/>
    <s v="Check"/>
    <n v="18.36"/>
  </r>
  <r>
    <d v="2025-03-13T00:00:00"/>
    <s v="B-7556-14"/>
    <x v="6"/>
    <s v="McKinney"/>
    <x v="2"/>
    <s v="KQR"/>
    <n v="35"/>
    <n v="59"/>
    <n v="2065"/>
    <s v="Cash"/>
    <n v="43.365000000000002"/>
  </r>
  <r>
    <d v="2025-03-13T00:00:00"/>
    <s v="D-1111-14"/>
    <x v="8"/>
    <s v="Richardson"/>
    <x v="2"/>
    <s v="SMH"/>
    <n v="34"/>
    <n v="25"/>
    <n v="850"/>
    <s v="Check"/>
    <n v="19.55"/>
  </r>
  <r>
    <d v="2025-03-13T00:00:00"/>
    <s v="E-6075-14"/>
    <x v="1"/>
    <s v="Dallas"/>
    <x v="6"/>
    <s v="KQR"/>
    <n v="35"/>
    <n v="43"/>
    <n v="1505"/>
    <s v="Credit card"/>
    <n v="43.645000000000003"/>
  </r>
  <r>
    <d v="2025-03-13T00:00:00"/>
    <s v="A-3791-14"/>
    <x v="7"/>
    <s v="Frisco"/>
    <x v="4"/>
    <s v="APS"/>
    <n v="55"/>
    <n v="39"/>
    <n v="2145"/>
    <s v="Credit card"/>
    <n v="57.914999999999999"/>
  </r>
  <r>
    <d v="2025-03-13T00:00:00"/>
    <s v="C-5844-14"/>
    <x v="3"/>
    <s v="Dallas"/>
    <x v="2"/>
    <s v="JKA"/>
    <n v="49"/>
    <n v="48"/>
    <n v="2352"/>
    <s v="Credit card"/>
    <n v="58.8"/>
  </r>
  <r>
    <d v="2025-03-13T00:00:00"/>
    <s v="E-9314-14"/>
    <x v="3"/>
    <s v="Plano"/>
    <x v="2"/>
    <s v="HTE"/>
    <n v="26"/>
    <n v="37"/>
    <n v="962"/>
    <s v="Credit card"/>
    <n v="25.974"/>
  </r>
  <r>
    <d v="2025-03-13T00:00:00"/>
    <s v="F-3227-14"/>
    <x v="6"/>
    <s v="Plano"/>
    <x v="2"/>
    <s v="HNP"/>
    <n v="32"/>
    <n v="46"/>
    <n v="1472"/>
    <s v="Check"/>
    <n v="33.856000000000002"/>
  </r>
  <r>
    <d v="2025-03-13T00:00:00"/>
    <s v="F-4802-14"/>
    <x v="7"/>
    <s v="Plano"/>
    <x v="2"/>
    <s v="HNP"/>
    <n v="40"/>
    <n v="48"/>
    <n v="1920"/>
    <s v="Check"/>
    <n v="40.32"/>
  </r>
  <r>
    <d v="2025-03-13T00:00:00"/>
    <s v="G-4120-14"/>
    <x v="6"/>
    <s v="Plano"/>
    <x v="3"/>
    <s v="ARP"/>
    <n v="55"/>
    <n v="45"/>
    <n v="2475"/>
    <s v="Gift card"/>
    <n v="61.875"/>
  </r>
  <r>
    <d v="2025-03-13T00:00:00"/>
    <s v="F-3050-14"/>
    <x v="4"/>
    <s v="Dallas"/>
    <x v="6"/>
    <s v="SAT"/>
    <n v="16"/>
    <n v="35"/>
    <n v="560"/>
    <s v="Credit card"/>
    <n v="13.44"/>
  </r>
  <r>
    <d v="2025-03-13T00:00:00"/>
    <s v="D-7916-14"/>
    <x v="0"/>
    <s v="Coppell"/>
    <x v="2"/>
    <s v="HNP"/>
    <n v="55"/>
    <n v="48"/>
    <n v="2640"/>
    <s v="Credit card"/>
    <n v="60.72"/>
  </r>
  <r>
    <d v="2025-03-13T00:00:00"/>
    <s v="G-5535-14"/>
    <x v="7"/>
    <s v="Allen"/>
    <x v="6"/>
    <s v="ARP"/>
    <n v="31"/>
    <n v="26"/>
    <n v="806"/>
    <s v="Check"/>
    <n v="17.731999999999999"/>
  </r>
  <r>
    <d v="2025-03-13T00:00:00"/>
    <s v="C-6367-14"/>
    <x v="4"/>
    <s v="Richardson"/>
    <x v="4"/>
    <s v="SAT"/>
    <n v="15"/>
    <n v="58"/>
    <n v="870"/>
    <s v="Cash"/>
    <n v="26.1"/>
  </r>
  <r>
    <d v="2025-03-13T00:00:00"/>
    <s v="A-1691-14"/>
    <x v="3"/>
    <s v="Frisco"/>
    <x v="3"/>
    <s v="TSA"/>
    <n v="15"/>
    <n v="34"/>
    <n v="510"/>
    <s v="Cash"/>
    <n v="14.28"/>
  </r>
  <r>
    <d v="2025-03-13T00:00:00"/>
    <s v="F-4884-14"/>
    <x v="5"/>
    <s v="Coppell"/>
    <x v="0"/>
    <s v="APS"/>
    <n v="21"/>
    <n v="37"/>
    <n v="777"/>
    <s v="Credit card"/>
    <n v="19.425000000000001"/>
  </r>
  <r>
    <d v="2025-03-13T00:00:00"/>
    <s v="A-3045-14"/>
    <x v="7"/>
    <s v="Dallas"/>
    <x v="1"/>
    <s v="JKA"/>
    <n v="30"/>
    <n v="25"/>
    <n v="750"/>
    <s v="Credit card"/>
    <n v="21"/>
  </r>
  <r>
    <d v="2025-03-13T00:00:00"/>
    <s v="F-9510-14"/>
    <x v="3"/>
    <s v="McKinney"/>
    <x v="4"/>
    <s v="APS"/>
    <n v="49"/>
    <n v="50"/>
    <n v="2450"/>
    <s v="Cash"/>
    <n v="53.9"/>
  </r>
  <r>
    <d v="2025-03-13T00:00:00"/>
    <s v="F-7232-14"/>
    <x v="2"/>
    <s v="Plano"/>
    <x v="2"/>
    <s v="SMH"/>
    <n v="14"/>
    <n v="59"/>
    <n v="826"/>
    <s v="Credit card"/>
    <n v="21.475999999999999"/>
  </r>
  <r>
    <d v="2025-03-13T00:00:00"/>
    <s v="C-2713-14"/>
    <x v="5"/>
    <s v="McKinney"/>
    <x v="1"/>
    <s v="HTE"/>
    <n v="52"/>
    <n v="50"/>
    <n v="2600"/>
    <s v="Cash"/>
    <n v="59.8"/>
  </r>
  <r>
    <d v="2025-03-13T00:00:00"/>
    <s v="B-6768-14"/>
    <x v="0"/>
    <s v="Dallas"/>
    <x v="0"/>
    <s v="TSA"/>
    <n v="14"/>
    <n v="29"/>
    <n v="406"/>
    <s v="Cash"/>
    <n v="10.555999999999999"/>
  </r>
  <r>
    <d v="2025-03-13T00:00:00"/>
    <s v="B-6687-14"/>
    <x v="4"/>
    <s v="Allen"/>
    <x v="1"/>
    <s v="ARP"/>
    <n v="40"/>
    <n v="49"/>
    <n v="1960"/>
    <s v="Credit card"/>
    <n v="56.84"/>
  </r>
  <r>
    <d v="2025-03-13T00:00:00"/>
    <s v="D-6805-14"/>
    <x v="6"/>
    <s v="Allen"/>
    <x v="2"/>
    <s v="AKJ"/>
    <n v="44"/>
    <n v="57"/>
    <n v="2508"/>
    <s v="Check"/>
    <n v="75.239999999999995"/>
  </r>
  <r>
    <d v="2025-03-13T00:00:00"/>
    <s v="F-3446-14"/>
    <x v="4"/>
    <s v="Plano"/>
    <x v="2"/>
    <s v="APS"/>
    <n v="45"/>
    <n v="28"/>
    <n v="1260"/>
    <s v="Cash"/>
    <n v="31.5"/>
  </r>
  <r>
    <d v="2025-03-13T00:00:00"/>
    <s v="H-2413-14"/>
    <x v="0"/>
    <s v="Plano"/>
    <x v="6"/>
    <s v="PFF"/>
    <n v="56"/>
    <n v="28"/>
    <n v="1568"/>
    <s v="Credit card"/>
    <n v="47.04"/>
  </r>
  <r>
    <d v="2025-03-13T00:00:00"/>
    <s v="E-9491-14"/>
    <x v="6"/>
    <s v="Allen"/>
    <x v="0"/>
    <s v="MSP"/>
    <n v="60"/>
    <n v="48"/>
    <n v="2880"/>
    <s v="Cash"/>
    <n v="8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D7BFE8-1D53-4A56-9486-BDD1CFEC39D6}"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2:R14" firstHeaderRow="1" firstDataRow="3" firstDataCol="1"/>
  <pivotFields count="11">
    <pivotField numFmtId="14" showAll="0"/>
    <pivotField showAll="0"/>
    <pivotField axis="axisRow" showAll="0">
      <items count="10">
        <item x="6"/>
        <item x="1"/>
        <item x="8"/>
        <item x="7"/>
        <item x="0"/>
        <item x="2"/>
        <item x="3"/>
        <item x="5"/>
        <item x="4"/>
        <item t="default"/>
      </items>
    </pivotField>
    <pivotField showAll="0"/>
    <pivotField axis="axisCol" showAll="0">
      <items count="8">
        <item h="1" x="5"/>
        <item h="1" x="4"/>
        <item h="1" x="3"/>
        <item x="0"/>
        <item h="1" x="6"/>
        <item h="1" x="2"/>
        <item h="1" x="1"/>
        <item t="default"/>
      </items>
    </pivotField>
    <pivotField showAll="0"/>
    <pivotField dataField="1" showAll="0"/>
    <pivotField numFmtId="165" showAll="0"/>
    <pivotField dataField="1" numFmtId="165" showAll="0"/>
    <pivotField showAll="0"/>
    <pivotField numFmtId="165" showAll="0"/>
  </pivotFields>
  <rowFields count="1">
    <field x="2"/>
  </rowFields>
  <rowItems count="10">
    <i>
      <x/>
    </i>
    <i>
      <x v="1"/>
    </i>
    <i>
      <x v="2"/>
    </i>
    <i>
      <x v="3"/>
    </i>
    <i>
      <x v="4"/>
    </i>
    <i>
      <x v="5"/>
    </i>
    <i>
      <x v="6"/>
    </i>
    <i>
      <x v="7"/>
    </i>
    <i>
      <x v="8"/>
    </i>
    <i t="grand">
      <x/>
    </i>
  </rowItems>
  <colFields count="2">
    <field x="4"/>
    <field x="-2"/>
  </colFields>
  <colItems count="4">
    <i>
      <x v="3"/>
      <x/>
    </i>
    <i r="1" i="1">
      <x v="1"/>
    </i>
    <i t="grand">
      <x/>
    </i>
    <i t="grand" i="1">
      <x/>
    </i>
  </colItems>
  <dataFields count="2">
    <dataField name="Sum of Units" fld="6" baseField="0" baseItem="0"/>
    <dataField name="Sum of Total Sales" fld="8" baseField="0" baseItem="0" numFmtId="165"/>
  </dataFields>
  <chartFormats count="17">
    <chartFormat chart="0" format="7" series="1">
      <pivotArea type="data" outline="0" fieldPosition="0">
        <references count="1">
          <reference field="4" count="1" selected="0">
            <x v="1"/>
          </reference>
        </references>
      </pivotArea>
    </chartFormat>
    <chartFormat chart="0" format="8" series="1">
      <pivotArea type="data" outline="0" fieldPosition="0">
        <references count="1">
          <reference field="4" count="1" selected="0">
            <x v="2"/>
          </reference>
        </references>
      </pivotArea>
    </chartFormat>
    <chartFormat chart="0" format="9" series="1">
      <pivotArea type="data" outline="0" fieldPosition="0">
        <references count="1">
          <reference field="4" count="1" selected="0">
            <x v="3"/>
          </reference>
        </references>
      </pivotArea>
    </chartFormat>
    <chartFormat chart="0" format="10" series="1">
      <pivotArea type="data" outline="0" fieldPosition="0">
        <references count="1">
          <reference field="4" count="1" selected="0">
            <x v="4"/>
          </reference>
        </references>
      </pivotArea>
    </chartFormat>
    <chartFormat chart="0" format="11" series="1">
      <pivotArea type="data" outline="0" fieldPosition="0">
        <references count="1">
          <reference field="4" count="1" selected="0">
            <x v="5"/>
          </reference>
        </references>
      </pivotArea>
    </chartFormat>
    <chartFormat chart="0" format="12" series="1">
      <pivotArea type="data" outline="0" fieldPosition="0">
        <references count="1">
          <reference field="4" count="1" selected="0">
            <x v="6"/>
          </reference>
        </references>
      </pivotArea>
    </chartFormat>
    <chartFormat chart="0" format="13" series="1">
      <pivotArea type="data" outline="0" fieldPosition="0">
        <references count="1">
          <reference field="4" count="1" selected="0">
            <x v="0"/>
          </reference>
        </references>
      </pivotArea>
    </chartFormat>
    <chartFormat chart="0" format="15" series="1">
      <pivotArea type="data" outline="0" fieldPosition="0">
        <references count="2">
          <reference field="4294967294" count="1" selected="0">
            <x v="0"/>
          </reference>
          <reference field="4" count="1" selected="0">
            <x v="4"/>
          </reference>
        </references>
      </pivotArea>
    </chartFormat>
    <chartFormat chart="0" format="17" series="1">
      <pivotArea type="data" outline="0" fieldPosition="0">
        <references count="2">
          <reference field="4294967294" count="1" selected="0">
            <x v="0"/>
          </reference>
          <reference field="4" count="1" selected="0">
            <x v="5"/>
          </reference>
        </references>
      </pivotArea>
    </chartFormat>
    <chartFormat chart="0" format="19" series="1">
      <pivotArea type="data" outline="0" fieldPosition="0">
        <references count="2">
          <reference field="4294967294" count="1" selected="0">
            <x v="0"/>
          </reference>
          <reference field="4" count="1" selected="0">
            <x v="6"/>
          </reference>
        </references>
      </pivotArea>
    </chartFormat>
    <chartFormat chart="0" format="21" series="1">
      <pivotArea type="data" outline="0" fieldPosition="0">
        <references count="2">
          <reference field="4294967294" count="1" selected="0">
            <x v="1"/>
          </reference>
          <reference field="4" count="1" selected="0">
            <x v="4"/>
          </reference>
        </references>
      </pivotArea>
    </chartFormat>
    <chartFormat chart="0" format="22" series="1">
      <pivotArea type="data" outline="0" fieldPosition="0">
        <references count="2">
          <reference field="4294967294" count="1" selected="0">
            <x v="1"/>
          </reference>
          <reference field="4" count="1" selected="0">
            <x v="5"/>
          </reference>
        </references>
      </pivotArea>
    </chartFormat>
    <chartFormat chart="0" format="23" series="1">
      <pivotArea type="data" outline="0" fieldPosition="0">
        <references count="2">
          <reference field="4294967294" count="1" selected="0">
            <x v="1"/>
          </reference>
          <reference field="4" count="1" selected="0">
            <x v="6"/>
          </reference>
        </references>
      </pivotArea>
    </chartFormat>
    <chartFormat chart="0" format="24" series="1">
      <pivotArea type="data" outline="0" fieldPosition="0">
        <references count="2">
          <reference field="4294967294" count="1" selected="0">
            <x v="0"/>
          </reference>
          <reference field="4" count="1" selected="0">
            <x v="3"/>
          </reference>
        </references>
      </pivotArea>
    </chartFormat>
    <chartFormat chart="0" format="25" series="1">
      <pivotArea type="data" outline="0" fieldPosition="0">
        <references count="2">
          <reference field="4294967294" count="1" selected="0">
            <x v="1"/>
          </reference>
          <reference field="4" count="1" selected="0">
            <x v="3"/>
          </reference>
        </references>
      </pivotArea>
    </chartFormat>
    <chartFormat chart="2" format="26" series="1">
      <pivotArea type="data" outline="0" fieldPosition="0">
        <references count="2">
          <reference field="4294967294" count="1" selected="0">
            <x v="0"/>
          </reference>
          <reference field="4" count="1" selected="0">
            <x v="3"/>
          </reference>
        </references>
      </pivotArea>
    </chartFormat>
    <chartFormat chart="2" format="27" series="1">
      <pivotArea type="data" outline="0" fieldPosition="0">
        <references count="2">
          <reference field="4294967294" count="1" selected="0">
            <x v="1"/>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1048E8A8-F050-404D-9378-159B51A292BC}" sourceName="Product">
  <pivotTables>
    <pivotTable tabId="10" name="PivotTable1"/>
  </pivotTables>
  <data>
    <tabular pivotCacheId="12816401">
      <items count="9">
        <i x="6" s="1"/>
        <i x="1" s="1"/>
        <i x="8" s="1"/>
        <i x="7" s="1"/>
        <i x="0" s="1"/>
        <i x="2" s="1"/>
        <i x="3" s="1"/>
        <i x="5"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1" xr10:uid="{06CCEAA8-7E34-40B5-B7BE-297D5A62722D}" sourceName="Employee">
  <pivotTables>
    <pivotTable tabId="10" name="PivotTable1"/>
  </pivotTables>
  <data>
    <tabular pivotCacheId="12816401">
      <items count="7">
        <i x="5"/>
        <i x="4"/>
        <i x="3"/>
        <i x="0" s="1"/>
        <i x="6"/>
        <i x="2"/>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8F1FC0A-DC24-47ED-B20E-E932F5E6AF6D}" sourceName="Product">
  <extLst>
    <x:ext xmlns:x15="http://schemas.microsoft.com/office/spreadsheetml/2010/11/main" uri="{2F2917AC-EB37-4324-AD4E-5DD8C200BD13}">
      <x15:tableSlicerCache tableId="1"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323D80D-4B71-4BC5-8942-EF73D5E31DEB}" sourceName="Region">
  <extLst>
    <x:ext xmlns:x15="http://schemas.microsoft.com/office/spreadsheetml/2010/11/main" uri="{2F2917AC-EB37-4324-AD4E-5DD8C200BD13}">
      <x15:tableSlicerCache tableId="1"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99BE64A7-F0CB-44E7-B629-78EC9039F1D7}" sourceName="Employe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DA2B2547-6B39-43A1-8BFD-30B174A6BF9E}" cache="Slicer_Product" caption="Product" rowHeight="262466"/>
  <slicer name="Region" xr10:uid="{91576BC0-4FE8-4323-93E5-49F8075F99FF}" cache="Slicer_Region" caption="Region" rowHeight="262466"/>
  <slicer name="Employee" xr10:uid="{A7E6F422-B1CF-4323-B28F-4F4245CA0AA0}" cache="Slicer_Employee" caption="Employee" rowHeight="26246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BBC54748-9A65-4B25-ABA8-AF0171635FAA}" cache="Slicer_Product1" caption="Product" rowHeight="262466"/>
  <slicer name="Employee 1" xr10:uid="{C90FF68D-3ABE-459D-A459-459511E5A271}" cache="Slicer_Employee1" caption="Employee"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8F9FDF-ADBD-4608-BF67-4D8337CE43C9}" name="Table1" displayName="Table1" ref="A1:H52" totalsRowCount="1" headerRowDxfId="34" dataDxfId="33" tableBorderDxfId="32">
  <autoFilter ref="A1:H51" xr:uid="{51C6C7E8-67AE-4819-A407-F88A4020EBAB}"/>
  <tableColumns count="8">
    <tableColumn id="1" xr3:uid="{BD8CDB67-9A75-49F6-BD47-E51A8D78ED77}" name="Product" totalsRowLabel="Total" dataDxfId="31" totalsRowDxfId="30"/>
    <tableColumn id="2" xr3:uid="{19D82581-D53C-42EB-9039-EB1C172A2DBC}" name="Region" dataDxfId="29" totalsRowDxfId="28"/>
    <tableColumn id="3" xr3:uid="{6D3AADAB-05DD-4574-AD2C-20FFAAC74F2F}" name="Employee" dataDxfId="27" totalsRowDxfId="26"/>
    <tableColumn id="4" xr3:uid="{8950653F-A6D1-49A0-83DA-304688692526}" name="Customer" dataDxfId="25" totalsRowDxfId="24"/>
    <tableColumn id="5" xr3:uid="{B522498C-E22B-4F80-9BDC-0CE86D913F88}" name="Units" dataDxfId="23" totalsRowDxfId="22"/>
    <tableColumn id="6" xr3:uid="{F5178CD6-51FA-41D9-B1D7-89F5667713C6}" name="Price" totalsRowFunction="average" dataDxfId="21" totalsRowDxfId="20"/>
    <tableColumn id="7" xr3:uid="{6984C565-9A14-45BA-BA42-C9017D2F4DDA}" name="Amount" totalsRowFunction="sum" dataDxfId="19" totalsRowDxfId="18">
      <calculatedColumnFormula>Table1[[#This Row],[Price]]*Table1[[#This Row],[Units]]</calculatedColumnFormula>
    </tableColumn>
    <tableColumn id="8" xr3:uid="{A4F2ACFE-30A7-4807-86A9-DAA4EF49D627}" name="Comission" dataDxfId="17" totalsRowDxfId="16">
      <calculatedColumnFormula>0.05*Table1[[#This Row],[Amount]]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E70C05-5A67-4402-9FFA-1BF243B35C41}" name="Table13" displayName="Table13" ref="B1:L1227" totalsRowShown="0" headerRowDxfId="13" headerRowBorderDxfId="12" tableBorderDxfId="11">
  <autoFilter ref="B1:L1227" xr:uid="{4B867769-05DC-411D-A6AD-4B790803627B}"/>
  <tableColumns count="11">
    <tableColumn id="1" xr3:uid="{1A885CB4-725B-4CB3-9D37-7C5F9F13A630}" name="Invoice" dataDxfId="10"/>
    <tableColumn id="2" xr3:uid="{092227FB-C224-4F40-A1A2-B100559023C2}" name="Product" dataDxfId="9"/>
    <tableColumn id="3" xr3:uid="{B1C1A8EC-8178-492F-B1D5-1187A062A9CF}" name="City" dataDxfId="8"/>
    <tableColumn id="4" xr3:uid="{556B51CB-37BD-4EF0-A640-800D293FBF11}" name="Employee" dataDxfId="7"/>
    <tableColumn id="5" xr3:uid="{9BE02AAB-3402-4D54-84A0-08F8FBDF010D}" name="Customer" dataDxfId="6"/>
    <tableColumn id="6" xr3:uid="{12DB1707-E367-4EDA-9C84-69DBB6F2374B}" name="Units" dataDxfId="5"/>
    <tableColumn id="7" xr3:uid="{2CB6A78C-5F6F-46A5-9629-7779EC70D454}" name="Price" dataDxfId="4"/>
    <tableColumn id="8" xr3:uid="{91EA20EB-5386-498D-B8B6-B40FA0164F80}" name="Total Sales" dataDxfId="3">
      <calculatedColumnFormula>G2*H2</calculatedColumnFormula>
    </tableColumn>
    <tableColumn id="9" xr3:uid="{8885D6C5-8FE7-4A7C-AD6D-3BAC889A8CF2}" name="Method" dataDxfId="2"/>
    <tableColumn id="10" xr3:uid="{868099D2-4EC6-41EF-8F0B-57FA77B8B0DC}" name="Commission" dataDxfId="1"/>
    <tableColumn id="11" xr3:uid="{C5E4D1B8-2F14-4B67-BC92-A066914997EC}" name="Column1" dataDxfId="0">
      <calculatedColumnFormula>Table13[[#This Row],[Price]]*Table13[[#This Row],[Units]]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linkedin.com/in/ganesh9495/" TargetMode="External"/><Relationship Id="rId1" Type="http://schemas.openxmlformats.org/officeDocument/2006/relationships/hyperlink" Target="mailto:ganeshv9495@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linkedin.com/in/ganesh9495/" TargetMode="External"/><Relationship Id="rId1" Type="http://schemas.openxmlformats.org/officeDocument/2006/relationships/hyperlink" Target="mailto:ganeshv9495@gmail.com" TargetMode="Externa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ivotTable" Target="../pivotTables/pivotTable1.xml"/><Relationship Id="rId4" Type="http://schemas.microsoft.com/office/2007/relationships/slicer" Target="../slicers/slicer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1C722-0AB6-404A-B439-F46954786158}">
  <sheetPr codeName="Sheet2"/>
  <dimension ref="A1:W114"/>
  <sheetViews>
    <sheetView tabSelected="1" topLeftCell="D1" zoomScale="105" zoomScaleNormal="130" workbookViewId="0">
      <selection activeCell="G9" sqref="G9"/>
    </sheetView>
  </sheetViews>
  <sheetFormatPr defaultColWidth="8.25" defaultRowHeight="18" customHeight="1" x14ac:dyDescent="0.3"/>
  <cols>
    <col min="1" max="1" width="3.9140625" style="358" hidden="1" customWidth="1"/>
    <col min="2" max="2" width="4" style="360" hidden="1" customWidth="1"/>
    <col min="3" max="3" width="8.08203125" style="356" hidden="1" customWidth="1"/>
    <col min="4" max="4" width="8.25" style="362"/>
    <col min="5" max="5" width="19.08203125" style="363" customWidth="1"/>
    <col min="6" max="6" width="27.25" style="363" customWidth="1"/>
    <col min="7" max="7" width="13.25" style="363" customWidth="1"/>
    <col min="8" max="10" width="11.58203125" style="363" customWidth="1"/>
    <col min="11" max="11" width="11.58203125" style="366" customWidth="1"/>
    <col min="12" max="23" width="8.25" style="362"/>
    <col min="24" max="16384" width="8.25" style="365"/>
  </cols>
  <sheetData>
    <row r="1" spans="1:19" ht="18" customHeight="1" x14ac:dyDescent="0.3">
      <c r="A1" s="392" t="s">
        <v>2579</v>
      </c>
      <c r="B1" s="393"/>
      <c r="C1" s="394"/>
      <c r="L1" s="427" t="s">
        <v>2753</v>
      </c>
      <c r="M1" s="428"/>
      <c r="N1" s="428"/>
      <c r="O1" s="428"/>
      <c r="P1" s="428"/>
      <c r="Q1" s="428"/>
      <c r="R1" s="428"/>
      <c r="S1" s="429"/>
    </row>
    <row r="2" spans="1:19" ht="18" customHeight="1" x14ac:dyDescent="0.35">
      <c r="A2" s="395"/>
      <c r="B2" s="396"/>
      <c r="C2" s="397"/>
      <c r="E2" s="383" t="s">
        <v>2580</v>
      </c>
      <c r="L2" s="430" t="s">
        <v>2752</v>
      </c>
      <c r="M2" s="431"/>
      <c r="N2" s="431"/>
      <c r="O2" s="431"/>
      <c r="P2" s="431"/>
      <c r="Q2" s="431"/>
      <c r="R2" s="431"/>
      <c r="S2" s="432"/>
    </row>
    <row r="3" spans="1:19" ht="18" customHeight="1" thickBot="1" x14ac:dyDescent="0.4">
      <c r="A3" s="353">
        <f>SUM(A7:A29)</f>
        <v>18</v>
      </c>
      <c r="B3" s="354">
        <f>SUM(B7:B21)</f>
        <v>0</v>
      </c>
      <c r="C3" s="355"/>
      <c r="E3" s="391" t="s">
        <v>2581</v>
      </c>
      <c r="F3" s="391"/>
      <c r="G3" s="391"/>
      <c r="H3" s="391"/>
      <c r="I3" s="391"/>
      <c r="J3" s="391"/>
      <c r="K3" s="391"/>
      <c r="L3" s="390" t="s">
        <v>2754</v>
      </c>
      <c r="M3" s="433"/>
      <c r="N3" s="433"/>
      <c r="O3" s="434" t="s">
        <v>2755</v>
      </c>
      <c r="P3" s="433"/>
      <c r="Q3" s="433"/>
      <c r="R3" s="433"/>
      <c r="S3" s="435"/>
    </row>
    <row r="4" spans="1:19" ht="18" customHeight="1" x14ac:dyDescent="0.35">
      <c r="A4" s="356"/>
      <c r="B4" s="356"/>
      <c r="E4" s="391" t="s">
        <v>2582</v>
      </c>
      <c r="F4" s="391"/>
      <c r="G4" s="391"/>
      <c r="H4" s="391"/>
      <c r="I4" s="364"/>
      <c r="J4" s="364"/>
      <c r="K4" s="384" t="s">
        <v>2583</v>
      </c>
    </row>
    <row r="5" spans="1:19" ht="18" customHeight="1" thickBot="1" x14ac:dyDescent="0.35">
      <c r="A5" s="356"/>
      <c r="B5" s="356"/>
      <c r="E5" s="391" t="s">
        <v>2584</v>
      </c>
      <c r="F5" s="391"/>
      <c r="G5" s="391"/>
      <c r="H5" s="391"/>
      <c r="I5" s="391"/>
      <c r="J5" s="391"/>
      <c r="K5" s="391"/>
    </row>
    <row r="6" spans="1:19" ht="19.5" customHeight="1" x14ac:dyDescent="0.3">
      <c r="A6" s="356"/>
      <c r="B6" s="356"/>
      <c r="E6" s="364"/>
      <c r="F6" s="364"/>
      <c r="G6" s="385" t="s">
        <v>2585</v>
      </c>
      <c r="H6" s="385" t="s">
        <v>2586</v>
      </c>
      <c r="J6" s="386"/>
      <c r="K6" s="387"/>
      <c r="L6" s="388"/>
    </row>
    <row r="7" spans="1:19" ht="18" customHeight="1" x14ac:dyDescent="0.3">
      <c r="A7" s="353">
        <v>2</v>
      </c>
      <c r="B7" s="355"/>
      <c r="C7" s="357"/>
      <c r="E7" s="398" t="s">
        <v>2587</v>
      </c>
      <c r="F7" s="399"/>
      <c r="G7" s="389">
        <v>60667.684210526313</v>
      </c>
      <c r="H7" s="376">
        <f>AVERAGE(H20:H114)</f>
        <v>60667.684210526313</v>
      </c>
      <c r="J7" s="380"/>
      <c r="K7" s="381"/>
      <c r="L7" s="382"/>
    </row>
    <row r="8" spans="1:19" ht="18" customHeight="1" thickBot="1" x14ac:dyDescent="0.35">
      <c r="A8" s="353">
        <v>2</v>
      </c>
      <c r="B8" s="355"/>
      <c r="C8" s="357"/>
      <c r="E8" s="398" t="s">
        <v>2588</v>
      </c>
      <c r="F8" s="399"/>
      <c r="G8" s="389">
        <v>89870</v>
      </c>
      <c r="H8" s="376">
        <f>MAX(H20:H114)</f>
        <v>89870</v>
      </c>
      <c r="J8" s="377"/>
      <c r="K8" s="378"/>
      <c r="L8" s="379"/>
      <c r="P8" s="426"/>
    </row>
    <row r="9" spans="1:19" ht="18" customHeight="1" x14ac:dyDescent="0.3">
      <c r="A9" s="353">
        <v>2</v>
      </c>
      <c r="B9" s="355"/>
      <c r="C9" s="357"/>
      <c r="E9" s="398" t="s">
        <v>2589</v>
      </c>
      <c r="F9" s="399"/>
      <c r="G9" s="389">
        <v>17360.849967710212</v>
      </c>
      <c r="H9" s="374">
        <f>_xlfn.STDEV.S(H20:H114)</f>
        <v>17360.849967710212</v>
      </c>
      <c r="I9" s="373"/>
      <c r="J9" s="373"/>
      <c r="K9" s="375"/>
    </row>
    <row r="10" spans="1:19" ht="18" customHeight="1" x14ac:dyDescent="0.3">
      <c r="A10" s="353">
        <v>3</v>
      </c>
      <c r="B10" s="355"/>
      <c r="C10" s="357"/>
      <c r="E10" s="398" t="s">
        <v>2590</v>
      </c>
      <c r="F10" s="399"/>
      <c r="G10" s="389">
        <v>59328.333333333336</v>
      </c>
      <c r="H10" s="374">
        <f>AVERAGEIF(I20:I113,"Pittsburgh",H20:H114)</f>
        <v>59328.333333333336</v>
      </c>
      <c r="O10" s="426"/>
    </row>
    <row r="11" spans="1:19" ht="18" customHeight="1" x14ac:dyDescent="0.3">
      <c r="A11" s="353">
        <v>3</v>
      </c>
      <c r="B11" s="355"/>
      <c r="C11" s="357"/>
      <c r="E11" s="398" t="s">
        <v>2591</v>
      </c>
      <c r="F11" s="399"/>
      <c r="G11" s="389">
        <v>86240</v>
      </c>
      <c r="H11" s="374">
        <f>_xlfn.MAXIFS(H20:H114,G20:G114,"Finance")</f>
        <v>86240</v>
      </c>
    </row>
    <row r="12" spans="1:19" ht="18" customHeight="1" x14ac:dyDescent="0.3">
      <c r="A12" s="353">
        <v>3</v>
      </c>
      <c r="B12" s="355"/>
      <c r="C12" s="357"/>
      <c r="E12" s="398" t="s">
        <v>2592</v>
      </c>
      <c r="F12" s="399"/>
      <c r="G12" s="389">
        <v>1482070</v>
      </c>
      <c r="H12" s="374">
        <f>SUMIF(G20:G114,"Marketing",H20:H114)</f>
        <v>1482070</v>
      </c>
    </row>
    <row r="13" spans="1:19" ht="18" customHeight="1" x14ac:dyDescent="0.3">
      <c r="A13" s="353">
        <v>3</v>
      </c>
      <c r="B13" s="355"/>
      <c r="C13" s="357"/>
      <c r="E13" s="398" t="s">
        <v>2593</v>
      </c>
      <c r="F13" s="399"/>
      <c r="G13" s="389">
        <v>15</v>
      </c>
      <c r="H13" s="374">
        <f>COUNTIF(I20:I114,"Dallas")</f>
        <v>15</v>
      </c>
    </row>
    <row r="14" spans="1:19" ht="18" customHeight="1" x14ac:dyDescent="0.3">
      <c r="B14" s="359"/>
      <c r="I14" s="364"/>
      <c r="J14" s="364"/>
      <c r="K14" s="364"/>
    </row>
    <row r="15" spans="1:19" ht="18" customHeight="1" x14ac:dyDescent="0.3">
      <c r="B15" s="359"/>
    </row>
    <row r="16" spans="1:19" ht="18" customHeight="1" x14ac:dyDescent="0.3">
      <c r="B16" s="359"/>
      <c r="E16" s="391"/>
      <c r="F16" s="391"/>
      <c r="G16" s="391"/>
      <c r="H16" s="391"/>
      <c r="I16" s="391"/>
      <c r="J16" s="391"/>
      <c r="K16" s="391"/>
    </row>
    <row r="17" spans="1:11" ht="18" customHeight="1" x14ac:dyDescent="0.3">
      <c r="B17" s="359"/>
    </row>
    <row r="18" spans="1:11" ht="18" customHeight="1" x14ac:dyDescent="0.3">
      <c r="B18" s="359"/>
    </row>
    <row r="19" spans="1:11" ht="18" customHeight="1" x14ac:dyDescent="0.35">
      <c r="B19" s="359"/>
      <c r="E19" s="367" t="s">
        <v>0</v>
      </c>
      <c r="F19" s="367" t="s">
        <v>1</v>
      </c>
      <c r="G19" s="367" t="s">
        <v>2594</v>
      </c>
      <c r="H19" s="367" t="s">
        <v>2595</v>
      </c>
      <c r="I19" s="368" t="s">
        <v>457</v>
      </c>
    </row>
    <row r="20" spans="1:11" ht="18" customHeight="1" x14ac:dyDescent="0.35">
      <c r="B20" s="359"/>
      <c r="E20" s="369" t="s">
        <v>10</v>
      </c>
      <c r="F20" s="369" t="s">
        <v>11</v>
      </c>
      <c r="G20" s="370" t="s">
        <v>2596</v>
      </c>
      <c r="H20" s="371">
        <v>36170</v>
      </c>
      <c r="I20" s="372" t="s">
        <v>2597</v>
      </c>
    </row>
    <row r="21" spans="1:11" ht="18" customHeight="1" x14ac:dyDescent="0.35">
      <c r="B21" s="359"/>
      <c r="E21" s="369" t="s">
        <v>13</v>
      </c>
      <c r="F21" s="369" t="s">
        <v>14</v>
      </c>
      <c r="G21" s="370" t="s">
        <v>2596</v>
      </c>
      <c r="H21" s="371">
        <v>57670</v>
      </c>
      <c r="I21" s="372" t="s">
        <v>2598</v>
      </c>
      <c r="J21" s="373"/>
      <c r="K21" s="373"/>
    </row>
    <row r="22" spans="1:11" ht="18" customHeight="1" x14ac:dyDescent="0.35">
      <c r="A22" s="356"/>
      <c r="B22" s="356"/>
      <c r="E22" s="370" t="s">
        <v>17</v>
      </c>
      <c r="F22" s="369" t="s">
        <v>18</v>
      </c>
      <c r="G22" s="370" t="s">
        <v>2599</v>
      </c>
      <c r="H22" s="371">
        <v>73470</v>
      </c>
      <c r="I22" s="372" t="s">
        <v>2600</v>
      </c>
    </row>
    <row r="23" spans="1:11" ht="18" customHeight="1" x14ac:dyDescent="0.35">
      <c r="A23" s="356"/>
      <c r="B23" s="356"/>
      <c r="E23" s="370" t="s">
        <v>21</v>
      </c>
      <c r="F23" s="369" t="s">
        <v>22</v>
      </c>
      <c r="G23" s="370" t="s">
        <v>2601</v>
      </c>
      <c r="H23" s="371">
        <v>78370</v>
      </c>
      <c r="I23" s="372" t="s">
        <v>2602</v>
      </c>
    </row>
    <row r="24" spans="1:11" ht="18" customHeight="1" x14ac:dyDescent="0.35">
      <c r="B24" s="359"/>
      <c r="E24" s="370" t="s">
        <v>25</v>
      </c>
      <c r="F24" s="369" t="s">
        <v>26</v>
      </c>
      <c r="G24" s="370" t="s">
        <v>2599</v>
      </c>
      <c r="H24" s="371">
        <v>72570</v>
      </c>
      <c r="I24" s="372" t="s">
        <v>2598</v>
      </c>
    </row>
    <row r="25" spans="1:11" ht="18" customHeight="1" x14ac:dyDescent="0.35">
      <c r="E25" s="370" t="s">
        <v>28</v>
      </c>
      <c r="F25" s="369" t="s">
        <v>29</v>
      </c>
      <c r="G25" s="370" t="s">
        <v>2603</v>
      </c>
      <c r="H25" s="371">
        <v>60620</v>
      </c>
      <c r="I25" s="372" t="s">
        <v>2597</v>
      </c>
    </row>
    <row r="26" spans="1:11" ht="18" customHeight="1" x14ac:dyDescent="0.35">
      <c r="E26" s="369" t="s">
        <v>31</v>
      </c>
      <c r="F26" s="369" t="s">
        <v>32</v>
      </c>
      <c r="G26" s="370" t="s">
        <v>2604</v>
      </c>
      <c r="H26" s="371">
        <v>52000</v>
      </c>
      <c r="I26" s="372" t="s">
        <v>2600</v>
      </c>
    </row>
    <row r="27" spans="1:11" ht="18" customHeight="1" x14ac:dyDescent="0.35">
      <c r="E27" s="370" t="s">
        <v>34</v>
      </c>
      <c r="F27" s="369" t="s">
        <v>35</v>
      </c>
      <c r="G27" s="370" t="s">
        <v>2601</v>
      </c>
      <c r="H27" s="371">
        <v>60440</v>
      </c>
      <c r="I27" s="372" t="s">
        <v>2598</v>
      </c>
    </row>
    <row r="28" spans="1:11" ht="18" customHeight="1" x14ac:dyDescent="0.35">
      <c r="E28" s="370" t="s">
        <v>38</v>
      </c>
      <c r="F28" s="369" t="s">
        <v>39</v>
      </c>
      <c r="G28" s="370" t="s">
        <v>2605</v>
      </c>
      <c r="H28" s="371">
        <v>59780</v>
      </c>
      <c r="I28" s="372" t="s">
        <v>2606</v>
      </c>
    </row>
    <row r="29" spans="1:11" ht="18" customHeight="1" x14ac:dyDescent="0.35">
      <c r="E29" s="370" t="s">
        <v>42</v>
      </c>
      <c r="F29" s="369" t="s">
        <v>43</v>
      </c>
      <c r="G29" s="370" t="s">
        <v>2596</v>
      </c>
      <c r="H29" s="371">
        <v>75050</v>
      </c>
      <c r="I29" s="372" t="s">
        <v>2606</v>
      </c>
    </row>
    <row r="30" spans="1:11" ht="18" customHeight="1" x14ac:dyDescent="0.35">
      <c r="E30" s="370" t="s">
        <v>46</v>
      </c>
      <c r="F30" s="369" t="s">
        <v>47</v>
      </c>
      <c r="G30" s="370" t="s">
        <v>2605</v>
      </c>
      <c r="H30" s="371">
        <v>89780</v>
      </c>
      <c r="I30" s="372" t="s">
        <v>2607</v>
      </c>
    </row>
    <row r="31" spans="1:11" ht="18" customHeight="1" x14ac:dyDescent="0.35">
      <c r="E31" s="370" t="s">
        <v>50</v>
      </c>
      <c r="F31" s="369" t="s">
        <v>51</v>
      </c>
      <c r="G31" s="370" t="s">
        <v>2601</v>
      </c>
      <c r="H31" s="371">
        <v>80850</v>
      </c>
      <c r="I31" s="372" t="s">
        <v>2597</v>
      </c>
    </row>
    <row r="32" spans="1:11" ht="18" customHeight="1" x14ac:dyDescent="0.35">
      <c r="E32" s="370" t="s">
        <v>54</v>
      </c>
      <c r="F32" s="369" t="s">
        <v>55</v>
      </c>
      <c r="G32" s="370" t="s">
        <v>2601</v>
      </c>
      <c r="H32" s="371">
        <v>48200</v>
      </c>
      <c r="I32" s="372" t="s">
        <v>2597</v>
      </c>
    </row>
    <row r="33" spans="5:9" ht="18" customHeight="1" x14ac:dyDescent="0.35">
      <c r="E33" s="370" t="s">
        <v>58</v>
      </c>
      <c r="F33" s="369" t="s">
        <v>59</v>
      </c>
      <c r="G33" s="370" t="s">
        <v>2601</v>
      </c>
      <c r="H33" s="371">
        <v>86610</v>
      </c>
      <c r="I33" s="372" t="s">
        <v>2606</v>
      </c>
    </row>
    <row r="34" spans="5:9" ht="18" customHeight="1" x14ac:dyDescent="0.35">
      <c r="E34" s="369" t="s">
        <v>61</v>
      </c>
      <c r="F34" s="369" t="s">
        <v>62</v>
      </c>
      <c r="G34" s="370" t="s">
        <v>2596</v>
      </c>
      <c r="H34" s="371">
        <v>42690</v>
      </c>
      <c r="I34" s="372" t="s">
        <v>2600</v>
      </c>
    </row>
    <row r="35" spans="5:9" ht="18" customHeight="1" x14ac:dyDescent="0.35">
      <c r="E35" s="369" t="s">
        <v>65</v>
      </c>
      <c r="F35" s="369" t="s">
        <v>66</v>
      </c>
      <c r="G35" s="370" t="s">
        <v>2605</v>
      </c>
      <c r="H35" s="371">
        <v>50000</v>
      </c>
      <c r="I35" s="372" t="s">
        <v>2597</v>
      </c>
    </row>
    <row r="36" spans="5:9" ht="18" customHeight="1" x14ac:dyDescent="0.35">
      <c r="E36" s="370" t="s">
        <v>69</v>
      </c>
      <c r="F36" s="369" t="s">
        <v>70</v>
      </c>
      <c r="G36" s="370" t="s">
        <v>2605</v>
      </c>
      <c r="H36" s="371">
        <v>50570</v>
      </c>
      <c r="I36" s="372" t="s">
        <v>2606</v>
      </c>
    </row>
    <row r="37" spans="5:9" ht="18" customHeight="1" x14ac:dyDescent="0.35">
      <c r="E37" s="370" t="s">
        <v>72</v>
      </c>
      <c r="F37" s="369" t="s">
        <v>73</v>
      </c>
      <c r="G37" s="370" t="s">
        <v>2604</v>
      </c>
      <c r="H37" s="371">
        <v>86610</v>
      </c>
      <c r="I37" s="372" t="s">
        <v>2600</v>
      </c>
    </row>
    <row r="38" spans="5:9" ht="18" customHeight="1" x14ac:dyDescent="0.35">
      <c r="E38" s="370" t="s">
        <v>75</v>
      </c>
      <c r="F38" s="369" t="s">
        <v>76</v>
      </c>
      <c r="G38" s="370" t="s">
        <v>2599</v>
      </c>
      <c r="H38" s="371">
        <v>56140</v>
      </c>
      <c r="I38" s="372" t="s">
        <v>477</v>
      </c>
    </row>
    <row r="39" spans="5:9" ht="18" customHeight="1" x14ac:dyDescent="0.35">
      <c r="E39" s="370" t="s">
        <v>78</v>
      </c>
      <c r="F39" s="369" t="s">
        <v>79</v>
      </c>
      <c r="G39" s="370" t="s">
        <v>2599</v>
      </c>
      <c r="H39" s="371">
        <v>69680</v>
      </c>
      <c r="I39" s="372" t="s">
        <v>2600</v>
      </c>
    </row>
    <row r="40" spans="5:9" ht="18" customHeight="1" x14ac:dyDescent="0.35">
      <c r="E40" s="370" t="s">
        <v>82</v>
      </c>
      <c r="F40" s="369" t="s">
        <v>83</v>
      </c>
      <c r="G40" s="370" t="s">
        <v>2596</v>
      </c>
      <c r="H40" s="371">
        <v>86240</v>
      </c>
      <c r="I40" s="372" t="s">
        <v>477</v>
      </c>
    </row>
    <row r="41" spans="5:9" ht="18" customHeight="1" x14ac:dyDescent="0.35">
      <c r="E41" s="369" t="s">
        <v>85</v>
      </c>
      <c r="F41" s="369" t="s">
        <v>86</v>
      </c>
      <c r="G41" s="370" t="s">
        <v>2599</v>
      </c>
      <c r="H41" s="371">
        <v>43100</v>
      </c>
      <c r="I41" s="372" t="s">
        <v>2606</v>
      </c>
    </row>
    <row r="42" spans="5:9" ht="18" customHeight="1" x14ac:dyDescent="0.35">
      <c r="E42" s="370" t="s">
        <v>88</v>
      </c>
      <c r="F42" s="369" t="s">
        <v>89</v>
      </c>
      <c r="G42" s="370" t="s">
        <v>2601</v>
      </c>
      <c r="H42" s="371">
        <v>84080</v>
      </c>
      <c r="I42" s="372" t="s">
        <v>2606</v>
      </c>
    </row>
    <row r="43" spans="5:9" ht="18" customHeight="1" x14ac:dyDescent="0.35">
      <c r="E43" s="370" t="s">
        <v>91</v>
      </c>
      <c r="F43" s="369" t="s">
        <v>92</v>
      </c>
      <c r="G43" s="370" t="s">
        <v>2605</v>
      </c>
      <c r="H43" s="371">
        <v>77720</v>
      </c>
      <c r="I43" s="372" t="s">
        <v>2600</v>
      </c>
    </row>
    <row r="44" spans="5:9" ht="18" customHeight="1" x14ac:dyDescent="0.35">
      <c r="E44" s="369" t="s">
        <v>95</v>
      </c>
      <c r="F44" s="369" t="s">
        <v>96</v>
      </c>
      <c r="G44" s="370" t="s">
        <v>2603</v>
      </c>
      <c r="H44" s="371">
        <v>56160</v>
      </c>
      <c r="I44" s="372" t="s">
        <v>2602</v>
      </c>
    </row>
    <row r="45" spans="5:9" ht="18" customHeight="1" x14ac:dyDescent="0.35">
      <c r="E45" s="370" t="s">
        <v>98</v>
      </c>
      <c r="F45" s="369" t="s">
        <v>99</v>
      </c>
      <c r="G45" s="370" t="s">
        <v>2596</v>
      </c>
      <c r="H45" s="371">
        <v>68620</v>
      </c>
      <c r="I45" s="372" t="s">
        <v>2597</v>
      </c>
    </row>
    <row r="46" spans="5:9" ht="18" customHeight="1" x14ac:dyDescent="0.35">
      <c r="E46" s="369" t="s">
        <v>101</v>
      </c>
      <c r="F46" s="369" t="s">
        <v>102</v>
      </c>
      <c r="G46" s="370" t="s">
        <v>2599</v>
      </c>
      <c r="H46" s="371">
        <v>80230</v>
      </c>
      <c r="I46" s="372" t="s">
        <v>2600</v>
      </c>
    </row>
    <row r="47" spans="5:9" ht="18" customHeight="1" x14ac:dyDescent="0.35">
      <c r="E47" s="370" t="s">
        <v>104</v>
      </c>
      <c r="F47" s="369" t="s">
        <v>105</v>
      </c>
      <c r="G47" s="370" t="s">
        <v>2603</v>
      </c>
      <c r="H47" s="371">
        <v>56610</v>
      </c>
      <c r="I47" s="372" t="s">
        <v>2607</v>
      </c>
    </row>
    <row r="48" spans="5:9" ht="18" customHeight="1" x14ac:dyDescent="0.35">
      <c r="E48" s="370" t="s">
        <v>107</v>
      </c>
      <c r="F48" s="369" t="s">
        <v>108</v>
      </c>
      <c r="G48" s="370" t="s">
        <v>2599</v>
      </c>
      <c r="H48" s="371">
        <v>47420</v>
      </c>
      <c r="I48" s="372" t="s">
        <v>2597</v>
      </c>
    </row>
    <row r="49" spans="5:9" ht="18" customHeight="1" x14ac:dyDescent="0.35">
      <c r="E49" s="370" t="s">
        <v>110</v>
      </c>
      <c r="F49" s="369" t="s">
        <v>111</v>
      </c>
      <c r="G49" s="370" t="s">
        <v>2596</v>
      </c>
      <c r="H49" s="371">
        <v>51690</v>
      </c>
      <c r="I49" s="372" t="s">
        <v>2602</v>
      </c>
    </row>
    <row r="50" spans="5:9" ht="18" customHeight="1" x14ac:dyDescent="0.35">
      <c r="E50" s="370" t="s">
        <v>113</v>
      </c>
      <c r="F50" s="369" t="s">
        <v>114</v>
      </c>
      <c r="G50" s="370" t="s">
        <v>2599</v>
      </c>
      <c r="H50" s="371">
        <v>71330</v>
      </c>
      <c r="I50" s="372" t="s">
        <v>2602</v>
      </c>
    </row>
    <row r="51" spans="5:9" ht="18" customHeight="1" x14ac:dyDescent="0.35">
      <c r="E51" s="370" t="s">
        <v>116</v>
      </c>
      <c r="F51" s="369" t="s">
        <v>117</v>
      </c>
      <c r="G51" s="370" t="s">
        <v>2599</v>
      </c>
      <c r="H51" s="371">
        <v>45770</v>
      </c>
      <c r="I51" s="372" t="s">
        <v>2597</v>
      </c>
    </row>
    <row r="52" spans="5:9" ht="18" customHeight="1" x14ac:dyDescent="0.35">
      <c r="E52" s="370" t="s">
        <v>119</v>
      </c>
      <c r="F52" s="369" t="s">
        <v>120</v>
      </c>
      <c r="G52" s="370" t="s">
        <v>2601</v>
      </c>
      <c r="H52" s="371">
        <v>59220</v>
      </c>
      <c r="I52" s="372" t="s">
        <v>477</v>
      </c>
    </row>
    <row r="53" spans="5:9" ht="18" customHeight="1" x14ac:dyDescent="0.35">
      <c r="E53" s="370" t="s">
        <v>122</v>
      </c>
      <c r="F53" s="369" t="s">
        <v>123</v>
      </c>
      <c r="G53" s="370" t="s">
        <v>2596</v>
      </c>
      <c r="H53" s="371">
        <v>80640</v>
      </c>
      <c r="I53" s="372" t="s">
        <v>2598</v>
      </c>
    </row>
    <row r="54" spans="5:9" ht="18" customHeight="1" x14ac:dyDescent="0.35">
      <c r="E54" s="370" t="s">
        <v>125</v>
      </c>
      <c r="F54" s="369" t="s">
        <v>126</v>
      </c>
      <c r="G54" s="370" t="s">
        <v>2601</v>
      </c>
      <c r="H54" s="371">
        <v>45180</v>
      </c>
      <c r="I54" s="372" t="s">
        <v>2598</v>
      </c>
    </row>
    <row r="55" spans="5:9" ht="18" customHeight="1" x14ac:dyDescent="0.35">
      <c r="E55" s="370" t="s">
        <v>128</v>
      </c>
      <c r="F55" s="369" t="s">
        <v>129</v>
      </c>
      <c r="G55" s="370" t="s">
        <v>2599</v>
      </c>
      <c r="H55" s="371">
        <v>68520</v>
      </c>
      <c r="I55" s="372" t="s">
        <v>2598</v>
      </c>
    </row>
    <row r="56" spans="5:9" ht="18" customHeight="1" x14ac:dyDescent="0.35">
      <c r="E56" s="369" t="s">
        <v>131</v>
      </c>
      <c r="F56" s="369" t="s">
        <v>132</v>
      </c>
      <c r="G56" s="370" t="s">
        <v>2605</v>
      </c>
      <c r="H56" s="371">
        <v>70130</v>
      </c>
      <c r="I56" s="372" t="s">
        <v>2602</v>
      </c>
    </row>
    <row r="57" spans="5:9" ht="18" customHeight="1" x14ac:dyDescent="0.35">
      <c r="E57" s="370" t="s">
        <v>134</v>
      </c>
      <c r="F57" s="369" t="s">
        <v>135</v>
      </c>
      <c r="G57" s="370" t="s">
        <v>2596</v>
      </c>
      <c r="H57" s="371">
        <v>77590</v>
      </c>
      <c r="I57" s="372" t="s">
        <v>2597</v>
      </c>
    </row>
    <row r="58" spans="5:9" ht="18" customHeight="1" x14ac:dyDescent="0.35">
      <c r="E58" s="370" t="s">
        <v>137</v>
      </c>
      <c r="F58" s="369" t="s">
        <v>138</v>
      </c>
      <c r="G58" s="370" t="s">
        <v>2601</v>
      </c>
      <c r="H58" s="371">
        <v>46390</v>
      </c>
      <c r="I58" s="372" t="s">
        <v>2600</v>
      </c>
    </row>
    <row r="59" spans="5:9" ht="18" customHeight="1" x14ac:dyDescent="0.35">
      <c r="E59" s="370" t="s">
        <v>140</v>
      </c>
      <c r="F59" s="369" t="s">
        <v>76</v>
      </c>
      <c r="G59" s="370" t="s">
        <v>2605</v>
      </c>
      <c r="H59" s="371">
        <v>67340</v>
      </c>
      <c r="I59" s="372" t="s">
        <v>2598</v>
      </c>
    </row>
    <row r="60" spans="5:9" ht="18" customHeight="1" x14ac:dyDescent="0.35">
      <c r="E60" s="370" t="s">
        <v>142</v>
      </c>
      <c r="F60" s="369" t="s">
        <v>143</v>
      </c>
      <c r="G60" s="370" t="s">
        <v>2596</v>
      </c>
      <c r="H60" s="371">
        <v>54970</v>
      </c>
      <c r="I60" s="372" t="s">
        <v>2606</v>
      </c>
    </row>
    <row r="61" spans="5:9" ht="18" customHeight="1" x14ac:dyDescent="0.35">
      <c r="E61" s="370" t="s">
        <v>145</v>
      </c>
      <c r="F61" s="369" t="s">
        <v>146</v>
      </c>
      <c r="G61" s="370" t="s">
        <v>2605</v>
      </c>
      <c r="H61" s="371">
        <v>81810</v>
      </c>
      <c r="I61" s="372" t="s">
        <v>2606</v>
      </c>
    </row>
    <row r="62" spans="5:9" ht="18" customHeight="1" x14ac:dyDescent="0.35">
      <c r="E62" s="370" t="s">
        <v>148</v>
      </c>
      <c r="F62" s="369" t="s">
        <v>99</v>
      </c>
      <c r="G62" s="370" t="s">
        <v>2599</v>
      </c>
      <c r="H62" s="371">
        <v>70730</v>
      </c>
      <c r="I62" s="372" t="s">
        <v>2597</v>
      </c>
    </row>
    <row r="63" spans="5:9" ht="18" customHeight="1" x14ac:dyDescent="0.35">
      <c r="E63" s="369" t="s">
        <v>150</v>
      </c>
      <c r="F63" s="369" t="s">
        <v>151</v>
      </c>
      <c r="G63" s="370" t="s">
        <v>2599</v>
      </c>
      <c r="H63" s="371">
        <v>79570</v>
      </c>
      <c r="I63" s="372" t="s">
        <v>477</v>
      </c>
    </row>
    <row r="64" spans="5:9" ht="18" customHeight="1" x14ac:dyDescent="0.35">
      <c r="E64" s="370" t="s">
        <v>153</v>
      </c>
      <c r="F64" s="369" t="s">
        <v>154</v>
      </c>
      <c r="G64" s="370" t="s">
        <v>2603</v>
      </c>
      <c r="H64" s="371">
        <v>59960</v>
      </c>
      <c r="I64" s="372" t="s">
        <v>2597</v>
      </c>
    </row>
    <row r="65" spans="5:9" ht="18" customHeight="1" x14ac:dyDescent="0.35">
      <c r="E65" s="370" t="s">
        <v>156</v>
      </c>
      <c r="F65" s="369" t="s">
        <v>157</v>
      </c>
      <c r="G65" s="370" t="s">
        <v>2599</v>
      </c>
      <c r="H65" s="371">
        <v>30560</v>
      </c>
      <c r="I65" s="372" t="s">
        <v>2600</v>
      </c>
    </row>
    <row r="66" spans="5:9" ht="18" customHeight="1" x14ac:dyDescent="0.35">
      <c r="E66" s="370" t="s">
        <v>159</v>
      </c>
      <c r="F66" s="369" t="s">
        <v>160</v>
      </c>
      <c r="G66" s="370" t="s">
        <v>2596</v>
      </c>
      <c r="H66" s="371">
        <v>39860</v>
      </c>
      <c r="I66" s="372" t="s">
        <v>2602</v>
      </c>
    </row>
    <row r="67" spans="5:9" ht="18" customHeight="1" x14ac:dyDescent="0.35">
      <c r="E67" s="369" t="s">
        <v>162</v>
      </c>
      <c r="F67" s="369" t="s">
        <v>163</v>
      </c>
      <c r="G67" s="370" t="s">
        <v>2601</v>
      </c>
      <c r="H67" s="371">
        <v>34130</v>
      </c>
      <c r="I67" s="372" t="s">
        <v>2600</v>
      </c>
    </row>
    <row r="68" spans="5:9" ht="18" customHeight="1" x14ac:dyDescent="0.35">
      <c r="E68" s="370" t="s">
        <v>165</v>
      </c>
      <c r="F68" s="369" t="s">
        <v>166</v>
      </c>
      <c r="G68" s="370" t="s">
        <v>2604</v>
      </c>
      <c r="H68" s="371">
        <v>88340</v>
      </c>
      <c r="I68" s="372" t="s">
        <v>477</v>
      </c>
    </row>
    <row r="69" spans="5:9" ht="18" customHeight="1" x14ac:dyDescent="0.35">
      <c r="E69" s="370" t="s">
        <v>168</v>
      </c>
      <c r="F69" s="369" t="s">
        <v>169</v>
      </c>
      <c r="G69" s="370" t="s">
        <v>2604</v>
      </c>
      <c r="H69" s="371">
        <v>55170</v>
      </c>
      <c r="I69" s="372" t="s">
        <v>2607</v>
      </c>
    </row>
    <row r="70" spans="5:9" ht="18" customHeight="1" x14ac:dyDescent="0.35">
      <c r="E70" s="369" t="s">
        <v>171</v>
      </c>
      <c r="F70" s="369" t="s">
        <v>172</v>
      </c>
      <c r="G70" s="370" t="s">
        <v>2603</v>
      </c>
      <c r="H70" s="371">
        <v>45910</v>
      </c>
      <c r="I70" s="372" t="s">
        <v>2598</v>
      </c>
    </row>
    <row r="71" spans="5:9" ht="18" customHeight="1" x14ac:dyDescent="0.35">
      <c r="E71" s="370" t="s">
        <v>174</v>
      </c>
      <c r="F71" s="369" t="s">
        <v>175</v>
      </c>
      <c r="G71" s="370" t="s">
        <v>2596</v>
      </c>
      <c r="H71" s="371">
        <v>47120</v>
      </c>
      <c r="I71" s="372" t="s">
        <v>477</v>
      </c>
    </row>
    <row r="72" spans="5:9" ht="18" customHeight="1" x14ac:dyDescent="0.35">
      <c r="E72" s="370" t="s">
        <v>177</v>
      </c>
      <c r="F72" s="369" t="s">
        <v>178</v>
      </c>
      <c r="G72" s="370" t="s">
        <v>2604</v>
      </c>
      <c r="H72" s="371">
        <v>89870</v>
      </c>
      <c r="I72" s="372" t="s">
        <v>477</v>
      </c>
    </row>
    <row r="73" spans="5:9" ht="18" customHeight="1" x14ac:dyDescent="0.35">
      <c r="E73" s="370" t="s">
        <v>180</v>
      </c>
      <c r="F73" s="369" t="s">
        <v>102</v>
      </c>
      <c r="G73" s="370" t="s">
        <v>2603</v>
      </c>
      <c r="H73" s="371">
        <v>43090</v>
      </c>
      <c r="I73" s="372" t="s">
        <v>477</v>
      </c>
    </row>
    <row r="74" spans="5:9" ht="18" customHeight="1" x14ac:dyDescent="0.35">
      <c r="E74" s="369" t="s">
        <v>182</v>
      </c>
      <c r="F74" s="369" t="s">
        <v>183</v>
      </c>
      <c r="G74" s="370" t="s">
        <v>2605</v>
      </c>
      <c r="H74" s="371">
        <v>66840</v>
      </c>
      <c r="I74" s="372" t="s">
        <v>2598</v>
      </c>
    </row>
    <row r="75" spans="5:9" ht="18" customHeight="1" x14ac:dyDescent="0.35">
      <c r="E75" s="370" t="s">
        <v>185</v>
      </c>
      <c r="F75" s="369" t="s">
        <v>186</v>
      </c>
      <c r="G75" s="370" t="s">
        <v>2603</v>
      </c>
      <c r="H75" s="371">
        <v>72400</v>
      </c>
      <c r="I75" s="372" t="s">
        <v>477</v>
      </c>
    </row>
    <row r="76" spans="5:9" ht="18" customHeight="1" x14ac:dyDescent="0.35">
      <c r="E76" s="370" t="s">
        <v>188</v>
      </c>
      <c r="F76" s="369" t="s">
        <v>189</v>
      </c>
      <c r="G76" s="370" t="s">
        <v>2603</v>
      </c>
      <c r="H76" s="371">
        <v>54330</v>
      </c>
      <c r="I76" s="372" t="s">
        <v>477</v>
      </c>
    </row>
    <row r="77" spans="5:9" ht="18" customHeight="1" x14ac:dyDescent="0.35">
      <c r="E77" s="369" t="s">
        <v>191</v>
      </c>
      <c r="F77" s="369" t="s">
        <v>192</v>
      </c>
      <c r="G77" s="370" t="s">
        <v>2605</v>
      </c>
      <c r="H77" s="371">
        <v>59780</v>
      </c>
      <c r="I77" s="372" t="s">
        <v>2597</v>
      </c>
    </row>
    <row r="78" spans="5:9" ht="18" customHeight="1" x14ac:dyDescent="0.35">
      <c r="E78" s="370" t="s">
        <v>194</v>
      </c>
      <c r="F78" s="369" t="s">
        <v>195</v>
      </c>
      <c r="G78" s="370" t="s">
        <v>2605</v>
      </c>
      <c r="H78" s="371">
        <v>79360</v>
      </c>
      <c r="I78" s="372" t="s">
        <v>2602</v>
      </c>
    </row>
    <row r="79" spans="5:9" ht="18" customHeight="1" x14ac:dyDescent="0.35">
      <c r="E79" s="369" t="s">
        <v>197</v>
      </c>
      <c r="F79" s="369" t="s">
        <v>198</v>
      </c>
      <c r="G79" s="370" t="s">
        <v>2599</v>
      </c>
      <c r="H79" s="371">
        <v>38780</v>
      </c>
      <c r="I79" s="372" t="s">
        <v>2606</v>
      </c>
    </row>
    <row r="80" spans="5:9" ht="18" customHeight="1" x14ac:dyDescent="0.35">
      <c r="E80" s="370" t="s">
        <v>200</v>
      </c>
      <c r="F80" s="369" t="s">
        <v>201</v>
      </c>
      <c r="G80" s="370" t="s">
        <v>2596</v>
      </c>
      <c r="H80" s="371">
        <v>37400</v>
      </c>
      <c r="I80" s="372" t="s">
        <v>2597</v>
      </c>
    </row>
    <row r="81" spans="5:9" ht="18" customHeight="1" x14ac:dyDescent="0.35">
      <c r="E81" s="370" t="s">
        <v>203</v>
      </c>
      <c r="F81" s="369" t="s">
        <v>204</v>
      </c>
      <c r="G81" s="370" t="s">
        <v>2604</v>
      </c>
      <c r="H81" s="371">
        <v>74590</v>
      </c>
      <c r="I81" s="372" t="s">
        <v>477</v>
      </c>
    </row>
    <row r="82" spans="5:9" ht="18" customHeight="1" x14ac:dyDescent="0.35">
      <c r="E82" s="370" t="s">
        <v>206</v>
      </c>
      <c r="F82" s="369" t="s">
        <v>207</v>
      </c>
      <c r="G82" s="370" t="s">
        <v>2599</v>
      </c>
      <c r="H82" s="371">
        <v>30230</v>
      </c>
      <c r="I82" s="372" t="s">
        <v>2600</v>
      </c>
    </row>
    <row r="83" spans="5:9" ht="18" customHeight="1" x14ac:dyDescent="0.35">
      <c r="E83" s="369" t="s">
        <v>209</v>
      </c>
      <c r="F83" s="369" t="s">
        <v>210</v>
      </c>
      <c r="G83" s="370" t="s">
        <v>2604</v>
      </c>
      <c r="H83" s="371">
        <v>50430</v>
      </c>
      <c r="I83" s="372" t="s">
        <v>2607</v>
      </c>
    </row>
    <row r="84" spans="5:9" ht="18" customHeight="1" x14ac:dyDescent="0.35">
      <c r="E84" s="370" t="s">
        <v>212</v>
      </c>
      <c r="F84" s="369" t="s">
        <v>213</v>
      </c>
      <c r="G84" s="370" t="s">
        <v>2601</v>
      </c>
      <c r="H84" s="371">
        <v>60340</v>
      </c>
      <c r="I84" s="372" t="s">
        <v>2600</v>
      </c>
    </row>
    <row r="85" spans="5:9" ht="18" customHeight="1" x14ac:dyDescent="0.35">
      <c r="E85" s="370" t="s">
        <v>215</v>
      </c>
      <c r="F85" s="369" t="s">
        <v>216</v>
      </c>
      <c r="G85" s="370" t="s">
        <v>2605</v>
      </c>
      <c r="H85" s="371">
        <v>63860</v>
      </c>
      <c r="I85" s="372" t="s">
        <v>2607</v>
      </c>
    </row>
    <row r="86" spans="5:9" ht="18" customHeight="1" x14ac:dyDescent="0.35">
      <c r="E86" s="370" t="s">
        <v>218</v>
      </c>
      <c r="F86" s="369" t="s">
        <v>219</v>
      </c>
      <c r="G86" s="370" t="s">
        <v>2604</v>
      </c>
      <c r="H86" s="371">
        <v>53330</v>
      </c>
      <c r="I86" s="372" t="s">
        <v>2597</v>
      </c>
    </row>
    <row r="87" spans="5:9" ht="18" customHeight="1" x14ac:dyDescent="0.35">
      <c r="E87" s="370" t="s">
        <v>221</v>
      </c>
      <c r="F87" s="369" t="s">
        <v>222</v>
      </c>
      <c r="G87" s="370" t="s">
        <v>2601</v>
      </c>
      <c r="H87" s="371">
        <v>88990</v>
      </c>
      <c r="I87" s="372" t="s">
        <v>2598</v>
      </c>
    </row>
    <row r="88" spans="5:9" ht="18" customHeight="1" x14ac:dyDescent="0.35">
      <c r="E88" s="370" t="s">
        <v>224</v>
      </c>
      <c r="F88" s="369" t="s">
        <v>225</v>
      </c>
      <c r="G88" s="370" t="s">
        <v>2599</v>
      </c>
      <c r="H88" s="371">
        <v>40850</v>
      </c>
      <c r="I88" s="372" t="s">
        <v>2598</v>
      </c>
    </row>
    <row r="89" spans="5:9" ht="18" customHeight="1" x14ac:dyDescent="0.35">
      <c r="E89" s="370" t="s">
        <v>227</v>
      </c>
      <c r="F89" s="369" t="s">
        <v>228</v>
      </c>
      <c r="G89" s="370" t="s">
        <v>2596</v>
      </c>
      <c r="H89" s="371">
        <v>77690</v>
      </c>
      <c r="I89" s="372" t="s">
        <v>2597</v>
      </c>
    </row>
    <row r="90" spans="5:9" ht="18" customHeight="1" x14ac:dyDescent="0.35">
      <c r="E90" s="370" t="s">
        <v>230</v>
      </c>
      <c r="F90" s="369" t="s">
        <v>231</v>
      </c>
      <c r="G90" s="370" t="s">
        <v>2599</v>
      </c>
      <c r="H90" s="371">
        <v>33090</v>
      </c>
      <c r="I90" s="372" t="s">
        <v>2607</v>
      </c>
    </row>
    <row r="91" spans="5:9" ht="18" customHeight="1" x14ac:dyDescent="0.35">
      <c r="E91" s="370" t="s">
        <v>233</v>
      </c>
      <c r="F91" s="369" t="s">
        <v>234</v>
      </c>
      <c r="G91" s="370" t="s">
        <v>2601</v>
      </c>
      <c r="H91" s="371">
        <v>70600</v>
      </c>
      <c r="I91" s="372" t="s">
        <v>2598</v>
      </c>
    </row>
    <row r="92" spans="5:9" ht="18" customHeight="1" x14ac:dyDescent="0.35">
      <c r="E92" s="370" t="s">
        <v>203</v>
      </c>
      <c r="F92" s="369" t="s">
        <v>236</v>
      </c>
      <c r="G92" s="370" t="s">
        <v>2599</v>
      </c>
      <c r="H92" s="371">
        <v>85040</v>
      </c>
      <c r="I92" s="372" t="s">
        <v>2607</v>
      </c>
    </row>
    <row r="93" spans="5:9" ht="18" customHeight="1" x14ac:dyDescent="0.35">
      <c r="E93" s="370" t="s">
        <v>238</v>
      </c>
      <c r="F93" s="369" t="s">
        <v>239</v>
      </c>
      <c r="G93" s="370" t="s">
        <v>2603</v>
      </c>
      <c r="H93" s="371">
        <v>86230</v>
      </c>
      <c r="I93" s="372" t="s">
        <v>2602</v>
      </c>
    </row>
    <row r="94" spans="5:9" ht="18" customHeight="1" x14ac:dyDescent="0.35">
      <c r="E94" s="370" t="s">
        <v>241</v>
      </c>
      <c r="F94" s="369" t="s">
        <v>242</v>
      </c>
      <c r="G94" s="370" t="s">
        <v>2605</v>
      </c>
      <c r="H94" s="371">
        <v>78580</v>
      </c>
      <c r="I94" s="372" t="s">
        <v>2602</v>
      </c>
    </row>
    <row r="95" spans="5:9" ht="18" customHeight="1" x14ac:dyDescent="0.35">
      <c r="E95" s="370" t="s">
        <v>244</v>
      </c>
      <c r="F95" s="369" t="s">
        <v>245</v>
      </c>
      <c r="G95" s="370" t="s">
        <v>2605</v>
      </c>
      <c r="H95" s="371">
        <v>70410</v>
      </c>
      <c r="I95" s="372" t="s">
        <v>2598</v>
      </c>
    </row>
    <row r="96" spans="5:9" ht="18" customHeight="1" x14ac:dyDescent="0.35">
      <c r="E96" s="370" t="s">
        <v>247</v>
      </c>
      <c r="F96" s="369" t="s">
        <v>248</v>
      </c>
      <c r="G96" s="370" t="s">
        <v>2599</v>
      </c>
      <c r="H96" s="371">
        <v>42880</v>
      </c>
      <c r="I96" s="372" t="s">
        <v>2607</v>
      </c>
    </row>
    <row r="97" spans="5:9" ht="18" customHeight="1" x14ac:dyDescent="0.35">
      <c r="E97" s="369" t="s">
        <v>250</v>
      </c>
      <c r="F97" s="369" t="s">
        <v>251</v>
      </c>
      <c r="G97" s="370" t="s">
        <v>2599</v>
      </c>
      <c r="H97" s="371">
        <v>74630</v>
      </c>
      <c r="I97" s="372" t="s">
        <v>477</v>
      </c>
    </row>
    <row r="98" spans="5:9" ht="18" customHeight="1" x14ac:dyDescent="0.35">
      <c r="E98" s="369" t="s">
        <v>253</v>
      </c>
      <c r="F98" s="369" t="s">
        <v>254</v>
      </c>
      <c r="G98" s="370" t="s">
        <v>2604</v>
      </c>
      <c r="H98" s="371">
        <v>32360</v>
      </c>
      <c r="I98" s="372" t="s">
        <v>2597</v>
      </c>
    </row>
    <row r="99" spans="5:9" ht="18" customHeight="1" x14ac:dyDescent="0.35">
      <c r="E99" s="369" t="s">
        <v>256</v>
      </c>
      <c r="F99" s="369" t="s">
        <v>257</v>
      </c>
      <c r="G99" s="370" t="s">
        <v>2603</v>
      </c>
      <c r="H99" s="371">
        <v>85330</v>
      </c>
      <c r="I99" s="372" t="s">
        <v>2602</v>
      </c>
    </row>
    <row r="100" spans="5:9" ht="18" customHeight="1" x14ac:dyDescent="0.35">
      <c r="E100" s="370" t="s">
        <v>259</v>
      </c>
      <c r="F100" s="369" t="s">
        <v>260</v>
      </c>
      <c r="G100" s="370" t="s">
        <v>2601</v>
      </c>
      <c r="H100" s="371">
        <v>38070</v>
      </c>
      <c r="I100" s="372" t="s">
        <v>2602</v>
      </c>
    </row>
    <row r="101" spans="5:9" ht="18" customHeight="1" x14ac:dyDescent="0.35">
      <c r="E101" s="369" t="s">
        <v>262</v>
      </c>
      <c r="F101" s="369" t="s">
        <v>263</v>
      </c>
      <c r="G101" s="370" t="s">
        <v>2601</v>
      </c>
      <c r="H101" s="371">
        <v>43040</v>
      </c>
      <c r="I101" s="372" t="s">
        <v>477</v>
      </c>
    </row>
    <row r="102" spans="5:9" ht="18" customHeight="1" x14ac:dyDescent="0.35">
      <c r="E102" s="370" t="s">
        <v>265</v>
      </c>
      <c r="F102" s="369" t="s">
        <v>266</v>
      </c>
      <c r="G102" s="370" t="s">
        <v>2599</v>
      </c>
      <c r="H102" s="371">
        <v>77290</v>
      </c>
      <c r="I102" s="372" t="s">
        <v>2597</v>
      </c>
    </row>
    <row r="103" spans="5:9" ht="18" customHeight="1" x14ac:dyDescent="0.35">
      <c r="E103" s="370" t="s">
        <v>268</v>
      </c>
      <c r="F103" s="369" t="s">
        <v>269</v>
      </c>
      <c r="G103" s="370" t="s">
        <v>2604</v>
      </c>
      <c r="H103" s="371">
        <v>57790</v>
      </c>
      <c r="I103" s="372" t="s">
        <v>2606</v>
      </c>
    </row>
    <row r="104" spans="5:9" ht="18" customHeight="1" x14ac:dyDescent="0.35">
      <c r="E104" s="370" t="s">
        <v>271</v>
      </c>
      <c r="F104" s="369" t="s">
        <v>272</v>
      </c>
      <c r="G104" s="370" t="s">
        <v>2605</v>
      </c>
      <c r="H104" s="371">
        <v>54830</v>
      </c>
      <c r="I104" s="372" t="s">
        <v>477</v>
      </c>
    </row>
    <row r="105" spans="5:9" ht="18" customHeight="1" x14ac:dyDescent="0.35">
      <c r="E105" s="369" t="s">
        <v>274</v>
      </c>
      <c r="F105" s="369" t="s">
        <v>275</v>
      </c>
      <c r="G105" s="370" t="s">
        <v>2603</v>
      </c>
      <c r="H105" s="371">
        <v>53610</v>
      </c>
      <c r="I105" s="372" t="s">
        <v>2597</v>
      </c>
    </row>
    <row r="106" spans="5:9" ht="18" customHeight="1" x14ac:dyDescent="0.35">
      <c r="E106" s="369" t="s">
        <v>277</v>
      </c>
      <c r="F106" s="369" t="s">
        <v>278</v>
      </c>
      <c r="G106" s="370" t="s">
        <v>2599</v>
      </c>
      <c r="H106" s="371">
        <v>84030</v>
      </c>
      <c r="I106" s="372" t="s">
        <v>2602</v>
      </c>
    </row>
    <row r="107" spans="5:9" ht="18" customHeight="1" x14ac:dyDescent="0.35">
      <c r="E107" s="370" t="s">
        <v>280</v>
      </c>
      <c r="F107" s="369" t="s">
        <v>281</v>
      </c>
      <c r="G107" s="370" t="s">
        <v>2605</v>
      </c>
      <c r="H107" s="371">
        <v>39820</v>
      </c>
      <c r="I107" s="372" t="s">
        <v>2598</v>
      </c>
    </row>
    <row r="108" spans="5:9" ht="18" customHeight="1" x14ac:dyDescent="0.35">
      <c r="E108" s="369" t="s">
        <v>283</v>
      </c>
      <c r="F108" s="369" t="s">
        <v>284</v>
      </c>
      <c r="G108" s="370" t="s">
        <v>2604</v>
      </c>
      <c r="H108" s="371">
        <v>49310</v>
      </c>
      <c r="I108" s="372" t="s">
        <v>2606</v>
      </c>
    </row>
    <row r="109" spans="5:9" ht="18" customHeight="1" x14ac:dyDescent="0.35">
      <c r="E109" s="369" t="s">
        <v>286</v>
      </c>
      <c r="F109" s="369" t="s">
        <v>287</v>
      </c>
      <c r="G109" s="370" t="s">
        <v>2599</v>
      </c>
      <c r="H109" s="371">
        <v>65540</v>
      </c>
      <c r="I109" s="372" t="s">
        <v>477</v>
      </c>
    </row>
    <row r="110" spans="5:9" ht="18" customHeight="1" x14ac:dyDescent="0.35">
      <c r="E110" s="370" t="s">
        <v>148</v>
      </c>
      <c r="F110" s="369" t="s">
        <v>289</v>
      </c>
      <c r="G110" s="370" t="s">
        <v>2605</v>
      </c>
      <c r="H110" s="371">
        <v>30090</v>
      </c>
      <c r="I110" s="372" t="s">
        <v>2606</v>
      </c>
    </row>
    <row r="111" spans="5:9" ht="18" customHeight="1" x14ac:dyDescent="0.35">
      <c r="E111" s="370" t="s">
        <v>291</v>
      </c>
      <c r="F111" s="369" t="s">
        <v>292</v>
      </c>
      <c r="G111" s="370" t="s">
        <v>2599</v>
      </c>
      <c r="H111" s="371">
        <v>60340</v>
      </c>
      <c r="I111" s="372" t="s">
        <v>2607</v>
      </c>
    </row>
    <row r="112" spans="5:9" ht="18" customHeight="1" x14ac:dyDescent="0.35">
      <c r="E112" s="370" t="s">
        <v>294</v>
      </c>
      <c r="F112" s="369" t="s">
        <v>295</v>
      </c>
      <c r="G112" s="370" t="s">
        <v>2596</v>
      </c>
      <c r="H112" s="371">
        <v>37260</v>
      </c>
      <c r="I112" s="372" t="s">
        <v>2598</v>
      </c>
    </row>
    <row r="113" spans="5:9" ht="18" customHeight="1" x14ac:dyDescent="0.35">
      <c r="E113" s="370" t="s">
        <v>297</v>
      </c>
      <c r="F113" s="369" t="s">
        <v>298</v>
      </c>
      <c r="G113" s="370" t="s">
        <v>2605</v>
      </c>
      <c r="H113" s="371">
        <v>31440</v>
      </c>
      <c r="I113" s="372" t="s">
        <v>2602</v>
      </c>
    </row>
    <row r="114" spans="5:9" ht="18" customHeight="1" x14ac:dyDescent="0.35">
      <c r="E114" s="370" t="s">
        <v>300</v>
      </c>
      <c r="F114" s="369" t="s">
        <v>301</v>
      </c>
      <c r="G114" s="370" t="s">
        <v>2599</v>
      </c>
      <c r="H114" s="371">
        <v>40280</v>
      </c>
      <c r="I114" s="372" t="s">
        <v>2602</v>
      </c>
    </row>
  </sheetData>
  <sheetProtection sheet="1" selectLockedCells="1"/>
  <mergeCells count="12">
    <mergeCell ref="E16:K16"/>
    <mergeCell ref="A1:C2"/>
    <mergeCell ref="E3:K3"/>
    <mergeCell ref="E4:H4"/>
    <mergeCell ref="E5:K5"/>
    <mergeCell ref="E7:F7"/>
    <mergeCell ref="E8:F8"/>
    <mergeCell ref="E9:F9"/>
    <mergeCell ref="E10:F10"/>
    <mergeCell ref="E11:F11"/>
    <mergeCell ref="E12:F12"/>
    <mergeCell ref="E13:F13"/>
  </mergeCells>
  <hyperlinks>
    <hyperlink ref="L3" r:id="rId1" xr:uid="{46F91381-CB9F-4620-A7FC-099E99DF7E2A}"/>
    <hyperlink ref="O3" r:id="rId2" display="https://www.linkedin.com/in/ganesh9495/" xr:uid="{50E5F820-7777-4D0A-89A4-E215D42A09B8}"/>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1" r:id="rId6" name="Button 1">
              <controlPr defaultSize="0" print="0" autoFill="0" autoPict="0" macro="[4]!sheet_1">
                <anchor moveWithCells="1" sizeWithCells="1">
                  <from>
                    <xdr:col>9</xdr:col>
                    <xdr:colOff>6350</xdr:colOff>
                    <xdr:row>5</xdr:row>
                    <xdr:rowOff>0</xdr:rowOff>
                  </from>
                  <to>
                    <xdr:col>11</xdr:col>
                    <xdr:colOff>622300</xdr:colOff>
                    <xdr:row>7</xdr:row>
                    <xdr:rowOff>222250</xdr:rowOff>
                  </to>
                </anchor>
              </controlPr>
            </control>
          </mc:Choice>
        </mc:AlternateContent>
        <mc:AlternateContent xmlns:mc="http://schemas.openxmlformats.org/markup-compatibility/2006">
          <mc:Choice Requires="x14">
            <control shapeId="10242" r:id="rId7" name="Button 2">
              <controlPr defaultSize="0" print="0" autoFill="0" autoPict="0" macro="[4]!blank1">
                <anchor moveWithCells="1">
                  <from>
                    <xdr:col>8</xdr:col>
                    <xdr:colOff>882650</xdr:colOff>
                    <xdr:row>8</xdr:row>
                    <xdr:rowOff>25400</xdr:rowOff>
                  </from>
                  <to>
                    <xdr:col>11</xdr:col>
                    <xdr:colOff>628650</xdr:colOff>
                    <xdr:row>10</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EEF14-3C26-43B0-B943-8CAFC13BE93F}">
  <sheetPr codeName="Sheet3"/>
  <dimension ref="A1:BF112"/>
  <sheetViews>
    <sheetView topLeftCell="E1" workbookViewId="0">
      <selection activeCell="X16" sqref="X16"/>
    </sheetView>
  </sheetViews>
  <sheetFormatPr defaultColWidth="10.4140625" defaultRowHeight="14.5" x14ac:dyDescent="0.3"/>
  <cols>
    <col min="1" max="1" width="5.4140625" style="461" hidden="1" customWidth="1"/>
    <col min="2" max="2" width="5.58203125" style="478" hidden="1" customWidth="1"/>
    <col min="3" max="3" width="0" style="463" hidden="1" customWidth="1"/>
    <col min="4" max="4" width="3.4140625" style="446" customWidth="1"/>
    <col min="5" max="5" width="8.4140625" style="446" customWidth="1"/>
    <col min="6" max="9" width="7.33203125" style="446" customWidth="1"/>
    <col min="10" max="10" width="9.6640625" style="446" customWidth="1"/>
    <col min="11" max="11" width="8.4140625" style="446" customWidth="1"/>
    <col min="12" max="12" width="8.08203125" style="446" customWidth="1"/>
    <col min="13" max="13" width="9.6640625" style="446" customWidth="1"/>
    <col min="14" max="14" width="7.75" style="446" customWidth="1"/>
    <col min="15" max="15" width="7.25" style="446" customWidth="1"/>
    <col min="16" max="19" width="10.5" style="446" customWidth="1"/>
    <col min="20" max="58" width="9.58203125" style="446" bestFit="1" customWidth="1"/>
    <col min="59" max="145" width="9.58203125" style="450" bestFit="1" customWidth="1"/>
    <col min="146" max="146" width="14.6640625" style="450" bestFit="1" customWidth="1"/>
    <col min="147" max="16384" width="10.4140625" style="450"/>
  </cols>
  <sheetData>
    <row r="1" spans="1:21" ht="14.25" customHeight="1" x14ac:dyDescent="0.35">
      <c r="A1" s="443" t="s">
        <v>2579</v>
      </c>
      <c r="B1" s="444"/>
      <c r="C1" s="445"/>
      <c r="E1" s="447" t="s">
        <v>1</v>
      </c>
      <c r="F1" s="447" t="s">
        <v>2608</v>
      </c>
      <c r="G1" s="447" t="s">
        <v>2609</v>
      </c>
      <c r="H1" s="447" t="s">
        <v>2610</v>
      </c>
      <c r="I1" s="447" t="s">
        <v>6</v>
      </c>
      <c r="J1" s="448" t="s">
        <v>7</v>
      </c>
      <c r="K1" s="448" t="s">
        <v>8</v>
      </c>
      <c r="L1" s="436"/>
      <c r="M1" s="449" t="s">
        <v>2611</v>
      </c>
      <c r="N1" s="436"/>
      <c r="O1" s="436"/>
      <c r="P1" s="436"/>
      <c r="Q1" s="436"/>
      <c r="R1" s="436"/>
      <c r="S1" s="436"/>
      <c r="T1" s="436"/>
      <c r="U1" s="436"/>
    </row>
    <row r="2" spans="1:21" x14ac:dyDescent="0.35">
      <c r="A2" s="451"/>
      <c r="B2" s="452"/>
      <c r="C2" s="453"/>
      <c r="E2" s="441" t="s">
        <v>2319</v>
      </c>
      <c r="F2" s="454">
        <v>97</v>
      </c>
      <c r="G2" s="454">
        <v>68</v>
      </c>
      <c r="H2" s="454">
        <v>91</v>
      </c>
      <c r="I2" s="454">
        <v>92</v>
      </c>
      <c r="J2" s="437">
        <v>87</v>
      </c>
      <c r="K2" s="437" t="s">
        <v>53</v>
      </c>
      <c r="L2" s="455"/>
      <c r="M2" s="456"/>
      <c r="N2" s="456"/>
      <c r="O2" s="456"/>
      <c r="P2" s="456"/>
      <c r="Q2" s="456"/>
      <c r="R2" s="456"/>
      <c r="S2" s="456"/>
      <c r="T2" s="436"/>
      <c r="U2" s="436"/>
    </row>
    <row r="3" spans="1:21" ht="12" customHeight="1" x14ac:dyDescent="0.35">
      <c r="A3" s="457">
        <f>SUM(A7:A34)</f>
        <v>26</v>
      </c>
      <c r="B3" s="458">
        <f>SUM(B7:B32)</f>
        <v>0</v>
      </c>
      <c r="C3" s="459"/>
      <c r="E3" s="441" t="s">
        <v>2612</v>
      </c>
      <c r="F3" s="454">
        <v>88</v>
      </c>
      <c r="G3" s="454">
        <v>89</v>
      </c>
      <c r="H3" s="454">
        <v>98</v>
      </c>
      <c r="I3" s="454">
        <v>98</v>
      </c>
      <c r="J3" s="438">
        <v>93.25</v>
      </c>
      <c r="K3" s="439" t="s">
        <v>57</v>
      </c>
      <c r="L3" s="455"/>
      <c r="M3" s="460" t="s">
        <v>2613</v>
      </c>
      <c r="N3" s="460"/>
      <c r="O3" s="460"/>
      <c r="P3" s="460"/>
      <c r="Q3" s="456"/>
      <c r="R3" s="456"/>
      <c r="S3" s="456"/>
      <c r="T3" s="436"/>
      <c r="U3" s="436"/>
    </row>
    <row r="4" spans="1:21" ht="14.25" customHeight="1" x14ac:dyDescent="0.35">
      <c r="B4" s="462"/>
      <c r="E4" s="441" t="s">
        <v>2614</v>
      </c>
      <c r="F4" s="454">
        <v>85</v>
      </c>
      <c r="G4" s="454">
        <v>98</v>
      </c>
      <c r="H4" s="454">
        <v>80</v>
      </c>
      <c r="I4" s="454">
        <v>82</v>
      </c>
      <c r="J4" s="438">
        <v>86.25</v>
      </c>
      <c r="K4" s="437" t="s">
        <v>53</v>
      </c>
      <c r="L4" s="455"/>
      <c r="M4" s="436" t="s">
        <v>2615</v>
      </c>
      <c r="N4" s="456"/>
      <c r="O4" s="456"/>
      <c r="P4" s="456"/>
      <c r="R4" s="436"/>
      <c r="S4" s="436"/>
      <c r="T4" s="436"/>
      <c r="U4" s="436"/>
    </row>
    <row r="5" spans="1:21" x14ac:dyDescent="0.35">
      <c r="B5" s="462"/>
      <c r="E5" s="441" t="s">
        <v>2616</v>
      </c>
      <c r="F5" s="454">
        <v>89</v>
      </c>
      <c r="G5" s="454">
        <v>64</v>
      </c>
      <c r="H5" s="454">
        <v>80</v>
      </c>
      <c r="I5" s="454">
        <v>82</v>
      </c>
      <c r="J5" s="438">
        <v>78.75</v>
      </c>
      <c r="K5" s="437" t="s">
        <v>53</v>
      </c>
      <c r="L5" s="455"/>
      <c r="M5" s="436"/>
      <c r="N5" s="436"/>
      <c r="O5" s="436"/>
      <c r="P5" s="436"/>
      <c r="Q5" s="436"/>
      <c r="R5" s="436"/>
      <c r="S5" s="436"/>
      <c r="T5" s="436"/>
      <c r="U5" s="436"/>
    </row>
    <row r="6" spans="1:21" x14ac:dyDescent="0.35">
      <c r="B6" s="462"/>
      <c r="C6" s="464"/>
      <c r="E6" s="441" t="s">
        <v>2617</v>
      </c>
      <c r="F6" s="454">
        <v>94</v>
      </c>
      <c r="G6" s="454">
        <v>80</v>
      </c>
      <c r="H6" s="454">
        <v>91</v>
      </c>
      <c r="I6" s="454">
        <v>97</v>
      </c>
      <c r="J6" s="438">
        <v>90.5</v>
      </c>
      <c r="K6" s="439" t="s">
        <v>57</v>
      </c>
      <c r="L6" s="436"/>
      <c r="M6" s="454" t="s">
        <v>8</v>
      </c>
      <c r="N6" s="454" t="s">
        <v>7</v>
      </c>
      <c r="O6" s="456"/>
      <c r="P6" s="456"/>
      <c r="Q6" s="456"/>
      <c r="R6" s="436"/>
      <c r="S6" s="436"/>
      <c r="T6" s="436"/>
      <c r="U6" s="436"/>
    </row>
    <row r="7" spans="1:21" x14ac:dyDescent="0.35">
      <c r="B7" s="462"/>
      <c r="E7" s="441" t="s">
        <v>2618</v>
      </c>
      <c r="F7" s="454">
        <v>84</v>
      </c>
      <c r="G7" s="454">
        <v>62</v>
      </c>
      <c r="H7" s="454">
        <v>81</v>
      </c>
      <c r="I7" s="454">
        <v>100</v>
      </c>
      <c r="J7" s="438">
        <v>81.75</v>
      </c>
      <c r="K7" s="437" t="s">
        <v>53</v>
      </c>
      <c r="L7" s="436"/>
      <c r="M7" s="454" t="s">
        <v>41</v>
      </c>
      <c r="N7" s="454" t="s">
        <v>2619</v>
      </c>
      <c r="O7" s="436"/>
      <c r="P7" s="436"/>
      <c r="Q7" s="436"/>
      <c r="R7" s="436"/>
      <c r="S7" s="436"/>
      <c r="T7" s="436"/>
      <c r="U7" s="436"/>
    </row>
    <row r="8" spans="1:21" x14ac:dyDescent="0.35">
      <c r="B8" s="462"/>
      <c r="E8" s="441" t="s">
        <v>2620</v>
      </c>
      <c r="F8" s="454">
        <v>80</v>
      </c>
      <c r="G8" s="454">
        <v>79</v>
      </c>
      <c r="H8" s="454">
        <v>98</v>
      </c>
      <c r="I8" s="454">
        <v>95</v>
      </c>
      <c r="J8" s="438">
        <v>88</v>
      </c>
      <c r="K8" s="439" t="s">
        <v>57</v>
      </c>
      <c r="L8" s="436"/>
      <c r="M8" s="454" t="s">
        <v>49</v>
      </c>
      <c r="N8" s="454" t="s">
        <v>2621</v>
      </c>
      <c r="O8" s="436"/>
      <c r="P8" s="436"/>
      <c r="Q8" s="436"/>
      <c r="R8" s="436"/>
      <c r="S8" s="436"/>
      <c r="T8" s="436"/>
      <c r="U8" s="436"/>
    </row>
    <row r="9" spans="1:21" x14ac:dyDescent="0.35">
      <c r="B9" s="462"/>
      <c r="E9" s="441" t="s">
        <v>2622</v>
      </c>
      <c r="F9" s="454">
        <v>93</v>
      </c>
      <c r="G9" s="454">
        <v>66</v>
      </c>
      <c r="H9" s="454">
        <v>48</v>
      </c>
      <c r="I9" s="454">
        <v>96</v>
      </c>
      <c r="J9" s="438">
        <v>75.75</v>
      </c>
      <c r="K9" s="437" t="s">
        <v>49</v>
      </c>
      <c r="L9" s="436"/>
      <c r="M9" s="454" t="s">
        <v>53</v>
      </c>
      <c r="N9" s="454" t="s">
        <v>2623</v>
      </c>
      <c r="O9" s="436"/>
      <c r="P9" s="436"/>
      <c r="Q9" s="436"/>
      <c r="R9" s="436"/>
      <c r="S9" s="436"/>
      <c r="T9" s="436"/>
      <c r="U9" s="436"/>
    </row>
    <row r="10" spans="1:21" x14ac:dyDescent="0.35">
      <c r="B10" s="462"/>
      <c r="E10" s="441" t="s">
        <v>2624</v>
      </c>
      <c r="F10" s="454">
        <v>88</v>
      </c>
      <c r="G10" s="454">
        <v>80</v>
      </c>
      <c r="H10" s="454">
        <v>88</v>
      </c>
      <c r="I10" s="454">
        <v>82</v>
      </c>
      <c r="J10" s="438">
        <v>84.5</v>
      </c>
      <c r="K10" s="437" t="s">
        <v>53</v>
      </c>
      <c r="L10" s="436"/>
      <c r="M10" s="454" t="s">
        <v>57</v>
      </c>
      <c r="N10" s="454" t="s">
        <v>2625</v>
      </c>
      <c r="O10" s="436"/>
      <c r="P10" s="436"/>
      <c r="Q10" s="436"/>
      <c r="R10" s="436"/>
      <c r="S10" s="436"/>
      <c r="T10" s="436"/>
      <c r="U10" s="436"/>
    </row>
    <row r="11" spans="1:21" x14ac:dyDescent="0.35">
      <c r="B11" s="462"/>
      <c r="E11" s="441" t="s">
        <v>2626</v>
      </c>
      <c r="F11" s="454">
        <v>95</v>
      </c>
      <c r="G11" s="454">
        <v>94</v>
      </c>
      <c r="H11" s="454">
        <v>90</v>
      </c>
      <c r="I11" s="454">
        <v>97</v>
      </c>
      <c r="J11" s="438">
        <v>94</v>
      </c>
      <c r="K11" s="440" t="s">
        <v>57</v>
      </c>
      <c r="L11" s="436"/>
      <c r="O11" s="436"/>
      <c r="P11" s="436"/>
      <c r="Q11" s="436"/>
      <c r="R11" s="436"/>
      <c r="S11" s="436"/>
      <c r="T11" s="436"/>
      <c r="U11" s="436"/>
    </row>
    <row r="12" spans="1:21" ht="15" thickBot="1" x14ac:dyDescent="0.4">
      <c r="B12" s="462"/>
      <c r="E12" s="441" t="s">
        <v>2627</v>
      </c>
      <c r="F12" s="454">
        <v>84</v>
      </c>
      <c r="G12" s="454">
        <v>76</v>
      </c>
      <c r="H12" s="454">
        <v>94</v>
      </c>
      <c r="I12" s="454">
        <v>100</v>
      </c>
      <c r="J12" s="438">
        <v>88.5</v>
      </c>
      <c r="K12" s="440" t="s">
        <v>57</v>
      </c>
      <c r="L12" s="436"/>
      <c r="M12" s="436"/>
      <c r="N12" s="436"/>
      <c r="O12" s="436"/>
      <c r="P12" s="436"/>
      <c r="Q12" s="436"/>
      <c r="R12" s="436"/>
      <c r="S12" s="436"/>
      <c r="T12" s="436"/>
      <c r="U12" s="436"/>
    </row>
    <row r="13" spans="1:21" x14ac:dyDescent="0.35">
      <c r="B13" s="462"/>
      <c r="E13" s="441" t="s">
        <v>2628</v>
      </c>
      <c r="F13" s="454">
        <v>86</v>
      </c>
      <c r="G13" s="454">
        <v>85</v>
      </c>
      <c r="H13" s="454">
        <v>92</v>
      </c>
      <c r="I13" s="454">
        <v>95</v>
      </c>
      <c r="J13" s="438">
        <v>89.5</v>
      </c>
      <c r="K13" s="440" t="s">
        <v>57</v>
      </c>
      <c r="L13" s="436"/>
      <c r="M13" s="465" t="s">
        <v>8</v>
      </c>
      <c r="N13" s="466" t="s">
        <v>2629</v>
      </c>
      <c r="O13" s="436"/>
      <c r="R13" s="436"/>
      <c r="S13" s="436"/>
      <c r="T13" s="436"/>
      <c r="U13" s="436"/>
    </row>
    <row r="14" spans="1:21" x14ac:dyDescent="0.35">
      <c r="A14" s="457">
        <v>2</v>
      </c>
      <c r="B14" s="459">
        <v>0</v>
      </c>
      <c r="C14" s="467"/>
      <c r="E14" s="441" t="s">
        <v>2630</v>
      </c>
      <c r="F14" s="454">
        <v>91</v>
      </c>
      <c r="G14" s="454">
        <v>84</v>
      </c>
      <c r="H14" s="454">
        <v>83</v>
      </c>
      <c r="I14" s="454">
        <v>82</v>
      </c>
      <c r="J14" s="438">
        <v>85</v>
      </c>
      <c r="K14" s="441" t="s">
        <v>53</v>
      </c>
      <c r="L14" s="436"/>
      <c r="M14" s="468" t="s">
        <v>57</v>
      </c>
      <c r="N14" s="454">
        <v>55</v>
      </c>
      <c r="O14" s="436"/>
      <c r="P14" s="436"/>
      <c r="Q14" s="436"/>
      <c r="R14" s="436"/>
      <c r="S14" s="436"/>
      <c r="T14" s="436"/>
      <c r="U14" s="436"/>
    </row>
    <row r="15" spans="1:21" x14ac:dyDescent="0.35">
      <c r="A15" s="457">
        <v>2</v>
      </c>
      <c r="B15" s="459">
        <v>0</v>
      </c>
      <c r="C15" s="467"/>
      <c r="E15" s="441" t="s">
        <v>2631</v>
      </c>
      <c r="F15" s="454">
        <v>82</v>
      </c>
      <c r="G15" s="454">
        <v>89</v>
      </c>
      <c r="H15" s="454">
        <v>95</v>
      </c>
      <c r="I15" s="454">
        <v>100</v>
      </c>
      <c r="J15" s="438">
        <v>91.5</v>
      </c>
      <c r="K15" s="440" t="s">
        <v>57</v>
      </c>
      <c r="L15" s="436"/>
      <c r="M15" s="468" t="s">
        <v>53</v>
      </c>
      <c r="N15" s="454">
        <v>36</v>
      </c>
      <c r="O15" s="436"/>
      <c r="P15" s="436"/>
      <c r="Q15" s="436"/>
      <c r="R15" s="436"/>
      <c r="S15" s="436"/>
      <c r="T15" s="436"/>
      <c r="U15" s="436"/>
    </row>
    <row r="16" spans="1:21" x14ac:dyDescent="0.35">
      <c r="A16" s="457">
        <v>2</v>
      </c>
      <c r="B16" s="459">
        <v>0</v>
      </c>
      <c r="C16" s="467"/>
      <c r="E16" s="441" t="s">
        <v>2632</v>
      </c>
      <c r="F16" s="454">
        <v>89</v>
      </c>
      <c r="G16" s="454">
        <v>82</v>
      </c>
      <c r="H16" s="454">
        <v>90</v>
      </c>
      <c r="I16" s="454">
        <v>90</v>
      </c>
      <c r="J16" s="438">
        <v>87.75</v>
      </c>
      <c r="K16" s="441" t="s">
        <v>53</v>
      </c>
      <c r="L16" s="436"/>
      <c r="M16" s="468" t="s">
        <v>49</v>
      </c>
      <c r="N16" s="454">
        <v>6</v>
      </c>
      <c r="O16" s="436"/>
      <c r="P16" s="436"/>
      <c r="Q16" s="436"/>
      <c r="R16" s="436"/>
      <c r="S16" s="436"/>
      <c r="T16" s="436"/>
      <c r="U16" s="436"/>
    </row>
    <row r="17" spans="1:22" ht="15" thickBot="1" x14ac:dyDescent="0.4">
      <c r="A17" s="457">
        <v>2</v>
      </c>
      <c r="B17" s="459">
        <v>0</v>
      </c>
      <c r="C17" s="467"/>
      <c r="E17" s="441" t="s">
        <v>2633</v>
      </c>
      <c r="F17" s="454">
        <v>93</v>
      </c>
      <c r="G17" s="454">
        <v>77</v>
      </c>
      <c r="H17" s="454">
        <v>95</v>
      </c>
      <c r="I17" s="454">
        <v>97</v>
      </c>
      <c r="J17" s="438">
        <v>90.5</v>
      </c>
      <c r="K17" s="440" t="s">
        <v>57</v>
      </c>
      <c r="L17" s="436"/>
      <c r="M17" s="469" t="s">
        <v>41</v>
      </c>
      <c r="N17" s="470">
        <v>6</v>
      </c>
      <c r="O17" s="436"/>
      <c r="P17" s="436"/>
      <c r="Q17" s="436"/>
      <c r="R17" s="436"/>
      <c r="S17" s="436"/>
      <c r="T17" s="436"/>
      <c r="U17" s="436"/>
    </row>
    <row r="18" spans="1:22" x14ac:dyDescent="0.35">
      <c r="A18" s="457">
        <v>2</v>
      </c>
      <c r="B18" s="459">
        <v>0</v>
      </c>
      <c r="C18" s="467"/>
      <c r="E18" s="441" t="s">
        <v>2634</v>
      </c>
      <c r="F18" s="454">
        <v>93</v>
      </c>
      <c r="G18" s="454">
        <v>100</v>
      </c>
      <c r="H18" s="454">
        <v>85</v>
      </c>
      <c r="I18" s="454">
        <v>88</v>
      </c>
      <c r="J18" s="438">
        <v>91.5</v>
      </c>
      <c r="K18" s="440" t="s">
        <v>57</v>
      </c>
      <c r="L18" s="436"/>
      <c r="M18" s="465" t="s">
        <v>2635</v>
      </c>
      <c r="N18" s="471">
        <v>95.5</v>
      </c>
      <c r="O18" s="436"/>
      <c r="P18" s="436"/>
      <c r="Q18" s="436"/>
      <c r="R18" s="436"/>
      <c r="S18" s="436"/>
      <c r="T18" s="436"/>
      <c r="U18" s="436"/>
    </row>
    <row r="19" spans="1:22" ht="15" thickBot="1" x14ac:dyDescent="0.4">
      <c r="A19" s="457">
        <v>2</v>
      </c>
      <c r="B19" s="459">
        <v>0</v>
      </c>
      <c r="C19" s="467"/>
      <c r="E19" s="441" t="s">
        <v>2636</v>
      </c>
      <c r="F19" s="454">
        <v>92</v>
      </c>
      <c r="G19" s="454">
        <v>86</v>
      </c>
      <c r="H19" s="454">
        <v>98</v>
      </c>
      <c r="I19" s="454">
        <v>88</v>
      </c>
      <c r="J19" s="438">
        <v>91</v>
      </c>
      <c r="K19" s="440" t="s">
        <v>57</v>
      </c>
      <c r="L19" s="436"/>
      <c r="M19" s="472" t="s">
        <v>2637</v>
      </c>
      <c r="N19" s="473">
        <v>62</v>
      </c>
      <c r="O19" s="436"/>
      <c r="P19" s="436"/>
      <c r="Q19" s="436"/>
      <c r="R19" s="436"/>
      <c r="S19" s="436"/>
      <c r="T19" s="436"/>
      <c r="U19" s="436"/>
      <c r="V19" s="436"/>
    </row>
    <row r="20" spans="1:22" x14ac:dyDescent="0.35">
      <c r="B20" s="462"/>
      <c r="E20" s="441" t="s">
        <v>2638</v>
      </c>
      <c r="F20" s="454">
        <v>86</v>
      </c>
      <c r="G20" s="454">
        <v>76</v>
      </c>
      <c r="H20" s="454">
        <v>86</v>
      </c>
      <c r="I20" s="454">
        <v>94</v>
      </c>
      <c r="J20" s="438">
        <v>85.5</v>
      </c>
      <c r="K20" s="441" t="s">
        <v>53</v>
      </c>
      <c r="L20" s="436"/>
      <c r="M20" s="456"/>
      <c r="N20" s="456"/>
      <c r="O20" s="456"/>
      <c r="P20" s="436"/>
      <c r="Q20" s="436"/>
      <c r="R20" s="436"/>
      <c r="S20" s="436"/>
      <c r="T20" s="436"/>
      <c r="U20" s="436"/>
      <c r="V20" s="436"/>
    </row>
    <row r="21" spans="1:22" x14ac:dyDescent="0.35">
      <c r="B21" s="462"/>
      <c r="E21" s="441" t="s">
        <v>2639</v>
      </c>
      <c r="F21" s="454">
        <v>99</v>
      </c>
      <c r="G21" s="454">
        <v>88</v>
      </c>
      <c r="H21" s="454">
        <v>99</v>
      </c>
      <c r="I21" s="454">
        <v>93</v>
      </c>
      <c r="J21" s="438">
        <v>94.75</v>
      </c>
      <c r="K21" s="440" t="s">
        <v>57</v>
      </c>
      <c r="L21" s="436"/>
      <c r="M21" s="456"/>
      <c r="N21" s="456"/>
      <c r="O21" s="456"/>
      <c r="P21" s="456"/>
      <c r="Q21" s="436"/>
      <c r="R21" s="436"/>
      <c r="S21" s="436"/>
      <c r="T21" s="436"/>
      <c r="U21" s="436"/>
      <c r="V21" s="436"/>
    </row>
    <row r="22" spans="1:22" x14ac:dyDescent="0.35">
      <c r="A22" s="457">
        <v>14</v>
      </c>
      <c r="B22" s="459">
        <v>0</v>
      </c>
      <c r="C22" s="467"/>
      <c r="E22" s="441" t="s">
        <v>2640</v>
      </c>
      <c r="F22" s="454">
        <v>95</v>
      </c>
      <c r="G22" s="454">
        <v>99</v>
      </c>
      <c r="H22" s="454">
        <v>87</v>
      </c>
      <c r="I22" s="454">
        <v>97</v>
      </c>
      <c r="J22" s="438">
        <v>94.5</v>
      </c>
      <c r="K22" s="440" t="s">
        <v>57</v>
      </c>
      <c r="L22" s="436"/>
      <c r="M22" s="474" t="s">
        <v>2583</v>
      </c>
      <c r="N22" s="456"/>
      <c r="O22" s="456"/>
      <c r="P22" s="436"/>
      <c r="Q22" s="436"/>
      <c r="R22" s="436"/>
      <c r="S22" s="436"/>
      <c r="T22" s="436"/>
      <c r="U22" s="436"/>
      <c r="V22" s="436"/>
    </row>
    <row r="23" spans="1:22" x14ac:dyDescent="0.35">
      <c r="B23" s="462"/>
      <c r="E23" s="441" t="s">
        <v>2641</v>
      </c>
      <c r="F23" s="454">
        <v>89</v>
      </c>
      <c r="G23" s="454">
        <v>81</v>
      </c>
      <c r="H23" s="454">
        <v>86</v>
      </c>
      <c r="I23" s="454">
        <v>82</v>
      </c>
      <c r="J23" s="438">
        <v>84.5</v>
      </c>
      <c r="K23" s="441" t="s">
        <v>53</v>
      </c>
      <c r="L23" s="436"/>
      <c r="M23" s="475"/>
      <c r="N23" s="476"/>
      <c r="O23" s="477"/>
      <c r="P23" s="436"/>
      <c r="Q23" s="436"/>
      <c r="R23" s="436"/>
      <c r="S23" s="436"/>
      <c r="T23" s="436"/>
      <c r="U23" s="436"/>
      <c r="V23" s="436"/>
    </row>
    <row r="24" spans="1:22" ht="14.25" customHeight="1" x14ac:dyDescent="0.35">
      <c r="E24" s="441" t="s">
        <v>2642</v>
      </c>
      <c r="F24" s="454">
        <v>97</v>
      </c>
      <c r="G24" s="454">
        <v>90</v>
      </c>
      <c r="H24" s="454">
        <v>87</v>
      </c>
      <c r="I24" s="454">
        <v>92</v>
      </c>
      <c r="J24" s="438">
        <v>91.5</v>
      </c>
      <c r="K24" s="440" t="s">
        <v>57</v>
      </c>
      <c r="L24" s="436"/>
      <c r="M24" s="479"/>
      <c r="N24" s="480"/>
      <c r="O24" s="481"/>
      <c r="P24" s="436"/>
      <c r="Q24" s="436"/>
      <c r="R24" s="436"/>
      <c r="S24" s="436"/>
      <c r="T24" s="436"/>
      <c r="U24" s="436"/>
      <c r="V24" s="436"/>
    </row>
    <row r="25" spans="1:22" x14ac:dyDescent="0.35">
      <c r="E25" s="441" t="s">
        <v>2643</v>
      </c>
      <c r="F25" s="454">
        <v>80</v>
      </c>
      <c r="G25" s="454">
        <v>95</v>
      </c>
      <c r="H25" s="454">
        <v>80</v>
      </c>
      <c r="I25" s="454">
        <v>90</v>
      </c>
      <c r="J25" s="438">
        <v>86.25</v>
      </c>
      <c r="K25" s="441" t="s">
        <v>53</v>
      </c>
      <c r="L25" s="436"/>
      <c r="M25" s="482"/>
      <c r="N25" s="483"/>
      <c r="O25" s="484"/>
      <c r="P25" s="436"/>
      <c r="Q25" s="436"/>
      <c r="R25" s="436"/>
      <c r="S25" s="436"/>
      <c r="T25" s="436"/>
      <c r="U25" s="436"/>
      <c r="V25" s="436"/>
    </row>
    <row r="26" spans="1:22" x14ac:dyDescent="0.35">
      <c r="E26" s="441" t="s">
        <v>2644</v>
      </c>
      <c r="F26" s="454">
        <v>99</v>
      </c>
      <c r="G26" s="454">
        <v>76</v>
      </c>
      <c r="H26" s="454">
        <v>78</v>
      </c>
      <c r="I26" s="454">
        <v>80</v>
      </c>
      <c r="J26" s="438">
        <v>83.25</v>
      </c>
      <c r="K26" s="441" t="s">
        <v>53</v>
      </c>
      <c r="L26" s="436"/>
      <c r="M26" s="456"/>
      <c r="N26" s="456"/>
      <c r="O26" s="456"/>
      <c r="P26" s="456"/>
      <c r="Q26" s="436"/>
      <c r="R26" s="456"/>
      <c r="S26" s="456"/>
      <c r="U26" s="436"/>
    </row>
    <row r="27" spans="1:22" x14ac:dyDescent="0.35">
      <c r="E27" s="441" t="s">
        <v>2645</v>
      </c>
      <c r="F27" s="454">
        <v>99</v>
      </c>
      <c r="G27" s="454">
        <v>83</v>
      </c>
      <c r="H27" s="454">
        <v>98</v>
      </c>
      <c r="I27" s="454">
        <v>93</v>
      </c>
      <c r="J27" s="438">
        <v>93.25</v>
      </c>
      <c r="K27" s="440" t="s">
        <v>57</v>
      </c>
      <c r="L27" s="436"/>
      <c r="M27" s="456"/>
      <c r="N27" s="456"/>
      <c r="O27" s="456"/>
      <c r="P27" s="456"/>
      <c r="Q27" s="456"/>
      <c r="R27" s="456"/>
      <c r="S27" s="456"/>
      <c r="U27" s="436"/>
    </row>
    <row r="28" spans="1:22" x14ac:dyDescent="0.35">
      <c r="E28" s="441" t="s">
        <v>2646</v>
      </c>
      <c r="F28" s="454">
        <v>97</v>
      </c>
      <c r="G28" s="454">
        <v>94</v>
      </c>
      <c r="H28" s="454">
        <v>95</v>
      </c>
      <c r="I28" s="454">
        <v>87</v>
      </c>
      <c r="J28" s="438">
        <v>93.25</v>
      </c>
      <c r="K28" s="440" t="s">
        <v>57</v>
      </c>
      <c r="L28" s="436"/>
      <c r="M28" s="456"/>
      <c r="N28" s="456"/>
      <c r="O28" s="456"/>
      <c r="P28" s="456"/>
      <c r="Q28" s="456"/>
      <c r="R28" s="456"/>
      <c r="S28" s="456"/>
      <c r="U28" s="436"/>
    </row>
    <row r="29" spans="1:22" x14ac:dyDescent="0.35">
      <c r="E29" s="441" t="s">
        <v>2647</v>
      </c>
      <c r="F29" s="454">
        <v>100</v>
      </c>
      <c r="G29" s="454">
        <v>79</v>
      </c>
      <c r="H29" s="454">
        <v>84</v>
      </c>
      <c r="I29" s="454">
        <v>87</v>
      </c>
      <c r="J29" s="438">
        <v>87.5</v>
      </c>
      <c r="K29" s="441" t="s">
        <v>53</v>
      </c>
      <c r="L29" s="436"/>
      <c r="M29" s="456"/>
      <c r="N29" s="456"/>
      <c r="O29" s="456"/>
      <c r="P29" s="456"/>
      <c r="Q29" s="456"/>
      <c r="R29" s="456"/>
      <c r="S29" s="456"/>
      <c r="U29" s="436"/>
    </row>
    <row r="30" spans="1:22" x14ac:dyDescent="0.35">
      <c r="E30" s="441" t="s">
        <v>2648</v>
      </c>
      <c r="F30" s="454">
        <v>90</v>
      </c>
      <c r="G30" s="454">
        <v>93</v>
      </c>
      <c r="H30" s="454">
        <v>62</v>
      </c>
      <c r="I30" s="454">
        <v>97</v>
      </c>
      <c r="J30" s="438">
        <v>85.5</v>
      </c>
      <c r="K30" s="441" t="s">
        <v>53</v>
      </c>
      <c r="L30" s="436"/>
      <c r="M30" s="456"/>
      <c r="N30" s="456"/>
      <c r="O30" s="456"/>
      <c r="P30" s="456"/>
      <c r="Q30" s="456"/>
      <c r="R30" s="456"/>
      <c r="S30" s="456"/>
      <c r="U30" s="436"/>
    </row>
    <row r="31" spans="1:22" ht="14.25" customHeight="1" x14ac:dyDescent="0.35">
      <c r="E31" s="441" t="s">
        <v>2649</v>
      </c>
      <c r="F31" s="454">
        <v>82</v>
      </c>
      <c r="G31" s="454">
        <v>93</v>
      </c>
      <c r="H31" s="454">
        <v>98</v>
      </c>
      <c r="I31" s="454">
        <v>84</v>
      </c>
      <c r="J31" s="438">
        <v>89.25</v>
      </c>
      <c r="K31" s="440" t="s">
        <v>57</v>
      </c>
      <c r="L31" s="436"/>
      <c r="M31" s="456"/>
      <c r="N31" s="456"/>
      <c r="O31" s="456"/>
      <c r="P31" s="456"/>
      <c r="Q31" s="456"/>
      <c r="R31" s="456"/>
      <c r="S31" s="456"/>
      <c r="U31" s="436"/>
    </row>
    <row r="32" spans="1:22" x14ac:dyDescent="0.35">
      <c r="E32" s="441" t="s">
        <v>2650</v>
      </c>
      <c r="F32" s="454">
        <v>84</v>
      </c>
      <c r="G32" s="454">
        <v>91</v>
      </c>
      <c r="H32" s="454">
        <v>81</v>
      </c>
      <c r="I32" s="454">
        <v>94</v>
      </c>
      <c r="J32" s="438">
        <v>87.5</v>
      </c>
      <c r="K32" s="441" t="s">
        <v>53</v>
      </c>
      <c r="L32" s="436"/>
      <c r="M32" s="436"/>
      <c r="N32" s="436"/>
      <c r="O32" s="436"/>
      <c r="P32" s="436"/>
      <c r="Q32" s="436"/>
      <c r="R32" s="436"/>
      <c r="S32" s="436"/>
      <c r="T32" s="436"/>
      <c r="U32" s="436"/>
    </row>
    <row r="33" spans="5:21" x14ac:dyDescent="0.35">
      <c r="E33" s="441" t="s">
        <v>2651</v>
      </c>
      <c r="F33" s="454">
        <v>96</v>
      </c>
      <c r="G33" s="454">
        <v>91</v>
      </c>
      <c r="H33" s="454">
        <v>80</v>
      </c>
      <c r="I33" s="454">
        <v>92</v>
      </c>
      <c r="J33" s="438">
        <v>89.75</v>
      </c>
      <c r="K33" s="440" t="s">
        <v>57</v>
      </c>
      <c r="L33" s="436"/>
      <c r="M33" s="436"/>
      <c r="N33" s="436"/>
      <c r="O33" s="436"/>
      <c r="P33" s="436"/>
      <c r="Q33" s="436"/>
      <c r="R33" s="436"/>
      <c r="S33" s="436"/>
      <c r="T33" s="436"/>
      <c r="U33" s="436"/>
    </row>
    <row r="34" spans="5:21" x14ac:dyDescent="0.35">
      <c r="E34" s="441" t="s">
        <v>2652</v>
      </c>
      <c r="F34" s="454">
        <v>90</v>
      </c>
      <c r="G34" s="454">
        <v>76</v>
      </c>
      <c r="H34" s="454">
        <v>94</v>
      </c>
      <c r="I34" s="454">
        <v>93</v>
      </c>
      <c r="J34" s="438">
        <v>88.25</v>
      </c>
      <c r="K34" s="440" t="s">
        <v>57</v>
      </c>
      <c r="L34" s="436"/>
      <c r="M34" s="436"/>
      <c r="N34" s="436"/>
      <c r="O34" s="436"/>
      <c r="P34" s="436"/>
      <c r="Q34" s="436"/>
      <c r="R34" s="436"/>
      <c r="S34" s="436"/>
      <c r="T34" s="436"/>
      <c r="U34" s="436"/>
    </row>
    <row r="35" spans="5:21" x14ac:dyDescent="0.35">
      <c r="E35" s="441" t="s">
        <v>2653</v>
      </c>
      <c r="F35" s="454">
        <v>94</v>
      </c>
      <c r="G35" s="454">
        <v>99</v>
      </c>
      <c r="H35" s="454">
        <v>84</v>
      </c>
      <c r="I35" s="454">
        <v>89</v>
      </c>
      <c r="J35" s="438">
        <v>91.5</v>
      </c>
      <c r="K35" s="440" t="s">
        <v>57</v>
      </c>
      <c r="L35" s="436"/>
      <c r="M35" s="436"/>
      <c r="N35" s="436"/>
      <c r="O35" s="436"/>
      <c r="P35" s="436"/>
      <c r="Q35" s="436"/>
      <c r="R35" s="436"/>
      <c r="S35" s="436"/>
      <c r="T35" s="436"/>
      <c r="U35" s="436"/>
    </row>
    <row r="36" spans="5:21" x14ac:dyDescent="0.35">
      <c r="E36" s="441" t="s">
        <v>2654</v>
      </c>
      <c r="F36" s="454">
        <v>97</v>
      </c>
      <c r="G36" s="454">
        <v>75</v>
      </c>
      <c r="H36" s="454">
        <v>48</v>
      </c>
      <c r="I36" s="454">
        <v>85</v>
      </c>
      <c r="J36" s="438">
        <v>76.25</v>
      </c>
      <c r="K36" s="441" t="s">
        <v>49</v>
      </c>
      <c r="L36" s="436"/>
      <c r="M36" s="436"/>
      <c r="N36" s="436"/>
      <c r="O36" s="436"/>
      <c r="P36" s="436"/>
      <c r="Q36" s="436"/>
      <c r="R36" s="436"/>
      <c r="S36" s="436"/>
      <c r="T36" s="436"/>
      <c r="U36" s="436"/>
    </row>
    <row r="37" spans="5:21" x14ac:dyDescent="0.35">
      <c r="E37" s="441" t="s">
        <v>1853</v>
      </c>
      <c r="F37" s="454">
        <v>86</v>
      </c>
      <c r="G37" s="454">
        <v>100</v>
      </c>
      <c r="H37" s="454">
        <v>92</v>
      </c>
      <c r="I37" s="454">
        <v>91</v>
      </c>
      <c r="J37" s="438">
        <v>92.25</v>
      </c>
      <c r="K37" s="440" t="s">
        <v>57</v>
      </c>
      <c r="L37" s="436"/>
      <c r="M37" s="436"/>
      <c r="N37" s="436"/>
      <c r="O37" s="436"/>
      <c r="P37" s="436"/>
      <c r="Q37" s="436"/>
      <c r="R37" s="436"/>
      <c r="S37" s="436"/>
      <c r="T37" s="436"/>
      <c r="U37" s="436"/>
    </row>
    <row r="38" spans="5:21" x14ac:dyDescent="0.35">
      <c r="E38" s="441" t="s">
        <v>2655</v>
      </c>
      <c r="F38" s="454">
        <v>88</v>
      </c>
      <c r="G38" s="454">
        <v>92</v>
      </c>
      <c r="H38" s="454">
        <v>82</v>
      </c>
      <c r="I38" s="454">
        <v>90</v>
      </c>
      <c r="J38" s="438">
        <v>88</v>
      </c>
      <c r="K38" s="440" t="s">
        <v>57</v>
      </c>
      <c r="L38" s="436"/>
      <c r="M38" s="436"/>
      <c r="N38" s="436"/>
      <c r="O38" s="436"/>
      <c r="P38" s="436"/>
      <c r="Q38" s="436"/>
      <c r="R38" s="436"/>
      <c r="S38" s="436"/>
      <c r="T38" s="436"/>
      <c r="U38" s="436"/>
    </row>
    <row r="39" spans="5:21" x14ac:dyDescent="0.35">
      <c r="E39" s="441" t="s">
        <v>2377</v>
      </c>
      <c r="F39" s="454">
        <v>98</v>
      </c>
      <c r="G39" s="454">
        <v>73</v>
      </c>
      <c r="H39" s="454">
        <v>72</v>
      </c>
      <c r="I39" s="454">
        <v>91</v>
      </c>
      <c r="J39" s="438">
        <v>83.5</v>
      </c>
      <c r="K39" s="441" t="s">
        <v>53</v>
      </c>
      <c r="L39" s="436"/>
      <c r="M39" s="436"/>
      <c r="N39" s="436"/>
      <c r="O39" s="436"/>
      <c r="P39" s="436"/>
      <c r="Q39" s="436"/>
      <c r="R39" s="436"/>
      <c r="S39" s="436"/>
      <c r="T39" s="436"/>
      <c r="U39" s="436"/>
    </row>
    <row r="40" spans="5:21" x14ac:dyDescent="0.35">
      <c r="E40" s="441" t="s">
        <v>2402</v>
      </c>
      <c r="F40" s="454">
        <v>82</v>
      </c>
      <c r="G40" s="454">
        <v>92</v>
      </c>
      <c r="H40" s="454">
        <v>91</v>
      </c>
      <c r="I40" s="454">
        <v>100</v>
      </c>
      <c r="J40" s="438">
        <v>91.25</v>
      </c>
      <c r="K40" s="440" t="s">
        <v>57</v>
      </c>
      <c r="L40" s="436"/>
      <c r="M40" s="436"/>
      <c r="N40" s="436"/>
      <c r="O40" s="436"/>
      <c r="P40" s="436"/>
      <c r="Q40" s="436"/>
      <c r="R40" s="436"/>
      <c r="S40" s="436"/>
      <c r="T40" s="436"/>
      <c r="U40" s="436"/>
    </row>
    <row r="41" spans="5:21" x14ac:dyDescent="0.35">
      <c r="E41" s="441" t="s">
        <v>2656</v>
      </c>
      <c r="F41" s="454">
        <v>92</v>
      </c>
      <c r="G41" s="454">
        <v>95</v>
      </c>
      <c r="H41" s="454">
        <v>84</v>
      </c>
      <c r="I41" s="454">
        <v>98</v>
      </c>
      <c r="J41" s="438">
        <v>92.25</v>
      </c>
      <c r="K41" s="440" t="s">
        <v>57</v>
      </c>
      <c r="L41" s="436"/>
      <c r="M41" s="436"/>
      <c r="N41" s="436"/>
      <c r="O41" s="436"/>
      <c r="P41" s="436"/>
      <c r="Q41" s="436"/>
      <c r="R41" s="436"/>
      <c r="S41" s="436"/>
      <c r="T41" s="436"/>
      <c r="U41" s="436"/>
    </row>
    <row r="42" spans="5:21" x14ac:dyDescent="0.35">
      <c r="E42" s="441" t="s">
        <v>2657</v>
      </c>
      <c r="F42" s="454">
        <v>84</v>
      </c>
      <c r="G42" s="454">
        <v>88</v>
      </c>
      <c r="H42" s="454">
        <v>90</v>
      </c>
      <c r="I42" s="454">
        <v>91</v>
      </c>
      <c r="J42" s="438">
        <v>88.25</v>
      </c>
      <c r="K42" s="440" t="s">
        <v>57</v>
      </c>
      <c r="L42" s="436"/>
      <c r="M42" s="436"/>
      <c r="N42" s="436"/>
      <c r="O42" s="436"/>
      <c r="P42" s="436"/>
      <c r="Q42" s="436"/>
      <c r="R42" s="436"/>
      <c r="S42" s="436"/>
      <c r="T42" s="436"/>
      <c r="U42" s="436"/>
    </row>
    <row r="43" spans="5:21" x14ac:dyDescent="0.35">
      <c r="E43" s="441" t="s">
        <v>2658</v>
      </c>
      <c r="F43" s="454">
        <v>100</v>
      </c>
      <c r="G43" s="454">
        <v>64</v>
      </c>
      <c r="H43" s="454">
        <v>58</v>
      </c>
      <c r="I43" s="454">
        <v>93</v>
      </c>
      <c r="J43" s="438">
        <v>78.75</v>
      </c>
      <c r="K43" s="441" t="s">
        <v>53</v>
      </c>
      <c r="L43" s="436"/>
      <c r="M43" s="436"/>
      <c r="N43" s="436"/>
      <c r="O43" s="436"/>
      <c r="P43" s="436"/>
      <c r="Q43" s="436"/>
      <c r="R43" s="436"/>
      <c r="S43" s="436"/>
      <c r="T43" s="436"/>
      <c r="U43" s="436"/>
    </row>
    <row r="44" spans="5:21" x14ac:dyDescent="0.35">
      <c r="E44" s="441" t="s">
        <v>2659</v>
      </c>
      <c r="F44" s="454">
        <v>82</v>
      </c>
      <c r="G44" s="454">
        <v>93</v>
      </c>
      <c r="H44" s="454">
        <v>97</v>
      </c>
      <c r="I44" s="454">
        <v>90</v>
      </c>
      <c r="J44" s="438">
        <v>90.5</v>
      </c>
      <c r="K44" s="440" t="s">
        <v>57</v>
      </c>
      <c r="L44" s="436"/>
      <c r="M44" s="436"/>
      <c r="N44" s="436"/>
      <c r="O44" s="436"/>
      <c r="P44" s="436"/>
      <c r="Q44" s="436"/>
      <c r="R44" s="436"/>
      <c r="S44" s="436"/>
      <c r="T44" s="436"/>
      <c r="U44" s="436"/>
    </row>
    <row r="45" spans="5:21" x14ac:dyDescent="0.35">
      <c r="E45" s="441" t="s">
        <v>107</v>
      </c>
      <c r="F45" s="454">
        <v>86</v>
      </c>
      <c r="G45" s="454">
        <v>96</v>
      </c>
      <c r="H45" s="454">
        <v>96</v>
      </c>
      <c r="I45" s="454">
        <v>89</v>
      </c>
      <c r="J45" s="438">
        <v>91.75</v>
      </c>
      <c r="K45" s="440" t="s">
        <v>57</v>
      </c>
      <c r="L45" s="436"/>
      <c r="M45" s="436"/>
      <c r="N45" s="436"/>
      <c r="O45" s="436"/>
      <c r="P45" s="436"/>
      <c r="Q45" s="436"/>
      <c r="R45" s="436"/>
      <c r="S45" s="436"/>
      <c r="T45" s="436"/>
      <c r="U45" s="436"/>
    </row>
    <row r="46" spans="5:21" x14ac:dyDescent="0.35">
      <c r="E46" s="441" t="s">
        <v>2660</v>
      </c>
      <c r="F46" s="454">
        <v>94</v>
      </c>
      <c r="G46" s="454">
        <v>94</v>
      </c>
      <c r="H46" s="454">
        <v>97</v>
      </c>
      <c r="I46" s="454">
        <v>88</v>
      </c>
      <c r="J46" s="438">
        <v>93.25</v>
      </c>
      <c r="K46" s="440" t="s">
        <v>57</v>
      </c>
      <c r="L46" s="436"/>
      <c r="M46" s="436"/>
      <c r="N46" s="436"/>
      <c r="O46" s="436"/>
      <c r="P46" s="436"/>
      <c r="Q46" s="436"/>
      <c r="R46" s="436"/>
      <c r="S46" s="436"/>
      <c r="T46" s="436"/>
      <c r="U46" s="436"/>
    </row>
    <row r="47" spans="5:21" x14ac:dyDescent="0.35">
      <c r="E47" s="441" t="s">
        <v>2661</v>
      </c>
      <c r="F47" s="454">
        <v>48</v>
      </c>
      <c r="G47" s="454">
        <v>70</v>
      </c>
      <c r="H47" s="454">
        <v>83</v>
      </c>
      <c r="I47" s="454">
        <v>60</v>
      </c>
      <c r="J47" s="438">
        <v>65.25</v>
      </c>
      <c r="K47" s="442" t="s">
        <v>41</v>
      </c>
      <c r="L47" s="436"/>
      <c r="M47" s="436"/>
      <c r="N47" s="436"/>
      <c r="O47" s="436"/>
      <c r="P47" s="436"/>
      <c r="Q47" s="436"/>
      <c r="R47" s="436"/>
      <c r="S47" s="436"/>
      <c r="T47" s="436"/>
      <c r="U47" s="436"/>
    </row>
    <row r="48" spans="5:21" x14ac:dyDescent="0.35">
      <c r="E48" s="441" t="s">
        <v>2662</v>
      </c>
      <c r="F48" s="454">
        <v>76</v>
      </c>
      <c r="G48" s="454">
        <v>92</v>
      </c>
      <c r="H48" s="454">
        <v>87</v>
      </c>
      <c r="I48" s="454">
        <v>88</v>
      </c>
      <c r="J48" s="438">
        <v>85.75</v>
      </c>
      <c r="K48" s="441" t="s">
        <v>53</v>
      </c>
      <c r="L48" s="436"/>
      <c r="M48" s="436"/>
      <c r="N48" s="436"/>
      <c r="O48" s="436"/>
      <c r="P48" s="436"/>
      <c r="Q48" s="436"/>
      <c r="R48" s="436"/>
      <c r="S48" s="436"/>
      <c r="T48" s="436"/>
      <c r="U48" s="436"/>
    </row>
    <row r="49" spans="5:21" x14ac:dyDescent="0.35">
      <c r="E49" s="441" t="s">
        <v>2663</v>
      </c>
      <c r="F49" s="454">
        <v>76</v>
      </c>
      <c r="G49" s="454">
        <v>91</v>
      </c>
      <c r="H49" s="454">
        <v>95</v>
      </c>
      <c r="I49" s="454">
        <v>93</v>
      </c>
      <c r="J49" s="438">
        <v>88.75</v>
      </c>
      <c r="K49" s="440" t="s">
        <v>57</v>
      </c>
      <c r="L49" s="436"/>
      <c r="M49" s="436"/>
      <c r="N49" s="436"/>
      <c r="O49" s="436"/>
      <c r="P49" s="436"/>
      <c r="Q49" s="436"/>
      <c r="R49" s="436"/>
      <c r="S49" s="436"/>
      <c r="T49" s="436"/>
      <c r="U49" s="436"/>
    </row>
    <row r="50" spans="5:21" x14ac:dyDescent="0.35">
      <c r="E50" s="441" t="s">
        <v>2664</v>
      </c>
      <c r="F50" s="454">
        <v>55</v>
      </c>
      <c r="G50" s="454">
        <v>94</v>
      </c>
      <c r="H50" s="454">
        <v>95</v>
      </c>
      <c r="I50" s="454">
        <v>82</v>
      </c>
      <c r="J50" s="438">
        <v>81.5</v>
      </c>
      <c r="K50" s="441" t="s">
        <v>53</v>
      </c>
      <c r="L50" s="436"/>
      <c r="M50" s="436"/>
      <c r="N50" s="436"/>
      <c r="O50" s="436"/>
      <c r="P50" s="436"/>
      <c r="Q50" s="436"/>
      <c r="R50" s="436"/>
      <c r="S50" s="436"/>
      <c r="T50" s="436"/>
      <c r="U50" s="436"/>
    </row>
    <row r="51" spans="5:21" x14ac:dyDescent="0.35">
      <c r="E51" s="441" t="s">
        <v>2665</v>
      </c>
      <c r="F51" s="454">
        <v>79</v>
      </c>
      <c r="G51" s="454">
        <v>94</v>
      </c>
      <c r="H51" s="454">
        <v>92</v>
      </c>
      <c r="I51" s="454">
        <v>93</v>
      </c>
      <c r="J51" s="438">
        <v>89.5</v>
      </c>
      <c r="K51" s="440" t="s">
        <v>57</v>
      </c>
      <c r="L51" s="436"/>
      <c r="M51" s="436"/>
      <c r="N51" s="436"/>
      <c r="O51" s="436"/>
      <c r="P51" s="436"/>
      <c r="Q51" s="436"/>
      <c r="R51" s="436"/>
      <c r="S51" s="436"/>
      <c r="T51" s="436"/>
      <c r="U51" s="436"/>
    </row>
    <row r="52" spans="5:21" x14ac:dyDescent="0.35">
      <c r="E52" s="441" t="s">
        <v>2666</v>
      </c>
      <c r="F52" s="454">
        <v>60</v>
      </c>
      <c r="G52" s="454">
        <v>98</v>
      </c>
      <c r="H52" s="454">
        <v>84</v>
      </c>
      <c r="I52" s="454">
        <v>94</v>
      </c>
      <c r="J52" s="438">
        <v>84</v>
      </c>
      <c r="K52" s="441" t="s">
        <v>53</v>
      </c>
      <c r="L52" s="436"/>
      <c r="M52" s="436"/>
      <c r="N52" s="436"/>
      <c r="O52" s="436"/>
      <c r="P52" s="436"/>
      <c r="Q52" s="436"/>
      <c r="R52" s="436"/>
      <c r="S52" s="436"/>
      <c r="T52" s="436"/>
      <c r="U52" s="436"/>
    </row>
    <row r="53" spans="5:21" x14ac:dyDescent="0.35">
      <c r="E53" s="441" t="s">
        <v>2667</v>
      </c>
      <c r="F53" s="454">
        <v>71</v>
      </c>
      <c r="G53" s="454">
        <v>93</v>
      </c>
      <c r="H53" s="454">
        <v>85</v>
      </c>
      <c r="I53" s="454">
        <v>87</v>
      </c>
      <c r="J53" s="438">
        <v>84</v>
      </c>
      <c r="K53" s="441" t="s">
        <v>53</v>
      </c>
      <c r="L53" s="436"/>
      <c r="M53" s="436"/>
      <c r="N53" s="436"/>
      <c r="O53" s="436"/>
      <c r="P53" s="436"/>
      <c r="Q53" s="436"/>
      <c r="R53" s="436"/>
      <c r="S53" s="436"/>
      <c r="T53" s="436"/>
      <c r="U53" s="436"/>
    </row>
    <row r="54" spans="5:21" x14ac:dyDescent="0.35">
      <c r="E54" s="441" t="s">
        <v>2668</v>
      </c>
      <c r="F54" s="454">
        <v>74</v>
      </c>
      <c r="G54" s="454">
        <v>95</v>
      </c>
      <c r="H54" s="454">
        <v>100</v>
      </c>
      <c r="I54" s="454">
        <v>92</v>
      </c>
      <c r="J54" s="438">
        <v>90.25</v>
      </c>
      <c r="K54" s="440" t="s">
        <v>57</v>
      </c>
      <c r="L54" s="436"/>
      <c r="M54" s="436"/>
      <c r="N54" s="436"/>
      <c r="O54" s="436"/>
      <c r="P54" s="436"/>
      <c r="Q54" s="436"/>
      <c r="R54" s="436"/>
      <c r="S54" s="436"/>
      <c r="T54" s="436"/>
      <c r="U54" s="436"/>
    </row>
    <row r="55" spans="5:21" x14ac:dyDescent="0.35">
      <c r="E55" s="441" t="s">
        <v>2669</v>
      </c>
      <c r="F55" s="454">
        <v>69</v>
      </c>
      <c r="G55" s="454">
        <v>91</v>
      </c>
      <c r="H55" s="454">
        <v>80</v>
      </c>
      <c r="I55" s="454">
        <v>89</v>
      </c>
      <c r="J55" s="438">
        <v>82.25</v>
      </c>
      <c r="K55" s="441" t="s">
        <v>53</v>
      </c>
      <c r="L55" s="436"/>
      <c r="M55" s="436"/>
      <c r="N55" s="436"/>
      <c r="O55" s="436"/>
      <c r="P55" s="436"/>
      <c r="Q55" s="436"/>
      <c r="R55" s="436"/>
      <c r="S55" s="436"/>
      <c r="T55" s="436"/>
      <c r="U55" s="436"/>
    </row>
    <row r="56" spans="5:21" x14ac:dyDescent="0.35">
      <c r="E56" s="441" t="s">
        <v>2670</v>
      </c>
      <c r="F56" s="454">
        <v>45</v>
      </c>
      <c r="G56" s="454">
        <v>78</v>
      </c>
      <c r="H56" s="454">
        <v>90</v>
      </c>
      <c r="I56" s="454">
        <v>80</v>
      </c>
      <c r="J56" s="438">
        <v>73.25</v>
      </c>
      <c r="K56" s="441" t="s">
        <v>49</v>
      </c>
      <c r="L56" s="436"/>
      <c r="M56" s="436"/>
      <c r="N56" s="436"/>
      <c r="O56" s="436"/>
      <c r="P56" s="436"/>
      <c r="Q56" s="436"/>
      <c r="R56" s="436"/>
      <c r="S56" s="436"/>
      <c r="T56" s="436"/>
      <c r="U56" s="436"/>
    </row>
    <row r="57" spans="5:21" x14ac:dyDescent="0.35">
      <c r="E57" s="441" t="s">
        <v>2671</v>
      </c>
      <c r="F57" s="454">
        <v>64</v>
      </c>
      <c r="G57" s="454">
        <v>96</v>
      </c>
      <c r="H57" s="454">
        <v>81</v>
      </c>
      <c r="I57" s="454">
        <v>88</v>
      </c>
      <c r="J57" s="438">
        <v>82.25</v>
      </c>
      <c r="K57" s="441" t="s">
        <v>53</v>
      </c>
      <c r="L57" s="436"/>
      <c r="M57" s="436"/>
      <c r="N57" s="436"/>
      <c r="O57" s="436"/>
      <c r="P57" s="436"/>
      <c r="Q57" s="436"/>
      <c r="R57" s="436"/>
      <c r="S57" s="436"/>
      <c r="T57" s="436"/>
      <c r="U57" s="436"/>
    </row>
    <row r="58" spans="5:21" x14ac:dyDescent="0.35">
      <c r="E58" s="441" t="s">
        <v>2672</v>
      </c>
      <c r="F58" s="454">
        <v>54</v>
      </c>
      <c r="G58" s="454">
        <v>94</v>
      </c>
      <c r="H58" s="454">
        <v>94</v>
      </c>
      <c r="I58" s="454">
        <v>81</v>
      </c>
      <c r="J58" s="438">
        <v>80.75</v>
      </c>
      <c r="K58" s="441" t="s">
        <v>53</v>
      </c>
      <c r="L58" s="436"/>
      <c r="M58" s="436"/>
      <c r="N58" s="436"/>
      <c r="O58" s="436"/>
      <c r="P58" s="436"/>
      <c r="Q58" s="436"/>
      <c r="R58" s="436"/>
      <c r="S58" s="436"/>
      <c r="T58" s="436"/>
      <c r="U58" s="436"/>
    </row>
    <row r="59" spans="5:21" x14ac:dyDescent="0.35">
      <c r="E59" s="441" t="s">
        <v>2673</v>
      </c>
      <c r="F59" s="454">
        <v>78</v>
      </c>
      <c r="G59" s="454">
        <v>96</v>
      </c>
      <c r="H59" s="454">
        <v>89</v>
      </c>
      <c r="I59" s="454">
        <v>91</v>
      </c>
      <c r="J59" s="438">
        <v>88.5</v>
      </c>
      <c r="K59" s="440" t="s">
        <v>57</v>
      </c>
      <c r="L59" s="436"/>
      <c r="M59" s="436"/>
      <c r="N59" s="436"/>
      <c r="O59" s="436"/>
      <c r="P59" s="436"/>
      <c r="Q59" s="436"/>
      <c r="R59" s="436"/>
      <c r="S59" s="436"/>
      <c r="T59" s="436"/>
      <c r="U59" s="436"/>
    </row>
    <row r="60" spans="5:21" x14ac:dyDescent="0.35">
      <c r="E60" s="441" t="s">
        <v>2674</v>
      </c>
      <c r="F60" s="454">
        <v>46</v>
      </c>
      <c r="G60" s="454">
        <v>68</v>
      </c>
      <c r="H60" s="454">
        <v>100</v>
      </c>
      <c r="I60" s="454">
        <v>98</v>
      </c>
      <c r="J60" s="438">
        <v>78</v>
      </c>
      <c r="K60" s="441" t="s">
        <v>53</v>
      </c>
      <c r="L60" s="436"/>
      <c r="M60" s="436"/>
      <c r="N60" s="436"/>
      <c r="O60" s="436"/>
      <c r="P60" s="436"/>
      <c r="Q60" s="436"/>
      <c r="R60" s="436"/>
      <c r="S60" s="436"/>
      <c r="T60" s="436"/>
      <c r="U60" s="436"/>
    </row>
    <row r="61" spans="5:21" x14ac:dyDescent="0.35">
      <c r="E61" s="441" t="s">
        <v>412</v>
      </c>
      <c r="F61" s="454">
        <v>45</v>
      </c>
      <c r="G61" s="454">
        <v>40</v>
      </c>
      <c r="H61" s="454">
        <v>86</v>
      </c>
      <c r="I61" s="454">
        <v>81</v>
      </c>
      <c r="J61" s="438">
        <v>63</v>
      </c>
      <c r="K61" s="442" t="s">
        <v>41</v>
      </c>
      <c r="L61" s="436"/>
      <c r="M61" s="436"/>
      <c r="N61" s="436"/>
      <c r="O61" s="436"/>
      <c r="P61" s="436"/>
      <c r="Q61" s="436"/>
      <c r="R61" s="436"/>
      <c r="S61" s="436"/>
      <c r="T61" s="436"/>
      <c r="U61" s="436"/>
    </row>
    <row r="62" spans="5:21" x14ac:dyDescent="0.35">
      <c r="E62" s="441" t="s">
        <v>2675</v>
      </c>
      <c r="F62" s="454">
        <v>40</v>
      </c>
      <c r="G62" s="454">
        <v>71</v>
      </c>
      <c r="H62" s="454">
        <v>49</v>
      </c>
      <c r="I62" s="454">
        <v>88</v>
      </c>
      <c r="J62" s="438">
        <v>62</v>
      </c>
      <c r="K62" s="442" t="s">
        <v>41</v>
      </c>
      <c r="L62" s="436"/>
      <c r="M62" s="436"/>
      <c r="N62" s="436"/>
      <c r="O62" s="436"/>
      <c r="P62" s="436"/>
      <c r="Q62" s="436"/>
      <c r="R62" s="436"/>
      <c r="S62" s="436"/>
      <c r="T62" s="436"/>
      <c r="U62" s="436"/>
    </row>
    <row r="63" spans="5:21" x14ac:dyDescent="0.35">
      <c r="E63" s="441" t="s">
        <v>2676</v>
      </c>
      <c r="F63" s="454">
        <v>61</v>
      </c>
      <c r="G63" s="454">
        <v>49</v>
      </c>
      <c r="H63" s="454">
        <v>64</v>
      </c>
      <c r="I63" s="454">
        <v>97</v>
      </c>
      <c r="J63" s="438">
        <v>67.75</v>
      </c>
      <c r="K63" s="442" t="s">
        <v>41</v>
      </c>
      <c r="L63" s="436"/>
      <c r="M63" s="436"/>
      <c r="N63" s="436"/>
      <c r="O63" s="436"/>
      <c r="P63" s="436"/>
      <c r="Q63" s="436"/>
      <c r="R63" s="436"/>
      <c r="S63" s="436"/>
      <c r="T63" s="436"/>
      <c r="U63" s="436"/>
    </row>
    <row r="64" spans="5:21" x14ac:dyDescent="0.35">
      <c r="E64" s="441" t="s">
        <v>2677</v>
      </c>
      <c r="F64" s="454">
        <v>78</v>
      </c>
      <c r="G64" s="454">
        <v>62</v>
      </c>
      <c r="H64" s="454">
        <v>58</v>
      </c>
      <c r="I64" s="454">
        <v>86</v>
      </c>
      <c r="J64" s="438">
        <v>71</v>
      </c>
      <c r="K64" s="441" t="s">
        <v>49</v>
      </c>
      <c r="L64" s="436"/>
      <c r="M64" s="436"/>
      <c r="N64" s="436"/>
      <c r="O64" s="436"/>
      <c r="P64" s="436"/>
      <c r="Q64" s="436"/>
      <c r="R64" s="436"/>
      <c r="S64" s="436"/>
      <c r="T64" s="436"/>
      <c r="U64" s="436"/>
    </row>
    <row r="65" spans="5:21" x14ac:dyDescent="0.35">
      <c r="E65" s="441" t="s">
        <v>131</v>
      </c>
      <c r="F65" s="454">
        <v>63</v>
      </c>
      <c r="G65" s="454">
        <v>96</v>
      </c>
      <c r="H65" s="454">
        <v>96</v>
      </c>
      <c r="I65" s="454">
        <v>87</v>
      </c>
      <c r="J65" s="438">
        <v>85.5</v>
      </c>
      <c r="K65" s="441" t="s">
        <v>53</v>
      </c>
      <c r="L65" s="436"/>
      <c r="M65" s="436"/>
      <c r="N65" s="436"/>
      <c r="O65" s="436"/>
      <c r="P65" s="436"/>
      <c r="Q65" s="436"/>
      <c r="R65" s="436"/>
      <c r="S65" s="436"/>
      <c r="T65" s="436"/>
      <c r="U65" s="436"/>
    </row>
    <row r="66" spans="5:21" x14ac:dyDescent="0.35">
      <c r="E66" s="441" t="s">
        <v>2678</v>
      </c>
      <c r="F66" s="454">
        <v>72</v>
      </c>
      <c r="G66" s="454">
        <v>100</v>
      </c>
      <c r="H66" s="454">
        <v>100</v>
      </c>
      <c r="I66" s="454">
        <v>91</v>
      </c>
      <c r="J66" s="438">
        <v>90.75</v>
      </c>
      <c r="K66" s="440" t="s">
        <v>57</v>
      </c>
      <c r="L66" s="436"/>
      <c r="M66" s="436"/>
      <c r="N66" s="436"/>
      <c r="O66" s="436"/>
      <c r="P66" s="436"/>
      <c r="Q66" s="436"/>
      <c r="R66" s="436"/>
      <c r="S66" s="436"/>
      <c r="T66" s="436"/>
      <c r="U66" s="436"/>
    </row>
    <row r="67" spans="5:21" x14ac:dyDescent="0.35">
      <c r="E67" s="441" t="s">
        <v>2679</v>
      </c>
      <c r="F67" s="454">
        <v>53</v>
      </c>
      <c r="G67" s="454">
        <v>90</v>
      </c>
      <c r="H67" s="454">
        <v>86</v>
      </c>
      <c r="I67" s="454">
        <v>85</v>
      </c>
      <c r="J67" s="438">
        <v>78.5</v>
      </c>
      <c r="K67" s="441" t="s">
        <v>53</v>
      </c>
      <c r="L67" s="436"/>
      <c r="M67" s="436"/>
      <c r="N67" s="436"/>
      <c r="O67" s="436"/>
      <c r="P67" s="436"/>
      <c r="Q67" s="436"/>
      <c r="R67" s="436"/>
      <c r="S67" s="436"/>
      <c r="T67" s="436"/>
      <c r="U67" s="436"/>
    </row>
    <row r="68" spans="5:21" x14ac:dyDescent="0.35">
      <c r="E68" s="441" t="s">
        <v>2389</v>
      </c>
      <c r="F68" s="454">
        <v>54</v>
      </c>
      <c r="G68" s="454">
        <v>81</v>
      </c>
      <c r="H68" s="454">
        <v>80</v>
      </c>
      <c r="I68" s="454">
        <v>91</v>
      </c>
      <c r="J68" s="438">
        <v>76.5</v>
      </c>
      <c r="K68" s="441" t="s">
        <v>49</v>
      </c>
      <c r="L68" s="436"/>
      <c r="M68" s="436"/>
      <c r="N68" s="436"/>
      <c r="O68" s="436"/>
      <c r="P68" s="436"/>
      <c r="Q68" s="436"/>
      <c r="R68" s="436"/>
      <c r="S68" s="436"/>
      <c r="T68" s="436"/>
      <c r="U68" s="436"/>
    </row>
    <row r="69" spans="5:21" x14ac:dyDescent="0.35">
      <c r="E69" s="441" t="s">
        <v>2680</v>
      </c>
      <c r="F69" s="454">
        <v>43</v>
      </c>
      <c r="G69" s="454">
        <v>85</v>
      </c>
      <c r="H69" s="454">
        <v>93</v>
      </c>
      <c r="I69" s="454">
        <v>85</v>
      </c>
      <c r="J69" s="438">
        <v>76.5</v>
      </c>
      <c r="K69" s="441" t="s">
        <v>49</v>
      </c>
      <c r="L69" s="436"/>
      <c r="M69" s="436"/>
      <c r="N69" s="436"/>
      <c r="O69" s="436"/>
      <c r="P69" s="436"/>
      <c r="Q69" s="436"/>
      <c r="R69" s="436"/>
      <c r="S69" s="436"/>
      <c r="T69" s="436"/>
      <c r="U69" s="436"/>
    </row>
    <row r="70" spans="5:21" x14ac:dyDescent="0.35">
      <c r="E70" s="441" t="s">
        <v>2681</v>
      </c>
      <c r="F70" s="454">
        <v>76</v>
      </c>
      <c r="G70" s="454">
        <v>76</v>
      </c>
      <c r="H70" s="454">
        <v>100</v>
      </c>
      <c r="I70" s="454">
        <v>86</v>
      </c>
      <c r="J70" s="438">
        <v>84.5</v>
      </c>
      <c r="K70" s="441" t="s">
        <v>53</v>
      </c>
      <c r="L70" s="436"/>
      <c r="M70" s="436"/>
      <c r="N70" s="436"/>
      <c r="O70" s="436"/>
      <c r="P70" s="436"/>
      <c r="Q70" s="436"/>
      <c r="R70" s="436"/>
      <c r="S70" s="436"/>
      <c r="T70" s="436"/>
      <c r="U70" s="436"/>
    </row>
    <row r="71" spans="5:21" x14ac:dyDescent="0.35">
      <c r="E71" s="441" t="s">
        <v>2682</v>
      </c>
      <c r="F71" s="454">
        <v>99</v>
      </c>
      <c r="G71" s="454">
        <v>97</v>
      </c>
      <c r="H71" s="454">
        <v>84</v>
      </c>
      <c r="I71" s="454">
        <v>86</v>
      </c>
      <c r="J71" s="438">
        <v>91.5</v>
      </c>
      <c r="K71" s="440" t="s">
        <v>57</v>
      </c>
      <c r="L71" s="436"/>
      <c r="M71" s="436"/>
      <c r="N71" s="436"/>
      <c r="O71" s="436"/>
      <c r="P71" s="436"/>
      <c r="Q71" s="436"/>
      <c r="R71" s="436"/>
      <c r="S71" s="436"/>
      <c r="T71" s="436"/>
      <c r="U71" s="436"/>
    </row>
    <row r="72" spans="5:21" x14ac:dyDescent="0.35">
      <c r="E72" s="441" t="s">
        <v>2683</v>
      </c>
      <c r="F72" s="454">
        <v>81</v>
      </c>
      <c r="G72" s="454">
        <v>46</v>
      </c>
      <c r="H72" s="454">
        <v>57</v>
      </c>
      <c r="I72" s="454">
        <v>91</v>
      </c>
      <c r="J72" s="438">
        <v>68.75</v>
      </c>
      <c r="K72" s="442" t="s">
        <v>41</v>
      </c>
      <c r="L72" s="436"/>
      <c r="M72" s="436"/>
      <c r="N72" s="436"/>
      <c r="O72" s="436"/>
      <c r="P72" s="436"/>
      <c r="Q72" s="436"/>
      <c r="R72" s="436"/>
      <c r="S72" s="436"/>
      <c r="T72" s="436"/>
      <c r="U72" s="436"/>
    </row>
    <row r="73" spans="5:21" x14ac:dyDescent="0.35">
      <c r="E73" s="441" t="s">
        <v>2684</v>
      </c>
      <c r="F73" s="454">
        <v>99</v>
      </c>
      <c r="G73" s="454">
        <v>95</v>
      </c>
      <c r="H73" s="454">
        <v>95</v>
      </c>
      <c r="I73" s="454">
        <v>91</v>
      </c>
      <c r="J73" s="438">
        <v>95</v>
      </c>
      <c r="K73" s="440" t="s">
        <v>57</v>
      </c>
      <c r="L73" s="436"/>
      <c r="M73" s="436"/>
      <c r="N73" s="436"/>
      <c r="O73" s="436"/>
      <c r="P73" s="436"/>
      <c r="Q73" s="436"/>
      <c r="R73" s="436"/>
      <c r="S73" s="436"/>
      <c r="T73" s="436"/>
      <c r="U73" s="436"/>
    </row>
    <row r="74" spans="5:21" x14ac:dyDescent="0.35">
      <c r="E74" s="441" t="s">
        <v>2685</v>
      </c>
      <c r="F74" s="454">
        <v>81</v>
      </c>
      <c r="G74" s="454">
        <v>96</v>
      </c>
      <c r="H74" s="454">
        <v>83</v>
      </c>
      <c r="I74" s="454">
        <v>96</v>
      </c>
      <c r="J74" s="438">
        <v>89</v>
      </c>
      <c r="K74" s="440" t="s">
        <v>57</v>
      </c>
      <c r="L74" s="436"/>
      <c r="M74" s="436"/>
      <c r="N74" s="436"/>
      <c r="O74" s="436"/>
      <c r="P74" s="436"/>
      <c r="Q74" s="436"/>
      <c r="R74" s="436"/>
      <c r="S74" s="436"/>
      <c r="T74" s="436"/>
      <c r="U74" s="436"/>
    </row>
    <row r="75" spans="5:21" x14ac:dyDescent="0.35">
      <c r="E75" s="441" t="s">
        <v>165</v>
      </c>
      <c r="F75" s="454">
        <v>94</v>
      </c>
      <c r="G75" s="454">
        <v>75</v>
      </c>
      <c r="H75" s="454">
        <v>87</v>
      </c>
      <c r="I75" s="454">
        <v>90</v>
      </c>
      <c r="J75" s="438">
        <v>86.5</v>
      </c>
      <c r="K75" s="441" t="s">
        <v>53</v>
      </c>
      <c r="L75" s="436"/>
      <c r="M75" s="436"/>
      <c r="N75" s="436"/>
      <c r="O75" s="436"/>
      <c r="P75" s="436"/>
      <c r="Q75" s="436"/>
      <c r="R75" s="436"/>
      <c r="S75" s="436"/>
      <c r="T75" s="436"/>
      <c r="U75" s="436"/>
    </row>
    <row r="76" spans="5:21" x14ac:dyDescent="0.35">
      <c r="E76" s="441" t="s">
        <v>2686</v>
      </c>
      <c r="F76" s="454">
        <v>88</v>
      </c>
      <c r="G76" s="454">
        <v>60</v>
      </c>
      <c r="H76" s="454">
        <v>90</v>
      </c>
      <c r="I76" s="454">
        <v>88</v>
      </c>
      <c r="J76" s="438">
        <v>81.5</v>
      </c>
      <c r="K76" s="441" t="s">
        <v>53</v>
      </c>
      <c r="L76" s="436"/>
      <c r="M76" s="436"/>
      <c r="N76" s="436"/>
      <c r="O76" s="436"/>
      <c r="P76" s="436"/>
      <c r="Q76" s="436"/>
      <c r="R76" s="436"/>
      <c r="S76" s="436"/>
      <c r="T76" s="436"/>
      <c r="U76" s="436"/>
    </row>
    <row r="77" spans="5:21" x14ac:dyDescent="0.35">
      <c r="E77" s="441" t="s">
        <v>2687</v>
      </c>
      <c r="F77" s="454">
        <v>99</v>
      </c>
      <c r="G77" s="454">
        <v>100</v>
      </c>
      <c r="H77" s="454">
        <v>89</v>
      </c>
      <c r="I77" s="454">
        <v>84</v>
      </c>
      <c r="J77" s="438">
        <v>93</v>
      </c>
      <c r="K77" s="440" t="s">
        <v>57</v>
      </c>
      <c r="L77" s="436"/>
      <c r="M77" s="436"/>
      <c r="N77" s="436"/>
      <c r="O77" s="436"/>
      <c r="P77" s="436"/>
      <c r="Q77" s="436"/>
      <c r="R77" s="436"/>
      <c r="S77" s="436"/>
      <c r="T77" s="436"/>
      <c r="U77" s="436"/>
    </row>
    <row r="78" spans="5:21" x14ac:dyDescent="0.35">
      <c r="E78" s="441" t="s">
        <v>2688</v>
      </c>
      <c r="F78" s="454">
        <v>83</v>
      </c>
      <c r="G78" s="454">
        <v>97</v>
      </c>
      <c r="H78" s="454">
        <v>84</v>
      </c>
      <c r="I78" s="454">
        <v>91</v>
      </c>
      <c r="J78" s="438">
        <v>88.75</v>
      </c>
      <c r="K78" s="440" t="s">
        <v>57</v>
      </c>
      <c r="L78" s="436"/>
      <c r="M78" s="436"/>
      <c r="N78" s="436"/>
      <c r="O78" s="436"/>
      <c r="P78" s="436"/>
      <c r="Q78" s="436"/>
      <c r="R78" s="436"/>
      <c r="S78" s="436"/>
      <c r="T78" s="436"/>
      <c r="U78" s="436"/>
    </row>
    <row r="79" spans="5:21" x14ac:dyDescent="0.35">
      <c r="E79" s="441" t="s">
        <v>2689</v>
      </c>
      <c r="F79" s="454">
        <v>98</v>
      </c>
      <c r="G79" s="454">
        <v>100</v>
      </c>
      <c r="H79" s="454">
        <v>81</v>
      </c>
      <c r="I79" s="454">
        <v>88</v>
      </c>
      <c r="J79" s="438">
        <v>91.75</v>
      </c>
      <c r="K79" s="440" t="s">
        <v>57</v>
      </c>
      <c r="L79" s="436"/>
      <c r="M79" s="436"/>
      <c r="N79" s="436"/>
      <c r="O79" s="436"/>
      <c r="P79" s="436"/>
      <c r="Q79" s="436"/>
      <c r="R79" s="436"/>
      <c r="S79" s="436"/>
      <c r="T79" s="436"/>
      <c r="U79" s="436"/>
    </row>
    <row r="80" spans="5:21" x14ac:dyDescent="0.35">
      <c r="E80" s="441" t="s">
        <v>2690</v>
      </c>
      <c r="F80" s="454">
        <v>100</v>
      </c>
      <c r="G80" s="454">
        <v>92</v>
      </c>
      <c r="H80" s="454">
        <v>99</v>
      </c>
      <c r="I80" s="454">
        <v>82</v>
      </c>
      <c r="J80" s="438">
        <v>93.25</v>
      </c>
      <c r="K80" s="440" t="s">
        <v>57</v>
      </c>
      <c r="L80" s="436"/>
      <c r="M80" s="436"/>
      <c r="N80" s="436"/>
      <c r="O80" s="436"/>
      <c r="P80" s="436"/>
      <c r="Q80" s="436"/>
      <c r="R80" s="436"/>
      <c r="S80" s="436"/>
      <c r="T80" s="436"/>
      <c r="U80" s="436"/>
    </row>
    <row r="81" spans="5:21" x14ac:dyDescent="0.35">
      <c r="E81" s="441" t="s">
        <v>2691</v>
      </c>
      <c r="F81" s="454">
        <v>97</v>
      </c>
      <c r="G81" s="454">
        <v>96</v>
      </c>
      <c r="H81" s="454">
        <v>88</v>
      </c>
      <c r="I81" s="454">
        <v>86</v>
      </c>
      <c r="J81" s="438">
        <v>91.75</v>
      </c>
      <c r="K81" s="440" t="s">
        <v>57</v>
      </c>
      <c r="L81" s="436"/>
      <c r="M81" s="436"/>
      <c r="N81" s="436"/>
      <c r="O81" s="436"/>
      <c r="P81" s="436"/>
      <c r="Q81" s="436"/>
      <c r="R81" s="436"/>
      <c r="S81" s="436"/>
      <c r="T81" s="436"/>
      <c r="U81" s="436"/>
    </row>
    <row r="82" spans="5:21" x14ac:dyDescent="0.35">
      <c r="E82" s="441" t="s">
        <v>2692</v>
      </c>
      <c r="F82" s="454">
        <v>100</v>
      </c>
      <c r="G82" s="454">
        <v>91</v>
      </c>
      <c r="H82" s="454">
        <v>85</v>
      </c>
      <c r="I82" s="454">
        <v>81</v>
      </c>
      <c r="J82" s="438">
        <v>89.25</v>
      </c>
      <c r="K82" s="440" t="s">
        <v>57</v>
      </c>
      <c r="L82" s="436"/>
      <c r="M82" s="436"/>
      <c r="N82" s="436"/>
      <c r="O82" s="436"/>
      <c r="P82" s="436"/>
      <c r="Q82" s="436"/>
      <c r="R82" s="436"/>
      <c r="S82" s="436"/>
      <c r="T82" s="436"/>
      <c r="U82" s="436"/>
    </row>
    <row r="83" spans="5:21" x14ac:dyDescent="0.35">
      <c r="E83" s="441" t="s">
        <v>2693</v>
      </c>
      <c r="F83" s="454">
        <v>82</v>
      </c>
      <c r="G83" s="454">
        <v>93</v>
      </c>
      <c r="H83" s="454">
        <v>91</v>
      </c>
      <c r="I83" s="454">
        <v>81</v>
      </c>
      <c r="J83" s="438">
        <v>86.75</v>
      </c>
      <c r="K83" s="441" t="s">
        <v>53</v>
      </c>
      <c r="L83" s="436"/>
      <c r="M83" s="436"/>
      <c r="N83" s="436"/>
      <c r="O83" s="436"/>
      <c r="P83" s="436"/>
      <c r="Q83" s="436"/>
      <c r="R83" s="436"/>
      <c r="S83" s="436"/>
      <c r="T83" s="436"/>
      <c r="U83" s="436"/>
    </row>
    <row r="84" spans="5:21" x14ac:dyDescent="0.35">
      <c r="E84" s="441" t="s">
        <v>2694</v>
      </c>
      <c r="F84" s="454">
        <v>97</v>
      </c>
      <c r="G84" s="454">
        <v>93</v>
      </c>
      <c r="H84" s="454">
        <v>94</v>
      </c>
      <c r="I84" s="454">
        <v>81</v>
      </c>
      <c r="J84" s="438">
        <v>91.25</v>
      </c>
      <c r="K84" s="440" t="s">
        <v>57</v>
      </c>
      <c r="L84" s="436"/>
      <c r="M84" s="436"/>
      <c r="N84" s="436"/>
      <c r="O84" s="436"/>
      <c r="P84" s="436"/>
      <c r="Q84" s="436"/>
      <c r="R84" s="436"/>
      <c r="S84" s="436"/>
      <c r="T84" s="436"/>
      <c r="U84" s="436"/>
    </row>
    <row r="85" spans="5:21" x14ac:dyDescent="0.35">
      <c r="E85" s="441" t="s">
        <v>2695</v>
      </c>
      <c r="F85" s="454">
        <v>99</v>
      </c>
      <c r="G85" s="454">
        <v>99</v>
      </c>
      <c r="H85" s="454">
        <v>91</v>
      </c>
      <c r="I85" s="454">
        <v>89</v>
      </c>
      <c r="J85" s="438">
        <v>94.5</v>
      </c>
      <c r="K85" s="440" t="s">
        <v>57</v>
      </c>
      <c r="L85" s="436"/>
      <c r="M85" s="436"/>
      <c r="N85" s="436"/>
      <c r="O85" s="436"/>
      <c r="P85" s="436"/>
      <c r="Q85" s="436"/>
      <c r="R85" s="436"/>
      <c r="S85" s="436"/>
      <c r="T85" s="436"/>
      <c r="U85" s="436"/>
    </row>
    <row r="86" spans="5:21" x14ac:dyDescent="0.35">
      <c r="E86" s="441" t="s">
        <v>2696</v>
      </c>
      <c r="F86" s="454">
        <v>92</v>
      </c>
      <c r="G86" s="454">
        <v>93</v>
      </c>
      <c r="H86" s="454">
        <v>87</v>
      </c>
      <c r="I86" s="454">
        <v>100</v>
      </c>
      <c r="J86" s="438">
        <v>93</v>
      </c>
      <c r="K86" s="440" t="s">
        <v>57</v>
      </c>
      <c r="L86" s="436"/>
      <c r="M86" s="436"/>
      <c r="N86" s="436"/>
      <c r="O86" s="436"/>
      <c r="P86" s="436"/>
      <c r="Q86" s="436"/>
      <c r="R86" s="436"/>
      <c r="S86" s="436"/>
      <c r="T86" s="436"/>
      <c r="U86" s="436"/>
    </row>
    <row r="87" spans="5:21" x14ac:dyDescent="0.35">
      <c r="E87" s="441" t="s">
        <v>2697</v>
      </c>
      <c r="F87" s="454">
        <v>80</v>
      </c>
      <c r="G87" s="454">
        <v>85</v>
      </c>
      <c r="H87" s="454">
        <v>91</v>
      </c>
      <c r="I87" s="454">
        <v>80</v>
      </c>
      <c r="J87" s="438">
        <v>84</v>
      </c>
      <c r="K87" s="441" t="s">
        <v>53</v>
      </c>
      <c r="L87" s="436"/>
      <c r="M87" s="436"/>
      <c r="N87" s="436"/>
      <c r="O87" s="436"/>
      <c r="P87" s="436"/>
      <c r="Q87" s="436"/>
      <c r="R87" s="436"/>
      <c r="S87" s="436"/>
      <c r="T87" s="436"/>
      <c r="U87" s="436"/>
    </row>
    <row r="88" spans="5:21" x14ac:dyDescent="0.35">
      <c r="E88" s="441" t="s">
        <v>2440</v>
      </c>
      <c r="F88" s="454">
        <v>91</v>
      </c>
      <c r="G88" s="454">
        <v>98</v>
      </c>
      <c r="H88" s="454">
        <v>84</v>
      </c>
      <c r="I88" s="454">
        <v>81</v>
      </c>
      <c r="J88" s="438">
        <v>88.5</v>
      </c>
      <c r="K88" s="440" t="s">
        <v>57</v>
      </c>
      <c r="L88" s="436"/>
      <c r="M88" s="436"/>
      <c r="N88" s="436"/>
      <c r="O88" s="436"/>
      <c r="P88" s="436"/>
      <c r="Q88" s="436"/>
      <c r="R88" s="436"/>
      <c r="S88" s="436"/>
      <c r="T88" s="436"/>
      <c r="U88" s="436"/>
    </row>
    <row r="89" spans="5:21" x14ac:dyDescent="0.35">
      <c r="E89" s="441" t="s">
        <v>2698</v>
      </c>
      <c r="F89" s="454">
        <v>97</v>
      </c>
      <c r="G89" s="454">
        <v>99</v>
      </c>
      <c r="H89" s="454">
        <v>88</v>
      </c>
      <c r="I89" s="454">
        <v>89</v>
      </c>
      <c r="J89" s="438">
        <v>93.25</v>
      </c>
      <c r="K89" s="440" t="s">
        <v>57</v>
      </c>
      <c r="L89" s="436"/>
      <c r="M89" s="436"/>
      <c r="N89" s="436"/>
      <c r="O89" s="436"/>
      <c r="P89" s="436"/>
      <c r="Q89" s="436"/>
      <c r="R89" s="436"/>
      <c r="S89" s="436"/>
      <c r="T89" s="436"/>
      <c r="U89" s="436"/>
    </row>
    <row r="90" spans="5:21" x14ac:dyDescent="0.35">
      <c r="E90" s="441" t="s">
        <v>2699</v>
      </c>
      <c r="F90" s="454">
        <v>99</v>
      </c>
      <c r="G90" s="454">
        <v>80</v>
      </c>
      <c r="H90" s="454">
        <v>86</v>
      </c>
      <c r="I90" s="454">
        <v>85</v>
      </c>
      <c r="J90" s="438">
        <v>87.5</v>
      </c>
      <c r="K90" s="441" t="s">
        <v>53</v>
      </c>
      <c r="L90" s="436"/>
      <c r="M90" s="436"/>
      <c r="N90" s="436"/>
      <c r="O90" s="436"/>
      <c r="P90" s="436"/>
      <c r="Q90" s="436"/>
      <c r="R90" s="436"/>
      <c r="S90" s="436"/>
      <c r="T90" s="436"/>
      <c r="U90" s="436"/>
    </row>
    <row r="91" spans="5:21" x14ac:dyDescent="0.35">
      <c r="E91" s="441" t="s">
        <v>2700</v>
      </c>
      <c r="F91" s="454">
        <v>100</v>
      </c>
      <c r="G91" s="454">
        <v>72</v>
      </c>
      <c r="H91" s="454">
        <v>95</v>
      </c>
      <c r="I91" s="454">
        <v>95</v>
      </c>
      <c r="J91" s="438">
        <v>90.5</v>
      </c>
      <c r="K91" s="440" t="s">
        <v>57</v>
      </c>
      <c r="L91" s="436"/>
      <c r="M91" s="436"/>
      <c r="N91" s="436"/>
      <c r="O91" s="436"/>
      <c r="P91" s="436"/>
      <c r="Q91" s="436"/>
      <c r="R91" s="436"/>
      <c r="S91" s="436"/>
      <c r="T91" s="436"/>
      <c r="U91" s="436"/>
    </row>
    <row r="92" spans="5:21" x14ac:dyDescent="0.35">
      <c r="E92" s="441" t="s">
        <v>2701</v>
      </c>
      <c r="F92" s="454">
        <v>82</v>
      </c>
      <c r="G92" s="454">
        <v>100</v>
      </c>
      <c r="H92" s="454">
        <v>100</v>
      </c>
      <c r="I92" s="454">
        <v>90</v>
      </c>
      <c r="J92" s="438">
        <v>93</v>
      </c>
      <c r="K92" s="440" t="s">
        <v>57</v>
      </c>
      <c r="L92" s="436"/>
      <c r="M92" s="436"/>
      <c r="N92" s="436"/>
      <c r="O92" s="436"/>
      <c r="P92" s="436"/>
      <c r="Q92" s="436"/>
      <c r="R92" s="436"/>
      <c r="S92" s="436"/>
      <c r="T92" s="436"/>
      <c r="U92" s="436"/>
    </row>
    <row r="93" spans="5:21" x14ac:dyDescent="0.35">
      <c r="E93" s="441" t="s">
        <v>2702</v>
      </c>
      <c r="F93" s="454">
        <v>86</v>
      </c>
      <c r="G93" s="454">
        <v>97</v>
      </c>
      <c r="H93" s="454">
        <v>87</v>
      </c>
      <c r="I93" s="454">
        <v>85</v>
      </c>
      <c r="J93" s="438">
        <v>88.75</v>
      </c>
      <c r="K93" s="440" t="s">
        <v>57</v>
      </c>
      <c r="L93" s="436"/>
      <c r="M93" s="436"/>
      <c r="N93" s="436"/>
      <c r="O93" s="436"/>
      <c r="P93" s="436"/>
      <c r="Q93" s="436"/>
      <c r="R93" s="436"/>
      <c r="S93" s="436"/>
      <c r="T93" s="436"/>
      <c r="U93" s="436"/>
    </row>
    <row r="94" spans="5:21" x14ac:dyDescent="0.35">
      <c r="E94" s="441" t="s">
        <v>2446</v>
      </c>
      <c r="F94" s="454">
        <v>90</v>
      </c>
      <c r="G94" s="454">
        <v>95</v>
      </c>
      <c r="H94" s="454">
        <v>100</v>
      </c>
      <c r="I94" s="454">
        <v>91</v>
      </c>
      <c r="J94" s="438">
        <v>94</v>
      </c>
      <c r="K94" s="440" t="s">
        <v>57</v>
      </c>
      <c r="L94" s="436"/>
      <c r="M94" s="436"/>
      <c r="N94" s="436"/>
      <c r="O94" s="436"/>
      <c r="P94" s="436"/>
      <c r="Q94" s="436"/>
      <c r="R94" s="436"/>
      <c r="S94" s="436"/>
      <c r="T94" s="436"/>
      <c r="U94" s="436"/>
    </row>
    <row r="95" spans="5:21" x14ac:dyDescent="0.35">
      <c r="E95" s="441" t="s">
        <v>2703</v>
      </c>
      <c r="F95" s="454">
        <v>95</v>
      </c>
      <c r="G95" s="454">
        <v>60</v>
      </c>
      <c r="H95" s="454">
        <v>89</v>
      </c>
      <c r="I95" s="454">
        <v>90</v>
      </c>
      <c r="J95" s="438">
        <v>83.5</v>
      </c>
      <c r="K95" s="441" t="s">
        <v>53</v>
      </c>
      <c r="L95" s="436"/>
      <c r="M95" s="436"/>
      <c r="N95" s="436"/>
      <c r="O95" s="436"/>
      <c r="P95" s="436"/>
      <c r="Q95" s="436"/>
      <c r="R95" s="436"/>
      <c r="S95" s="436"/>
      <c r="T95" s="436"/>
      <c r="U95" s="436"/>
    </row>
    <row r="96" spans="5:21" x14ac:dyDescent="0.35">
      <c r="E96" s="441" t="s">
        <v>2704</v>
      </c>
      <c r="F96" s="454">
        <v>66</v>
      </c>
      <c r="G96" s="454">
        <v>78</v>
      </c>
      <c r="H96" s="454">
        <v>74</v>
      </c>
      <c r="I96" s="454">
        <v>56</v>
      </c>
      <c r="J96" s="438">
        <v>68.5</v>
      </c>
      <c r="K96" s="442" t="s">
        <v>41</v>
      </c>
      <c r="L96" s="436"/>
      <c r="M96" s="436"/>
      <c r="N96" s="436"/>
      <c r="O96" s="436"/>
      <c r="P96" s="436"/>
      <c r="Q96" s="436"/>
      <c r="R96" s="436"/>
      <c r="S96" s="436"/>
      <c r="T96" s="436"/>
      <c r="U96" s="436"/>
    </row>
    <row r="97" spans="5:21" x14ac:dyDescent="0.35">
      <c r="E97" s="441" t="s">
        <v>2705</v>
      </c>
      <c r="F97" s="454">
        <v>89</v>
      </c>
      <c r="G97" s="454">
        <v>77</v>
      </c>
      <c r="H97" s="454">
        <v>89</v>
      </c>
      <c r="I97" s="454">
        <v>88</v>
      </c>
      <c r="J97" s="438">
        <v>85.75</v>
      </c>
      <c r="K97" s="441" t="s">
        <v>53</v>
      </c>
      <c r="L97" s="436"/>
      <c r="M97" s="436"/>
      <c r="N97" s="436"/>
      <c r="O97" s="436"/>
      <c r="P97" s="436"/>
      <c r="Q97" s="436"/>
      <c r="R97" s="436"/>
      <c r="S97" s="436"/>
      <c r="T97" s="436"/>
      <c r="U97" s="436"/>
    </row>
    <row r="98" spans="5:21" x14ac:dyDescent="0.35">
      <c r="E98" s="441" t="s">
        <v>2706</v>
      </c>
      <c r="F98" s="454">
        <v>95</v>
      </c>
      <c r="G98" s="454">
        <v>95</v>
      </c>
      <c r="H98" s="454">
        <v>98</v>
      </c>
      <c r="I98" s="454">
        <v>86</v>
      </c>
      <c r="J98" s="438">
        <v>93.5</v>
      </c>
      <c r="K98" s="440" t="s">
        <v>57</v>
      </c>
      <c r="L98" s="436"/>
      <c r="M98" s="436"/>
      <c r="N98" s="436"/>
      <c r="O98" s="436"/>
      <c r="P98" s="436"/>
      <c r="Q98" s="436"/>
      <c r="R98" s="436"/>
      <c r="S98" s="436"/>
      <c r="T98" s="436"/>
      <c r="U98" s="436"/>
    </row>
    <row r="99" spans="5:21" x14ac:dyDescent="0.35">
      <c r="E99" s="441" t="s">
        <v>2707</v>
      </c>
      <c r="F99" s="454">
        <v>98</v>
      </c>
      <c r="G99" s="454">
        <v>92</v>
      </c>
      <c r="H99" s="454">
        <v>97</v>
      </c>
      <c r="I99" s="454">
        <v>95</v>
      </c>
      <c r="J99" s="438">
        <v>95.5</v>
      </c>
      <c r="K99" s="440" t="s">
        <v>57</v>
      </c>
      <c r="L99" s="436"/>
      <c r="M99" s="436"/>
      <c r="N99" s="436"/>
      <c r="O99" s="436"/>
      <c r="P99" s="436"/>
      <c r="Q99" s="436"/>
      <c r="R99" s="436"/>
      <c r="S99" s="436"/>
      <c r="T99" s="436"/>
      <c r="U99" s="436"/>
    </row>
    <row r="100" spans="5:21" x14ac:dyDescent="0.35">
      <c r="E100" s="441" t="s">
        <v>2708</v>
      </c>
      <c r="F100" s="454">
        <v>83</v>
      </c>
      <c r="G100" s="454">
        <v>75</v>
      </c>
      <c r="H100" s="454">
        <v>92</v>
      </c>
      <c r="I100" s="454">
        <v>98</v>
      </c>
      <c r="J100" s="438">
        <v>87</v>
      </c>
      <c r="K100" s="441" t="s">
        <v>53</v>
      </c>
      <c r="L100" s="436"/>
      <c r="M100" s="436"/>
      <c r="N100" s="436"/>
      <c r="O100" s="436"/>
      <c r="P100" s="436"/>
      <c r="Q100" s="436"/>
      <c r="R100" s="436"/>
      <c r="S100" s="436"/>
      <c r="T100" s="436"/>
      <c r="U100" s="436"/>
    </row>
    <row r="101" spans="5:21" x14ac:dyDescent="0.35">
      <c r="E101" s="441" t="s">
        <v>2709</v>
      </c>
      <c r="F101" s="454">
        <v>93</v>
      </c>
      <c r="G101" s="454">
        <v>95</v>
      </c>
      <c r="H101" s="454">
        <v>83</v>
      </c>
      <c r="I101" s="454">
        <v>93</v>
      </c>
      <c r="J101" s="438">
        <v>91</v>
      </c>
      <c r="K101" s="440" t="s">
        <v>57</v>
      </c>
      <c r="L101" s="436"/>
      <c r="M101" s="436"/>
      <c r="N101" s="436"/>
      <c r="O101" s="436"/>
      <c r="P101" s="436"/>
      <c r="Q101" s="436"/>
      <c r="R101" s="436"/>
      <c r="S101" s="436"/>
      <c r="T101" s="436"/>
      <c r="U101" s="436"/>
    </row>
    <row r="102" spans="5:21" x14ac:dyDescent="0.35">
      <c r="E102" s="441" t="s">
        <v>2710</v>
      </c>
      <c r="F102" s="454">
        <v>100</v>
      </c>
      <c r="G102" s="454">
        <v>76</v>
      </c>
      <c r="H102" s="454">
        <v>94</v>
      </c>
      <c r="I102" s="454">
        <v>81</v>
      </c>
      <c r="J102" s="438">
        <v>87.75</v>
      </c>
      <c r="K102" s="441" t="s">
        <v>53</v>
      </c>
      <c r="L102" s="436"/>
      <c r="M102" s="436"/>
      <c r="N102" s="436"/>
      <c r="O102" s="436"/>
      <c r="P102" s="436"/>
      <c r="Q102" s="436"/>
      <c r="R102" s="436"/>
      <c r="S102" s="436"/>
      <c r="T102" s="436"/>
      <c r="U102" s="436"/>
    </row>
    <row r="103" spans="5:21" x14ac:dyDescent="0.35">
      <c r="E103" s="441" t="s">
        <v>2711</v>
      </c>
      <c r="F103" s="454">
        <v>85</v>
      </c>
      <c r="G103" s="454">
        <v>96</v>
      </c>
      <c r="H103" s="454">
        <v>86</v>
      </c>
      <c r="I103" s="454">
        <v>99</v>
      </c>
      <c r="J103" s="438">
        <v>91.5</v>
      </c>
      <c r="K103" s="440" t="s">
        <v>57</v>
      </c>
      <c r="L103" s="436"/>
      <c r="M103" s="436"/>
      <c r="N103" s="436"/>
      <c r="O103" s="436"/>
      <c r="P103" s="436"/>
      <c r="Q103" s="436"/>
      <c r="R103" s="436"/>
      <c r="S103" s="436"/>
      <c r="T103" s="436"/>
      <c r="U103" s="436"/>
    </row>
    <row r="104" spans="5:21" x14ac:dyDescent="0.35">
      <c r="E104" s="441" t="s">
        <v>2712</v>
      </c>
      <c r="F104" s="454">
        <v>91</v>
      </c>
      <c r="G104" s="454">
        <v>90</v>
      </c>
      <c r="H104" s="454">
        <v>89</v>
      </c>
      <c r="I104" s="454">
        <v>91</v>
      </c>
      <c r="J104" s="438">
        <v>90.25</v>
      </c>
      <c r="K104" s="440" t="s">
        <v>57</v>
      </c>
      <c r="L104" s="436"/>
      <c r="M104" s="436"/>
      <c r="N104" s="436"/>
      <c r="O104" s="436"/>
      <c r="P104" s="436"/>
      <c r="Q104" s="436"/>
      <c r="R104" s="436"/>
      <c r="S104" s="436"/>
      <c r="T104" s="436"/>
      <c r="U104" s="436"/>
    </row>
    <row r="105" spans="5:21" x14ac:dyDescent="0.35">
      <c r="E105" s="436"/>
      <c r="F105" s="436"/>
      <c r="G105" s="436"/>
      <c r="H105" s="436"/>
      <c r="I105" s="436"/>
      <c r="J105" s="436"/>
      <c r="K105" s="436"/>
      <c r="L105" s="436"/>
      <c r="M105" s="436"/>
      <c r="N105" s="436"/>
      <c r="O105" s="436"/>
      <c r="P105" s="436"/>
      <c r="Q105" s="436"/>
      <c r="R105" s="436"/>
      <c r="S105" s="436"/>
      <c r="T105" s="436"/>
      <c r="U105" s="436"/>
    </row>
    <row r="106" spans="5:21" x14ac:dyDescent="0.35">
      <c r="E106" s="436"/>
      <c r="F106" s="436"/>
      <c r="G106" s="436"/>
      <c r="H106" s="436"/>
      <c r="I106" s="436"/>
      <c r="J106" s="436"/>
      <c r="K106" s="436"/>
      <c r="L106" s="436"/>
      <c r="M106" s="436"/>
      <c r="N106" s="436"/>
      <c r="O106" s="436"/>
      <c r="P106" s="436"/>
      <c r="Q106" s="436"/>
      <c r="R106" s="436"/>
      <c r="S106" s="436"/>
      <c r="T106" s="436"/>
      <c r="U106" s="436"/>
    </row>
    <row r="107" spans="5:21" x14ac:dyDescent="0.35">
      <c r="E107" s="436"/>
      <c r="F107" s="436"/>
      <c r="G107" s="436"/>
      <c r="H107" s="436"/>
      <c r="I107" s="436"/>
      <c r="J107" s="436"/>
      <c r="K107" s="436"/>
      <c r="L107" s="436"/>
      <c r="M107" s="436"/>
      <c r="N107" s="436"/>
      <c r="O107" s="436"/>
      <c r="P107" s="436"/>
      <c r="Q107" s="436"/>
      <c r="R107" s="436"/>
      <c r="S107" s="436"/>
      <c r="T107" s="436"/>
      <c r="U107" s="436"/>
    </row>
    <row r="108" spans="5:21" x14ac:dyDescent="0.35">
      <c r="E108" s="436"/>
      <c r="F108" s="436"/>
      <c r="G108" s="436"/>
      <c r="H108" s="436"/>
      <c r="I108" s="436"/>
      <c r="J108" s="436"/>
      <c r="K108" s="436"/>
      <c r="L108" s="436"/>
      <c r="M108" s="436"/>
      <c r="N108" s="436"/>
      <c r="O108" s="436"/>
      <c r="P108" s="436"/>
      <c r="Q108" s="436"/>
      <c r="R108" s="436"/>
      <c r="S108" s="436"/>
      <c r="T108" s="436"/>
      <c r="U108" s="436"/>
    </row>
    <row r="109" spans="5:21" x14ac:dyDescent="0.35">
      <c r="E109" s="436"/>
      <c r="F109" s="436"/>
      <c r="G109" s="436"/>
      <c r="H109" s="436"/>
      <c r="I109" s="436"/>
      <c r="J109" s="436"/>
      <c r="K109" s="436"/>
      <c r="L109" s="436"/>
      <c r="M109" s="436"/>
      <c r="N109" s="436"/>
      <c r="O109" s="436"/>
      <c r="P109" s="436"/>
      <c r="Q109" s="436"/>
      <c r="R109" s="436"/>
      <c r="S109" s="436"/>
      <c r="T109" s="436"/>
      <c r="U109" s="436"/>
    </row>
    <row r="110" spans="5:21" x14ac:dyDescent="0.35">
      <c r="E110" s="436"/>
      <c r="F110" s="436"/>
      <c r="G110" s="436"/>
      <c r="H110" s="436"/>
      <c r="I110" s="436"/>
      <c r="J110" s="436"/>
      <c r="K110" s="436"/>
      <c r="L110" s="436"/>
      <c r="M110" s="436"/>
      <c r="N110" s="436"/>
      <c r="O110" s="436"/>
      <c r="P110" s="436"/>
      <c r="Q110" s="436"/>
      <c r="R110" s="436"/>
      <c r="S110" s="436"/>
      <c r="T110" s="436"/>
      <c r="U110" s="436"/>
    </row>
    <row r="111" spans="5:21" x14ac:dyDescent="0.35">
      <c r="E111" s="436"/>
      <c r="F111" s="436"/>
      <c r="G111" s="436"/>
      <c r="H111" s="436"/>
      <c r="I111" s="436"/>
      <c r="J111" s="436"/>
      <c r="K111" s="436"/>
      <c r="L111" s="436"/>
      <c r="M111" s="436"/>
      <c r="N111" s="436"/>
      <c r="O111" s="436"/>
      <c r="P111" s="436"/>
      <c r="Q111" s="436"/>
      <c r="R111" s="436"/>
      <c r="S111" s="436"/>
      <c r="T111" s="436"/>
      <c r="U111" s="436"/>
    </row>
    <row r="112" spans="5:21" x14ac:dyDescent="0.35">
      <c r="E112" s="436"/>
      <c r="F112" s="436"/>
      <c r="G112" s="436"/>
      <c r="H112" s="436"/>
      <c r="I112" s="436"/>
      <c r="J112" s="436"/>
      <c r="K112" s="436"/>
      <c r="L112" s="436"/>
      <c r="M112" s="436"/>
      <c r="N112" s="436"/>
      <c r="O112" s="436"/>
      <c r="P112" s="436"/>
      <c r="Q112" s="436"/>
      <c r="R112" s="436"/>
      <c r="S112" s="436"/>
      <c r="T112" s="436"/>
      <c r="U112" s="436"/>
    </row>
  </sheetData>
  <mergeCells count="2">
    <mergeCell ref="A1:C2"/>
    <mergeCell ref="M3:P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4]!sheet_2">
                <anchor moveWithCells="1" sizeWithCells="1">
                  <from>
                    <xdr:col>11</xdr:col>
                    <xdr:colOff>603250</xdr:colOff>
                    <xdr:row>21</xdr:row>
                    <xdr:rowOff>177800</xdr:rowOff>
                  </from>
                  <to>
                    <xdr:col>15</xdr:col>
                    <xdr:colOff>19050</xdr:colOff>
                    <xdr:row>25</xdr:row>
                    <xdr:rowOff>0</xdr:rowOff>
                  </to>
                </anchor>
              </controlPr>
            </control>
          </mc:Choice>
        </mc:AlternateContent>
        <mc:AlternateContent xmlns:mc="http://schemas.openxmlformats.org/markup-compatibility/2006">
          <mc:Choice Requires="x14">
            <control shapeId="11266" r:id="rId5" name="Button 2">
              <controlPr defaultSize="0" print="0" autoFill="0" autoPict="0" macro="[4]!blank_2">
                <anchor moveWithCells="1" sizeWithCells="1">
                  <from>
                    <xdr:col>15</xdr:col>
                    <xdr:colOff>50800</xdr:colOff>
                    <xdr:row>22</xdr:row>
                    <xdr:rowOff>0</xdr:rowOff>
                  </from>
                  <to>
                    <xdr:col>16</xdr:col>
                    <xdr:colOff>749300</xdr:colOff>
                    <xdr:row>25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0407F-925F-4397-95A0-C6E1BF450747}">
  <sheetPr codeName="Sheet12"/>
  <dimension ref="A2:H40"/>
  <sheetViews>
    <sheetView zoomScale="134" workbookViewId="0">
      <selection activeCell="E6" sqref="E6"/>
    </sheetView>
  </sheetViews>
  <sheetFormatPr defaultColWidth="8.1640625" defaultRowHeight="14.5" x14ac:dyDescent="0.35"/>
  <cols>
    <col min="1" max="2" width="10.08203125" style="182" customWidth="1"/>
    <col min="3" max="3" width="12.75" style="182" customWidth="1"/>
    <col min="4" max="4" width="16.5" style="182" customWidth="1"/>
    <col min="5" max="5" width="18.58203125" style="182" bestFit="1" customWidth="1"/>
    <col min="6" max="7" width="8.1640625" style="182"/>
    <col min="8" max="8" width="47.33203125" style="182" customWidth="1"/>
    <col min="9" max="16384" width="8.1640625" style="182"/>
  </cols>
  <sheetData>
    <row r="2" spans="1:8" x14ac:dyDescent="0.35">
      <c r="G2" s="182" t="s">
        <v>1751</v>
      </c>
    </row>
    <row r="3" spans="1:8" x14ac:dyDescent="0.35">
      <c r="A3" s="183" t="s">
        <v>1752</v>
      </c>
      <c r="B3" s="183" t="s">
        <v>262</v>
      </c>
      <c r="C3" s="183" t="s">
        <v>382</v>
      </c>
      <c r="D3" s="183" t="s">
        <v>1753</v>
      </c>
      <c r="G3" s="184">
        <v>1</v>
      </c>
      <c r="H3" s="182" t="s">
        <v>1754</v>
      </c>
    </row>
    <row r="4" spans="1:8" x14ac:dyDescent="0.35">
      <c r="A4" s="185">
        <v>7</v>
      </c>
      <c r="B4" s="186">
        <v>25.84</v>
      </c>
      <c r="C4" s="185">
        <v>180.88</v>
      </c>
      <c r="D4" s="187">
        <v>0</v>
      </c>
      <c r="E4" s="188"/>
      <c r="G4" s="184">
        <v>2</v>
      </c>
      <c r="H4" s="182" t="s">
        <v>1755</v>
      </c>
    </row>
    <row r="5" spans="1:8" x14ac:dyDescent="0.35">
      <c r="A5" s="185">
        <v>5</v>
      </c>
      <c r="B5" s="186">
        <v>33.76</v>
      </c>
      <c r="C5" s="185">
        <v>168.79999999999998</v>
      </c>
      <c r="D5" s="187">
        <v>0</v>
      </c>
      <c r="E5" s="188"/>
      <c r="G5" s="184">
        <v>3</v>
      </c>
      <c r="H5" s="182" t="s">
        <v>1756</v>
      </c>
    </row>
    <row r="6" spans="1:8" x14ac:dyDescent="0.35">
      <c r="A6" s="185">
        <v>7</v>
      </c>
      <c r="B6" s="186">
        <v>31.32</v>
      </c>
      <c r="C6" s="189">
        <v>219.24</v>
      </c>
      <c r="D6" s="187">
        <v>6.5772000000000004</v>
      </c>
      <c r="E6" s="361" t="s">
        <v>2713</v>
      </c>
      <c r="G6" s="184">
        <v>4</v>
      </c>
      <c r="H6" s="182" t="s">
        <v>1757</v>
      </c>
    </row>
    <row r="7" spans="1:8" x14ac:dyDescent="0.35">
      <c r="A7" s="185">
        <v>5</v>
      </c>
      <c r="B7" s="186">
        <v>23.83</v>
      </c>
      <c r="C7" s="185">
        <v>119.14999999999999</v>
      </c>
      <c r="D7" s="187">
        <v>0</v>
      </c>
      <c r="E7" s="188"/>
      <c r="G7" s="184">
        <v>5</v>
      </c>
      <c r="H7" s="182" t="s">
        <v>1758</v>
      </c>
    </row>
    <row r="8" spans="1:8" x14ac:dyDescent="0.35">
      <c r="A8" s="185">
        <v>6</v>
      </c>
      <c r="B8" s="186">
        <v>27.76</v>
      </c>
      <c r="C8" s="185">
        <v>166.56</v>
      </c>
      <c r="D8" s="187">
        <v>0</v>
      </c>
      <c r="E8" s="188"/>
      <c r="G8" s="184">
        <v>6</v>
      </c>
      <c r="H8" s="182" t="s">
        <v>1759</v>
      </c>
    </row>
    <row r="9" spans="1:8" x14ac:dyDescent="0.35">
      <c r="A9" s="185">
        <v>8</v>
      </c>
      <c r="B9" s="186">
        <v>32.69</v>
      </c>
      <c r="C9" s="189">
        <v>261.52</v>
      </c>
      <c r="D9" s="187">
        <v>7.8455999999999992</v>
      </c>
      <c r="E9" s="188"/>
      <c r="G9" s="184"/>
    </row>
    <row r="10" spans="1:8" x14ac:dyDescent="0.35">
      <c r="A10" s="185">
        <v>7</v>
      </c>
      <c r="B10" s="186">
        <v>30.25</v>
      </c>
      <c r="C10" s="189">
        <v>211.75</v>
      </c>
      <c r="D10" s="187">
        <v>6.3525</v>
      </c>
      <c r="E10" s="188" t="s">
        <v>1760</v>
      </c>
      <c r="F10" s="182">
        <v>286</v>
      </c>
      <c r="G10" s="184"/>
    </row>
    <row r="11" spans="1:8" x14ac:dyDescent="0.35">
      <c r="A11" s="190">
        <v>12</v>
      </c>
      <c r="B11" s="186">
        <v>34.44</v>
      </c>
      <c r="C11" s="189">
        <v>413.28</v>
      </c>
      <c r="D11" s="187">
        <v>12.398399999999999</v>
      </c>
      <c r="E11" s="188" t="s">
        <v>1761</v>
      </c>
      <c r="F11" s="182">
        <v>7.7297297297297298</v>
      </c>
      <c r="G11" s="184"/>
    </row>
    <row r="12" spans="1:8" x14ac:dyDescent="0.35">
      <c r="A12" s="185">
        <v>5</v>
      </c>
      <c r="B12" s="186">
        <v>30.33</v>
      </c>
      <c r="C12" s="185">
        <v>151.64999999999998</v>
      </c>
      <c r="D12" s="187">
        <v>0</v>
      </c>
      <c r="E12" s="188" t="s">
        <v>1762</v>
      </c>
      <c r="G12" s="184"/>
    </row>
    <row r="13" spans="1:8" x14ac:dyDescent="0.35">
      <c r="A13" s="185">
        <v>7</v>
      </c>
      <c r="B13" s="186">
        <v>30.49</v>
      </c>
      <c r="C13" s="189">
        <v>213.42999999999998</v>
      </c>
      <c r="D13" s="187">
        <v>6.4028999999999989</v>
      </c>
      <c r="E13" s="188"/>
      <c r="G13" s="184"/>
    </row>
    <row r="14" spans="1:8" x14ac:dyDescent="0.35">
      <c r="A14" s="190">
        <v>11</v>
      </c>
      <c r="B14" s="186">
        <v>22.26</v>
      </c>
      <c r="C14" s="189">
        <v>244.86</v>
      </c>
      <c r="D14" s="187">
        <v>7.3458000000000006</v>
      </c>
      <c r="E14" s="188"/>
      <c r="G14" s="184"/>
    </row>
    <row r="15" spans="1:8" x14ac:dyDescent="0.35">
      <c r="A15" s="185">
        <v>6</v>
      </c>
      <c r="B15" s="186">
        <v>25.16</v>
      </c>
      <c r="C15" s="185">
        <v>150.96</v>
      </c>
      <c r="D15" s="187">
        <v>0</v>
      </c>
      <c r="E15" s="188"/>
    </row>
    <row r="16" spans="1:8" x14ac:dyDescent="0.35">
      <c r="A16" s="190">
        <v>11</v>
      </c>
      <c r="B16" s="186">
        <v>24.03</v>
      </c>
      <c r="C16" s="189">
        <v>264.33000000000004</v>
      </c>
      <c r="D16" s="187">
        <v>7.9299000000000008</v>
      </c>
      <c r="E16" s="188"/>
    </row>
    <row r="17" spans="1:5" x14ac:dyDescent="0.35">
      <c r="A17" s="190">
        <v>12</v>
      </c>
      <c r="B17" s="186">
        <v>23.08</v>
      </c>
      <c r="C17" s="189">
        <v>276.95999999999998</v>
      </c>
      <c r="D17" s="187">
        <v>8.3087999999999997</v>
      </c>
      <c r="E17" s="188"/>
    </row>
    <row r="18" spans="1:5" x14ac:dyDescent="0.35">
      <c r="A18" s="185">
        <v>9</v>
      </c>
      <c r="B18" s="186">
        <v>27.65</v>
      </c>
      <c r="C18" s="189">
        <v>248.85</v>
      </c>
      <c r="D18" s="187">
        <v>7.4654999999999996</v>
      </c>
      <c r="E18" s="188"/>
    </row>
    <row r="19" spans="1:5" x14ac:dyDescent="0.35">
      <c r="A19" s="185">
        <v>7</v>
      </c>
      <c r="B19" s="186">
        <v>25.83</v>
      </c>
      <c r="C19" s="185">
        <v>180.81</v>
      </c>
      <c r="D19" s="187">
        <v>0</v>
      </c>
      <c r="E19" s="188"/>
    </row>
    <row r="20" spans="1:5" x14ac:dyDescent="0.35">
      <c r="A20" s="185">
        <v>7</v>
      </c>
      <c r="B20" s="186">
        <v>21.39</v>
      </c>
      <c r="C20" s="185">
        <v>149.73000000000002</v>
      </c>
      <c r="D20" s="187">
        <v>0</v>
      </c>
      <c r="E20" s="188"/>
    </row>
    <row r="21" spans="1:5" x14ac:dyDescent="0.35">
      <c r="A21" s="185">
        <v>9</v>
      </c>
      <c r="B21" s="186">
        <v>28.44</v>
      </c>
      <c r="C21" s="189">
        <v>255.96</v>
      </c>
      <c r="D21" s="187">
        <v>7.6787999999999998</v>
      </c>
      <c r="E21" s="188"/>
    </row>
    <row r="22" spans="1:5" x14ac:dyDescent="0.35">
      <c r="A22" s="190">
        <v>12</v>
      </c>
      <c r="B22" s="186">
        <v>21.84</v>
      </c>
      <c r="C22" s="189">
        <v>262.08</v>
      </c>
      <c r="D22" s="187">
        <v>7.8623999999999992</v>
      </c>
      <c r="E22" s="188"/>
    </row>
    <row r="23" spans="1:5" x14ac:dyDescent="0.35">
      <c r="A23" s="185">
        <v>5</v>
      </c>
      <c r="B23" s="186">
        <v>29.48</v>
      </c>
      <c r="C23" s="185">
        <v>147.4</v>
      </c>
      <c r="D23" s="187">
        <v>0</v>
      </c>
      <c r="E23" s="188"/>
    </row>
    <row r="24" spans="1:5" x14ac:dyDescent="0.35">
      <c r="A24" s="185">
        <v>10</v>
      </c>
      <c r="B24" s="186">
        <v>20</v>
      </c>
      <c r="C24" s="185">
        <v>200</v>
      </c>
      <c r="D24" s="187">
        <v>0</v>
      </c>
      <c r="E24" s="188"/>
    </row>
    <row r="25" spans="1:5" x14ac:dyDescent="0.35">
      <c r="A25" s="185">
        <v>8</v>
      </c>
      <c r="B25" s="186">
        <v>34.979999999999997</v>
      </c>
      <c r="C25" s="189">
        <v>279.83999999999997</v>
      </c>
      <c r="D25" s="187">
        <v>8.3951999999999991</v>
      </c>
      <c r="E25" s="188"/>
    </row>
    <row r="26" spans="1:5" x14ac:dyDescent="0.35">
      <c r="A26" s="185">
        <v>9</v>
      </c>
      <c r="B26" s="186">
        <v>21.89</v>
      </c>
      <c r="C26" s="185">
        <v>197.01</v>
      </c>
      <c r="D26" s="187">
        <v>0</v>
      </c>
      <c r="E26" s="188"/>
    </row>
    <row r="27" spans="1:5" x14ac:dyDescent="0.35">
      <c r="A27" s="190">
        <v>11</v>
      </c>
      <c r="B27" s="186">
        <v>28.48</v>
      </c>
      <c r="C27" s="189">
        <v>313.28000000000003</v>
      </c>
      <c r="D27" s="187">
        <v>9.3984000000000005</v>
      </c>
      <c r="E27" s="188"/>
    </row>
    <row r="28" spans="1:5" x14ac:dyDescent="0.35">
      <c r="A28" s="185">
        <v>8</v>
      </c>
      <c r="B28" s="186">
        <v>27.93</v>
      </c>
      <c r="C28" s="189">
        <v>223.44</v>
      </c>
      <c r="D28" s="187">
        <v>6.7031999999999998</v>
      </c>
      <c r="E28" s="188"/>
    </row>
    <row r="29" spans="1:5" x14ac:dyDescent="0.35">
      <c r="A29" s="185">
        <v>6</v>
      </c>
      <c r="B29" s="186">
        <v>30.42</v>
      </c>
      <c r="C29" s="185">
        <v>182.52</v>
      </c>
      <c r="D29" s="187">
        <v>0</v>
      </c>
      <c r="E29" s="188"/>
    </row>
    <row r="30" spans="1:5" x14ac:dyDescent="0.35">
      <c r="A30" s="185">
        <v>8</v>
      </c>
      <c r="B30" s="186">
        <v>26.7</v>
      </c>
      <c r="C30" s="189">
        <v>213.6</v>
      </c>
      <c r="D30" s="187">
        <v>6.4079999999999995</v>
      </c>
      <c r="E30" s="188"/>
    </row>
    <row r="31" spans="1:5" x14ac:dyDescent="0.35">
      <c r="A31" s="185">
        <v>6</v>
      </c>
      <c r="B31" s="186">
        <v>34.090000000000003</v>
      </c>
      <c r="C31" s="189">
        <v>204.54000000000002</v>
      </c>
      <c r="D31" s="187">
        <v>6.1362000000000005</v>
      </c>
      <c r="E31" s="188"/>
    </row>
    <row r="32" spans="1:5" x14ac:dyDescent="0.35">
      <c r="A32" s="185">
        <v>5</v>
      </c>
      <c r="B32" s="186">
        <v>24.06</v>
      </c>
      <c r="C32" s="185">
        <v>120.3</v>
      </c>
      <c r="D32" s="187">
        <v>0</v>
      </c>
      <c r="E32" s="188"/>
    </row>
    <row r="33" spans="1:5" x14ac:dyDescent="0.35">
      <c r="A33" s="185">
        <v>7</v>
      </c>
      <c r="B33" s="186">
        <v>33.630000000000003</v>
      </c>
      <c r="C33" s="189">
        <v>235.41000000000003</v>
      </c>
      <c r="D33" s="187">
        <v>7.0623000000000005</v>
      </c>
      <c r="E33" s="188"/>
    </row>
    <row r="34" spans="1:5" x14ac:dyDescent="0.35">
      <c r="A34" s="190">
        <v>11</v>
      </c>
      <c r="B34" s="186">
        <v>20.55</v>
      </c>
      <c r="C34" s="189">
        <v>226.05</v>
      </c>
      <c r="D34" s="187">
        <v>6.7815000000000003</v>
      </c>
      <c r="E34" s="188"/>
    </row>
    <row r="35" spans="1:5" x14ac:dyDescent="0.35">
      <c r="A35" s="185">
        <v>6</v>
      </c>
      <c r="B35" s="186">
        <v>22.45</v>
      </c>
      <c r="C35" s="185">
        <v>134.69999999999999</v>
      </c>
      <c r="D35" s="187">
        <v>0</v>
      </c>
      <c r="E35" s="188"/>
    </row>
    <row r="36" spans="1:5" x14ac:dyDescent="0.35">
      <c r="A36" s="185">
        <v>6</v>
      </c>
      <c r="B36" s="186">
        <v>20.22</v>
      </c>
      <c r="C36" s="185">
        <v>121.32</v>
      </c>
      <c r="D36" s="187">
        <v>0</v>
      </c>
      <c r="E36" s="188"/>
    </row>
    <row r="37" spans="1:5" x14ac:dyDescent="0.35">
      <c r="A37" s="185">
        <v>8</v>
      </c>
      <c r="B37" s="186">
        <v>22.89</v>
      </c>
      <c r="C37" s="185">
        <v>183.12</v>
      </c>
      <c r="D37" s="187">
        <v>0</v>
      </c>
      <c r="E37" s="188"/>
    </row>
    <row r="38" spans="1:5" x14ac:dyDescent="0.35">
      <c r="A38" s="185">
        <v>8</v>
      </c>
      <c r="B38" s="186">
        <v>33.51</v>
      </c>
      <c r="C38" s="189">
        <v>268.08</v>
      </c>
      <c r="D38" s="187">
        <v>8.0423999999999989</v>
      </c>
      <c r="E38" s="188"/>
    </row>
    <row r="39" spans="1:5" x14ac:dyDescent="0.35">
      <c r="A39" s="185">
        <v>6</v>
      </c>
      <c r="B39" s="186">
        <v>27.36</v>
      </c>
      <c r="C39" s="185">
        <v>164.16</v>
      </c>
      <c r="D39" s="187">
        <v>0</v>
      </c>
      <c r="E39" s="188"/>
    </row>
    <row r="40" spans="1:5" x14ac:dyDescent="0.35">
      <c r="A40" s="185">
        <v>5</v>
      </c>
      <c r="B40" s="186">
        <v>30.81</v>
      </c>
      <c r="C40" s="185">
        <v>154.04999999999998</v>
      </c>
      <c r="D40" s="187">
        <v>0</v>
      </c>
      <c r="E40" s="18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4]!practice">
                <anchor moveWithCells="1" sizeWithCells="1">
                  <from>
                    <xdr:col>3</xdr:col>
                    <xdr:colOff>1250950</xdr:colOff>
                    <xdr:row>0</xdr:row>
                    <xdr:rowOff>38100</xdr:rowOff>
                  </from>
                  <to>
                    <xdr:col>5</xdr:col>
                    <xdr:colOff>6350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4]!blank">
                <anchor moveWithCells="1" sizeWithCells="1">
                  <from>
                    <xdr:col>4</xdr:col>
                    <xdr:colOff>19050</xdr:colOff>
                    <xdr:row>2</xdr:row>
                    <xdr:rowOff>6350</xdr:rowOff>
                  </from>
                  <to>
                    <xdr:col>5</xdr:col>
                    <xdr:colOff>6350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53AE1-E2EF-4399-809E-16B3D6BCB7B1}">
  <sheetPr codeName="Sheet13"/>
  <dimension ref="A1:D14"/>
  <sheetViews>
    <sheetView workbookViewId="0">
      <selection activeCell="O12" sqref="O12"/>
    </sheetView>
  </sheetViews>
  <sheetFormatPr defaultColWidth="8.1640625" defaultRowHeight="14.5" x14ac:dyDescent="0.35"/>
  <cols>
    <col min="1" max="1" width="8.1640625" style="192"/>
    <col min="2" max="2" width="23.6640625" style="192" customWidth="1"/>
    <col min="3" max="3" width="8.1640625" style="192"/>
    <col min="4" max="4" width="17.33203125" style="192" customWidth="1"/>
    <col min="5" max="16384" width="8.1640625" style="192"/>
  </cols>
  <sheetData>
    <row r="1" spans="1:4" x14ac:dyDescent="0.35">
      <c r="A1" s="191"/>
    </row>
    <row r="5" spans="1:4" ht="18.5" x14ac:dyDescent="0.35">
      <c r="B5" s="193" t="s">
        <v>1763</v>
      </c>
      <c r="C5" s="193"/>
    </row>
    <row r="6" spans="1:4" ht="18.5" x14ac:dyDescent="0.45">
      <c r="B6" s="194" t="s">
        <v>1764</v>
      </c>
      <c r="C6" s="194"/>
      <c r="D6" s="195" t="s">
        <v>1765</v>
      </c>
    </row>
    <row r="7" spans="1:4" ht="18.5" x14ac:dyDescent="0.45">
      <c r="B7" s="194" t="s">
        <v>1766</v>
      </c>
      <c r="C7" s="194"/>
      <c r="D7" s="195" t="s">
        <v>1765</v>
      </c>
    </row>
    <row r="8" spans="1:4" ht="18.5" x14ac:dyDescent="0.45">
      <c r="B8" s="194" t="s">
        <v>1767</v>
      </c>
      <c r="C8" s="194"/>
      <c r="D8" s="195" t="s">
        <v>1768</v>
      </c>
    </row>
    <row r="9" spans="1:4" ht="18.5" x14ac:dyDescent="0.45">
      <c r="B9" s="194" t="s">
        <v>1769</v>
      </c>
      <c r="C9" s="194"/>
      <c r="D9" s="195" t="s">
        <v>1768</v>
      </c>
    </row>
    <row r="10" spans="1:4" ht="18.5" x14ac:dyDescent="0.45">
      <c r="B10" s="194" t="s">
        <v>1770</v>
      </c>
      <c r="C10" s="194"/>
      <c r="D10" s="195" t="s">
        <v>1765</v>
      </c>
    </row>
    <row r="11" spans="1:4" ht="18.5" x14ac:dyDescent="0.45">
      <c r="B11" s="194" t="s">
        <v>1771</v>
      </c>
      <c r="C11" s="194"/>
      <c r="D11" s="195" t="s">
        <v>1768</v>
      </c>
    </row>
    <row r="12" spans="1:4" ht="18.5" x14ac:dyDescent="0.45">
      <c r="B12" s="194" t="s">
        <v>1772</v>
      </c>
      <c r="C12" s="194"/>
      <c r="D12" s="195" t="s">
        <v>1765</v>
      </c>
    </row>
    <row r="13" spans="1:4" ht="18.5" x14ac:dyDescent="0.45">
      <c r="B13" s="194" t="s">
        <v>1773</v>
      </c>
      <c r="C13" s="194"/>
      <c r="D13" s="195" t="s">
        <v>1768</v>
      </c>
    </row>
    <row r="14" spans="1:4" ht="18.5" x14ac:dyDescent="0.45">
      <c r="B14" s="194" t="s">
        <v>1774</v>
      </c>
      <c r="C14" s="194"/>
      <c r="D14" s="195" t="s">
        <v>1765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4]!practice2">
                <anchor moveWithCells="1" sizeWithCells="1">
                  <from>
                    <xdr:col>5</xdr:col>
                    <xdr:colOff>609600</xdr:colOff>
                    <xdr:row>0</xdr:row>
                    <xdr:rowOff>101600</xdr:rowOff>
                  </from>
                  <to>
                    <xdr:col>8</xdr:col>
                    <xdr:colOff>0</xdr:colOff>
                    <xdr:row>4</xdr:row>
                    <xdr:rowOff>12700</xdr:rowOff>
                  </to>
                </anchor>
              </controlPr>
            </control>
          </mc:Choice>
        </mc:AlternateContent>
        <mc:AlternateContent xmlns:mc="http://schemas.openxmlformats.org/markup-compatibility/2006">
          <mc:Choice Requires="x14">
            <control shapeId="6146" r:id="rId4" name="Button 2">
              <controlPr defaultSize="0" print="0" autoFill="0" autoPict="0" macro="[4]!blank3">
                <anchor moveWithCells="1" sizeWithCells="1">
                  <from>
                    <xdr:col>8</xdr:col>
                    <xdr:colOff>95250</xdr:colOff>
                    <xdr:row>0</xdr:row>
                    <xdr:rowOff>107950</xdr:rowOff>
                  </from>
                  <to>
                    <xdr:col>9</xdr:col>
                    <xdr:colOff>501650</xdr:colOff>
                    <xdr:row>4</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1BBAE-C013-48DB-B90E-8E05D2368A9D}">
  <sheetPr codeName="Sheet14"/>
  <dimension ref="A1:A126"/>
  <sheetViews>
    <sheetView workbookViewId="0">
      <selection activeCell="Q6" sqref="Q6"/>
    </sheetView>
  </sheetViews>
  <sheetFormatPr defaultRowHeight="14.5" x14ac:dyDescent="0.35"/>
  <cols>
    <col min="1" max="16384" width="8.6640625" style="196"/>
  </cols>
  <sheetData>
    <row r="1" spans="1:1" x14ac:dyDescent="0.35">
      <c r="A1" s="196" t="s">
        <v>1775</v>
      </c>
    </row>
    <row r="3" spans="1:1" x14ac:dyDescent="0.35">
      <c r="A3" s="196" t="s">
        <v>1776</v>
      </c>
    </row>
    <row r="4" spans="1:1" x14ac:dyDescent="0.35">
      <c r="A4" s="196" t="s">
        <v>1777</v>
      </c>
    </row>
    <row r="7" spans="1:1" x14ac:dyDescent="0.35">
      <c r="A7" s="196" t="s">
        <v>1778</v>
      </c>
    </row>
    <row r="8" spans="1:1" x14ac:dyDescent="0.35">
      <c r="A8" s="196" t="s">
        <v>1779</v>
      </c>
    </row>
    <row r="10" spans="1:1" x14ac:dyDescent="0.35">
      <c r="A10" s="196" t="s">
        <v>1780</v>
      </c>
    </row>
    <row r="11" spans="1:1" x14ac:dyDescent="0.35">
      <c r="A11" s="196" t="s">
        <v>1781</v>
      </c>
    </row>
    <row r="14" spans="1:1" x14ac:dyDescent="0.35">
      <c r="A14" s="196" t="s">
        <v>1782</v>
      </c>
    </row>
    <row r="15" spans="1:1" x14ac:dyDescent="0.35">
      <c r="A15" s="196" t="s">
        <v>1783</v>
      </c>
    </row>
    <row r="18" spans="1:1" x14ac:dyDescent="0.35">
      <c r="A18" s="196" t="s">
        <v>1784</v>
      </c>
    </row>
    <row r="19" spans="1:1" x14ac:dyDescent="0.35">
      <c r="A19" s="196" t="s">
        <v>1785</v>
      </c>
    </row>
    <row r="20" spans="1:1" x14ac:dyDescent="0.35">
      <c r="A20" s="196" t="s">
        <v>1786</v>
      </c>
    </row>
    <row r="21" spans="1:1" x14ac:dyDescent="0.35">
      <c r="A21" s="196" t="s">
        <v>1787</v>
      </c>
    </row>
    <row r="22" spans="1:1" x14ac:dyDescent="0.35">
      <c r="A22" s="196" t="s">
        <v>1788</v>
      </c>
    </row>
    <row r="25" spans="1:1" x14ac:dyDescent="0.35">
      <c r="A25" s="196" t="s">
        <v>1784</v>
      </c>
    </row>
    <row r="26" spans="1:1" x14ac:dyDescent="0.35">
      <c r="A26" s="196" t="s">
        <v>1789</v>
      </c>
    </row>
    <row r="27" spans="1:1" x14ac:dyDescent="0.35">
      <c r="A27" s="196" t="s">
        <v>1790</v>
      </c>
    </row>
    <row r="28" spans="1:1" x14ac:dyDescent="0.35">
      <c r="A28" s="196" t="s">
        <v>1791</v>
      </c>
    </row>
    <row r="30" spans="1:1" x14ac:dyDescent="0.35">
      <c r="A30" s="196" t="s">
        <v>1792</v>
      </c>
    </row>
    <row r="32" spans="1:1" x14ac:dyDescent="0.35">
      <c r="A32" s="196" t="s">
        <v>1788</v>
      </c>
    </row>
    <row r="33" spans="1:1" x14ac:dyDescent="0.35">
      <c r="A33" s="196" t="s">
        <v>1793</v>
      </c>
    </row>
    <row r="35" spans="1:1" x14ac:dyDescent="0.35">
      <c r="A35" s="196" t="s">
        <v>1794</v>
      </c>
    </row>
    <row r="37" spans="1:1" x14ac:dyDescent="0.35">
      <c r="A37" s="196" t="s">
        <v>1784</v>
      </c>
    </row>
    <row r="38" spans="1:1" x14ac:dyDescent="0.35">
      <c r="A38" s="196" t="s">
        <v>1795</v>
      </c>
    </row>
    <row r="39" spans="1:1" x14ac:dyDescent="0.35">
      <c r="A39" s="196" t="s">
        <v>1796</v>
      </c>
    </row>
    <row r="40" spans="1:1" x14ac:dyDescent="0.35">
      <c r="A40" s="196" t="s">
        <v>1787</v>
      </c>
    </row>
    <row r="41" spans="1:1" x14ac:dyDescent="0.35">
      <c r="A41" s="196" t="s">
        <v>1788</v>
      </c>
    </row>
    <row r="43" spans="1:1" x14ac:dyDescent="0.35">
      <c r="A43" s="196" t="s">
        <v>1793</v>
      </c>
    </row>
    <row r="45" spans="1:1" x14ac:dyDescent="0.35">
      <c r="A45" s="196" t="s">
        <v>1797</v>
      </c>
    </row>
    <row r="47" spans="1:1" x14ac:dyDescent="0.35">
      <c r="A47" s="196" t="s">
        <v>1798</v>
      </c>
    </row>
    <row r="48" spans="1:1" x14ac:dyDescent="0.35">
      <c r="A48" s="196" t="s">
        <v>1799</v>
      </c>
    </row>
    <row r="49" spans="1:1" x14ac:dyDescent="0.35">
      <c r="A49" s="196" t="s">
        <v>1800</v>
      </c>
    </row>
    <row r="50" spans="1:1" x14ac:dyDescent="0.35">
      <c r="A50" s="196" t="s">
        <v>1801</v>
      </c>
    </row>
    <row r="52" spans="1:1" x14ac:dyDescent="0.35">
      <c r="A52" s="196" t="s">
        <v>1802</v>
      </c>
    </row>
    <row r="54" spans="1:1" x14ac:dyDescent="0.35">
      <c r="A54" s="196" t="s">
        <v>1803</v>
      </c>
    </row>
    <row r="55" spans="1:1" x14ac:dyDescent="0.35">
      <c r="A55" s="196" t="s">
        <v>1804</v>
      </c>
    </row>
    <row r="56" spans="1:1" x14ac:dyDescent="0.35">
      <c r="A56" s="196" t="s">
        <v>1805</v>
      </c>
    </row>
    <row r="57" spans="1:1" x14ac:dyDescent="0.35">
      <c r="A57" s="196" t="s">
        <v>1806</v>
      </c>
    </row>
    <row r="58" spans="1:1" x14ac:dyDescent="0.35">
      <c r="A58" s="196" t="s">
        <v>1807</v>
      </c>
    </row>
    <row r="60" spans="1:1" x14ac:dyDescent="0.35">
      <c r="A60" s="196" t="s">
        <v>1808</v>
      </c>
    </row>
    <row r="62" spans="1:1" x14ac:dyDescent="0.35">
      <c r="A62" s="196" t="s">
        <v>1809</v>
      </c>
    </row>
    <row r="64" spans="1:1" x14ac:dyDescent="0.35">
      <c r="A64" s="196" t="s">
        <v>1793</v>
      </c>
    </row>
    <row r="68" spans="1:1" x14ac:dyDescent="0.35">
      <c r="A68" s="196" t="s">
        <v>2714</v>
      </c>
    </row>
    <row r="70" spans="1:1" x14ac:dyDescent="0.35">
      <c r="A70" s="196" t="s">
        <v>2715</v>
      </c>
    </row>
    <row r="71" spans="1:1" x14ac:dyDescent="0.35">
      <c r="A71" s="196" t="s">
        <v>2716</v>
      </c>
    </row>
    <row r="72" spans="1:1" x14ac:dyDescent="0.35">
      <c r="A72" s="196" t="s">
        <v>2717</v>
      </c>
    </row>
    <row r="74" spans="1:1" x14ac:dyDescent="0.35">
      <c r="A74" s="196" t="s">
        <v>2718</v>
      </c>
    </row>
    <row r="75" spans="1:1" x14ac:dyDescent="0.35">
      <c r="A75" s="196" t="s">
        <v>2719</v>
      </c>
    </row>
    <row r="76" spans="1:1" x14ac:dyDescent="0.35">
      <c r="A76" s="196" t="s">
        <v>2720</v>
      </c>
    </row>
    <row r="78" spans="1:1" x14ac:dyDescent="0.35">
      <c r="A78" s="196" t="s">
        <v>2721</v>
      </c>
    </row>
    <row r="80" spans="1:1" x14ac:dyDescent="0.35">
      <c r="A80" s="196" t="s">
        <v>2722</v>
      </c>
    </row>
    <row r="81" spans="1:1" x14ac:dyDescent="0.35">
      <c r="A81" s="196" t="s">
        <v>2723</v>
      </c>
    </row>
    <row r="82" spans="1:1" x14ac:dyDescent="0.35">
      <c r="A82" s="196" t="s">
        <v>2724</v>
      </c>
    </row>
    <row r="83" spans="1:1" x14ac:dyDescent="0.35">
      <c r="A83" s="196" t="s">
        <v>2725</v>
      </c>
    </row>
    <row r="84" spans="1:1" x14ac:dyDescent="0.35">
      <c r="A84" s="196" t="s">
        <v>2726</v>
      </c>
    </row>
    <row r="85" spans="1:1" x14ac:dyDescent="0.35">
      <c r="A85" s="196" t="s">
        <v>2727</v>
      </c>
    </row>
    <row r="86" spans="1:1" x14ac:dyDescent="0.35">
      <c r="A86" s="196" t="s">
        <v>1793</v>
      </c>
    </row>
    <row r="88" spans="1:1" x14ac:dyDescent="0.35">
      <c r="A88" s="196" t="s">
        <v>2728</v>
      </c>
    </row>
    <row r="90" spans="1:1" x14ac:dyDescent="0.35">
      <c r="A90" s="196" t="s">
        <v>2729</v>
      </c>
    </row>
    <row r="91" spans="1:1" x14ac:dyDescent="0.35">
      <c r="A91" s="196" t="s">
        <v>2730</v>
      </c>
    </row>
    <row r="93" spans="1:1" x14ac:dyDescent="0.35">
      <c r="A93" s="196" t="s">
        <v>2731</v>
      </c>
    </row>
    <row r="94" spans="1:1" x14ac:dyDescent="0.35">
      <c r="A94" s="196" t="s">
        <v>2732</v>
      </c>
    </row>
    <row r="97" spans="1:1" x14ac:dyDescent="0.35">
      <c r="A97" s="196" t="s">
        <v>2733</v>
      </c>
    </row>
    <row r="99" spans="1:1" x14ac:dyDescent="0.35">
      <c r="A99" s="196" t="s">
        <v>2734</v>
      </c>
    </row>
    <row r="101" spans="1:1" x14ac:dyDescent="0.35">
      <c r="A101" s="196" t="s">
        <v>2735</v>
      </c>
    </row>
    <row r="102" spans="1:1" x14ac:dyDescent="0.35">
      <c r="A102" s="196" t="s">
        <v>2736</v>
      </c>
    </row>
    <row r="103" spans="1:1" x14ac:dyDescent="0.35">
      <c r="A103" s="196" t="s">
        <v>2737</v>
      </c>
    </row>
    <row r="104" spans="1:1" x14ac:dyDescent="0.35">
      <c r="A104" s="196" t="s">
        <v>2738</v>
      </c>
    </row>
    <row r="105" spans="1:1" x14ac:dyDescent="0.35">
      <c r="A105" s="196" t="s">
        <v>2739</v>
      </c>
    </row>
    <row r="106" spans="1:1" x14ac:dyDescent="0.35">
      <c r="A106" s="196" t="s">
        <v>2740</v>
      </c>
    </row>
    <row r="107" spans="1:1" x14ac:dyDescent="0.35">
      <c r="A107" s="196" t="s">
        <v>2741</v>
      </c>
    </row>
    <row r="108" spans="1:1" x14ac:dyDescent="0.35">
      <c r="A108" s="196" t="s">
        <v>2742</v>
      </c>
    </row>
    <row r="110" spans="1:1" x14ac:dyDescent="0.35">
      <c r="A110" s="196" t="s">
        <v>2743</v>
      </c>
    </row>
    <row r="112" spans="1:1" x14ac:dyDescent="0.35">
      <c r="A112" s="196" t="s">
        <v>2744</v>
      </c>
    </row>
    <row r="113" spans="1:1" x14ac:dyDescent="0.35">
      <c r="A113" s="196" t="s">
        <v>2745</v>
      </c>
    </row>
    <row r="116" spans="1:1" x14ac:dyDescent="0.35">
      <c r="A116" s="196" t="s">
        <v>1788</v>
      </c>
    </row>
    <row r="118" spans="1:1" x14ac:dyDescent="0.35">
      <c r="A118" s="196" t="s">
        <v>2746</v>
      </c>
    </row>
    <row r="119" spans="1:1" x14ac:dyDescent="0.35">
      <c r="A119" s="196" t="s">
        <v>2747</v>
      </c>
    </row>
    <row r="120" spans="1:1" x14ac:dyDescent="0.35">
      <c r="A120" s="196" t="s">
        <v>2748</v>
      </c>
    </row>
    <row r="121" spans="1:1" x14ac:dyDescent="0.35">
      <c r="A121" s="196" t="s">
        <v>2749</v>
      </c>
    </row>
    <row r="123" spans="1:1" x14ac:dyDescent="0.35">
      <c r="A123" s="196" t="s">
        <v>2750</v>
      </c>
    </row>
    <row r="124" spans="1:1" x14ac:dyDescent="0.35">
      <c r="A124" s="196" t="s">
        <v>2751</v>
      </c>
    </row>
    <row r="126" spans="1:1" x14ac:dyDescent="0.35">
      <c r="A126" s="196" t="s">
        <v>1793</v>
      </c>
    </row>
  </sheetData>
  <hyperlinks>
    <hyperlink ref="H1" r:id="rId1" display="ganeshv9495@gmail.com" xr:uid="{2AC6CEF5-D2E6-4558-97FA-D1F70A854706}"/>
    <hyperlink ref="K1" r:id="rId2" display="https://www.linkedin.com/in/ganesh9495/" xr:uid="{8308090D-4729-434D-A6A6-5F1AC3D7AB0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7C1FE-3B94-4F0E-8171-0C22F4811AE3}">
  <sheetPr codeName="Sheet1"/>
  <dimension ref="A2:O97"/>
  <sheetViews>
    <sheetView topLeftCell="E1" workbookViewId="0">
      <selection activeCell="T8" sqref="T8"/>
    </sheetView>
  </sheetViews>
  <sheetFormatPr defaultColWidth="9" defaultRowHeight="15.5" x14ac:dyDescent="0.35"/>
  <cols>
    <col min="1" max="2" width="12.1640625" style="2" customWidth="1"/>
    <col min="3" max="3" width="7.6640625" style="2" customWidth="1"/>
    <col min="4" max="7" width="7.5" style="2" customWidth="1"/>
    <col min="8" max="8" width="9" style="14"/>
    <col min="9" max="9" width="6.08203125" style="15" customWidth="1"/>
    <col min="10" max="10" width="9" style="2"/>
    <col min="11" max="11" width="54" style="2" bestFit="1" customWidth="1"/>
    <col min="12" max="12" width="12.5" style="2" customWidth="1"/>
    <col min="13" max="13" width="9" style="2"/>
    <col min="14" max="14" width="20" style="2" bestFit="1" customWidth="1"/>
    <col min="15" max="15" width="6" style="2" customWidth="1"/>
    <col min="16" max="16384" width="9" style="2"/>
  </cols>
  <sheetData>
    <row r="2" spans="1:15" x14ac:dyDescent="0.35">
      <c r="A2" s="1" t="s">
        <v>0</v>
      </c>
      <c r="B2" s="1" t="s">
        <v>1</v>
      </c>
      <c r="C2" s="1" t="s">
        <v>2</v>
      </c>
      <c r="D2" s="1" t="s">
        <v>3</v>
      </c>
      <c r="E2" s="1" t="s">
        <v>4</v>
      </c>
      <c r="F2" s="1" t="s">
        <v>5</v>
      </c>
      <c r="G2" s="1" t="s">
        <v>6</v>
      </c>
      <c r="H2" s="1" t="s">
        <v>7</v>
      </c>
      <c r="I2" s="1" t="s">
        <v>8</v>
      </c>
      <c r="K2" s="2" t="s">
        <v>9</v>
      </c>
    </row>
    <row r="3" spans="1:15" x14ac:dyDescent="0.35">
      <c r="A3" s="3" t="s">
        <v>10</v>
      </c>
      <c r="B3" s="3" t="s">
        <v>11</v>
      </c>
      <c r="C3" s="4" t="s">
        <v>12</v>
      </c>
      <c r="D3" s="5">
        <v>97</v>
      </c>
      <c r="E3" s="5">
        <v>90</v>
      </c>
      <c r="F3" s="5">
        <v>68</v>
      </c>
      <c r="G3" s="5">
        <v>93</v>
      </c>
      <c r="H3" s="6">
        <f>AVERAGE(D3:G3)</f>
        <v>87</v>
      </c>
      <c r="I3" s="7" t="str">
        <f>INDEX($O$11:$O$15,MATCH(H3,$N$11:$N$15,1))</f>
        <v>B</v>
      </c>
    </row>
    <row r="4" spans="1:15" x14ac:dyDescent="0.35">
      <c r="A4" s="3" t="s">
        <v>13</v>
      </c>
      <c r="B4" s="3" t="s">
        <v>14</v>
      </c>
      <c r="C4" s="4" t="s">
        <v>15</v>
      </c>
      <c r="D4" s="5">
        <v>88</v>
      </c>
      <c r="E4" s="5">
        <v>96</v>
      </c>
      <c r="F4" s="5">
        <v>70</v>
      </c>
      <c r="G4" s="5">
        <v>79</v>
      </c>
      <c r="H4" s="6">
        <f t="shared" ref="H4:H67" si="0">AVERAGE(D4:G4)</f>
        <v>83.25</v>
      </c>
      <c r="I4" s="7" t="str">
        <f t="shared" ref="I4:I67" si="1">INDEX($O$11:$O$15,MATCH(H4,$N$11:$N$15,1))</f>
        <v>B</v>
      </c>
      <c r="K4" s="2" t="s">
        <v>16</v>
      </c>
    </row>
    <row r="5" spans="1:15" x14ac:dyDescent="0.35">
      <c r="A5" s="4" t="s">
        <v>17</v>
      </c>
      <c r="B5" s="3" t="s">
        <v>18</v>
      </c>
      <c r="C5" s="4" t="s">
        <v>19</v>
      </c>
      <c r="D5" s="5">
        <v>92</v>
      </c>
      <c r="E5" s="5">
        <v>87</v>
      </c>
      <c r="F5" s="5">
        <v>53</v>
      </c>
      <c r="G5" s="5">
        <v>90</v>
      </c>
      <c r="H5" s="6">
        <f t="shared" si="0"/>
        <v>80.5</v>
      </c>
      <c r="I5" s="7" t="str">
        <f t="shared" si="1"/>
        <v>B</v>
      </c>
      <c r="K5" s="2" t="s">
        <v>20</v>
      </c>
    </row>
    <row r="6" spans="1:15" x14ac:dyDescent="0.35">
      <c r="A6" s="4" t="s">
        <v>21</v>
      </c>
      <c r="B6" s="3" t="s">
        <v>22</v>
      </c>
      <c r="C6" s="4" t="s">
        <v>23</v>
      </c>
      <c r="D6" s="5">
        <v>92</v>
      </c>
      <c r="E6" s="5">
        <v>90</v>
      </c>
      <c r="F6" s="5">
        <v>45</v>
      </c>
      <c r="G6" s="5">
        <v>91</v>
      </c>
      <c r="H6" s="6">
        <f t="shared" si="0"/>
        <v>79.5</v>
      </c>
      <c r="I6" s="7" t="str">
        <f t="shared" si="1"/>
        <v>C</v>
      </c>
      <c r="K6" s="2" t="s">
        <v>24</v>
      </c>
    </row>
    <row r="7" spans="1:15" x14ac:dyDescent="0.35">
      <c r="A7" s="4" t="s">
        <v>25</v>
      </c>
      <c r="B7" s="3" t="s">
        <v>26</v>
      </c>
      <c r="C7" s="4" t="s">
        <v>27</v>
      </c>
      <c r="D7" s="5">
        <v>92</v>
      </c>
      <c r="E7" s="5">
        <v>88</v>
      </c>
      <c r="F7" s="5">
        <v>46</v>
      </c>
      <c r="G7" s="5">
        <v>90</v>
      </c>
      <c r="H7" s="6">
        <f t="shared" si="0"/>
        <v>79</v>
      </c>
      <c r="I7" s="7" t="str">
        <f t="shared" si="1"/>
        <v>C</v>
      </c>
    </row>
    <row r="8" spans="1:15" x14ac:dyDescent="0.35">
      <c r="A8" s="4" t="s">
        <v>28</v>
      </c>
      <c r="B8" s="3" t="s">
        <v>29</v>
      </c>
      <c r="C8" s="4" t="s">
        <v>30</v>
      </c>
      <c r="D8" s="5">
        <v>91</v>
      </c>
      <c r="E8" s="5">
        <v>93</v>
      </c>
      <c r="F8" s="5">
        <v>54</v>
      </c>
      <c r="G8" s="5">
        <v>94</v>
      </c>
      <c r="H8" s="6">
        <f t="shared" si="0"/>
        <v>83</v>
      </c>
      <c r="I8" s="7" t="str">
        <f t="shared" si="1"/>
        <v>B</v>
      </c>
    </row>
    <row r="9" spans="1:15" ht="16" thickBot="1" x14ac:dyDescent="0.4">
      <c r="A9" s="3" t="s">
        <v>31</v>
      </c>
      <c r="B9" s="3" t="s">
        <v>32</v>
      </c>
      <c r="C9" s="4" t="s">
        <v>33</v>
      </c>
      <c r="D9" s="5">
        <v>94</v>
      </c>
      <c r="E9" s="5">
        <v>89</v>
      </c>
      <c r="F9" s="5">
        <v>44</v>
      </c>
      <c r="G9" s="5">
        <v>72</v>
      </c>
      <c r="H9" s="6">
        <f t="shared" si="0"/>
        <v>74.75</v>
      </c>
      <c r="I9" s="7" t="str">
        <f t="shared" si="1"/>
        <v>C</v>
      </c>
    </row>
    <row r="10" spans="1:15" x14ac:dyDescent="0.35">
      <c r="A10" s="4" t="s">
        <v>34</v>
      </c>
      <c r="B10" s="3" t="s">
        <v>35</v>
      </c>
      <c r="C10" s="4" t="s">
        <v>36</v>
      </c>
      <c r="D10" s="5">
        <v>92</v>
      </c>
      <c r="E10" s="5">
        <v>90</v>
      </c>
      <c r="F10" s="5">
        <v>74</v>
      </c>
      <c r="G10" s="5">
        <v>68</v>
      </c>
      <c r="H10" s="6">
        <f t="shared" si="0"/>
        <v>81</v>
      </c>
      <c r="I10" s="7" t="str">
        <f t="shared" si="1"/>
        <v>B</v>
      </c>
      <c r="N10" s="400" t="s">
        <v>37</v>
      </c>
      <c r="O10" s="401"/>
    </row>
    <row r="11" spans="1:15" x14ac:dyDescent="0.35">
      <c r="A11" s="4" t="s">
        <v>38</v>
      </c>
      <c r="B11" s="3" t="s">
        <v>39</v>
      </c>
      <c r="C11" s="4" t="s">
        <v>40</v>
      </c>
      <c r="D11" s="5">
        <v>80</v>
      </c>
      <c r="E11" s="5">
        <v>90</v>
      </c>
      <c r="F11" s="5">
        <v>65</v>
      </c>
      <c r="G11" s="5">
        <v>91</v>
      </c>
      <c r="H11" s="6">
        <f t="shared" si="0"/>
        <v>81.5</v>
      </c>
      <c r="I11" s="7" t="str">
        <f t="shared" si="1"/>
        <v>B</v>
      </c>
      <c r="N11" s="8">
        <v>0</v>
      </c>
      <c r="O11" s="9" t="s">
        <v>41</v>
      </c>
    </row>
    <row r="12" spans="1:15" x14ac:dyDescent="0.35">
      <c r="A12" s="4" t="s">
        <v>42</v>
      </c>
      <c r="B12" s="3" t="s">
        <v>43</v>
      </c>
      <c r="C12" s="4" t="s">
        <v>44</v>
      </c>
      <c r="D12" s="5">
        <v>96</v>
      </c>
      <c r="E12" s="5">
        <v>82</v>
      </c>
      <c r="F12" s="5">
        <v>40</v>
      </c>
      <c r="G12" s="5">
        <v>78</v>
      </c>
      <c r="H12" s="6">
        <f t="shared" si="0"/>
        <v>74</v>
      </c>
      <c r="I12" s="7" t="str">
        <f t="shared" si="1"/>
        <v>C</v>
      </c>
      <c r="N12" s="8">
        <v>60</v>
      </c>
      <c r="O12" s="9" t="s">
        <v>45</v>
      </c>
    </row>
    <row r="13" spans="1:15" ht="16" thickBot="1" x14ac:dyDescent="0.4">
      <c r="A13" s="4" t="s">
        <v>46</v>
      </c>
      <c r="B13" s="3" t="s">
        <v>47</v>
      </c>
      <c r="C13" s="4" t="s">
        <v>48</v>
      </c>
      <c r="D13" s="5">
        <v>91</v>
      </c>
      <c r="E13" s="5">
        <v>88</v>
      </c>
      <c r="F13" s="5">
        <v>90</v>
      </c>
      <c r="G13" s="5">
        <v>77</v>
      </c>
      <c r="H13" s="6">
        <f t="shared" si="0"/>
        <v>86.5</v>
      </c>
      <c r="I13" s="7" t="str">
        <f t="shared" si="1"/>
        <v>B</v>
      </c>
      <c r="N13" s="8">
        <v>70</v>
      </c>
      <c r="O13" s="9" t="s">
        <v>49</v>
      </c>
    </row>
    <row r="14" spans="1:15" ht="16" thickBot="1" x14ac:dyDescent="0.4">
      <c r="A14" s="4" t="s">
        <v>50</v>
      </c>
      <c r="B14" s="3" t="s">
        <v>51</v>
      </c>
      <c r="C14" s="4" t="s">
        <v>52</v>
      </c>
      <c r="D14" s="5">
        <v>91</v>
      </c>
      <c r="E14" s="5">
        <v>77</v>
      </c>
      <c r="F14" s="5">
        <v>72</v>
      </c>
      <c r="G14" s="5">
        <v>85</v>
      </c>
      <c r="H14" s="6">
        <f t="shared" si="0"/>
        <v>81.25</v>
      </c>
      <c r="I14" s="7" t="str">
        <f t="shared" si="1"/>
        <v>B</v>
      </c>
      <c r="K14" s="352" t="s">
        <v>2578</v>
      </c>
      <c r="N14" s="8">
        <v>80</v>
      </c>
      <c r="O14" s="9" t="s">
        <v>53</v>
      </c>
    </row>
    <row r="15" spans="1:15" ht="16" thickBot="1" x14ac:dyDescent="0.4">
      <c r="A15" s="4" t="s">
        <v>54</v>
      </c>
      <c r="B15" s="3" t="s">
        <v>55</v>
      </c>
      <c r="C15" s="4" t="s">
        <v>56</v>
      </c>
      <c r="D15" s="5">
        <v>86</v>
      </c>
      <c r="E15" s="5">
        <v>79</v>
      </c>
      <c r="F15" s="5">
        <v>47</v>
      </c>
      <c r="G15" s="5">
        <v>88</v>
      </c>
      <c r="H15" s="6">
        <f t="shared" si="0"/>
        <v>75</v>
      </c>
      <c r="I15" s="7" t="str">
        <f t="shared" si="1"/>
        <v>C</v>
      </c>
      <c r="N15" s="10">
        <v>90</v>
      </c>
      <c r="O15" s="11" t="s">
        <v>57</v>
      </c>
    </row>
    <row r="16" spans="1:15" x14ac:dyDescent="0.35">
      <c r="A16" s="4" t="s">
        <v>58</v>
      </c>
      <c r="B16" s="3" t="s">
        <v>59</v>
      </c>
      <c r="C16" s="4" t="s">
        <v>60</v>
      </c>
      <c r="D16" s="5">
        <v>85</v>
      </c>
      <c r="E16" s="5">
        <v>93</v>
      </c>
      <c r="F16" s="5">
        <v>46</v>
      </c>
      <c r="G16" s="5">
        <v>82</v>
      </c>
      <c r="H16" s="6">
        <f t="shared" si="0"/>
        <v>76.5</v>
      </c>
      <c r="I16" s="7" t="str">
        <f t="shared" si="1"/>
        <v>C</v>
      </c>
    </row>
    <row r="17" spans="1:12" x14ac:dyDescent="0.35">
      <c r="A17" s="3" t="s">
        <v>61</v>
      </c>
      <c r="B17" s="3" t="s">
        <v>62</v>
      </c>
      <c r="C17" s="4" t="s">
        <v>63</v>
      </c>
      <c r="D17" s="5">
        <v>89</v>
      </c>
      <c r="E17" s="5">
        <v>68</v>
      </c>
      <c r="F17" s="5">
        <v>45</v>
      </c>
      <c r="G17" s="5">
        <v>88</v>
      </c>
      <c r="H17" s="6">
        <f t="shared" si="0"/>
        <v>72.5</v>
      </c>
      <c r="I17" s="7" t="str">
        <f t="shared" si="1"/>
        <v>C</v>
      </c>
      <c r="K17" s="2" t="s">
        <v>64</v>
      </c>
    </row>
    <row r="18" spans="1:12" x14ac:dyDescent="0.35">
      <c r="A18" s="3" t="s">
        <v>65</v>
      </c>
      <c r="B18" s="3" t="s">
        <v>66</v>
      </c>
      <c r="C18" s="4" t="s">
        <v>67</v>
      </c>
      <c r="D18" s="5">
        <v>95</v>
      </c>
      <c r="E18" s="5">
        <v>73</v>
      </c>
      <c r="F18" s="5">
        <v>51</v>
      </c>
      <c r="G18" s="5">
        <v>66</v>
      </c>
      <c r="H18" s="6">
        <f t="shared" si="0"/>
        <v>71.25</v>
      </c>
      <c r="I18" s="7" t="str">
        <f t="shared" si="1"/>
        <v>C</v>
      </c>
      <c r="K18" s="4" t="s">
        <v>68</v>
      </c>
      <c r="L18" s="12" t="s">
        <v>7</v>
      </c>
    </row>
    <row r="19" spans="1:12" x14ac:dyDescent="0.35">
      <c r="A19" s="4" t="s">
        <v>69</v>
      </c>
      <c r="B19" s="3" t="s">
        <v>70</v>
      </c>
      <c r="C19" s="4" t="s">
        <v>71</v>
      </c>
      <c r="D19" s="5">
        <v>89</v>
      </c>
      <c r="E19" s="5">
        <v>78</v>
      </c>
      <c r="F19" s="5">
        <v>72</v>
      </c>
      <c r="G19" s="5">
        <v>71</v>
      </c>
      <c r="H19" s="6">
        <f t="shared" si="0"/>
        <v>77.5</v>
      </c>
      <c r="I19" s="7" t="str">
        <f t="shared" si="1"/>
        <v>C</v>
      </c>
      <c r="K19" s="12" t="s">
        <v>12</v>
      </c>
      <c r="L19" s="4">
        <f>INDEX(A3:I97,MATCH(K19,C3:C97,0),MATCH(L18,A2:I2,0))</f>
        <v>87</v>
      </c>
    </row>
    <row r="20" spans="1:12" x14ac:dyDescent="0.35">
      <c r="A20" s="4" t="s">
        <v>72</v>
      </c>
      <c r="B20" s="3" t="s">
        <v>73</v>
      </c>
      <c r="C20" s="4" t="s">
        <v>74</v>
      </c>
      <c r="D20" s="5">
        <v>83</v>
      </c>
      <c r="E20" s="5">
        <v>78</v>
      </c>
      <c r="F20" s="5">
        <v>87</v>
      </c>
      <c r="G20" s="5">
        <v>81</v>
      </c>
      <c r="H20" s="6">
        <f t="shared" si="0"/>
        <v>82.25</v>
      </c>
      <c r="I20" s="7" t="str">
        <f t="shared" si="1"/>
        <v>B</v>
      </c>
    </row>
    <row r="21" spans="1:12" x14ac:dyDescent="0.35">
      <c r="A21" s="4" t="s">
        <v>75</v>
      </c>
      <c r="B21" s="3" t="s">
        <v>76</v>
      </c>
      <c r="C21" s="4" t="s">
        <v>77</v>
      </c>
      <c r="D21" s="5">
        <v>87</v>
      </c>
      <c r="E21" s="5">
        <v>79</v>
      </c>
      <c r="F21" s="5">
        <v>56</v>
      </c>
      <c r="G21" s="5">
        <v>73</v>
      </c>
      <c r="H21" s="6">
        <f t="shared" si="0"/>
        <v>73.75</v>
      </c>
      <c r="I21" s="7" t="str">
        <f t="shared" si="1"/>
        <v>C</v>
      </c>
    </row>
    <row r="22" spans="1:12" x14ac:dyDescent="0.35">
      <c r="A22" s="4" t="s">
        <v>78</v>
      </c>
      <c r="B22" s="3" t="s">
        <v>79</v>
      </c>
      <c r="C22" s="4" t="s">
        <v>80</v>
      </c>
      <c r="D22" s="5">
        <v>89</v>
      </c>
      <c r="E22" s="5">
        <v>79</v>
      </c>
      <c r="F22" s="5">
        <v>58</v>
      </c>
      <c r="G22" s="5">
        <v>83</v>
      </c>
      <c r="H22" s="6">
        <f t="shared" si="0"/>
        <v>77.25</v>
      </c>
      <c r="I22" s="7" t="str">
        <f t="shared" si="1"/>
        <v>C</v>
      </c>
      <c r="K22" s="2" t="s">
        <v>81</v>
      </c>
    </row>
    <row r="23" spans="1:12" x14ac:dyDescent="0.35">
      <c r="A23" s="4" t="s">
        <v>82</v>
      </c>
      <c r="B23" s="3" t="s">
        <v>83</v>
      </c>
      <c r="C23" s="4" t="s">
        <v>84</v>
      </c>
      <c r="D23" s="5">
        <v>85</v>
      </c>
      <c r="E23" s="5">
        <v>86</v>
      </c>
      <c r="F23" s="5">
        <v>100</v>
      </c>
      <c r="G23" s="5">
        <v>70</v>
      </c>
      <c r="H23" s="6">
        <f t="shared" si="0"/>
        <v>85.25</v>
      </c>
      <c r="I23" s="7" t="str">
        <f t="shared" si="1"/>
        <v>B</v>
      </c>
      <c r="K23" s="12" t="s">
        <v>3</v>
      </c>
      <c r="L23" s="4">
        <f>MAX(INDEX(D3:H97,,MATCH(K23,D2:H2,0)))</f>
        <v>97</v>
      </c>
    </row>
    <row r="24" spans="1:12" x14ac:dyDescent="0.35">
      <c r="A24" s="3" t="s">
        <v>85</v>
      </c>
      <c r="B24" s="3" t="s">
        <v>86</v>
      </c>
      <c r="C24" s="4" t="s">
        <v>87</v>
      </c>
      <c r="D24" s="5">
        <v>88</v>
      </c>
      <c r="E24" s="5">
        <v>80</v>
      </c>
      <c r="F24" s="5">
        <v>53</v>
      </c>
      <c r="G24" s="5">
        <v>85</v>
      </c>
      <c r="H24" s="6">
        <f t="shared" si="0"/>
        <v>76.5</v>
      </c>
      <c r="I24" s="7" t="str">
        <f t="shared" si="1"/>
        <v>C</v>
      </c>
    </row>
    <row r="25" spans="1:12" x14ac:dyDescent="0.35">
      <c r="A25" s="4" t="s">
        <v>88</v>
      </c>
      <c r="B25" s="3" t="s">
        <v>89</v>
      </c>
      <c r="C25" s="4" t="s">
        <v>90</v>
      </c>
      <c r="D25" s="5">
        <v>89</v>
      </c>
      <c r="E25" s="5">
        <v>80</v>
      </c>
      <c r="F25" s="5">
        <v>49</v>
      </c>
      <c r="G25" s="5">
        <v>62</v>
      </c>
      <c r="H25" s="6">
        <f t="shared" si="0"/>
        <v>70</v>
      </c>
      <c r="I25" s="7" t="str">
        <f t="shared" si="1"/>
        <v>C</v>
      </c>
    </row>
    <row r="26" spans="1:12" x14ac:dyDescent="0.35">
      <c r="A26" s="4" t="s">
        <v>91</v>
      </c>
      <c r="B26" s="3" t="s">
        <v>92</v>
      </c>
      <c r="C26" s="4" t="s">
        <v>93</v>
      </c>
      <c r="D26" s="5">
        <v>84</v>
      </c>
      <c r="E26" s="5">
        <v>81</v>
      </c>
      <c r="F26" s="5">
        <v>71</v>
      </c>
      <c r="G26" s="5">
        <v>83</v>
      </c>
      <c r="H26" s="6">
        <f t="shared" si="0"/>
        <v>79.75</v>
      </c>
      <c r="I26" s="7" t="str">
        <f t="shared" si="1"/>
        <v>C</v>
      </c>
      <c r="K26" s="2" t="s">
        <v>94</v>
      </c>
    </row>
    <row r="27" spans="1:12" x14ac:dyDescent="0.35">
      <c r="A27" s="3" t="s">
        <v>95</v>
      </c>
      <c r="B27" s="3" t="s">
        <v>96</v>
      </c>
      <c r="C27" s="4" t="s">
        <v>97</v>
      </c>
      <c r="D27" s="5">
        <v>81</v>
      </c>
      <c r="E27" s="5">
        <v>83</v>
      </c>
      <c r="F27" s="5">
        <v>81</v>
      </c>
      <c r="G27" s="5">
        <v>73</v>
      </c>
      <c r="H27" s="6">
        <f t="shared" si="0"/>
        <v>79.5</v>
      </c>
      <c r="I27" s="7" t="str">
        <f t="shared" si="1"/>
        <v>C</v>
      </c>
      <c r="K27" s="13" t="str" cm="1">
        <f t="array" aca="1" ref="K27" ca="1">INDEX($C$3:$C$97,RANDBETWEEN(1,94))</f>
        <v>AAJ534</v>
      </c>
    </row>
    <row r="28" spans="1:12" x14ac:dyDescent="0.35">
      <c r="A28" s="4" t="s">
        <v>98</v>
      </c>
      <c r="B28" s="3" t="s">
        <v>99</v>
      </c>
      <c r="C28" s="4" t="s">
        <v>100</v>
      </c>
      <c r="D28" s="5">
        <v>86</v>
      </c>
      <c r="E28" s="5">
        <v>84</v>
      </c>
      <c r="F28" s="5">
        <v>72</v>
      </c>
      <c r="G28" s="5">
        <v>69</v>
      </c>
      <c r="H28" s="6">
        <f t="shared" si="0"/>
        <v>77.75</v>
      </c>
      <c r="I28" s="7" t="str">
        <f t="shared" si="1"/>
        <v>C</v>
      </c>
      <c r="K28" s="13" t="str" cm="1">
        <f t="array" aca="1" ref="K28" ca="1">INDEX($C$3:$C$97,RANDBETWEEN(1,94))</f>
        <v>LXC481</v>
      </c>
    </row>
    <row r="29" spans="1:12" x14ac:dyDescent="0.35">
      <c r="A29" s="3" t="s">
        <v>101</v>
      </c>
      <c r="B29" s="3" t="s">
        <v>102</v>
      </c>
      <c r="C29" s="4" t="s">
        <v>103</v>
      </c>
      <c r="D29" s="5">
        <v>87</v>
      </c>
      <c r="E29" s="5">
        <v>85</v>
      </c>
      <c r="F29" s="5">
        <v>45</v>
      </c>
      <c r="G29" s="5">
        <v>72</v>
      </c>
      <c r="H29" s="6">
        <f t="shared" si="0"/>
        <v>72.25</v>
      </c>
      <c r="I29" s="7" t="str">
        <f t="shared" si="1"/>
        <v>C</v>
      </c>
      <c r="K29" s="13" t="str" cm="1">
        <f t="array" aca="1" ref="K29" ca="1">INDEX($C$3:$C$97,RANDBETWEEN(1,94))</f>
        <v>RXP479</v>
      </c>
    </row>
    <row r="30" spans="1:12" x14ac:dyDescent="0.35">
      <c r="A30" s="4" t="s">
        <v>104</v>
      </c>
      <c r="B30" s="3" t="s">
        <v>105</v>
      </c>
      <c r="C30" s="4" t="s">
        <v>106</v>
      </c>
      <c r="D30" s="5">
        <v>88</v>
      </c>
      <c r="E30" s="5">
        <v>85</v>
      </c>
      <c r="F30" s="5">
        <v>82</v>
      </c>
      <c r="G30" s="5">
        <v>75</v>
      </c>
      <c r="H30" s="6">
        <f t="shared" si="0"/>
        <v>82.5</v>
      </c>
      <c r="I30" s="7" t="str">
        <f t="shared" si="1"/>
        <v>B</v>
      </c>
      <c r="K30" s="13" t="str" cm="1">
        <f t="array" aca="1" ref="K30" ca="1">INDEX($C$3:$C$97,RANDBETWEEN(1,94))</f>
        <v>LXL805</v>
      </c>
    </row>
    <row r="31" spans="1:12" x14ac:dyDescent="0.35">
      <c r="A31" s="4" t="s">
        <v>107</v>
      </c>
      <c r="B31" s="3" t="s">
        <v>108</v>
      </c>
      <c r="C31" s="4" t="s">
        <v>109</v>
      </c>
      <c r="D31" s="5">
        <v>90</v>
      </c>
      <c r="E31" s="5">
        <v>86</v>
      </c>
      <c r="F31" s="5">
        <v>41</v>
      </c>
      <c r="G31" s="5">
        <v>66</v>
      </c>
      <c r="H31" s="6">
        <f t="shared" si="0"/>
        <v>70.75</v>
      </c>
      <c r="I31" s="7" t="str">
        <f t="shared" si="1"/>
        <v>C</v>
      </c>
      <c r="K31" s="13" t="str" cm="1">
        <f t="array" aca="1" ref="K31" ca="1">INDEX($C$3:$C$97,RANDBETWEEN(1,94))</f>
        <v>CAE227</v>
      </c>
    </row>
    <row r="32" spans="1:12" x14ac:dyDescent="0.35">
      <c r="A32" s="4" t="s">
        <v>110</v>
      </c>
      <c r="B32" s="3" t="s">
        <v>111</v>
      </c>
      <c r="C32" s="4" t="s">
        <v>112</v>
      </c>
      <c r="D32" s="5">
        <v>86</v>
      </c>
      <c r="E32" s="5">
        <v>86</v>
      </c>
      <c r="F32" s="5">
        <v>45</v>
      </c>
      <c r="G32" s="5">
        <v>54</v>
      </c>
      <c r="H32" s="6">
        <f t="shared" si="0"/>
        <v>67.75</v>
      </c>
      <c r="I32" s="7" t="str">
        <f t="shared" si="1"/>
        <v>D</v>
      </c>
      <c r="K32" s="13" t="str" cm="1">
        <f t="array" aca="1" ref="K32" ca="1">INDEX($C$3:$C$97,RANDBETWEEN(1,94))</f>
        <v>SXS383</v>
      </c>
    </row>
    <row r="33" spans="1:11" x14ac:dyDescent="0.35">
      <c r="A33" s="4" t="s">
        <v>113</v>
      </c>
      <c r="B33" s="3" t="s">
        <v>114</v>
      </c>
      <c r="C33" s="4" t="s">
        <v>115</v>
      </c>
      <c r="D33" s="5">
        <v>76</v>
      </c>
      <c r="E33" s="5">
        <v>86</v>
      </c>
      <c r="F33" s="5">
        <v>46</v>
      </c>
      <c r="G33" s="5">
        <v>56</v>
      </c>
      <c r="H33" s="6">
        <f t="shared" si="0"/>
        <v>66</v>
      </c>
      <c r="I33" s="7" t="str">
        <f t="shared" si="1"/>
        <v>D</v>
      </c>
      <c r="K33" s="13" t="str" cm="1">
        <f t="array" aca="1" ref="K33" ca="1">INDEX($C$3:$C$97,RANDBETWEEN(1,94))</f>
        <v>TXH402</v>
      </c>
    </row>
    <row r="34" spans="1:11" x14ac:dyDescent="0.35">
      <c r="A34" s="4" t="s">
        <v>116</v>
      </c>
      <c r="B34" s="3" t="s">
        <v>117</v>
      </c>
      <c r="C34" s="4" t="s">
        <v>118</v>
      </c>
      <c r="D34" s="5">
        <v>94</v>
      </c>
      <c r="E34" s="5">
        <v>49</v>
      </c>
      <c r="F34" s="5">
        <v>91</v>
      </c>
      <c r="G34" s="5">
        <v>90</v>
      </c>
      <c r="H34" s="6">
        <f t="shared" si="0"/>
        <v>81</v>
      </c>
      <c r="I34" s="7" t="str">
        <f t="shared" si="1"/>
        <v>B</v>
      </c>
      <c r="K34" s="13" t="str" cm="1">
        <f t="array" aca="1" ref="K34" ca="1">INDEX($C$3:$C$97,RANDBETWEEN(1,94))</f>
        <v>MDS517</v>
      </c>
    </row>
    <row r="35" spans="1:11" x14ac:dyDescent="0.35">
      <c r="A35" s="4" t="s">
        <v>119</v>
      </c>
      <c r="B35" s="3" t="s">
        <v>120</v>
      </c>
      <c r="C35" s="4" t="s">
        <v>121</v>
      </c>
      <c r="D35" s="5">
        <v>82</v>
      </c>
      <c r="E35" s="5">
        <v>87</v>
      </c>
      <c r="F35" s="5">
        <v>67</v>
      </c>
      <c r="G35" s="5">
        <v>71</v>
      </c>
      <c r="H35" s="6">
        <f t="shared" si="0"/>
        <v>76.75</v>
      </c>
      <c r="I35" s="7" t="str">
        <f t="shared" si="1"/>
        <v>C</v>
      </c>
    </row>
    <row r="36" spans="1:11" x14ac:dyDescent="0.35">
      <c r="A36" s="4" t="s">
        <v>122</v>
      </c>
      <c r="B36" s="3" t="s">
        <v>123</v>
      </c>
      <c r="C36" s="4" t="s">
        <v>124</v>
      </c>
      <c r="D36" s="5">
        <v>81</v>
      </c>
      <c r="E36" s="5">
        <v>87</v>
      </c>
      <c r="F36" s="5">
        <v>64</v>
      </c>
      <c r="G36" s="5">
        <v>63</v>
      </c>
      <c r="H36" s="6">
        <f t="shared" si="0"/>
        <v>73.75</v>
      </c>
      <c r="I36" s="7" t="str">
        <f t="shared" si="1"/>
        <v>C</v>
      </c>
    </row>
    <row r="37" spans="1:11" x14ac:dyDescent="0.35">
      <c r="A37" s="4" t="s">
        <v>125</v>
      </c>
      <c r="B37" s="3" t="s">
        <v>126</v>
      </c>
      <c r="C37" s="4" t="s">
        <v>127</v>
      </c>
      <c r="D37" s="5">
        <v>79</v>
      </c>
      <c r="E37" s="5">
        <v>92</v>
      </c>
      <c r="F37" s="5">
        <v>40</v>
      </c>
      <c r="G37" s="5">
        <v>72</v>
      </c>
      <c r="H37" s="6">
        <f t="shared" si="0"/>
        <v>70.75</v>
      </c>
      <c r="I37" s="7" t="str">
        <f t="shared" si="1"/>
        <v>C</v>
      </c>
    </row>
    <row r="38" spans="1:11" x14ac:dyDescent="0.35">
      <c r="A38" s="4" t="s">
        <v>128</v>
      </c>
      <c r="B38" s="3" t="s">
        <v>129</v>
      </c>
      <c r="C38" s="4" t="s">
        <v>130</v>
      </c>
      <c r="D38" s="5">
        <v>76</v>
      </c>
      <c r="E38" s="5">
        <v>75</v>
      </c>
      <c r="F38" s="5">
        <v>51</v>
      </c>
      <c r="G38" s="5">
        <v>64</v>
      </c>
      <c r="H38" s="6">
        <f t="shared" si="0"/>
        <v>66.5</v>
      </c>
      <c r="I38" s="7" t="str">
        <f t="shared" si="1"/>
        <v>D</v>
      </c>
    </row>
    <row r="39" spans="1:11" x14ac:dyDescent="0.35">
      <c r="A39" s="3" t="s">
        <v>131</v>
      </c>
      <c r="B39" s="3" t="s">
        <v>132</v>
      </c>
      <c r="C39" s="4" t="s">
        <v>133</v>
      </c>
      <c r="D39" s="5">
        <v>74</v>
      </c>
      <c r="E39" s="5">
        <v>65</v>
      </c>
      <c r="F39" s="5">
        <v>65</v>
      </c>
      <c r="G39" s="5">
        <v>75</v>
      </c>
      <c r="H39" s="6">
        <f t="shared" si="0"/>
        <v>69.75</v>
      </c>
      <c r="I39" s="7" t="str">
        <f t="shared" si="1"/>
        <v>D</v>
      </c>
    </row>
    <row r="40" spans="1:11" x14ac:dyDescent="0.35">
      <c r="A40" s="4" t="s">
        <v>134</v>
      </c>
      <c r="B40" s="3" t="s">
        <v>135</v>
      </c>
      <c r="C40" s="4" t="s">
        <v>136</v>
      </c>
      <c r="D40" s="5">
        <v>60</v>
      </c>
      <c r="E40" s="5">
        <v>80</v>
      </c>
      <c r="F40" s="5">
        <v>89</v>
      </c>
      <c r="G40" s="5">
        <v>66</v>
      </c>
      <c r="H40" s="6">
        <f t="shared" si="0"/>
        <v>73.75</v>
      </c>
      <c r="I40" s="7" t="str">
        <f t="shared" si="1"/>
        <v>C</v>
      </c>
    </row>
    <row r="41" spans="1:11" x14ac:dyDescent="0.35">
      <c r="A41" s="4" t="s">
        <v>137</v>
      </c>
      <c r="B41" s="3" t="s">
        <v>138</v>
      </c>
      <c r="C41" s="4" t="s">
        <v>139</v>
      </c>
      <c r="D41" s="5">
        <v>76</v>
      </c>
      <c r="E41" s="5">
        <v>73</v>
      </c>
      <c r="F41" s="5">
        <v>64</v>
      </c>
      <c r="G41" s="5">
        <v>48</v>
      </c>
      <c r="H41" s="6">
        <f t="shared" si="0"/>
        <v>65.25</v>
      </c>
      <c r="I41" s="7" t="str">
        <f t="shared" si="1"/>
        <v>D</v>
      </c>
    </row>
    <row r="42" spans="1:11" x14ac:dyDescent="0.35">
      <c r="A42" s="4" t="s">
        <v>140</v>
      </c>
      <c r="B42" s="3" t="s">
        <v>76</v>
      </c>
      <c r="C42" s="4" t="s">
        <v>141</v>
      </c>
      <c r="D42" s="5">
        <v>76</v>
      </c>
      <c r="E42" s="5">
        <v>70</v>
      </c>
      <c r="F42" s="5">
        <v>68</v>
      </c>
      <c r="G42" s="5">
        <v>55</v>
      </c>
      <c r="H42" s="6">
        <f t="shared" si="0"/>
        <v>67.25</v>
      </c>
      <c r="I42" s="7" t="str">
        <f t="shared" si="1"/>
        <v>D</v>
      </c>
    </row>
    <row r="43" spans="1:11" x14ac:dyDescent="0.35">
      <c r="A43" s="4" t="s">
        <v>142</v>
      </c>
      <c r="B43" s="3" t="s">
        <v>143</v>
      </c>
      <c r="C43" s="4" t="s">
        <v>144</v>
      </c>
      <c r="D43" s="5">
        <v>71</v>
      </c>
      <c r="E43" s="5">
        <v>75</v>
      </c>
      <c r="F43" s="5">
        <v>84</v>
      </c>
      <c r="G43" s="5">
        <v>73</v>
      </c>
      <c r="H43" s="6">
        <f t="shared" si="0"/>
        <v>75.75</v>
      </c>
      <c r="I43" s="7" t="str">
        <f t="shared" si="1"/>
        <v>C</v>
      </c>
    </row>
    <row r="44" spans="1:11" x14ac:dyDescent="0.35">
      <c r="A44" s="4" t="s">
        <v>145</v>
      </c>
      <c r="B44" s="3" t="s">
        <v>146</v>
      </c>
      <c r="C44" s="4" t="s">
        <v>147</v>
      </c>
      <c r="D44" s="5">
        <v>69</v>
      </c>
      <c r="E44" s="5">
        <v>79</v>
      </c>
      <c r="F44" s="5">
        <v>65</v>
      </c>
      <c r="G44" s="5">
        <v>62</v>
      </c>
      <c r="H44" s="6">
        <f t="shared" si="0"/>
        <v>68.75</v>
      </c>
      <c r="I44" s="7" t="str">
        <f t="shared" si="1"/>
        <v>D</v>
      </c>
    </row>
    <row r="45" spans="1:11" x14ac:dyDescent="0.35">
      <c r="A45" s="4" t="s">
        <v>148</v>
      </c>
      <c r="B45" s="3" t="s">
        <v>99</v>
      </c>
      <c r="C45" s="4" t="s">
        <v>149</v>
      </c>
      <c r="D45" s="5">
        <v>72</v>
      </c>
      <c r="E45" s="5">
        <v>72</v>
      </c>
      <c r="F45" s="5">
        <v>99</v>
      </c>
      <c r="G45" s="5">
        <v>45</v>
      </c>
      <c r="H45" s="6">
        <f t="shared" si="0"/>
        <v>72</v>
      </c>
      <c r="I45" s="7" t="str">
        <f t="shared" si="1"/>
        <v>C</v>
      </c>
    </row>
    <row r="46" spans="1:11" x14ac:dyDescent="0.35">
      <c r="A46" s="3" t="s">
        <v>150</v>
      </c>
      <c r="B46" s="3" t="s">
        <v>151</v>
      </c>
      <c r="C46" s="4" t="s">
        <v>152</v>
      </c>
      <c r="D46" s="5">
        <v>70</v>
      </c>
      <c r="E46" s="5">
        <v>72</v>
      </c>
      <c r="F46" s="5">
        <v>66</v>
      </c>
      <c r="G46" s="5">
        <v>50</v>
      </c>
      <c r="H46" s="6">
        <f t="shared" si="0"/>
        <v>64.5</v>
      </c>
      <c r="I46" s="7" t="str">
        <f t="shared" si="1"/>
        <v>D</v>
      </c>
    </row>
    <row r="47" spans="1:11" x14ac:dyDescent="0.35">
      <c r="A47" s="4" t="s">
        <v>153</v>
      </c>
      <c r="B47" s="3" t="s">
        <v>154</v>
      </c>
      <c r="C47" s="4" t="s">
        <v>155</v>
      </c>
      <c r="D47" s="5">
        <v>70</v>
      </c>
      <c r="E47" s="5">
        <v>63</v>
      </c>
      <c r="F47" s="5">
        <v>96</v>
      </c>
      <c r="G47" s="5">
        <v>68</v>
      </c>
      <c r="H47" s="6">
        <f t="shared" si="0"/>
        <v>74.25</v>
      </c>
      <c r="I47" s="7" t="str">
        <f t="shared" si="1"/>
        <v>C</v>
      </c>
    </row>
    <row r="48" spans="1:11" x14ac:dyDescent="0.35">
      <c r="A48" s="4" t="s">
        <v>156</v>
      </c>
      <c r="B48" s="3" t="s">
        <v>157</v>
      </c>
      <c r="C48" s="4" t="s">
        <v>158</v>
      </c>
      <c r="D48" s="5">
        <v>73</v>
      </c>
      <c r="E48" s="5">
        <v>53</v>
      </c>
      <c r="F48" s="5">
        <v>40</v>
      </c>
      <c r="G48" s="5">
        <v>68</v>
      </c>
      <c r="H48" s="6">
        <f t="shared" si="0"/>
        <v>58.5</v>
      </c>
      <c r="I48" s="7" t="str">
        <f t="shared" si="1"/>
        <v>F</v>
      </c>
    </row>
    <row r="49" spans="1:9" x14ac:dyDescent="0.35">
      <c r="A49" s="4" t="s">
        <v>159</v>
      </c>
      <c r="B49" s="3" t="s">
        <v>160</v>
      </c>
      <c r="C49" s="4" t="s">
        <v>161</v>
      </c>
      <c r="D49" s="5">
        <v>64</v>
      </c>
      <c r="E49" s="5">
        <v>69</v>
      </c>
      <c r="F49" s="5">
        <v>62</v>
      </c>
      <c r="G49" s="5">
        <v>73</v>
      </c>
      <c r="H49" s="6">
        <f t="shared" si="0"/>
        <v>67</v>
      </c>
      <c r="I49" s="7" t="str">
        <f t="shared" si="1"/>
        <v>D</v>
      </c>
    </row>
    <row r="50" spans="1:9" x14ac:dyDescent="0.35">
      <c r="A50" s="3" t="s">
        <v>162</v>
      </c>
      <c r="B50" s="3" t="s">
        <v>163</v>
      </c>
      <c r="C50" s="4" t="s">
        <v>164</v>
      </c>
      <c r="D50" s="5">
        <v>70</v>
      </c>
      <c r="E50" s="5">
        <v>53</v>
      </c>
      <c r="F50" s="5">
        <v>87</v>
      </c>
      <c r="G50" s="5">
        <v>61</v>
      </c>
      <c r="H50" s="6">
        <f t="shared" si="0"/>
        <v>67.75</v>
      </c>
      <c r="I50" s="7" t="str">
        <f t="shared" si="1"/>
        <v>D</v>
      </c>
    </row>
    <row r="51" spans="1:9" x14ac:dyDescent="0.35">
      <c r="A51" s="4" t="s">
        <v>165</v>
      </c>
      <c r="B51" s="3" t="s">
        <v>166</v>
      </c>
      <c r="C51" s="4" t="s">
        <v>167</v>
      </c>
      <c r="D51" s="5">
        <v>60</v>
      </c>
      <c r="E51" s="5">
        <v>64</v>
      </c>
      <c r="F51" s="5">
        <v>88</v>
      </c>
      <c r="G51" s="5">
        <v>67</v>
      </c>
      <c r="H51" s="6">
        <f t="shared" si="0"/>
        <v>69.75</v>
      </c>
      <c r="I51" s="7" t="str">
        <f t="shared" si="1"/>
        <v>D</v>
      </c>
    </row>
    <row r="52" spans="1:9" x14ac:dyDescent="0.35">
      <c r="A52" s="4" t="s">
        <v>168</v>
      </c>
      <c r="B52" s="3" t="s">
        <v>169</v>
      </c>
      <c r="C52" s="4" t="s">
        <v>170</v>
      </c>
      <c r="D52" s="5">
        <v>52</v>
      </c>
      <c r="E52" s="5">
        <v>74</v>
      </c>
      <c r="F52" s="5">
        <v>81</v>
      </c>
      <c r="G52" s="5">
        <v>25</v>
      </c>
      <c r="H52" s="6">
        <f t="shared" si="0"/>
        <v>58</v>
      </c>
      <c r="I52" s="7" t="str">
        <f t="shared" si="1"/>
        <v>F</v>
      </c>
    </row>
    <row r="53" spans="1:9" x14ac:dyDescent="0.35">
      <c r="A53" s="3" t="s">
        <v>171</v>
      </c>
      <c r="B53" s="3" t="s">
        <v>172</v>
      </c>
      <c r="C53" s="4" t="s">
        <v>173</v>
      </c>
      <c r="D53" s="5">
        <v>56</v>
      </c>
      <c r="E53" s="5">
        <v>56</v>
      </c>
      <c r="F53" s="5">
        <v>46</v>
      </c>
      <c r="G53" s="5">
        <v>68</v>
      </c>
      <c r="H53" s="6">
        <f t="shared" si="0"/>
        <v>56.5</v>
      </c>
      <c r="I53" s="7" t="str">
        <f t="shared" si="1"/>
        <v>F</v>
      </c>
    </row>
    <row r="54" spans="1:9" x14ac:dyDescent="0.35">
      <c r="A54" s="4" t="s">
        <v>174</v>
      </c>
      <c r="B54" s="3" t="s">
        <v>175</v>
      </c>
      <c r="C54" s="4" t="s">
        <v>176</v>
      </c>
      <c r="D54" s="5">
        <v>56</v>
      </c>
      <c r="E54" s="5">
        <v>60</v>
      </c>
      <c r="F54" s="5">
        <v>59</v>
      </c>
      <c r="G54" s="5">
        <v>56</v>
      </c>
      <c r="H54" s="6">
        <f t="shared" si="0"/>
        <v>57.75</v>
      </c>
      <c r="I54" s="7" t="str">
        <f t="shared" si="1"/>
        <v>F</v>
      </c>
    </row>
    <row r="55" spans="1:9" x14ac:dyDescent="0.35">
      <c r="A55" s="4" t="s">
        <v>177</v>
      </c>
      <c r="B55" s="3" t="s">
        <v>178</v>
      </c>
      <c r="C55" s="4" t="s">
        <v>179</v>
      </c>
      <c r="D55" s="5">
        <v>59</v>
      </c>
      <c r="E55" s="5">
        <v>45</v>
      </c>
      <c r="F55" s="5">
        <v>46</v>
      </c>
      <c r="G55" s="5">
        <v>61</v>
      </c>
      <c r="H55" s="6">
        <f t="shared" si="0"/>
        <v>52.75</v>
      </c>
      <c r="I55" s="7" t="str">
        <f t="shared" si="1"/>
        <v>F</v>
      </c>
    </row>
    <row r="56" spans="1:9" x14ac:dyDescent="0.35">
      <c r="A56" s="4" t="s">
        <v>180</v>
      </c>
      <c r="B56" s="3" t="s">
        <v>102</v>
      </c>
      <c r="C56" s="4" t="s">
        <v>181</v>
      </c>
      <c r="D56" s="5">
        <v>64</v>
      </c>
      <c r="E56" s="5">
        <v>57</v>
      </c>
      <c r="F56" s="5">
        <v>99</v>
      </c>
      <c r="G56" s="5">
        <v>47</v>
      </c>
      <c r="H56" s="6">
        <f t="shared" si="0"/>
        <v>66.75</v>
      </c>
      <c r="I56" s="7" t="str">
        <f t="shared" si="1"/>
        <v>D</v>
      </c>
    </row>
    <row r="57" spans="1:9" x14ac:dyDescent="0.35">
      <c r="A57" s="3" t="s">
        <v>182</v>
      </c>
      <c r="B57" s="3" t="s">
        <v>183</v>
      </c>
      <c r="C57" s="4" t="s">
        <v>184</v>
      </c>
      <c r="D57" s="5">
        <v>60</v>
      </c>
      <c r="E57" s="5">
        <v>47</v>
      </c>
      <c r="F57" s="5">
        <v>45</v>
      </c>
      <c r="G57" s="5">
        <v>45</v>
      </c>
      <c r="H57" s="6">
        <f t="shared" si="0"/>
        <v>49.25</v>
      </c>
      <c r="I57" s="7" t="str">
        <f t="shared" si="1"/>
        <v>F</v>
      </c>
    </row>
    <row r="58" spans="1:9" x14ac:dyDescent="0.35">
      <c r="A58" s="4" t="s">
        <v>185</v>
      </c>
      <c r="B58" s="3" t="s">
        <v>186</v>
      </c>
      <c r="C58" s="4" t="s">
        <v>187</v>
      </c>
      <c r="D58" s="5">
        <v>56</v>
      </c>
      <c r="E58" s="5">
        <v>53</v>
      </c>
      <c r="F58" s="5">
        <v>42</v>
      </c>
      <c r="G58" s="5">
        <v>54</v>
      </c>
      <c r="H58" s="6">
        <f t="shared" si="0"/>
        <v>51.25</v>
      </c>
      <c r="I58" s="7" t="str">
        <f t="shared" si="1"/>
        <v>F</v>
      </c>
    </row>
    <row r="59" spans="1:9" x14ac:dyDescent="0.35">
      <c r="A59" s="4" t="s">
        <v>188</v>
      </c>
      <c r="B59" s="3" t="s">
        <v>189</v>
      </c>
      <c r="C59" s="4" t="s">
        <v>190</v>
      </c>
      <c r="D59" s="5">
        <v>56</v>
      </c>
      <c r="E59" s="5">
        <v>47</v>
      </c>
      <c r="F59" s="5">
        <v>90</v>
      </c>
      <c r="G59" s="5">
        <v>45</v>
      </c>
      <c r="H59" s="6">
        <f t="shared" si="0"/>
        <v>59.5</v>
      </c>
      <c r="I59" s="7" t="str">
        <f t="shared" si="1"/>
        <v>F</v>
      </c>
    </row>
    <row r="60" spans="1:9" x14ac:dyDescent="0.35">
      <c r="A60" s="3" t="s">
        <v>191</v>
      </c>
      <c r="B60" s="3" t="s">
        <v>192</v>
      </c>
      <c r="C60" s="4" t="s">
        <v>193</v>
      </c>
      <c r="D60" s="5">
        <v>53</v>
      </c>
      <c r="E60" s="5">
        <v>48</v>
      </c>
      <c r="F60" s="5">
        <v>85</v>
      </c>
      <c r="G60" s="5">
        <v>36</v>
      </c>
      <c r="H60" s="6">
        <f t="shared" si="0"/>
        <v>55.5</v>
      </c>
      <c r="I60" s="7" t="str">
        <f t="shared" si="1"/>
        <v>F</v>
      </c>
    </row>
    <row r="61" spans="1:9" x14ac:dyDescent="0.35">
      <c r="A61" s="4" t="s">
        <v>194</v>
      </c>
      <c r="B61" s="3" t="s">
        <v>195</v>
      </c>
      <c r="C61" s="4" t="s">
        <v>196</v>
      </c>
      <c r="D61" s="5">
        <v>39</v>
      </c>
      <c r="E61" s="5">
        <v>42</v>
      </c>
      <c r="F61" s="5">
        <v>46</v>
      </c>
      <c r="G61" s="5">
        <v>53</v>
      </c>
      <c r="H61" s="6">
        <f t="shared" si="0"/>
        <v>45</v>
      </c>
      <c r="I61" s="7" t="str">
        <f t="shared" si="1"/>
        <v>F</v>
      </c>
    </row>
    <row r="62" spans="1:9" x14ac:dyDescent="0.35">
      <c r="A62" s="3" t="s">
        <v>197</v>
      </c>
      <c r="B62" s="3" t="s">
        <v>198</v>
      </c>
      <c r="C62" s="4" t="s">
        <v>199</v>
      </c>
      <c r="D62" s="5">
        <v>47</v>
      </c>
      <c r="E62" s="5">
        <v>27</v>
      </c>
      <c r="F62" s="5">
        <v>98</v>
      </c>
      <c r="G62" s="5">
        <v>34</v>
      </c>
      <c r="H62" s="6">
        <f t="shared" si="0"/>
        <v>51.5</v>
      </c>
      <c r="I62" s="7" t="str">
        <f t="shared" si="1"/>
        <v>F</v>
      </c>
    </row>
    <row r="63" spans="1:9" x14ac:dyDescent="0.35">
      <c r="A63" s="4" t="s">
        <v>200</v>
      </c>
      <c r="B63" s="3" t="s">
        <v>201</v>
      </c>
      <c r="C63" s="4" t="s">
        <v>202</v>
      </c>
      <c r="D63" s="5">
        <v>31</v>
      </c>
      <c r="E63" s="5">
        <v>33</v>
      </c>
      <c r="F63" s="5">
        <v>77</v>
      </c>
      <c r="G63" s="5">
        <v>46</v>
      </c>
      <c r="H63" s="6">
        <f t="shared" si="0"/>
        <v>46.75</v>
      </c>
      <c r="I63" s="7" t="str">
        <f t="shared" si="1"/>
        <v>F</v>
      </c>
    </row>
    <row r="64" spans="1:9" x14ac:dyDescent="0.35">
      <c r="A64" s="4" t="s">
        <v>203</v>
      </c>
      <c r="B64" s="3" t="s">
        <v>204</v>
      </c>
      <c r="C64" s="4" t="s">
        <v>205</v>
      </c>
      <c r="D64" s="5">
        <v>54</v>
      </c>
      <c r="E64" s="5">
        <v>29</v>
      </c>
      <c r="F64" s="5">
        <v>74</v>
      </c>
      <c r="G64" s="5">
        <v>32</v>
      </c>
      <c r="H64" s="6">
        <f t="shared" si="0"/>
        <v>47.25</v>
      </c>
      <c r="I64" s="7" t="str">
        <f t="shared" si="1"/>
        <v>F</v>
      </c>
    </row>
    <row r="65" spans="1:9" x14ac:dyDescent="0.35">
      <c r="A65" s="4" t="s">
        <v>206</v>
      </c>
      <c r="B65" s="3" t="s">
        <v>207</v>
      </c>
      <c r="C65" s="4" t="s">
        <v>208</v>
      </c>
      <c r="D65" s="5">
        <v>40</v>
      </c>
      <c r="E65" s="5">
        <v>32</v>
      </c>
      <c r="F65" s="5">
        <v>45</v>
      </c>
      <c r="G65" s="5">
        <v>37</v>
      </c>
      <c r="H65" s="6">
        <f t="shared" si="0"/>
        <v>38.5</v>
      </c>
      <c r="I65" s="7" t="str">
        <f t="shared" si="1"/>
        <v>F</v>
      </c>
    </row>
    <row r="66" spans="1:9" x14ac:dyDescent="0.35">
      <c r="A66" s="3" t="s">
        <v>209</v>
      </c>
      <c r="B66" s="3" t="s">
        <v>210</v>
      </c>
      <c r="C66" s="4" t="s">
        <v>211</v>
      </c>
      <c r="D66" s="5">
        <v>25</v>
      </c>
      <c r="E66" s="5">
        <v>29</v>
      </c>
      <c r="F66" s="5">
        <v>59</v>
      </c>
      <c r="G66" s="5">
        <v>27</v>
      </c>
      <c r="H66" s="6">
        <f t="shared" si="0"/>
        <v>35</v>
      </c>
      <c r="I66" s="7" t="str">
        <f t="shared" si="1"/>
        <v>F</v>
      </c>
    </row>
    <row r="67" spans="1:9" x14ac:dyDescent="0.35">
      <c r="A67" s="4" t="s">
        <v>212</v>
      </c>
      <c r="B67" s="3" t="s">
        <v>213</v>
      </c>
      <c r="C67" s="4" t="s">
        <v>214</v>
      </c>
      <c r="D67" s="5">
        <v>46</v>
      </c>
      <c r="E67" s="5">
        <v>30</v>
      </c>
      <c r="F67" s="5">
        <v>98</v>
      </c>
      <c r="G67" s="5">
        <v>0</v>
      </c>
      <c r="H67" s="6">
        <f t="shared" si="0"/>
        <v>43.5</v>
      </c>
      <c r="I67" s="7" t="str">
        <f t="shared" si="1"/>
        <v>F</v>
      </c>
    </row>
    <row r="68" spans="1:9" x14ac:dyDescent="0.35">
      <c r="A68" s="4" t="s">
        <v>215</v>
      </c>
      <c r="B68" s="3" t="s">
        <v>216</v>
      </c>
      <c r="C68" s="4" t="s">
        <v>217</v>
      </c>
      <c r="D68" s="5">
        <v>96</v>
      </c>
      <c r="E68" s="5">
        <v>95</v>
      </c>
      <c r="F68" s="5">
        <v>67</v>
      </c>
      <c r="G68" s="5">
        <v>35</v>
      </c>
      <c r="H68" s="6">
        <f t="shared" ref="H68:H97" si="2">AVERAGE(D68:G68)</f>
        <v>73.25</v>
      </c>
      <c r="I68" s="7" t="str">
        <f t="shared" ref="I68:I97" si="3">INDEX($O$11:$O$15,MATCH(H68,$N$11:$N$15,1))</f>
        <v>C</v>
      </c>
    </row>
    <row r="69" spans="1:9" x14ac:dyDescent="0.35">
      <c r="A69" s="4" t="s">
        <v>218</v>
      </c>
      <c r="B69" s="3" t="s">
        <v>219</v>
      </c>
      <c r="C69" s="4" t="s">
        <v>220</v>
      </c>
      <c r="D69" s="5">
        <v>87</v>
      </c>
      <c r="E69" s="5">
        <v>82</v>
      </c>
      <c r="F69" s="5">
        <v>84</v>
      </c>
      <c r="G69" s="5">
        <v>46</v>
      </c>
      <c r="H69" s="6">
        <f t="shared" si="2"/>
        <v>74.75</v>
      </c>
      <c r="I69" s="7" t="str">
        <f t="shared" si="3"/>
        <v>C</v>
      </c>
    </row>
    <row r="70" spans="1:9" x14ac:dyDescent="0.35">
      <c r="A70" s="4" t="s">
        <v>221</v>
      </c>
      <c r="B70" s="3" t="s">
        <v>222</v>
      </c>
      <c r="C70" s="4" t="s">
        <v>223</v>
      </c>
      <c r="D70" s="5">
        <v>93</v>
      </c>
      <c r="E70" s="5">
        <v>93</v>
      </c>
      <c r="F70" s="5">
        <v>74</v>
      </c>
      <c r="G70" s="5">
        <v>47</v>
      </c>
      <c r="H70" s="6">
        <f t="shared" si="2"/>
        <v>76.75</v>
      </c>
      <c r="I70" s="7" t="str">
        <f t="shared" si="3"/>
        <v>C</v>
      </c>
    </row>
    <row r="71" spans="1:9" x14ac:dyDescent="0.35">
      <c r="A71" s="4" t="s">
        <v>224</v>
      </c>
      <c r="B71" s="3" t="s">
        <v>225</v>
      </c>
      <c r="C71" s="4" t="s">
        <v>226</v>
      </c>
      <c r="D71" s="5">
        <v>93</v>
      </c>
      <c r="E71" s="5">
        <v>90</v>
      </c>
      <c r="F71" s="5">
        <v>79</v>
      </c>
      <c r="G71" s="5">
        <v>54</v>
      </c>
      <c r="H71" s="6">
        <f t="shared" si="2"/>
        <v>79</v>
      </c>
      <c r="I71" s="7" t="str">
        <f t="shared" si="3"/>
        <v>C</v>
      </c>
    </row>
    <row r="72" spans="1:9" x14ac:dyDescent="0.35">
      <c r="A72" s="4" t="s">
        <v>227</v>
      </c>
      <c r="B72" s="3" t="s">
        <v>228</v>
      </c>
      <c r="C72" s="4" t="s">
        <v>229</v>
      </c>
      <c r="D72" s="5">
        <v>85</v>
      </c>
      <c r="E72" s="5">
        <v>83</v>
      </c>
      <c r="F72" s="5">
        <v>80</v>
      </c>
      <c r="G72" s="5">
        <v>66</v>
      </c>
      <c r="H72" s="6">
        <f t="shared" si="2"/>
        <v>78.5</v>
      </c>
      <c r="I72" s="7" t="str">
        <f t="shared" si="3"/>
        <v>C</v>
      </c>
    </row>
    <row r="73" spans="1:9" x14ac:dyDescent="0.35">
      <c r="A73" s="4" t="s">
        <v>230</v>
      </c>
      <c r="B73" s="3" t="s">
        <v>231</v>
      </c>
      <c r="C73" s="4" t="s">
        <v>232</v>
      </c>
      <c r="D73" s="5">
        <v>26</v>
      </c>
      <c r="E73" s="5">
        <v>87</v>
      </c>
      <c r="F73" s="5">
        <v>56</v>
      </c>
      <c r="G73" s="5">
        <v>69</v>
      </c>
      <c r="H73" s="6">
        <f t="shared" si="2"/>
        <v>59.5</v>
      </c>
      <c r="I73" s="7" t="str">
        <f t="shared" si="3"/>
        <v>F</v>
      </c>
    </row>
    <row r="74" spans="1:9" x14ac:dyDescent="0.35">
      <c r="A74" s="4" t="s">
        <v>233</v>
      </c>
      <c r="B74" s="3" t="s">
        <v>234</v>
      </c>
      <c r="C74" s="4" t="s">
        <v>235</v>
      </c>
      <c r="D74" s="5">
        <v>59</v>
      </c>
      <c r="E74" s="5">
        <v>83</v>
      </c>
      <c r="F74" s="5">
        <v>68</v>
      </c>
      <c r="G74" s="5">
        <v>69</v>
      </c>
      <c r="H74" s="6">
        <f t="shared" si="2"/>
        <v>69.75</v>
      </c>
      <c r="I74" s="7" t="str">
        <f t="shared" si="3"/>
        <v>D</v>
      </c>
    </row>
    <row r="75" spans="1:9" x14ac:dyDescent="0.35">
      <c r="A75" s="4" t="s">
        <v>203</v>
      </c>
      <c r="B75" s="3" t="s">
        <v>236</v>
      </c>
      <c r="C75" s="4" t="s">
        <v>237</v>
      </c>
      <c r="D75" s="5">
        <v>64</v>
      </c>
      <c r="E75" s="5">
        <v>83</v>
      </c>
      <c r="F75" s="5">
        <v>67</v>
      </c>
      <c r="G75" s="5">
        <v>70</v>
      </c>
      <c r="H75" s="6">
        <f t="shared" si="2"/>
        <v>71</v>
      </c>
      <c r="I75" s="7" t="str">
        <f t="shared" si="3"/>
        <v>C</v>
      </c>
    </row>
    <row r="76" spans="1:9" x14ac:dyDescent="0.35">
      <c r="A76" s="4" t="s">
        <v>238</v>
      </c>
      <c r="B76" s="3" t="s">
        <v>239</v>
      </c>
      <c r="C76" s="4" t="s">
        <v>240</v>
      </c>
      <c r="D76" s="5">
        <v>68</v>
      </c>
      <c r="E76" s="5">
        <v>77</v>
      </c>
      <c r="F76" s="5">
        <v>59</v>
      </c>
      <c r="G76" s="5">
        <v>70</v>
      </c>
      <c r="H76" s="6">
        <f t="shared" si="2"/>
        <v>68.5</v>
      </c>
      <c r="I76" s="7" t="str">
        <f t="shared" si="3"/>
        <v>D</v>
      </c>
    </row>
    <row r="77" spans="1:9" x14ac:dyDescent="0.35">
      <c r="A77" s="4" t="s">
        <v>241</v>
      </c>
      <c r="B77" s="3" t="s">
        <v>242</v>
      </c>
      <c r="C77" s="4" t="s">
        <v>243</v>
      </c>
      <c r="D77" s="5">
        <v>72</v>
      </c>
      <c r="E77" s="5">
        <v>84</v>
      </c>
      <c r="F77" s="5">
        <v>42</v>
      </c>
      <c r="G77" s="5">
        <v>70</v>
      </c>
      <c r="H77" s="6">
        <f t="shared" si="2"/>
        <v>67</v>
      </c>
      <c r="I77" s="7" t="str">
        <f t="shared" si="3"/>
        <v>D</v>
      </c>
    </row>
    <row r="78" spans="1:9" x14ac:dyDescent="0.35">
      <c r="A78" s="4" t="s">
        <v>244</v>
      </c>
      <c r="B78" s="3" t="s">
        <v>245</v>
      </c>
      <c r="C78" s="4" t="s">
        <v>246</v>
      </c>
      <c r="D78" s="5">
        <v>73</v>
      </c>
      <c r="E78" s="5">
        <v>84</v>
      </c>
      <c r="F78" s="5">
        <v>100</v>
      </c>
      <c r="G78" s="5">
        <v>72</v>
      </c>
      <c r="H78" s="6">
        <f t="shared" si="2"/>
        <v>82.25</v>
      </c>
      <c r="I78" s="7" t="str">
        <f t="shared" si="3"/>
        <v>B</v>
      </c>
    </row>
    <row r="79" spans="1:9" x14ac:dyDescent="0.35">
      <c r="A79" s="4" t="s">
        <v>247</v>
      </c>
      <c r="B79" s="3" t="s">
        <v>248</v>
      </c>
      <c r="C79" s="4" t="s">
        <v>249</v>
      </c>
      <c r="D79" s="5">
        <v>74</v>
      </c>
      <c r="E79" s="5">
        <v>74</v>
      </c>
      <c r="F79" s="5">
        <v>71</v>
      </c>
      <c r="G79" s="5">
        <v>73</v>
      </c>
      <c r="H79" s="6">
        <f t="shared" si="2"/>
        <v>73</v>
      </c>
      <c r="I79" s="7" t="str">
        <f t="shared" si="3"/>
        <v>C</v>
      </c>
    </row>
    <row r="80" spans="1:9" x14ac:dyDescent="0.35">
      <c r="A80" s="3" t="s">
        <v>250</v>
      </c>
      <c r="B80" s="3" t="s">
        <v>251</v>
      </c>
      <c r="C80" s="4" t="s">
        <v>252</v>
      </c>
      <c r="D80" s="5">
        <v>75</v>
      </c>
      <c r="E80" s="5">
        <v>81</v>
      </c>
      <c r="F80" s="5">
        <v>72</v>
      </c>
      <c r="G80" s="5">
        <v>73</v>
      </c>
      <c r="H80" s="6">
        <f t="shared" si="2"/>
        <v>75.25</v>
      </c>
      <c r="I80" s="7" t="str">
        <f t="shared" si="3"/>
        <v>C</v>
      </c>
    </row>
    <row r="81" spans="1:9" x14ac:dyDescent="0.35">
      <c r="A81" s="3" t="s">
        <v>253</v>
      </c>
      <c r="B81" s="3" t="s">
        <v>254</v>
      </c>
      <c r="C81" s="4" t="s">
        <v>255</v>
      </c>
      <c r="D81" s="5">
        <v>76</v>
      </c>
      <c r="E81" s="5">
        <v>81</v>
      </c>
      <c r="F81" s="5">
        <v>90</v>
      </c>
      <c r="G81" s="5">
        <v>73</v>
      </c>
      <c r="H81" s="6">
        <f t="shared" si="2"/>
        <v>80</v>
      </c>
      <c r="I81" s="7" t="str">
        <f t="shared" si="3"/>
        <v>B</v>
      </c>
    </row>
    <row r="82" spans="1:9" x14ac:dyDescent="0.35">
      <c r="A82" s="3" t="s">
        <v>256</v>
      </c>
      <c r="B82" s="3" t="s">
        <v>257</v>
      </c>
      <c r="C82" s="4" t="s">
        <v>258</v>
      </c>
      <c r="D82" s="5">
        <v>78</v>
      </c>
      <c r="E82" s="5">
        <v>64</v>
      </c>
      <c r="F82" s="5">
        <v>86</v>
      </c>
      <c r="G82" s="5">
        <v>74</v>
      </c>
      <c r="H82" s="6">
        <f t="shared" si="2"/>
        <v>75.5</v>
      </c>
      <c r="I82" s="7" t="str">
        <f t="shared" si="3"/>
        <v>C</v>
      </c>
    </row>
    <row r="83" spans="1:9" x14ac:dyDescent="0.35">
      <c r="A83" s="4" t="s">
        <v>259</v>
      </c>
      <c r="B83" s="3" t="s">
        <v>260</v>
      </c>
      <c r="C83" s="4" t="s">
        <v>261</v>
      </c>
      <c r="D83" s="5">
        <v>79</v>
      </c>
      <c r="E83" s="5">
        <v>68</v>
      </c>
      <c r="F83" s="5">
        <v>75</v>
      </c>
      <c r="G83" s="5">
        <v>76</v>
      </c>
      <c r="H83" s="6">
        <f t="shared" si="2"/>
        <v>74.5</v>
      </c>
      <c r="I83" s="7" t="str">
        <f t="shared" si="3"/>
        <v>C</v>
      </c>
    </row>
    <row r="84" spans="1:9" x14ac:dyDescent="0.35">
      <c r="A84" s="3" t="s">
        <v>262</v>
      </c>
      <c r="B84" s="3" t="s">
        <v>263</v>
      </c>
      <c r="C84" s="4" t="s">
        <v>264</v>
      </c>
      <c r="D84" s="5">
        <v>81</v>
      </c>
      <c r="E84" s="5">
        <v>78</v>
      </c>
      <c r="F84" s="5">
        <v>83</v>
      </c>
      <c r="G84" s="5">
        <v>77</v>
      </c>
      <c r="H84" s="6">
        <f t="shared" si="2"/>
        <v>79.75</v>
      </c>
      <c r="I84" s="7" t="str">
        <f t="shared" si="3"/>
        <v>C</v>
      </c>
    </row>
    <row r="85" spans="1:9" x14ac:dyDescent="0.35">
      <c r="A85" s="4" t="s">
        <v>265</v>
      </c>
      <c r="B85" s="3" t="s">
        <v>266</v>
      </c>
      <c r="C85" s="4" t="s">
        <v>267</v>
      </c>
      <c r="D85" s="5">
        <v>83</v>
      </c>
      <c r="E85" s="5">
        <v>70</v>
      </c>
      <c r="F85" s="5">
        <v>64</v>
      </c>
      <c r="G85" s="5">
        <v>77</v>
      </c>
      <c r="H85" s="6">
        <f t="shared" si="2"/>
        <v>73.5</v>
      </c>
      <c r="I85" s="7" t="str">
        <f t="shared" si="3"/>
        <v>C</v>
      </c>
    </row>
    <row r="86" spans="1:9" x14ac:dyDescent="0.35">
      <c r="A86" s="4" t="s">
        <v>268</v>
      </c>
      <c r="B86" s="3" t="s">
        <v>269</v>
      </c>
      <c r="C86" s="4" t="s">
        <v>270</v>
      </c>
      <c r="D86" s="5">
        <v>83</v>
      </c>
      <c r="E86" s="5">
        <v>60</v>
      </c>
      <c r="F86" s="5">
        <v>78</v>
      </c>
      <c r="G86" s="5">
        <v>78</v>
      </c>
      <c r="H86" s="6">
        <f t="shared" si="2"/>
        <v>74.75</v>
      </c>
      <c r="I86" s="7" t="str">
        <f t="shared" si="3"/>
        <v>C</v>
      </c>
    </row>
    <row r="87" spans="1:9" x14ac:dyDescent="0.35">
      <c r="A87" s="4" t="s">
        <v>271</v>
      </c>
      <c r="B87" s="3" t="s">
        <v>272</v>
      </c>
      <c r="C87" s="4" t="s">
        <v>273</v>
      </c>
      <c r="D87" s="5">
        <v>83</v>
      </c>
      <c r="E87" s="5">
        <v>85</v>
      </c>
      <c r="F87" s="5">
        <v>97</v>
      </c>
      <c r="G87" s="5">
        <v>80</v>
      </c>
      <c r="H87" s="6">
        <f t="shared" si="2"/>
        <v>86.25</v>
      </c>
      <c r="I87" s="7" t="str">
        <f t="shared" si="3"/>
        <v>B</v>
      </c>
    </row>
    <row r="88" spans="1:9" x14ac:dyDescent="0.35">
      <c r="A88" s="3" t="s">
        <v>274</v>
      </c>
      <c r="B88" s="3" t="s">
        <v>275</v>
      </c>
      <c r="C88" s="4" t="s">
        <v>276</v>
      </c>
      <c r="D88" s="5">
        <v>84</v>
      </c>
      <c r="E88" s="5">
        <v>81</v>
      </c>
      <c r="F88" s="5">
        <v>45</v>
      </c>
      <c r="G88" s="5">
        <v>81</v>
      </c>
      <c r="H88" s="6">
        <f t="shared" si="2"/>
        <v>72.75</v>
      </c>
      <c r="I88" s="7" t="str">
        <f t="shared" si="3"/>
        <v>C</v>
      </c>
    </row>
    <row r="89" spans="1:9" x14ac:dyDescent="0.35">
      <c r="A89" s="3" t="s">
        <v>277</v>
      </c>
      <c r="B89" s="3" t="s">
        <v>278</v>
      </c>
      <c r="C89" s="4" t="s">
        <v>279</v>
      </c>
      <c r="D89" s="5">
        <v>84</v>
      </c>
      <c r="E89" s="5">
        <v>82</v>
      </c>
      <c r="F89" s="5">
        <v>50</v>
      </c>
      <c r="G89" s="5">
        <v>82</v>
      </c>
      <c r="H89" s="6">
        <f t="shared" si="2"/>
        <v>74.5</v>
      </c>
      <c r="I89" s="7" t="str">
        <f t="shared" si="3"/>
        <v>C</v>
      </c>
    </row>
    <row r="90" spans="1:9" x14ac:dyDescent="0.35">
      <c r="A90" s="4" t="s">
        <v>280</v>
      </c>
      <c r="B90" s="3" t="s">
        <v>281</v>
      </c>
      <c r="C90" s="4" t="s">
        <v>282</v>
      </c>
      <c r="D90" s="5">
        <v>85</v>
      </c>
      <c r="E90" s="5">
        <v>79</v>
      </c>
      <c r="F90" s="5">
        <v>94</v>
      </c>
      <c r="G90" s="5">
        <v>82</v>
      </c>
      <c r="H90" s="6">
        <f t="shared" si="2"/>
        <v>85</v>
      </c>
      <c r="I90" s="7" t="str">
        <f t="shared" si="3"/>
        <v>B</v>
      </c>
    </row>
    <row r="91" spans="1:9" x14ac:dyDescent="0.35">
      <c r="A91" s="3" t="s">
        <v>283</v>
      </c>
      <c r="B91" s="3" t="s">
        <v>284</v>
      </c>
      <c r="C91" s="4" t="s">
        <v>285</v>
      </c>
      <c r="D91" s="5">
        <v>85</v>
      </c>
      <c r="E91" s="5">
        <v>69</v>
      </c>
      <c r="F91" s="5">
        <v>56</v>
      </c>
      <c r="G91" s="5">
        <v>83</v>
      </c>
      <c r="H91" s="6">
        <f t="shared" si="2"/>
        <v>73.25</v>
      </c>
      <c r="I91" s="7" t="str">
        <f t="shared" si="3"/>
        <v>C</v>
      </c>
    </row>
    <row r="92" spans="1:9" x14ac:dyDescent="0.35">
      <c r="A92" s="3" t="s">
        <v>286</v>
      </c>
      <c r="B92" s="3" t="s">
        <v>287</v>
      </c>
      <c r="C92" s="4" t="s">
        <v>288</v>
      </c>
      <c r="D92" s="5">
        <v>88</v>
      </c>
      <c r="E92" s="5">
        <v>74</v>
      </c>
      <c r="F92" s="5">
        <v>45</v>
      </c>
      <c r="G92" s="5">
        <v>86</v>
      </c>
      <c r="H92" s="6">
        <f t="shared" si="2"/>
        <v>73.25</v>
      </c>
      <c r="I92" s="7" t="str">
        <f t="shared" si="3"/>
        <v>C</v>
      </c>
    </row>
    <row r="93" spans="1:9" x14ac:dyDescent="0.35">
      <c r="A93" s="4" t="s">
        <v>148</v>
      </c>
      <c r="B93" s="3" t="s">
        <v>289</v>
      </c>
      <c r="C93" s="4" t="s">
        <v>290</v>
      </c>
      <c r="D93" s="5">
        <v>89</v>
      </c>
      <c r="E93" s="5">
        <v>73</v>
      </c>
      <c r="F93" s="5">
        <v>48</v>
      </c>
      <c r="G93" s="5">
        <v>86</v>
      </c>
      <c r="H93" s="6">
        <f t="shared" si="2"/>
        <v>74</v>
      </c>
      <c r="I93" s="7" t="str">
        <f t="shared" si="3"/>
        <v>C</v>
      </c>
    </row>
    <row r="94" spans="1:9" x14ac:dyDescent="0.35">
      <c r="A94" s="4" t="s">
        <v>291</v>
      </c>
      <c r="B94" s="3" t="s">
        <v>292</v>
      </c>
      <c r="C94" s="4" t="s">
        <v>293</v>
      </c>
      <c r="D94" s="5">
        <v>89</v>
      </c>
      <c r="E94" s="5">
        <v>60</v>
      </c>
      <c r="F94" s="5">
        <v>73</v>
      </c>
      <c r="G94" s="5">
        <v>90</v>
      </c>
      <c r="H94" s="6">
        <f t="shared" si="2"/>
        <v>78</v>
      </c>
      <c r="I94" s="7" t="str">
        <f t="shared" si="3"/>
        <v>C</v>
      </c>
    </row>
    <row r="95" spans="1:9" x14ac:dyDescent="0.35">
      <c r="A95" s="4" t="s">
        <v>294</v>
      </c>
      <c r="B95" s="3" t="s">
        <v>295</v>
      </c>
      <c r="C95" s="4" t="s">
        <v>296</v>
      </c>
      <c r="D95" s="5">
        <v>90</v>
      </c>
      <c r="E95" s="5">
        <v>73</v>
      </c>
      <c r="F95" s="5">
        <v>63</v>
      </c>
      <c r="G95" s="5">
        <v>90</v>
      </c>
      <c r="H95" s="6">
        <f t="shared" si="2"/>
        <v>79</v>
      </c>
      <c r="I95" s="7" t="str">
        <f t="shared" si="3"/>
        <v>C</v>
      </c>
    </row>
    <row r="96" spans="1:9" x14ac:dyDescent="0.35">
      <c r="A96" s="4" t="s">
        <v>297</v>
      </c>
      <c r="B96" s="3" t="s">
        <v>298</v>
      </c>
      <c r="C96" s="4" t="s">
        <v>299</v>
      </c>
      <c r="D96" s="5">
        <v>90</v>
      </c>
      <c r="E96" s="5">
        <v>49</v>
      </c>
      <c r="F96" s="5">
        <v>85</v>
      </c>
      <c r="G96" s="5">
        <v>94</v>
      </c>
      <c r="H96" s="6">
        <f t="shared" si="2"/>
        <v>79.5</v>
      </c>
      <c r="I96" s="7" t="str">
        <f t="shared" si="3"/>
        <v>C</v>
      </c>
    </row>
    <row r="97" spans="1:9" x14ac:dyDescent="0.35">
      <c r="A97" s="4" t="s">
        <v>300</v>
      </c>
      <c r="B97" s="3" t="s">
        <v>301</v>
      </c>
      <c r="C97" s="4" t="s">
        <v>302</v>
      </c>
      <c r="D97" s="5">
        <v>90</v>
      </c>
      <c r="E97" s="5">
        <v>23</v>
      </c>
      <c r="F97" s="5">
        <v>99</v>
      </c>
      <c r="G97" s="5">
        <v>98</v>
      </c>
      <c r="H97" s="6">
        <f t="shared" si="2"/>
        <v>77.5</v>
      </c>
      <c r="I97" s="7" t="str">
        <f t="shared" si="3"/>
        <v>C</v>
      </c>
    </row>
  </sheetData>
  <mergeCells count="1">
    <mergeCell ref="N10:O10"/>
  </mergeCells>
  <dataValidations count="3">
    <dataValidation type="list" allowBlank="1" showInputMessage="1" showErrorMessage="1" sqref="K21 K23" xr:uid="{62BCAD96-746C-4685-9B0E-6A9C619732AC}">
      <formula1>$D$2:$H$2</formula1>
    </dataValidation>
    <dataValidation type="list" allowBlank="1" showInputMessage="1" showErrorMessage="1" sqref="T8 L18" xr:uid="{0340AEE6-8928-449D-B5D2-22D02AEB1B02}">
      <formula1>$A$2:$I$2</formula1>
    </dataValidation>
    <dataValidation type="list" allowBlank="1" showInputMessage="1" showErrorMessage="1" sqref="K19" xr:uid="{2620FC7E-D1D8-4D44-9EC7-78088EFFBDA1}">
      <formula1>$C$3:$C$97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C683C-8101-47E7-A205-81B1467440BA}">
  <sheetPr codeName="Sheet21"/>
  <dimension ref="A1:P28"/>
  <sheetViews>
    <sheetView workbookViewId="0">
      <selection activeCell="P23" sqref="P23"/>
    </sheetView>
  </sheetViews>
  <sheetFormatPr defaultColWidth="8.6640625" defaultRowHeight="15.5" x14ac:dyDescent="0.35"/>
  <cols>
    <col min="1" max="1" width="11.4140625" style="35" customWidth="1"/>
    <col min="2" max="2" width="10.9140625" style="21" customWidth="1"/>
    <col min="3" max="3" width="8.5" style="21" customWidth="1"/>
    <col min="4" max="4" width="10" style="21" customWidth="1"/>
    <col min="5" max="5" width="8.9140625" style="21" customWidth="1"/>
    <col min="6" max="6" width="8.6640625" style="35"/>
    <col min="7" max="7" width="8.1640625" style="21" customWidth="1"/>
    <col min="8" max="8" width="9.6640625" style="21" customWidth="1"/>
    <col min="9" max="9" width="13.6640625" style="36" customWidth="1"/>
    <col min="10" max="11" width="8.6640625" style="37"/>
    <col min="12" max="12" width="9.5" style="21" bestFit="1" customWidth="1"/>
    <col min="13" max="15" width="8.6640625" style="21"/>
    <col min="16" max="16" width="17.08203125" style="21" customWidth="1"/>
    <col min="17" max="16384" width="8.6640625" style="21"/>
  </cols>
  <sheetData>
    <row r="1" spans="1:16" x14ac:dyDescent="0.35">
      <c r="A1" s="16" t="s">
        <v>303</v>
      </c>
      <c r="B1" s="17" t="s">
        <v>304</v>
      </c>
      <c r="C1" s="17" t="s">
        <v>305</v>
      </c>
      <c r="D1" s="17" t="s">
        <v>306</v>
      </c>
      <c r="E1" s="17" t="s">
        <v>307</v>
      </c>
      <c r="F1" s="17" t="s">
        <v>308</v>
      </c>
      <c r="G1" s="17" t="s">
        <v>262</v>
      </c>
      <c r="H1" s="18" t="s">
        <v>309</v>
      </c>
      <c r="I1" s="19" t="s">
        <v>310</v>
      </c>
      <c r="J1" s="20" t="s">
        <v>311</v>
      </c>
      <c r="K1" s="20" t="s">
        <v>312</v>
      </c>
    </row>
    <row r="2" spans="1:16" x14ac:dyDescent="0.35">
      <c r="A2" s="22">
        <v>45701</v>
      </c>
      <c r="B2" s="23" t="s">
        <v>313</v>
      </c>
      <c r="C2" s="23" t="s">
        <v>314</v>
      </c>
      <c r="D2" s="23" t="s">
        <v>315</v>
      </c>
      <c r="E2" s="23" t="s">
        <v>316</v>
      </c>
      <c r="F2" s="24">
        <f ca="1">RANDBETWEEN(10,60)</f>
        <v>28</v>
      </c>
      <c r="G2" s="25">
        <v>16</v>
      </c>
      <c r="H2" s="26">
        <f ca="1">G2*F2</f>
        <v>448</v>
      </c>
      <c r="I2" s="19">
        <f ca="1">IF(H2&gt;=800,H2*3%,H2*2%)</f>
        <v>8.9600000000000009</v>
      </c>
      <c r="J2" s="20" t="str">
        <f ca="1">IF(AND(C2=$C$2,H2&gt;=400),"Yes","-")</f>
        <v>Yes</v>
      </c>
      <c r="K2" s="20" t="str">
        <f ca="1">IF(OR(C2=$C$2,H2&gt;=400),"Yes","-")</f>
        <v>Yes</v>
      </c>
      <c r="L2" s="27"/>
      <c r="N2" s="21" t="s">
        <v>317</v>
      </c>
    </row>
    <row r="3" spans="1:16" x14ac:dyDescent="0.35">
      <c r="A3" s="22">
        <v>45701</v>
      </c>
      <c r="B3" s="23" t="s">
        <v>318</v>
      </c>
      <c r="C3" s="23" t="s">
        <v>319</v>
      </c>
      <c r="D3" s="23" t="s">
        <v>320</v>
      </c>
      <c r="E3" s="23" t="s">
        <v>321</v>
      </c>
      <c r="F3" s="24">
        <f t="shared" ref="F3:F28" ca="1" si="0">RANDBETWEEN(10,60)</f>
        <v>36</v>
      </c>
      <c r="G3" s="25">
        <v>12</v>
      </c>
      <c r="H3" s="26">
        <f t="shared" ref="H3:H28" ca="1" si="1">G3*F3</f>
        <v>432</v>
      </c>
      <c r="I3" s="19">
        <f t="shared" ref="I3:I28" ca="1" si="2">IF(H3&gt;=800,H3*3%,H3*2%)</f>
        <v>8.64</v>
      </c>
      <c r="J3" s="20" t="str">
        <f t="shared" ref="J3:J28" ca="1" si="3">IF(AND(C3=$C$2,H3&gt;=400),"Yes","-")</f>
        <v>-</v>
      </c>
      <c r="K3" s="20" t="str">
        <f t="shared" ref="K3:K28" ca="1" si="4">IF(OR(C3=$C$2,H3&gt;=400),"Yes","-")</f>
        <v>Yes</v>
      </c>
      <c r="L3" s="27"/>
    </row>
    <row r="4" spans="1:16" x14ac:dyDescent="0.35">
      <c r="A4" s="22">
        <v>45701</v>
      </c>
      <c r="B4" s="23" t="s">
        <v>322</v>
      </c>
      <c r="C4" s="23" t="s">
        <v>323</v>
      </c>
      <c r="D4" s="23" t="s">
        <v>324</v>
      </c>
      <c r="E4" s="23" t="s">
        <v>325</v>
      </c>
      <c r="F4" s="24">
        <f t="shared" ca="1" si="0"/>
        <v>27</v>
      </c>
      <c r="G4" s="25">
        <v>20</v>
      </c>
      <c r="H4" s="26">
        <f t="shared" ca="1" si="1"/>
        <v>540</v>
      </c>
      <c r="I4" s="19">
        <f t="shared" ca="1" si="2"/>
        <v>10.8</v>
      </c>
      <c r="J4" s="20" t="str">
        <f t="shared" ca="1" si="3"/>
        <v>-</v>
      </c>
      <c r="K4" s="20" t="str">
        <f t="shared" ca="1" si="4"/>
        <v>Yes</v>
      </c>
      <c r="L4" s="27"/>
      <c r="M4" s="20" t="s">
        <v>311</v>
      </c>
      <c r="N4" s="28" t="s">
        <v>326</v>
      </c>
      <c r="O4" s="28"/>
      <c r="P4" s="29"/>
    </row>
    <row r="5" spans="1:16" ht="16" x14ac:dyDescent="0.4">
      <c r="A5" s="22">
        <v>45701</v>
      </c>
      <c r="B5" s="23" t="s">
        <v>327</v>
      </c>
      <c r="C5" s="23" t="s">
        <v>323</v>
      </c>
      <c r="D5" s="23" t="s">
        <v>328</v>
      </c>
      <c r="E5" s="23" t="s">
        <v>329</v>
      </c>
      <c r="F5" s="24">
        <f t="shared" ca="1" si="0"/>
        <v>26</v>
      </c>
      <c r="G5" s="25">
        <v>18</v>
      </c>
      <c r="H5" s="26">
        <f t="shared" ca="1" si="1"/>
        <v>468</v>
      </c>
      <c r="I5" s="19">
        <f t="shared" ca="1" si="2"/>
        <v>9.36</v>
      </c>
      <c r="J5" s="20" t="str">
        <f t="shared" ca="1" si="3"/>
        <v>-</v>
      </c>
      <c r="K5" s="20" t="str">
        <f t="shared" ca="1" si="4"/>
        <v>Yes</v>
      </c>
      <c r="L5" s="27"/>
      <c r="M5" s="20" t="s">
        <v>312</v>
      </c>
      <c r="N5" s="28" t="s">
        <v>330</v>
      </c>
      <c r="O5" s="28"/>
      <c r="P5" s="29"/>
    </row>
    <row r="6" spans="1:16" x14ac:dyDescent="0.35">
      <c r="A6" s="22">
        <v>45701</v>
      </c>
      <c r="B6" s="23" t="s">
        <v>322</v>
      </c>
      <c r="C6" s="23" t="s">
        <v>323</v>
      </c>
      <c r="D6" s="23" t="s">
        <v>320</v>
      </c>
      <c r="E6" s="23" t="s">
        <v>331</v>
      </c>
      <c r="F6" s="24">
        <f t="shared" ca="1" si="0"/>
        <v>18</v>
      </c>
      <c r="G6" s="25">
        <v>7</v>
      </c>
      <c r="H6" s="26">
        <f t="shared" ca="1" si="1"/>
        <v>126</v>
      </c>
      <c r="I6" s="19">
        <f t="shared" ca="1" si="2"/>
        <v>2.52</v>
      </c>
      <c r="J6" s="20" t="str">
        <f t="shared" ca="1" si="3"/>
        <v>-</v>
      </c>
      <c r="K6" s="20" t="str">
        <f t="shared" ca="1" si="4"/>
        <v>-</v>
      </c>
      <c r="L6" s="27"/>
    </row>
    <row r="7" spans="1:16" x14ac:dyDescent="0.35">
      <c r="A7" s="22">
        <v>45701</v>
      </c>
      <c r="B7" s="23" t="s">
        <v>313</v>
      </c>
      <c r="C7" s="23" t="s">
        <v>332</v>
      </c>
      <c r="D7" s="23" t="s">
        <v>333</v>
      </c>
      <c r="E7" s="23" t="s">
        <v>334</v>
      </c>
      <c r="F7" s="24">
        <f t="shared" ca="1" si="0"/>
        <v>43</v>
      </c>
      <c r="G7" s="25">
        <v>7</v>
      </c>
      <c r="H7" s="26">
        <f t="shared" ca="1" si="1"/>
        <v>301</v>
      </c>
      <c r="I7" s="19">
        <f t="shared" ca="1" si="2"/>
        <v>6.0200000000000005</v>
      </c>
      <c r="J7" s="20" t="str">
        <f t="shared" ca="1" si="3"/>
        <v>-</v>
      </c>
      <c r="K7" s="20" t="str">
        <f t="shared" ca="1" si="4"/>
        <v>-</v>
      </c>
      <c r="L7" s="27"/>
    </row>
    <row r="8" spans="1:16" x14ac:dyDescent="0.35">
      <c r="A8" s="22">
        <v>45702</v>
      </c>
      <c r="B8" s="23" t="s">
        <v>313</v>
      </c>
      <c r="C8" s="23" t="s">
        <v>314</v>
      </c>
      <c r="D8" s="23" t="s">
        <v>315</v>
      </c>
      <c r="E8" s="23" t="s">
        <v>335</v>
      </c>
      <c r="F8" s="24">
        <f t="shared" ca="1" si="0"/>
        <v>20</v>
      </c>
      <c r="G8" s="25">
        <v>12</v>
      </c>
      <c r="H8" s="26">
        <f t="shared" ca="1" si="1"/>
        <v>240</v>
      </c>
      <c r="I8" s="19">
        <f t="shared" ca="1" si="2"/>
        <v>4.8</v>
      </c>
      <c r="J8" s="20" t="str">
        <f t="shared" ca="1" si="3"/>
        <v>-</v>
      </c>
      <c r="K8" s="20" t="str">
        <f t="shared" ca="1" si="4"/>
        <v>Yes</v>
      </c>
      <c r="L8" s="27"/>
    </row>
    <row r="9" spans="1:16" x14ac:dyDescent="0.35">
      <c r="A9" s="22">
        <v>45702</v>
      </c>
      <c r="B9" s="23" t="s">
        <v>336</v>
      </c>
      <c r="C9" s="23" t="s">
        <v>319</v>
      </c>
      <c r="D9" s="23" t="s">
        <v>328</v>
      </c>
      <c r="E9" s="23" t="s">
        <v>337</v>
      </c>
      <c r="F9" s="24">
        <f t="shared" ca="1" si="0"/>
        <v>57</v>
      </c>
      <c r="G9" s="25">
        <v>14</v>
      </c>
      <c r="H9" s="26">
        <f t="shared" ca="1" si="1"/>
        <v>798</v>
      </c>
      <c r="I9" s="19">
        <f t="shared" ca="1" si="2"/>
        <v>15.96</v>
      </c>
      <c r="J9" s="20" t="str">
        <f t="shared" ca="1" si="3"/>
        <v>-</v>
      </c>
      <c r="K9" s="20" t="str">
        <f t="shared" ca="1" si="4"/>
        <v>Yes</v>
      </c>
      <c r="L9" s="27"/>
      <c r="M9" s="30"/>
      <c r="N9" s="30"/>
    </row>
    <row r="10" spans="1:16" x14ac:dyDescent="0.35">
      <c r="A10" s="22">
        <v>45702</v>
      </c>
      <c r="B10" s="23" t="s">
        <v>318</v>
      </c>
      <c r="C10" s="23" t="s">
        <v>314</v>
      </c>
      <c r="D10" s="23" t="s">
        <v>338</v>
      </c>
      <c r="E10" s="23" t="s">
        <v>339</v>
      </c>
      <c r="F10" s="24">
        <f t="shared" ca="1" si="0"/>
        <v>57</v>
      </c>
      <c r="G10" s="25">
        <v>9</v>
      </c>
      <c r="H10" s="26">
        <f t="shared" ca="1" si="1"/>
        <v>513</v>
      </c>
      <c r="I10" s="19">
        <f t="shared" ca="1" si="2"/>
        <v>10.26</v>
      </c>
      <c r="J10" s="20" t="str">
        <f t="shared" ca="1" si="3"/>
        <v>Yes</v>
      </c>
      <c r="K10" s="20" t="str">
        <f t="shared" ca="1" si="4"/>
        <v>Yes</v>
      </c>
      <c r="L10" s="27"/>
      <c r="M10" s="31"/>
      <c r="N10" s="31"/>
    </row>
    <row r="11" spans="1:16" x14ac:dyDescent="0.35">
      <c r="A11" s="22">
        <v>45702</v>
      </c>
      <c r="B11" s="23" t="s">
        <v>313</v>
      </c>
      <c r="C11" s="23" t="s">
        <v>332</v>
      </c>
      <c r="D11" s="23" t="s">
        <v>324</v>
      </c>
      <c r="E11" s="23" t="s">
        <v>340</v>
      </c>
      <c r="F11" s="24">
        <f t="shared" ca="1" si="0"/>
        <v>18</v>
      </c>
      <c r="G11" s="25">
        <v>9</v>
      </c>
      <c r="H11" s="26">
        <f t="shared" ca="1" si="1"/>
        <v>162</v>
      </c>
      <c r="I11" s="19">
        <f t="shared" ca="1" si="2"/>
        <v>3.24</v>
      </c>
      <c r="J11" s="20" t="str">
        <f t="shared" ca="1" si="3"/>
        <v>-</v>
      </c>
      <c r="K11" s="20" t="str">
        <f t="shared" ca="1" si="4"/>
        <v>-</v>
      </c>
      <c r="L11" s="27"/>
      <c r="M11" s="31"/>
      <c r="N11" s="31"/>
    </row>
    <row r="12" spans="1:16" x14ac:dyDescent="0.35">
      <c r="A12" s="22">
        <v>45702</v>
      </c>
      <c r="B12" s="23" t="s">
        <v>327</v>
      </c>
      <c r="C12" s="23" t="s">
        <v>314</v>
      </c>
      <c r="D12" s="23" t="s">
        <v>333</v>
      </c>
      <c r="E12" s="23" t="s">
        <v>341</v>
      </c>
      <c r="F12" s="24">
        <f t="shared" ca="1" si="0"/>
        <v>51</v>
      </c>
      <c r="G12" s="25">
        <v>12</v>
      </c>
      <c r="H12" s="26">
        <f t="shared" ca="1" si="1"/>
        <v>612</v>
      </c>
      <c r="I12" s="19">
        <f t="shared" ca="1" si="2"/>
        <v>12.24</v>
      </c>
      <c r="J12" s="20" t="str">
        <f t="shared" ca="1" si="3"/>
        <v>Yes</v>
      </c>
      <c r="K12" s="20" t="str">
        <f t="shared" ca="1" si="4"/>
        <v>Yes</v>
      </c>
      <c r="L12" s="27"/>
      <c r="M12" s="31"/>
      <c r="N12" s="31"/>
    </row>
    <row r="13" spans="1:16" x14ac:dyDescent="0.35">
      <c r="A13" s="22">
        <v>45703</v>
      </c>
      <c r="B13" s="23" t="s">
        <v>318</v>
      </c>
      <c r="C13" s="23" t="s">
        <v>319</v>
      </c>
      <c r="D13" s="23" t="s">
        <v>320</v>
      </c>
      <c r="E13" s="23" t="s">
        <v>316</v>
      </c>
      <c r="F13" s="24">
        <f t="shared" ca="1" si="0"/>
        <v>37</v>
      </c>
      <c r="G13" s="25">
        <v>10</v>
      </c>
      <c r="H13" s="26">
        <f t="shared" ca="1" si="1"/>
        <v>370</v>
      </c>
      <c r="I13" s="19">
        <f t="shared" ca="1" si="2"/>
        <v>7.4</v>
      </c>
      <c r="J13" s="20" t="str">
        <f t="shared" ca="1" si="3"/>
        <v>-</v>
      </c>
      <c r="K13" s="20" t="str">
        <f t="shared" ca="1" si="4"/>
        <v>-</v>
      </c>
      <c r="L13" s="27"/>
      <c r="M13" s="32"/>
      <c r="N13" s="32"/>
    </row>
    <row r="14" spans="1:16" x14ac:dyDescent="0.35">
      <c r="A14" s="22">
        <v>45703</v>
      </c>
      <c r="B14" s="23" t="s">
        <v>322</v>
      </c>
      <c r="C14" s="23" t="s">
        <v>314</v>
      </c>
      <c r="D14" s="23" t="s">
        <v>320</v>
      </c>
      <c r="E14" s="23" t="s">
        <v>342</v>
      </c>
      <c r="F14" s="24">
        <f t="shared" ca="1" si="0"/>
        <v>11</v>
      </c>
      <c r="G14" s="25">
        <v>14</v>
      </c>
      <c r="H14" s="26">
        <f t="shared" ca="1" si="1"/>
        <v>154</v>
      </c>
      <c r="I14" s="19">
        <f t="shared" ca="1" si="2"/>
        <v>3.08</v>
      </c>
      <c r="J14" s="20" t="str">
        <f t="shared" ca="1" si="3"/>
        <v>-</v>
      </c>
      <c r="K14" s="20" t="str">
        <f t="shared" ca="1" si="4"/>
        <v>Yes</v>
      </c>
      <c r="L14" s="27"/>
      <c r="N14" s="32"/>
    </row>
    <row r="15" spans="1:16" x14ac:dyDescent="0.35">
      <c r="A15" s="22">
        <v>45704</v>
      </c>
      <c r="B15" s="23" t="s">
        <v>327</v>
      </c>
      <c r="C15" s="23" t="s">
        <v>319</v>
      </c>
      <c r="D15" s="23" t="s">
        <v>328</v>
      </c>
      <c r="E15" s="23" t="s">
        <v>343</v>
      </c>
      <c r="F15" s="24">
        <f t="shared" ca="1" si="0"/>
        <v>30</v>
      </c>
      <c r="G15" s="25">
        <v>17</v>
      </c>
      <c r="H15" s="26">
        <f t="shared" ca="1" si="1"/>
        <v>510</v>
      </c>
      <c r="I15" s="19">
        <f t="shared" ca="1" si="2"/>
        <v>10.200000000000001</v>
      </c>
      <c r="J15" s="20" t="str">
        <f t="shared" ca="1" si="3"/>
        <v>-</v>
      </c>
      <c r="K15" s="20" t="str">
        <f t="shared" ca="1" si="4"/>
        <v>Yes</v>
      </c>
      <c r="L15" s="27"/>
      <c r="N15" s="32"/>
    </row>
    <row r="16" spans="1:16" x14ac:dyDescent="0.35">
      <c r="A16" s="22">
        <v>45704</v>
      </c>
      <c r="B16" s="23" t="s">
        <v>322</v>
      </c>
      <c r="C16" s="23" t="s">
        <v>314</v>
      </c>
      <c r="D16" s="23" t="s">
        <v>333</v>
      </c>
      <c r="E16" s="23" t="s">
        <v>344</v>
      </c>
      <c r="F16" s="24">
        <f t="shared" ca="1" si="0"/>
        <v>22</v>
      </c>
      <c r="G16" s="25">
        <v>19</v>
      </c>
      <c r="H16" s="26">
        <f t="shared" ca="1" si="1"/>
        <v>418</v>
      </c>
      <c r="I16" s="19">
        <f t="shared" ca="1" si="2"/>
        <v>8.36</v>
      </c>
      <c r="J16" s="20" t="str">
        <f t="shared" ca="1" si="3"/>
        <v>Yes</v>
      </c>
      <c r="K16" s="20" t="str">
        <f t="shared" ca="1" si="4"/>
        <v>Yes</v>
      </c>
      <c r="L16" s="27"/>
      <c r="N16" s="32"/>
    </row>
    <row r="17" spans="1:14" x14ac:dyDescent="0.35">
      <c r="A17" s="22">
        <v>45704</v>
      </c>
      <c r="B17" s="23" t="s">
        <v>336</v>
      </c>
      <c r="C17" s="23" t="s">
        <v>319</v>
      </c>
      <c r="D17" s="23" t="s">
        <v>320</v>
      </c>
      <c r="E17" s="23" t="s">
        <v>345</v>
      </c>
      <c r="F17" s="24">
        <f t="shared" ca="1" si="0"/>
        <v>47</v>
      </c>
      <c r="G17" s="25">
        <v>6</v>
      </c>
      <c r="H17" s="26">
        <f t="shared" ca="1" si="1"/>
        <v>282</v>
      </c>
      <c r="I17" s="19">
        <f t="shared" ca="1" si="2"/>
        <v>5.64</v>
      </c>
      <c r="J17" s="20" t="str">
        <f t="shared" ca="1" si="3"/>
        <v>-</v>
      </c>
      <c r="K17" s="20" t="str">
        <f t="shared" ca="1" si="4"/>
        <v>-</v>
      </c>
      <c r="L17" s="27"/>
      <c r="N17" s="32"/>
    </row>
    <row r="18" spans="1:14" x14ac:dyDescent="0.35">
      <c r="A18" s="22">
        <v>45704</v>
      </c>
      <c r="B18" s="23" t="s">
        <v>336</v>
      </c>
      <c r="C18" s="23" t="s">
        <v>332</v>
      </c>
      <c r="D18" s="23" t="s">
        <v>315</v>
      </c>
      <c r="E18" s="23" t="s">
        <v>341</v>
      </c>
      <c r="F18" s="24">
        <f t="shared" ca="1" si="0"/>
        <v>12</v>
      </c>
      <c r="G18" s="25">
        <v>6</v>
      </c>
      <c r="H18" s="26">
        <f t="shared" ca="1" si="1"/>
        <v>72</v>
      </c>
      <c r="I18" s="19">
        <f t="shared" ca="1" si="2"/>
        <v>1.44</v>
      </c>
      <c r="J18" s="20" t="str">
        <f t="shared" ca="1" si="3"/>
        <v>-</v>
      </c>
      <c r="K18" s="20" t="str">
        <f t="shared" ca="1" si="4"/>
        <v>-</v>
      </c>
      <c r="L18" s="27"/>
      <c r="N18" s="32"/>
    </row>
    <row r="19" spans="1:14" x14ac:dyDescent="0.35">
      <c r="A19" s="22">
        <v>45705</v>
      </c>
      <c r="B19" s="23" t="s">
        <v>318</v>
      </c>
      <c r="C19" s="23" t="s">
        <v>323</v>
      </c>
      <c r="D19" s="23" t="s">
        <v>333</v>
      </c>
      <c r="E19" s="23" t="s">
        <v>346</v>
      </c>
      <c r="F19" s="24">
        <f t="shared" ca="1" si="0"/>
        <v>17</v>
      </c>
      <c r="G19" s="25">
        <v>23</v>
      </c>
      <c r="H19" s="26">
        <f t="shared" ca="1" si="1"/>
        <v>391</v>
      </c>
      <c r="I19" s="19">
        <f t="shared" ca="1" si="2"/>
        <v>7.82</v>
      </c>
      <c r="J19" s="20" t="str">
        <f t="shared" ca="1" si="3"/>
        <v>-</v>
      </c>
      <c r="K19" s="20" t="str">
        <f t="shared" ca="1" si="4"/>
        <v>-</v>
      </c>
      <c r="L19" s="27"/>
    </row>
    <row r="20" spans="1:14" x14ac:dyDescent="0.35">
      <c r="A20" s="22">
        <v>45705</v>
      </c>
      <c r="B20" s="23" t="s">
        <v>336</v>
      </c>
      <c r="C20" s="23" t="s">
        <v>323</v>
      </c>
      <c r="D20" s="23" t="s">
        <v>315</v>
      </c>
      <c r="E20" s="23" t="s">
        <v>347</v>
      </c>
      <c r="F20" s="24">
        <f t="shared" ca="1" si="0"/>
        <v>18</v>
      </c>
      <c r="G20" s="25">
        <v>22</v>
      </c>
      <c r="H20" s="26">
        <f t="shared" ca="1" si="1"/>
        <v>396</v>
      </c>
      <c r="I20" s="19">
        <f t="shared" ca="1" si="2"/>
        <v>7.92</v>
      </c>
      <c r="J20" s="20" t="str">
        <f t="shared" ca="1" si="3"/>
        <v>-</v>
      </c>
      <c r="K20" s="20" t="str">
        <f t="shared" ca="1" si="4"/>
        <v>-</v>
      </c>
      <c r="L20" s="27"/>
    </row>
    <row r="21" spans="1:14" x14ac:dyDescent="0.35">
      <c r="A21" s="22">
        <v>45705</v>
      </c>
      <c r="B21" s="23" t="s">
        <v>327</v>
      </c>
      <c r="C21" s="23" t="s">
        <v>332</v>
      </c>
      <c r="D21" s="23" t="s">
        <v>320</v>
      </c>
      <c r="E21" s="23" t="s">
        <v>348</v>
      </c>
      <c r="F21" s="24">
        <f t="shared" ca="1" si="0"/>
        <v>35</v>
      </c>
      <c r="G21" s="25">
        <v>17</v>
      </c>
      <c r="H21" s="26">
        <f t="shared" ca="1" si="1"/>
        <v>595</v>
      </c>
      <c r="I21" s="19">
        <f t="shared" ca="1" si="2"/>
        <v>11.9</v>
      </c>
      <c r="J21" s="20" t="str">
        <f t="shared" ca="1" si="3"/>
        <v>-</v>
      </c>
      <c r="K21" s="20" t="str">
        <f t="shared" ca="1" si="4"/>
        <v>Yes</v>
      </c>
      <c r="L21" s="27"/>
    </row>
    <row r="22" spans="1:14" x14ac:dyDescent="0.35">
      <c r="A22" s="22">
        <v>45705</v>
      </c>
      <c r="B22" s="23" t="s">
        <v>322</v>
      </c>
      <c r="C22" s="23" t="s">
        <v>314</v>
      </c>
      <c r="D22" s="23" t="s">
        <v>315</v>
      </c>
      <c r="E22" s="23" t="s">
        <v>341</v>
      </c>
      <c r="F22" s="24">
        <f t="shared" ca="1" si="0"/>
        <v>25</v>
      </c>
      <c r="G22" s="25">
        <v>13</v>
      </c>
      <c r="H22" s="26">
        <f t="shared" ca="1" si="1"/>
        <v>325</v>
      </c>
      <c r="I22" s="19">
        <f t="shared" ca="1" si="2"/>
        <v>6.5</v>
      </c>
      <c r="J22" s="20" t="str">
        <f t="shared" ca="1" si="3"/>
        <v>-</v>
      </c>
      <c r="K22" s="20" t="str">
        <f t="shared" ca="1" si="4"/>
        <v>Yes</v>
      </c>
      <c r="L22" s="27"/>
    </row>
    <row r="23" spans="1:14" x14ac:dyDescent="0.35">
      <c r="A23" s="22">
        <v>45705</v>
      </c>
      <c r="B23" s="23" t="s">
        <v>318</v>
      </c>
      <c r="C23" s="23" t="s">
        <v>314</v>
      </c>
      <c r="D23" s="23" t="s">
        <v>338</v>
      </c>
      <c r="E23" s="23" t="s">
        <v>341</v>
      </c>
      <c r="F23" s="24">
        <f t="shared" ca="1" si="0"/>
        <v>34</v>
      </c>
      <c r="G23" s="25">
        <v>12</v>
      </c>
      <c r="H23" s="26">
        <f t="shared" ca="1" si="1"/>
        <v>408</v>
      </c>
      <c r="I23" s="19">
        <f t="shared" ca="1" si="2"/>
        <v>8.16</v>
      </c>
      <c r="J23" s="20" t="str">
        <f t="shared" ca="1" si="3"/>
        <v>Yes</v>
      </c>
      <c r="K23" s="20" t="str">
        <f t="shared" ca="1" si="4"/>
        <v>Yes</v>
      </c>
      <c r="L23" s="27"/>
    </row>
    <row r="24" spans="1:14" x14ac:dyDescent="0.35">
      <c r="A24" s="22">
        <v>45706</v>
      </c>
      <c r="B24" s="23" t="s">
        <v>336</v>
      </c>
      <c r="C24" s="23" t="s">
        <v>314</v>
      </c>
      <c r="D24" s="23" t="s">
        <v>333</v>
      </c>
      <c r="E24" s="23" t="s">
        <v>343</v>
      </c>
      <c r="F24" s="24">
        <f t="shared" ca="1" si="0"/>
        <v>34</v>
      </c>
      <c r="G24" s="25">
        <v>14</v>
      </c>
      <c r="H24" s="26">
        <f t="shared" ca="1" si="1"/>
        <v>476</v>
      </c>
      <c r="I24" s="19">
        <f t="shared" ca="1" si="2"/>
        <v>9.52</v>
      </c>
      <c r="J24" s="20" t="str">
        <f t="shared" ca="1" si="3"/>
        <v>Yes</v>
      </c>
      <c r="K24" s="20" t="str">
        <f t="shared" ca="1" si="4"/>
        <v>Yes</v>
      </c>
      <c r="L24" s="27"/>
    </row>
    <row r="25" spans="1:14" x14ac:dyDescent="0.35">
      <c r="A25" s="22">
        <v>45706</v>
      </c>
      <c r="B25" s="23" t="s">
        <v>313</v>
      </c>
      <c r="C25" s="23" t="s">
        <v>314</v>
      </c>
      <c r="D25" s="23" t="s">
        <v>315</v>
      </c>
      <c r="E25" s="23" t="s">
        <v>347</v>
      </c>
      <c r="F25" s="24">
        <f t="shared" ca="1" si="0"/>
        <v>10</v>
      </c>
      <c r="G25" s="25">
        <v>13</v>
      </c>
      <c r="H25" s="26">
        <f t="shared" ca="1" si="1"/>
        <v>130</v>
      </c>
      <c r="I25" s="19">
        <f t="shared" ca="1" si="2"/>
        <v>2.6</v>
      </c>
      <c r="J25" s="20" t="str">
        <f t="shared" ca="1" si="3"/>
        <v>-</v>
      </c>
      <c r="K25" s="20" t="str">
        <f t="shared" ca="1" si="4"/>
        <v>Yes</v>
      </c>
      <c r="L25" s="27"/>
    </row>
    <row r="26" spans="1:14" x14ac:dyDescent="0.35">
      <c r="A26" s="22">
        <v>45706</v>
      </c>
      <c r="B26" s="23" t="s">
        <v>327</v>
      </c>
      <c r="C26" s="23" t="s">
        <v>332</v>
      </c>
      <c r="D26" s="23" t="s">
        <v>333</v>
      </c>
      <c r="E26" s="23" t="s">
        <v>349</v>
      </c>
      <c r="F26" s="24">
        <f t="shared" ca="1" si="0"/>
        <v>24</v>
      </c>
      <c r="G26" s="25">
        <v>10</v>
      </c>
      <c r="H26" s="26">
        <f t="shared" ca="1" si="1"/>
        <v>240</v>
      </c>
      <c r="I26" s="19">
        <f t="shared" ca="1" si="2"/>
        <v>4.8</v>
      </c>
      <c r="J26" s="20" t="str">
        <f t="shared" ca="1" si="3"/>
        <v>-</v>
      </c>
      <c r="K26" s="20" t="str">
        <f t="shared" ca="1" si="4"/>
        <v>-</v>
      </c>
      <c r="L26" s="27"/>
    </row>
    <row r="27" spans="1:14" x14ac:dyDescent="0.35">
      <c r="A27" s="22">
        <v>45707</v>
      </c>
      <c r="B27" s="23" t="s">
        <v>327</v>
      </c>
      <c r="C27" s="23" t="s">
        <v>332</v>
      </c>
      <c r="D27" s="23" t="s">
        <v>328</v>
      </c>
      <c r="E27" s="23" t="s">
        <v>350</v>
      </c>
      <c r="F27" s="24">
        <f t="shared" ca="1" si="0"/>
        <v>30</v>
      </c>
      <c r="G27" s="25">
        <v>19</v>
      </c>
      <c r="H27" s="26">
        <f t="shared" ca="1" si="1"/>
        <v>570</v>
      </c>
      <c r="I27" s="19">
        <f t="shared" ca="1" si="2"/>
        <v>11.4</v>
      </c>
      <c r="J27" s="20" t="str">
        <f t="shared" ca="1" si="3"/>
        <v>-</v>
      </c>
      <c r="K27" s="20" t="str">
        <f t="shared" ca="1" si="4"/>
        <v>Yes</v>
      </c>
      <c r="L27" s="27"/>
    </row>
    <row r="28" spans="1:14" x14ac:dyDescent="0.35">
      <c r="A28" s="22">
        <v>45707</v>
      </c>
      <c r="B28" s="23" t="s">
        <v>313</v>
      </c>
      <c r="C28" s="33" t="s">
        <v>314</v>
      </c>
      <c r="D28" s="33" t="s">
        <v>315</v>
      </c>
      <c r="E28" s="33" t="s">
        <v>343</v>
      </c>
      <c r="F28" s="24">
        <f t="shared" ca="1" si="0"/>
        <v>52</v>
      </c>
      <c r="G28" s="34">
        <v>12</v>
      </c>
      <c r="H28" s="26">
        <f t="shared" ca="1" si="1"/>
        <v>624</v>
      </c>
      <c r="I28" s="19">
        <f t="shared" ca="1" si="2"/>
        <v>12.48</v>
      </c>
      <c r="J28" s="20" t="str">
        <f t="shared" ca="1" si="3"/>
        <v>Yes</v>
      </c>
      <c r="K28" s="20" t="str">
        <f t="shared" ca="1" si="4"/>
        <v>Yes</v>
      </c>
      <c r="L28"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93527-4B84-4B71-9DD0-2EE8F10B911D}">
  <sheetPr codeName="Sheet31"/>
  <dimension ref="A1:P97"/>
  <sheetViews>
    <sheetView topLeftCell="C1" workbookViewId="0">
      <selection activeCell="U24" sqref="U24"/>
    </sheetView>
  </sheetViews>
  <sheetFormatPr defaultColWidth="9" defaultRowHeight="15.5" x14ac:dyDescent="0.35"/>
  <cols>
    <col min="1" max="2" width="12.1640625" style="2" customWidth="1"/>
    <col min="3" max="3" width="7.6640625" style="2" customWidth="1"/>
    <col min="4" max="9" width="7.5" style="2" customWidth="1"/>
    <col min="10" max="10" width="9" style="14"/>
    <col min="11" max="11" width="10.4140625" style="2" customWidth="1"/>
    <col min="12" max="13" width="13.6640625" style="2" customWidth="1"/>
    <col min="14" max="14" width="9" style="2"/>
    <col min="15" max="15" width="5.08203125" style="2" customWidth="1"/>
    <col min="16" max="16" width="16.1640625" style="2" bestFit="1" customWidth="1"/>
    <col min="17" max="16384" width="9" style="2"/>
  </cols>
  <sheetData>
    <row r="1" spans="1:16" x14ac:dyDescent="0.35">
      <c r="A1" s="402" t="s">
        <v>0</v>
      </c>
      <c r="B1" s="402" t="s">
        <v>1</v>
      </c>
      <c r="C1" s="402" t="s">
        <v>2</v>
      </c>
      <c r="D1" s="402" t="s">
        <v>3</v>
      </c>
      <c r="E1" s="402" t="s">
        <v>4</v>
      </c>
      <c r="F1" s="402" t="s">
        <v>5</v>
      </c>
      <c r="G1" s="402" t="s">
        <v>6</v>
      </c>
      <c r="H1" s="402" t="s">
        <v>351</v>
      </c>
      <c r="I1" s="402" t="s">
        <v>352</v>
      </c>
      <c r="J1" s="402" t="s">
        <v>7</v>
      </c>
      <c r="K1" s="402" t="s">
        <v>8</v>
      </c>
      <c r="L1" s="402" t="s">
        <v>353</v>
      </c>
      <c r="M1" s="38"/>
    </row>
    <row r="2" spans="1:16" x14ac:dyDescent="0.35">
      <c r="A2" s="403"/>
      <c r="B2" s="403"/>
      <c r="C2" s="403"/>
      <c r="D2" s="403"/>
      <c r="E2" s="403"/>
      <c r="F2" s="403"/>
      <c r="G2" s="403"/>
      <c r="H2" s="403"/>
      <c r="I2" s="403"/>
      <c r="J2" s="403"/>
      <c r="K2" s="403"/>
      <c r="L2" s="403" t="s">
        <v>353</v>
      </c>
      <c r="M2" s="39"/>
      <c r="N2" s="2" t="s">
        <v>354</v>
      </c>
    </row>
    <row r="3" spans="1:16" x14ac:dyDescent="0.35">
      <c r="A3" s="3" t="s">
        <v>10</v>
      </c>
      <c r="B3" s="3" t="s">
        <v>11</v>
      </c>
      <c r="C3" s="4" t="s">
        <v>12</v>
      </c>
      <c r="D3" s="5">
        <v>97</v>
      </c>
      <c r="E3" s="5">
        <v>90</v>
      </c>
      <c r="F3" s="5">
        <v>68</v>
      </c>
      <c r="G3" s="5">
        <v>93</v>
      </c>
      <c r="H3" s="5">
        <f>IF(MAX(D3:G3)&gt;90,MIN(100-MAX(D3:G3),5),0)</f>
        <v>3</v>
      </c>
      <c r="I3" s="5">
        <f>IF(MIN(D3:G3)&lt;60,8,0)</f>
        <v>0</v>
      </c>
      <c r="J3" s="40">
        <f>SUM(D3:I3)/4</f>
        <v>87.75</v>
      </c>
      <c r="K3" s="41" t="str">
        <f>VLOOKUP(J3,$N$8:$O$12,2,TRUE)</f>
        <v>B</v>
      </c>
      <c r="L3" s="39" t="str">
        <f>VLOOKUP(K3,$O$8:$P$12,2,FALSE)</f>
        <v>Good</v>
      </c>
      <c r="M3" s="39"/>
      <c r="N3" s="2" t="s">
        <v>355</v>
      </c>
    </row>
    <row r="4" spans="1:16" x14ac:dyDescent="0.35">
      <c r="A4" s="3" t="s">
        <v>13</v>
      </c>
      <c r="B4" s="3" t="s">
        <v>14</v>
      </c>
      <c r="C4" s="4" t="s">
        <v>15</v>
      </c>
      <c r="D4" s="5">
        <v>88</v>
      </c>
      <c r="E4" s="5">
        <v>96</v>
      </c>
      <c r="F4" s="5">
        <v>70</v>
      </c>
      <c r="G4" s="5">
        <v>79</v>
      </c>
      <c r="H4" s="5">
        <f t="shared" ref="H4:H67" si="0">IF(MAX(D4:G4)&gt;90,MIN(100-MAX(D4:G4),5),0)</f>
        <v>4</v>
      </c>
      <c r="I4" s="5">
        <f t="shared" ref="I4:I67" si="1">IF(MIN(D4:G4)&lt;60,8,0)</f>
        <v>0</v>
      </c>
      <c r="J4" s="40">
        <f t="shared" ref="J4:J67" si="2">SUM(D4:I4)/4</f>
        <v>84.25</v>
      </c>
      <c r="K4" s="41" t="str">
        <f t="shared" ref="K4:K67" si="3">VLOOKUP(J4,$N$8:$O$12,2,TRUE)</f>
        <v>B</v>
      </c>
      <c r="L4" s="39" t="str">
        <f t="shared" ref="L4:L67" si="4">VLOOKUP(K4,$O$8:$P$12,2,FALSE)</f>
        <v>Good</v>
      </c>
      <c r="M4" s="39"/>
    </row>
    <row r="5" spans="1:16" x14ac:dyDescent="0.35">
      <c r="A5" s="4" t="s">
        <v>17</v>
      </c>
      <c r="B5" s="3" t="s">
        <v>18</v>
      </c>
      <c r="C5" s="4" t="s">
        <v>19</v>
      </c>
      <c r="D5" s="5">
        <v>92</v>
      </c>
      <c r="E5" s="5">
        <v>87</v>
      </c>
      <c r="F5" s="5">
        <v>53</v>
      </c>
      <c r="G5" s="5">
        <v>90</v>
      </c>
      <c r="H5" s="5">
        <f t="shared" si="0"/>
        <v>5</v>
      </c>
      <c r="I5" s="5">
        <f t="shared" si="1"/>
        <v>8</v>
      </c>
      <c r="J5" s="40">
        <f t="shared" si="2"/>
        <v>83.75</v>
      </c>
      <c r="K5" s="41" t="str">
        <f t="shared" si="3"/>
        <v>B</v>
      </c>
      <c r="L5" s="39" t="str">
        <f t="shared" si="4"/>
        <v>Good</v>
      </c>
      <c r="M5" s="39"/>
      <c r="N5" s="2" t="s">
        <v>356</v>
      </c>
    </row>
    <row r="6" spans="1:16" x14ac:dyDescent="0.35">
      <c r="A6" s="4" t="s">
        <v>21</v>
      </c>
      <c r="B6" s="3" t="s">
        <v>22</v>
      </c>
      <c r="C6" s="4" t="s">
        <v>23</v>
      </c>
      <c r="D6" s="5">
        <v>92</v>
      </c>
      <c r="E6" s="5">
        <v>90</v>
      </c>
      <c r="F6" s="5">
        <v>45</v>
      </c>
      <c r="G6" s="5">
        <v>91</v>
      </c>
      <c r="H6" s="5">
        <f t="shared" si="0"/>
        <v>5</v>
      </c>
      <c r="I6" s="5">
        <f t="shared" si="1"/>
        <v>8</v>
      </c>
      <c r="J6" s="40">
        <f t="shared" si="2"/>
        <v>82.75</v>
      </c>
      <c r="K6" s="41" t="str">
        <f t="shared" si="3"/>
        <v>B</v>
      </c>
      <c r="L6" s="39" t="str">
        <f t="shared" si="4"/>
        <v>Good</v>
      </c>
      <c r="M6" s="39"/>
    </row>
    <row r="7" spans="1:16" x14ac:dyDescent="0.35">
      <c r="A7" s="4" t="s">
        <v>25</v>
      </c>
      <c r="B7" s="3" t="s">
        <v>26</v>
      </c>
      <c r="C7" s="4" t="s">
        <v>27</v>
      </c>
      <c r="D7" s="5">
        <v>92</v>
      </c>
      <c r="E7" s="5">
        <v>88</v>
      </c>
      <c r="F7" s="5">
        <v>46</v>
      </c>
      <c r="G7" s="5">
        <v>90</v>
      </c>
      <c r="H7" s="5">
        <f t="shared" si="0"/>
        <v>5</v>
      </c>
      <c r="I7" s="5">
        <f t="shared" si="1"/>
        <v>8</v>
      </c>
      <c r="J7" s="40">
        <f t="shared" si="2"/>
        <v>82.25</v>
      </c>
      <c r="K7" s="41" t="str">
        <f t="shared" si="3"/>
        <v>B</v>
      </c>
      <c r="L7" s="39" t="str">
        <f t="shared" si="4"/>
        <v>Good</v>
      </c>
      <c r="M7" s="39"/>
      <c r="N7" s="404" t="s">
        <v>37</v>
      </c>
      <c r="O7" s="404"/>
      <c r="P7" s="4" t="s">
        <v>357</v>
      </c>
    </row>
    <row r="8" spans="1:16" x14ac:dyDescent="0.35">
      <c r="A8" s="4" t="s">
        <v>28</v>
      </c>
      <c r="B8" s="3" t="s">
        <v>29</v>
      </c>
      <c r="C8" s="4" t="s">
        <v>30</v>
      </c>
      <c r="D8" s="5">
        <v>91</v>
      </c>
      <c r="E8" s="5">
        <v>93</v>
      </c>
      <c r="F8" s="5">
        <v>54</v>
      </c>
      <c r="G8" s="5">
        <v>94</v>
      </c>
      <c r="H8" s="5">
        <f t="shared" si="0"/>
        <v>5</v>
      </c>
      <c r="I8" s="5">
        <f t="shared" si="1"/>
        <v>8</v>
      </c>
      <c r="J8" s="40">
        <f t="shared" si="2"/>
        <v>86.25</v>
      </c>
      <c r="K8" s="41" t="str">
        <f t="shared" si="3"/>
        <v>B</v>
      </c>
      <c r="L8" s="39" t="str">
        <f t="shared" si="4"/>
        <v>Good</v>
      </c>
      <c r="M8" s="39"/>
      <c r="N8" s="42">
        <v>0</v>
      </c>
      <c r="O8" s="42" t="s">
        <v>41</v>
      </c>
      <c r="P8" s="4" t="s">
        <v>358</v>
      </c>
    </row>
    <row r="9" spans="1:16" x14ac:dyDescent="0.35">
      <c r="A9" s="3" t="s">
        <v>31</v>
      </c>
      <c r="B9" s="3" t="s">
        <v>32</v>
      </c>
      <c r="C9" s="4" t="s">
        <v>33</v>
      </c>
      <c r="D9" s="5">
        <v>94</v>
      </c>
      <c r="E9" s="5">
        <v>89</v>
      </c>
      <c r="F9" s="5">
        <v>44</v>
      </c>
      <c r="G9" s="5">
        <v>72</v>
      </c>
      <c r="H9" s="5">
        <f t="shared" si="0"/>
        <v>5</v>
      </c>
      <c r="I9" s="5">
        <f t="shared" si="1"/>
        <v>8</v>
      </c>
      <c r="J9" s="40">
        <f t="shared" si="2"/>
        <v>78</v>
      </c>
      <c r="K9" s="41" t="str">
        <f t="shared" si="3"/>
        <v>C</v>
      </c>
      <c r="L9" s="39" t="str">
        <f t="shared" si="4"/>
        <v>Average</v>
      </c>
      <c r="M9" s="39"/>
      <c r="N9" s="42">
        <v>60</v>
      </c>
      <c r="O9" s="42" t="s">
        <v>45</v>
      </c>
      <c r="P9" s="4" t="s">
        <v>359</v>
      </c>
    </row>
    <row r="10" spans="1:16" x14ac:dyDescent="0.35">
      <c r="A10" s="4" t="s">
        <v>34</v>
      </c>
      <c r="B10" s="3" t="s">
        <v>35</v>
      </c>
      <c r="C10" s="4" t="s">
        <v>36</v>
      </c>
      <c r="D10" s="5">
        <v>92</v>
      </c>
      <c r="E10" s="5">
        <v>90</v>
      </c>
      <c r="F10" s="5">
        <v>74</v>
      </c>
      <c r="G10" s="5">
        <v>68</v>
      </c>
      <c r="H10" s="5">
        <f t="shared" si="0"/>
        <v>5</v>
      </c>
      <c r="I10" s="5">
        <f t="shared" si="1"/>
        <v>0</v>
      </c>
      <c r="J10" s="40">
        <f t="shared" si="2"/>
        <v>82.25</v>
      </c>
      <c r="K10" s="41" t="str">
        <f t="shared" si="3"/>
        <v>B</v>
      </c>
      <c r="L10" s="39" t="str">
        <f t="shared" si="4"/>
        <v>Good</v>
      </c>
      <c r="M10" s="39"/>
      <c r="N10" s="42">
        <v>70</v>
      </c>
      <c r="O10" s="42" t="s">
        <v>49</v>
      </c>
      <c r="P10" s="4" t="s">
        <v>7</v>
      </c>
    </row>
    <row r="11" spans="1:16" x14ac:dyDescent="0.35">
      <c r="A11" s="4" t="s">
        <v>38</v>
      </c>
      <c r="B11" s="3" t="s">
        <v>39</v>
      </c>
      <c r="C11" s="4" t="s">
        <v>40</v>
      </c>
      <c r="D11" s="5">
        <v>80</v>
      </c>
      <c r="E11" s="5">
        <v>90</v>
      </c>
      <c r="F11" s="5">
        <v>65</v>
      </c>
      <c r="G11" s="5">
        <v>91</v>
      </c>
      <c r="H11" s="5">
        <f t="shared" si="0"/>
        <v>5</v>
      </c>
      <c r="I11" s="5">
        <f t="shared" si="1"/>
        <v>0</v>
      </c>
      <c r="J11" s="40">
        <f t="shared" si="2"/>
        <v>82.75</v>
      </c>
      <c r="K11" s="41" t="str">
        <f t="shared" si="3"/>
        <v>B</v>
      </c>
      <c r="L11" s="39" t="str">
        <f t="shared" si="4"/>
        <v>Good</v>
      </c>
      <c r="M11" s="39"/>
      <c r="N11" s="42">
        <v>80</v>
      </c>
      <c r="O11" s="42" t="s">
        <v>53</v>
      </c>
      <c r="P11" s="4" t="s">
        <v>360</v>
      </c>
    </row>
    <row r="12" spans="1:16" x14ac:dyDescent="0.35">
      <c r="A12" s="4" t="s">
        <v>42</v>
      </c>
      <c r="B12" s="3" t="s">
        <v>43</v>
      </c>
      <c r="C12" s="4" t="s">
        <v>44</v>
      </c>
      <c r="D12" s="5">
        <v>96</v>
      </c>
      <c r="E12" s="5">
        <v>82</v>
      </c>
      <c r="F12" s="5">
        <v>40</v>
      </c>
      <c r="G12" s="5">
        <v>78</v>
      </c>
      <c r="H12" s="5">
        <f t="shared" si="0"/>
        <v>4</v>
      </c>
      <c r="I12" s="5">
        <f t="shared" si="1"/>
        <v>8</v>
      </c>
      <c r="J12" s="40">
        <f t="shared" si="2"/>
        <v>77</v>
      </c>
      <c r="K12" s="41" t="str">
        <f t="shared" si="3"/>
        <v>C</v>
      </c>
      <c r="L12" s="39" t="str">
        <f t="shared" si="4"/>
        <v>Average</v>
      </c>
      <c r="M12" s="39"/>
      <c r="N12" s="42">
        <v>90</v>
      </c>
      <c r="O12" s="42" t="s">
        <v>57</v>
      </c>
      <c r="P12" s="4" t="s">
        <v>361</v>
      </c>
    </row>
    <row r="13" spans="1:16" x14ac:dyDescent="0.35">
      <c r="A13" s="4" t="s">
        <v>46</v>
      </c>
      <c r="B13" s="3" t="s">
        <v>47</v>
      </c>
      <c r="C13" s="4" t="s">
        <v>48</v>
      </c>
      <c r="D13" s="5">
        <v>91</v>
      </c>
      <c r="E13" s="5">
        <v>88</v>
      </c>
      <c r="F13" s="5">
        <v>90</v>
      </c>
      <c r="G13" s="5">
        <v>77</v>
      </c>
      <c r="H13" s="5">
        <f t="shared" si="0"/>
        <v>5</v>
      </c>
      <c r="I13" s="5">
        <f t="shared" si="1"/>
        <v>0</v>
      </c>
      <c r="J13" s="40">
        <f t="shared" si="2"/>
        <v>87.75</v>
      </c>
      <c r="K13" s="41" t="str">
        <f t="shared" si="3"/>
        <v>B</v>
      </c>
      <c r="L13" s="39" t="str">
        <f t="shared" si="4"/>
        <v>Good</v>
      </c>
      <c r="M13" s="39"/>
    </row>
    <row r="14" spans="1:16" x14ac:dyDescent="0.35">
      <c r="A14" s="4" t="s">
        <v>50</v>
      </c>
      <c r="B14" s="3" t="s">
        <v>51</v>
      </c>
      <c r="C14" s="4" t="s">
        <v>52</v>
      </c>
      <c r="D14" s="5">
        <v>91</v>
      </c>
      <c r="E14" s="5">
        <v>77</v>
      </c>
      <c r="F14" s="5">
        <v>72</v>
      </c>
      <c r="G14" s="5">
        <v>85</v>
      </c>
      <c r="H14" s="5">
        <f t="shared" si="0"/>
        <v>5</v>
      </c>
      <c r="I14" s="5">
        <f t="shared" si="1"/>
        <v>0</v>
      </c>
      <c r="J14" s="40">
        <f t="shared" si="2"/>
        <v>82.5</v>
      </c>
      <c r="K14" s="41" t="str">
        <f t="shared" si="3"/>
        <v>B</v>
      </c>
      <c r="L14" s="39" t="str">
        <f t="shared" si="4"/>
        <v>Good</v>
      </c>
      <c r="M14" s="39"/>
    </row>
    <row r="15" spans="1:16" x14ac:dyDescent="0.35">
      <c r="A15" s="4" t="s">
        <v>54</v>
      </c>
      <c r="B15" s="3" t="s">
        <v>55</v>
      </c>
      <c r="C15" s="4" t="s">
        <v>56</v>
      </c>
      <c r="D15" s="5">
        <v>86</v>
      </c>
      <c r="E15" s="5">
        <v>79</v>
      </c>
      <c r="F15" s="5">
        <v>47</v>
      </c>
      <c r="G15" s="5">
        <v>88</v>
      </c>
      <c r="H15" s="5">
        <f t="shared" si="0"/>
        <v>0</v>
      </c>
      <c r="I15" s="5">
        <f t="shared" si="1"/>
        <v>8</v>
      </c>
      <c r="J15" s="40">
        <f t="shared" si="2"/>
        <v>77</v>
      </c>
      <c r="K15" s="41" t="str">
        <f t="shared" si="3"/>
        <v>C</v>
      </c>
      <c r="L15" s="39" t="str">
        <f t="shared" si="4"/>
        <v>Average</v>
      </c>
      <c r="M15" s="39"/>
    </row>
    <row r="16" spans="1:16" x14ac:dyDescent="0.35">
      <c r="A16" s="4" t="s">
        <v>58</v>
      </c>
      <c r="B16" s="3" t="s">
        <v>59</v>
      </c>
      <c r="C16" s="4" t="s">
        <v>60</v>
      </c>
      <c r="D16" s="5">
        <v>85</v>
      </c>
      <c r="E16" s="5">
        <v>93</v>
      </c>
      <c r="F16" s="5">
        <v>46</v>
      </c>
      <c r="G16" s="5">
        <v>82</v>
      </c>
      <c r="H16" s="5">
        <f t="shared" si="0"/>
        <v>5</v>
      </c>
      <c r="I16" s="5">
        <f t="shared" si="1"/>
        <v>8</v>
      </c>
      <c r="J16" s="40">
        <f t="shared" si="2"/>
        <v>79.75</v>
      </c>
      <c r="K16" s="41" t="str">
        <f t="shared" si="3"/>
        <v>C</v>
      </c>
      <c r="L16" s="39" t="str">
        <f t="shared" si="4"/>
        <v>Average</v>
      </c>
      <c r="M16" s="39"/>
    </row>
    <row r="17" spans="1:13" x14ac:dyDescent="0.35">
      <c r="A17" s="3" t="s">
        <v>61</v>
      </c>
      <c r="B17" s="3" t="s">
        <v>62</v>
      </c>
      <c r="C17" s="4" t="s">
        <v>63</v>
      </c>
      <c r="D17" s="5">
        <v>89</v>
      </c>
      <c r="E17" s="5">
        <v>68</v>
      </c>
      <c r="F17" s="5">
        <v>45</v>
      </c>
      <c r="G17" s="5">
        <v>88</v>
      </c>
      <c r="H17" s="5">
        <f t="shared" si="0"/>
        <v>0</v>
      </c>
      <c r="I17" s="5">
        <f t="shared" si="1"/>
        <v>8</v>
      </c>
      <c r="J17" s="40">
        <f t="shared" si="2"/>
        <v>74.5</v>
      </c>
      <c r="K17" s="41" t="str">
        <f t="shared" si="3"/>
        <v>C</v>
      </c>
      <c r="L17" s="39" t="str">
        <f t="shared" si="4"/>
        <v>Average</v>
      </c>
      <c r="M17" s="39"/>
    </row>
    <row r="18" spans="1:13" x14ac:dyDescent="0.35">
      <c r="A18" s="3" t="s">
        <v>65</v>
      </c>
      <c r="B18" s="3" t="s">
        <v>66</v>
      </c>
      <c r="C18" s="4" t="s">
        <v>67</v>
      </c>
      <c r="D18" s="5">
        <v>95</v>
      </c>
      <c r="E18" s="5">
        <v>73</v>
      </c>
      <c r="F18" s="5">
        <v>51</v>
      </c>
      <c r="G18" s="5">
        <v>66</v>
      </c>
      <c r="H18" s="5">
        <f t="shared" si="0"/>
        <v>5</v>
      </c>
      <c r="I18" s="5">
        <f t="shared" si="1"/>
        <v>8</v>
      </c>
      <c r="J18" s="40">
        <f t="shared" si="2"/>
        <v>74.5</v>
      </c>
      <c r="K18" s="41" t="str">
        <f t="shared" si="3"/>
        <v>C</v>
      </c>
      <c r="L18" s="39" t="str">
        <f t="shared" si="4"/>
        <v>Average</v>
      </c>
      <c r="M18" s="39"/>
    </row>
    <row r="19" spans="1:13" x14ac:dyDescent="0.35">
      <c r="A19" s="4" t="s">
        <v>69</v>
      </c>
      <c r="B19" s="3" t="s">
        <v>70</v>
      </c>
      <c r="C19" s="4" t="s">
        <v>71</v>
      </c>
      <c r="D19" s="5">
        <v>89</v>
      </c>
      <c r="E19" s="5">
        <v>78</v>
      </c>
      <c r="F19" s="5">
        <v>72</v>
      </c>
      <c r="G19" s="5">
        <v>71</v>
      </c>
      <c r="H19" s="5">
        <f t="shared" si="0"/>
        <v>0</v>
      </c>
      <c r="I19" s="5">
        <f t="shared" si="1"/>
        <v>0</v>
      </c>
      <c r="J19" s="40">
        <f t="shared" si="2"/>
        <v>77.5</v>
      </c>
      <c r="K19" s="41" t="str">
        <f t="shared" si="3"/>
        <v>C</v>
      </c>
      <c r="L19" s="39" t="str">
        <f t="shared" si="4"/>
        <v>Average</v>
      </c>
      <c r="M19" s="39"/>
    </row>
    <row r="20" spans="1:13" x14ac:dyDescent="0.35">
      <c r="A20" s="4" t="s">
        <v>72</v>
      </c>
      <c r="B20" s="3" t="s">
        <v>73</v>
      </c>
      <c r="C20" s="4" t="s">
        <v>74</v>
      </c>
      <c r="D20" s="5">
        <v>83</v>
      </c>
      <c r="E20" s="5">
        <v>78</v>
      </c>
      <c r="F20" s="5">
        <v>87</v>
      </c>
      <c r="G20" s="5">
        <v>81</v>
      </c>
      <c r="H20" s="5">
        <f t="shared" si="0"/>
        <v>0</v>
      </c>
      <c r="I20" s="5">
        <f t="shared" si="1"/>
        <v>0</v>
      </c>
      <c r="J20" s="40">
        <f t="shared" si="2"/>
        <v>82.25</v>
      </c>
      <c r="K20" s="41" t="str">
        <f t="shared" si="3"/>
        <v>B</v>
      </c>
      <c r="L20" s="39" t="str">
        <f t="shared" si="4"/>
        <v>Good</v>
      </c>
      <c r="M20" s="39"/>
    </row>
    <row r="21" spans="1:13" x14ac:dyDescent="0.35">
      <c r="A21" s="4" t="s">
        <v>75</v>
      </c>
      <c r="B21" s="3" t="s">
        <v>76</v>
      </c>
      <c r="C21" s="4" t="s">
        <v>77</v>
      </c>
      <c r="D21" s="5">
        <v>87</v>
      </c>
      <c r="E21" s="5">
        <v>79</v>
      </c>
      <c r="F21" s="5">
        <v>56</v>
      </c>
      <c r="G21" s="5">
        <v>73</v>
      </c>
      <c r="H21" s="5">
        <f t="shared" si="0"/>
        <v>0</v>
      </c>
      <c r="I21" s="5">
        <f t="shared" si="1"/>
        <v>8</v>
      </c>
      <c r="J21" s="40">
        <f t="shared" si="2"/>
        <v>75.75</v>
      </c>
      <c r="K21" s="41" t="str">
        <f t="shared" si="3"/>
        <v>C</v>
      </c>
      <c r="L21" s="39" t="str">
        <f t="shared" si="4"/>
        <v>Average</v>
      </c>
      <c r="M21" s="39"/>
    </row>
    <row r="22" spans="1:13" x14ac:dyDescent="0.35">
      <c r="A22" s="4" t="s">
        <v>78</v>
      </c>
      <c r="B22" s="3" t="s">
        <v>79</v>
      </c>
      <c r="C22" s="4" t="s">
        <v>80</v>
      </c>
      <c r="D22" s="5">
        <v>89</v>
      </c>
      <c r="E22" s="5">
        <v>79</v>
      </c>
      <c r="F22" s="5">
        <v>58</v>
      </c>
      <c r="G22" s="5">
        <v>83</v>
      </c>
      <c r="H22" s="5">
        <f t="shared" si="0"/>
        <v>0</v>
      </c>
      <c r="I22" s="5">
        <f t="shared" si="1"/>
        <v>8</v>
      </c>
      <c r="J22" s="40">
        <f t="shared" si="2"/>
        <v>79.25</v>
      </c>
      <c r="K22" s="41" t="str">
        <f t="shared" si="3"/>
        <v>C</v>
      </c>
      <c r="L22" s="39" t="str">
        <f t="shared" si="4"/>
        <v>Average</v>
      </c>
      <c r="M22" s="39"/>
    </row>
    <row r="23" spans="1:13" x14ac:dyDescent="0.35">
      <c r="A23" s="4" t="s">
        <v>82</v>
      </c>
      <c r="B23" s="3" t="s">
        <v>83</v>
      </c>
      <c r="C23" s="4" t="s">
        <v>84</v>
      </c>
      <c r="D23" s="5">
        <v>85</v>
      </c>
      <c r="E23" s="5">
        <v>86</v>
      </c>
      <c r="F23" s="5">
        <v>100</v>
      </c>
      <c r="G23" s="5">
        <v>70</v>
      </c>
      <c r="H23" s="5">
        <f t="shared" si="0"/>
        <v>0</v>
      </c>
      <c r="I23" s="5">
        <f t="shared" si="1"/>
        <v>0</v>
      </c>
      <c r="J23" s="40">
        <f t="shared" si="2"/>
        <v>85.25</v>
      </c>
      <c r="K23" s="41" t="str">
        <f t="shared" si="3"/>
        <v>B</v>
      </c>
      <c r="L23" s="39" t="str">
        <f t="shared" si="4"/>
        <v>Good</v>
      </c>
      <c r="M23" s="39"/>
    </row>
    <row r="24" spans="1:13" x14ac:dyDescent="0.35">
      <c r="A24" s="3" t="s">
        <v>85</v>
      </c>
      <c r="B24" s="3" t="s">
        <v>86</v>
      </c>
      <c r="C24" s="4" t="s">
        <v>87</v>
      </c>
      <c r="D24" s="5">
        <v>88</v>
      </c>
      <c r="E24" s="5">
        <v>80</v>
      </c>
      <c r="F24" s="5">
        <v>53</v>
      </c>
      <c r="G24" s="5">
        <v>85</v>
      </c>
      <c r="H24" s="5">
        <f t="shared" si="0"/>
        <v>0</v>
      </c>
      <c r="I24" s="5">
        <f t="shared" si="1"/>
        <v>8</v>
      </c>
      <c r="J24" s="40">
        <f t="shared" si="2"/>
        <v>78.5</v>
      </c>
      <c r="K24" s="41" t="str">
        <f t="shared" si="3"/>
        <v>C</v>
      </c>
      <c r="L24" s="39" t="str">
        <f t="shared" si="4"/>
        <v>Average</v>
      </c>
      <c r="M24" s="39"/>
    </row>
    <row r="25" spans="1:13" x14ac:dyDescent="0.35">
      <c r="A25" s="4" t="s">
        <v>88</v>
      </c>
      <c r="B25" s="3" t="s">
        <v>89</v>
      </c>
      <c r="C25" s="4" t="s">
        <v>90</v>
      </c>
      <c r="D25" s="5">
        <v>89</v>
      </c>
      <c r="E25" s="5">
        <v>80</v>
      </c>
      <c r="F25" s="5">
        <v>49</v>
      </c>
      <c r="G25" s="5">
        <v>62</v>
      </c>
      <c r="H25" s="5">
        <f t="shared" si="0"/>
        <v>0</v>
      </c>
      <c r="I25" s="5">
        <f t="shared" si="1"/>
        <v>8</v>
      </c>
      <c r="J25" s="40">
        <f t="shared" si="2"/>
        <v>72</v>
      </c>
      <c r="K25" s="41" t="str">
        <f t="shared" si="3"/>
        <v>C</v>
      </c>
      <c r="L25" s="39" t="str">
        <f t="shared" si="4"/>
        <v>Average</v>
      </c>
      <c r="M25" s="39"/>
    </row>
    <row r="26" spans="1:13" x14ac:dyDescent="0.35">
      <c r="A26" s="4" t="s">
        <v>91</v>
      </c>
      <c r="B26" s="3" t="s">
        <v>92</v>
      </c>
      <c r="C26" s="4" t="s">
        <v>93</v>
      </c>
      <c r="D26" s="5">
        <v>84</v>
      </c>
      <c r="E26" s="5">
        <v>81</v>
      </c>
      <c r="F26" s="5">
        <v>71</v>
      </c>
      <c r="G26" s="5">
        <v>83</v>
      </c>
      <c r="H26" s="5">
        <f t="shared" si="0"/>
        <v>0</v>
      </c>
      <c r="I26" s="5">
        <f t="shared" si="1"/>
        <v>0</v>
      </c>
      <c r="J26" s="40">
        <f t="shared" si="2"/>
        <v>79.75</v>
      </c>
      <c r="K26" s="41" t="str">
        <f t="shared" si="3"/>
        <v>C</v>
      </c>
      <c r="L26" s="39" t="str">
        <f t="shared" si="4"/>
        <v>Average</v>
      </c>
      <c r="M26" s="39"/>
    </row>
    <row r="27" spans="1:13" x14ac:dyDescent="0.35">
      <c r="A27" s="3" t="s">
        <v>95</v>
      </c>
      <c r="B27" s="3" t="s">
        <v>96</v>
      </c>
      <c r="C27" s="4" t="s">
        <v>97</v>
      </c>
      <c r="D27" s="5">
        <v>81</v>
      </c>
      <c r="E27" s="5">
        <v>83</v>
      </c>
      <c r="F27" s="5">
        <v>81</v>
      </c>
      <c r="G27" s="5">
        <v>73</v>
      </c>
      <c r="H27" s="5">
        <f t="shared" si="0"/>
        <v>0</v>
      </c>
      <c r="I27" s="5">
        <f t="shared" si="1"/>
        <v>0</v>
      </c>
      <c r="J27" s="40">
        <f t="shared" si="2"/>
        <v>79.5</v>
      </c>
      <c r="K27" s="41" t="str">
        <f t="shared" si="3"/>
        <v>C</v>
      </c>
      <c r="L27" s="39" t="str">
        <f t="shared" si="4"/>
        <v>Average</v>
      </c>
      <c r="M27" s="39"/>
    </row>
    <row r="28" spans="1:13" x14ac:dyDescent="0.35">
      <c r="A28" s="4" t="s">
        <v>98</v>
      </c>
      <c r="B28" s="3" t="s">
        <v>99</v>
      </c>
      <c r="C28" s="4" t="s">
        <v>100</v>
      </c>
      <c r="D28" s="5">
        <v>86</v>
      </c>
      <c r="E28" s="5">
        <v>84</v>
      </c>
      <c r="F28" s="5">
        <v>72</v>
      </c>
      <c r="G28" s="5">
        <v>69</v>
      </c>
      <c r="H28" s="5">
        <f t="shared" si="0"/>
        <v>0</v>
      </c>
      <c r="I28" s="5">
        <f t="shared" si="1"/>
        <v>0</v>
      </c>
      <c r="J28" s="40">
        <f t="shared" si="2"/>
        <v>77.75</v>
      </c>
      <c r="K28" s="41" t="str">
        <f t="shared" si="3"/>
        <v>C</v>
      </c>
      <c r="L28" s="39" t="str">
        <f t="shared" si="4"/>
        <v>Average</v>
      </c>
      <c r="M28" s="39"/>
    </row>
    <row r="29" spans="1:13" x14ac:dyDescent="0.35">
      <c r="A29" s="3" t="s">
        <v>101</v>
      </c>
      <c r="B29" s="3" t="s">
        <v>102</v>
      </c>
      <c r="C29" s="4" t="s">
        <v>103</v>
      </c>
      <c r="D29" s="5">
        <v>87</v>
      </c>
      <c r="E29" s="5">
        <v>85</v>
      </c>
      <c r="F29" s="5">
        <v>45</v>
      </c>
      <c r="G29" s="5">
        <v>72</v>
      </c>
      <c r="H29" s="5">
        <f t="shared" si="0"/>
        <v>0</v>
      </c>
      <c r="I29" s="5">
        <f t="shared" si="1"/>
        <v>8</v>
      </c>
      <c r="J29" s="40">
        <f t="shared" si="2"/>
        <v>74.25</v>
      </c>
      <c r="K29" s="41" t="str">
        <f t="shared" si="3"/>
        <v>C</v>
      </c>
      <c r="L29" s="39" t="str">
        <f t="shared" si="4"/>
        <v>Average</v>
      </c>
      <c r="M29" s="39"/>
    </row>
    <row r="30" spans="1:13" x14ac:dyDescent="0.35">
      <c r="A30" s="4" t="s">
        <v>104</v>
      </c>
      <c r="B30" s="3" t="s">
        <v>105</v>
      </c>
      <c r="C30" s="4" t="s">
        <v>106</v>
      </c>
      <c r="D30" s="5">
        <v>88</v>
      </c>
      <c r="E30" s="5">
        <v>85</v>
      </c>
      <c r="F30" s="5">
        <v>82</v>
      </c>
      <c r="G30" s="5">
        <v>75</v>
      </c>
      <c r="H30" s="5">
        <f t="shared" si="0"/>
        <v>0</v>
      </c>
      <c r="I30" s="5">
        <f t="shared" si="1"/>
        <v>0</v>
      </c>
      <c r="J30" s="40">
        <f t="shared" si="2"/>
        <v>82.5</v>
      </c>
      <c r="K30" s="41" t="str">
        <f t="shared" si="3"/>
        <v>B</v>
      </c>
      <c r="L30" s="39" t="str">
        <f t="shared" si="4"/>
        <v>Good</v>
      </c>
      <c r="M30" s="39"/>
    </row>
    <row r="31" spans="1:13" x14ac:dyDescent="0.35">
      <c r="A31" s="4" t="s">
        <v>107</v>
      </c>
      <c r="B31" s="3" t="s">
        <v>108</v>
      </c>
      <c r="C31" s="4" t="s">
        <v>109</v>
      </c>
      <c r="D31" s="5">
        <v>90</v>
      </c>
      <c r="E31" s="5">
        <v>86</v>
      </c>
      <c r="F31" s="5">
        <v>41</v>
      </c>
      <c r="G31" s="5">
        <v>66</v>
      </c>
      <c r="H31" s="5">
        <f t="shared" si="0"/>
        <v>0</v>
      </c>
      <c r="I31" s="5">
        <f t="shared" si="1"/>
        <v>8</v>
      </c>
      <c r="J31" s="40">
        <f t="shared" si="2"/>
        <v>72.75</v>
      </c>
      <c r="K31" s="41" t="str">
        <f t="shared" si="3"/>
        <v>C</v>
      </c>
      <c r="L31" s="39" t="str">
        <f t="shared" si="4"/>
        <v>Average</v>
      </c>
      <c r="M31" s="39"/>
    </row>
    <row r="32" spans="1:13" x14ac:dyDescent="0.35">
      <c r="A32" s="4" t="s">
        <v>110</v>
      </c>
      <c r="B32" s="3" t="s">
        <v>111</v>
      </c>
      <c r="C32" s="4" t="s">
        <v>112</v>
      </c>
      <c r="D32" s="5">
        <v>86</v>
      </c>
      <c r="E32" s="5">
        <v>86</v>
      </c>
      <c r="F32" s="5">
        <v>45</v>
      </c>
      <c r="G32" s="5">
        <v>54</v>
      </c>
      <c r="H32" s="5">
        <f t="shared" si="0"/>
        <v>0</v>
      </c>
      <c r="I32" s="5">
        <f t="shared" si="1"/>
        <v>8</v>
      </c>
      <c r="J32" s="40">
        <f t="shared" si="2"/>
        <v>69.75</v>
      </c>
      <c r="K32" s="41" t="str">
        <f t="shared" si="3"/>
        <v>D</v>
      </c>
      <c r="L32" s="39" t="str">
        <f t="shared" si="4"/>
        <v>Need to work hard</v>
      </c>
      <c r="M32" s="39"/>
    </row>
    <row r="33" spans="1:13" x14ac:dyDescent="0.35">
      <c r="A33" s="4" t="s">
        <v>113</v>
      </c>
      <c r="B33" s="3" t="s">
        <v>114</v>
      </c>
      <c r="C33" s="4" t="s">
        <v>115</v>
      </c>
      <c r="D33" s="5">
        <v>76</v>
      </c>
      <c r="E33" s="5">
        <v>86</v>
      </c>
      <c r="F33" s="5">
        <v>46</v>
      </c>
      <c r="G33" s="5">
        <v>56</v>
      </c>
      <c r="H33" s="5">
        <f t="shared" si="0"/>
        <v>0</v>
      </c>
      <c r="I33" s="5">
        <f t="shared" si="1"/>
        <v>8</v>
      </c>
      <c r="J33" s="40">
        <f t="shared" si="2"/>
        <v>68</v>
      </c>
      <c r="K33" s="41" t="str">
        <f t="shared" si="3"/>
        <v>D</v>
      </c>
      <c r="L33" s="39" t="str">
        <f t="shared" si="4"/>
        <v>Need to work hard</v>
      </c>
      <c r="M33" s="39"/>
    </row>
    <row r="34" spans="1:13" x14ac:dyDescent="0.35">
      <c r="A34" s="4" t="s">
        <v>116</v>
      </c>
      <c r="B34" s="3" t="s">
        <v>117</v>
      </c>
      <c r="C34" s="4" t="s">
        <v>118</v>
      </c>
      <c r="D34" s="5">
        <v>94</v>
      </c>
      <c r="E34" s="5">
        <v>49</v>
      </c>
      <c r="F34" s="5">
        <v>91</v>
      </c>
      <c r="G34" s="5">
        <v>90</v>
      </c>
      <c r="H34" s="5">
        <f t="shared" si="0"/>
        <v>5</v>
      </c>
      <c r="I34" s="5">
        <f t="shared" si="1"/>
        <v>8</v>
      </c>
      <c r="J34" s="40">
        <f t="shared" si="2"/>
        <v>84.25</v>
      </c>
      <c r="K34" s="41" t="str">
        <f t="shared" si="3"/>
        <v>B</v>
      </c>
      <c r="L34" s="39" t="str">
        <f t="shared" si="4"/>
        <v>Good</v>
      </c>
      <c r="M34" s="39"/>
    </row>
    <row r="35" spans="1:13" x14ac:dyDescent="0.35">
      <c r="A35" s="4" t="s">
        <v>119</v>
      </c>
      <c r="B35" s="3" t="s">
        <v>120</v>
      </c>
      <c r="C35" s="4" t="s">
        <v>121</v>
      </c>
      <c r="D35" s="5">
        <v>82</v>
      </c>
      <c r="E35" s="5">
        <v>87</v>
      </c>
      <c r="F35" s="5">
        <v>67</v>
      </c>
      <c r="G35" s="5">
        <v>71</v>
      </c>
      <c r="H35" s="5">
        <f t="shared" si="0"/>
        <v>0</v>
      </c>
      <c r="I35" s="5">
        <f t="shared" si="1"/>
        <v>0</v>
      </c>
      <c r="J35" s="40">
        <f t="shared" si="2"/>
        <v>76.75</v>
      </c>
      <c r="K35" s="41" t="str">
        <f t="shared" si="3"/>
        <v>C</v>
      </c>
      <c r="L35" s="39" t="str">
        <f t="shared" si="4"/>
        <v>Average</v>
      </c>
      <c r="M35" s="39"/>
    </row>
    <row r="36" spans="1:13" x14ac:dyDescent="0.35">
      <c r="A36" s="4" t="s">
        <v>122</v>
      </c>
      <c r="B36" s="3" t="s">
        <v>123</v>
      </c>
      <c r="C36" s="4" t="s">
        <v>124</v>
      </c>
      <c r="D36" s="5">
        <v>81</v>
      </c>
      <c r="E36" s="5">
        <v>87</v>
      </c>
      <c r="F36" s="5">
        <v>64</v>
      </c>
      <c r="G36" s="5">
        <v>63</v>
      </c>
      <c r="H36" s="5">
        <f t="shared" si="0"/>
        <v>0</v>
      </c>
      <c r="I36" s="5">
        <f t="shared" si="1"/>
        <v>0</v>
      </c>
      <c r="J36" s="40">
        <f t="shared" si="2"/>
        <v>73.75</v>
      </c>
      <c r="K36" s="41" t="str">
        <f t="shared" si="3"/>
        <v>C</v>
      </c>
      <c r="L36" s="39" t="str">
        <f t="shared" si="4"/>
        <v>Average</v>
      </c>
      <c r="M36" s="39"/>
    </row>
    <row r="37" spans="1:13" x14ac:dyDescent="0.35">
      <c r="A37" s="4" t="s">
        <v>125</v>
      </c>
      <c r="B37" s="3" t="s">
        <v>126</v>
      </c>
      <c r="C37" s="4" t="s">
        <v>127</v>
      </c>
      <c r="D37" s="5">
        <v>79</v>
      </c>
      <c r="E37" s="5">
        <v>92</v>
      </c>
      <c r="F37" s="5">
        <v>40</v>
      </c>
      <c r="G37" s="5">
        <v>72</v>
      </c>
      <c r="H37" s="5">
        <f t="shared" si="0"/>
        <v>5</v>
      </c>
      <c r="I37" s="5">
        <f t="shared" si="1"/>
        <v>8</v>
      </c>
      <c r="J37" s="40">
        <f t="shared" si="2"/>
        <v>74</v>
      </c>
      <c r="K37" s="41" t="str">
        <f t="shared" si="3"/>
        <v>C</v>
      </c>
      <c r="L37" s="39" t="str">
        <f t="shared" si="4"/>
        <v>Average</v>
      </c>
      <c r="M37" s="39"/>
    </row>
    <row r="38" spans="1:13" x14ac:dyDescent="0.35">
      <c r="A38" s="4" t="s">
        <v>128</v>
      </c>
      <c r="B38" s="3" t="s">
        <v>129</v>
      </c>
      <c r="C38" s="4" t="s">
        <v>130</v>
      </c>
      <c r="D38" s="5">
        <v>76</v>
      </c>
      <c r="E38" s="5">
        <v>75</v>
      </c>
      <c r="F38" s="5">
        <v>51</v>
      </c>
      <c r="G38" s="5">
        <v>64</v>
      </c>
      <c r="H38" s="5">
        <f t="shared" si="0"/>
        <v>0</v>
      </c>
      <c r="I38" s="5">
        <f t="shared" si="1"/>
        <v>8</v>
      </c>
      <c r="J38" s="40">
        <f t="shared" si="2"/>
        <v>68.5</v>
      </c>
      <c r="K38" s="41" t="str">
        <f t="shared" si="3"/>
        <v>D</v>
      </c>
      <c r="L38" s="39" t="str">
        <f t="shared" si="4"/>
        <v>Need to work hard</v>
      </c>
      <c r="M38" s="39"/>
    </row>
    <row r="39" spans="1:13" x14ac:dyDescent="0.35">
      <c r="A39" s="3" t="s">
        <v>131</v>
      </c>
      <c r="B39" s="3" t="s">
        <v>132</v>
      </c>
      <c r="C39" s="4" t="s">
        <v>133</v>
      </c>
      <c r="D39" s="5">
        <v>74</v>
      </c>
      <c r="E39" s="5">
        <v>65</v>
      </c>
      <c r="F39" s="5">
        <v>65</v>
      </c>
      <c r="G39" s="5">
        <v>75</v>
      </c>
      <c r="H39" s="5">
        <f t="shared" si="0"/>
        <v>0</v>
      </c>
      <c r="I39" s="5">
        <f t="shared" si="1"/>
        <v>0</v>
      </c>
      <c r="J39" s="40">
        <f t="shared" si="2"/>
        <v>69.75</v>
      </c>
      <c r="K39" s="41" t="str">
        <f t="shared" si="3"/>
        <v>D</v>
      </c>
      <c r="L39" s="39" t="str">
        <f t="shared" si="4"/>
        <v>Need to work hard</v>
      </c>
      <c r="M39" s="39"/>
    </row>
    <row r="40" spans="1:13" x14ac:dyDescent="0.35">
      <c r="A40" s="4" t="s">
        <v>134</v>
      </c>
      <c r="B40" s="3" t="s">
        <v>135</v>
      </c>
      <c r="C40" s="4" t="s">
        <v>136</v>
      </c>
      <c r="D40" s="5">
        <v>60</v>
      </c>
      <c r="E40" s="5">
        <v>80</v>
      </c>
      <c r="F40" s="5">
        <v>89</v>
      </c>
      <c r="G40" s="5">
        <v>66</v>
      </c>
      <c r="H40" s="5">
        <f t="shared" si="0"/>
        <v>0</v>
      </c>
      <c r="I40" s="5">
        <f t="shared" si="1"/>
        <v>0</v>
      </c>
      <c r="J40" s="40">
        <f t="shared" si="2"/>
        <v>73.75</v>
      </c>
      <c r="K40" s="41" t="str">
        <f t="shared" si="3"/>
        <v>C</v>
      </c>
      <c r="L40" s="39" t="str">
        <f t="shared" si="4"/>
        <v>Average</v>
      </c>
      <c r="M40" s="39"/>
    </row>
    <row r="41" spans="1:13" x14ac:dyDescent="0.35">
      <c r="A41" s="4" t="s">
        <v>137</v>
      </c>
      <c r="B41" s="3" t="s">
        <v>138</v>
      </c>
      <c r="C41" s="4" t="s">
        <v>139</v>
      </c>
      <c r="D41" s="5">
        <v>76</v>
      </c>
      <c r="E41" s="5">
        <v>73</v>
      </c>
      <c r="F41" s="5">
        <v>64</v>
      </c>
      <c r="G41" s="5">
        <v>48</v>
      </c>
      <c r="H41" s="5">
        <f t="shared" si="0"/>
        <v>0</v>
      </c>
      <c r="I41" s="5">
        <f t="shared" si="1"/>
        <v>8</v>
      </c>
      <c r="J41" s="40">
        <f t="shared" si="2"/>
        <v>67.25</v>
      </c>
      <c r="K41" s="41" t="str">
        <f t="shared" si="3"/>
        <v>D</v>
      </c>
      <c r="L41" s="39" t="str">
        <f t="shared" si="4"/>
        <v>Need to work hard</v>
      </c>
      <c r="M41" s="39"/>
    </row>
    <row r="42" spans="1:13" x14ac:dyDescent="0.35">
      <c r="A42" s="4" t="s">
        <v>140</v>
      </c>
      <c r="B42" s="3" t="s">
        <v>76</v>
      </c>
      <c r="C42" s="4" t="s">
        <v>141</v>
      </c>
      <c r="D42" s="5">
        <v>76</v>
      </c>
      <c r="E42" s="5">
        <v>70</v>
      </c>
      <c r="F42" s="5">
        <v>68</v>
      </c>
      <c r="G42" s="5">
        <v>55</v>
      </c>
      <c r="H42" s="5">
        <f t="shared" si="0"/>
        <v>0</v>
      </c>
      <c r="I42" s="5">
        <f t="shared" si="1"/>
        <v>8</v>
      </c>
      <c r="J42" s="40">
        <f t="shared" si="2"/>
        <v>69.25</v>
      </c>
      <c r="K42" s="41" t="str">
        <f t="shared" si="3"/>
        <v>D</v>
      </c>
      <c r="L42" s="39" t="str">
        <f t="shared" si="4"/>
        <v>Need to work hard</v>
      </c>
      <c r="M42" s="39"/>
    </row>
    <row r="43" spans="1:13" x14ac:dyDescent="0.35">
      <c r="A43" s="4" t="s">
        <v>142</v>
      </c>
      <c r="B43" s="3" t="s">
        <v>143</v>
      </c>
      <c r="C43" s="4" t="s">
        <v>144</v>
      </c>
      <c r="D43" s="5">
        <v>71</v>
      </c>
      <c r="E43" s="5">
        <v>75</v>
      </c>
      <c r="F43" s="5">
        <v>84</v>
      </c>
      <c r="G43" s="5">
        <v>73</v>
      </c>
      <c r="H43" s="5">
        <f t="shared" si="0"/>
        <v>0</v>
      </c>
      <c r="I43" s="5">
        <f t="shared" si="1"/>
        <v>0</v>
      </c>
      <c r="J43" s="40">
        <f t="shared" si="2"/>
        <v>75.75</v>
      </c>
      <c r="K43" s="41" t="str">
        <f t="shared" si="3"/>
        <v>C</v>
      </c>
      <c r="L43" s="39" t="str">
        <f t="shared" si="4"/>
        <v>Average</v>
      </c>
      <c r="M43" s="39"/>
    </row>
    <row r="44" spans="1:13" x14ac:dyDescent="0.35">
      <c r="A44" s="4" t="s">
        <v>145</v>
      </c>
      <c r="B44" s="3" t="s">
        <v>146</v>
      </c>
      <c r="C44" s="4" t="s">
        <v>147</v>
      </c>
      <c r="D44" s="5">
        <v>69</v>
      </c>
      <c r="E44" s="5">
        <v>79</v>
      </c>
      <c r="F44" s="5">
        <v>65</v>
      </c>
      <c r="G44" s="5">
        <v>62</v>
      </c>
      <c r="H44" s="5">
        <f t="shared" si="0"/>
        <v>0</v>
      </c>
      <c r="I44" s="5">
        <f t="shared" si="1"/>
        <v>0</v>
      </c>
      <c r="J44" s="40">
        <f t="shared" si="2"/>
        <v>68.75</v>
      </c>
      <c r="K44" s="41" t="str">
        <f t="shared" si="3"/>
        <v>D</v>
      </c>
      <c r="L44" s="39" t="str">
        <f t="shared" si="4"/>
        <v>Need to work hard</v>
      </c>
      <c r="M44" s="39"/>
    </row>
    <row r="45" spans="1:13" x14ac:dyDescent="0.35">
      <c r="A45" s="4" t="s">
        <v>148</v>
      </c>
      <c r="B45" s="3" t="s">
        <v>99</v>
      </c>
      <c r="C45" s="4" t="s">
        <v>149</v>
      </c>
      <c r="D45" s="5">
        <v>72</v>
      </c>
      <c r="E45" s="5">
        <v>72</v>
      </c>
      <c r="F45" s="5">
        <v>99</v>
      </c>
      <c r="G45" s="5">
        <v>45</v>
      </c>
      <c r="H45" s="5">
        <f t="shared" si="0"/>
        <v>1</v>
      </c>
      <c r="I45" s="5">
        <f t="shared" si="1"/>
        <v>8</v>
      </c>
      <c r="J45" s="40">
        <f t="shared" si="2"/>
        <v>74.25</v>
      </c>
      <c r="K45" s="41" t="str">
        <f t="shared" si="3"/>
        <v>C</v>
      </c>
      <c r="L45" s="39" t="str">
        <f t="shared" si="4"/>
        <v>Average</v>
      </c>
      <c r="M45" s="39"/>
    </row>
    <row r="46" spans="1:13" x14ac:dyDescent="0.35">
      <c r="A46" s="3" t="s">
        <v>150</v>
      </c>
      <c r="B46" s="3" t="s">
        <v>151</v>
      </c>
      <c r="C46" s="4" t="s">
        <v>152</v>
      </c>
      <c r="D46" s="5">
        <v>70</v>
      </c>
      <c r="E46" s="5">
        <v>72</v>
      </c>
      <c r="F46" s="5">
        <v>66</v>
      </c>
      <c r="G46" s="5">
        <v>50</v>
      </c>
      <c r="H46" s="5">
        <f t="shared" si="0"/>
        <v>0</v>
      </c>
      <c r="I46" s="5">
        <f t="shared" si="1"/>
        <v>8</v>
      </c>
      <c r="J46" s="40">
        <f t="shared" si="2"/>
        <v>66.5</v>
      </c>
      <c r="K46" s="41" t="str">
        <f t="shared" si="3"/>
        <v>D</v>
      </c>
      <c r="L46" s="39" t="str">
        <f t="shared" si="4"/>
        <v>Need to work hard</v>
      </c>
      <c r="M46" s="39"/>
    </row>
    <row r="47" spans="1:13" x14ac:dyDescent="0.35">
      <c r="A47" s="4" t="s">
        <v>153</v>
      </c>
      <c r="B47" s="3" t="s">
        <v>154</v>
      </c>
      <c r="C47" s="4" t="s">
        <v>155</v>
      </c>
      <c r="D47" s="5">
        <v>70</v>
      </c>
      <c r="E47" s="5">
        <v>63</v>
      </c>
      <c r="F47" s="5">
        <v>96</v>
      </c>
      <c r="G47" s="5">
        <v>68</v>
      </c>
      <c r="H47" s="5">
        <f t="shared" si="0"/>
        <v>4</v>
      </c>
      <c r="I47" s="5">
        <f t="shared" si="1"/>
        <v>0</v>
      </c>
      <c r="J47" s="40">
        <f t="shared" si="2"/>
        <v>75.25</v>
      </c>
      <c r="K47" s="41" t="str">
        <f t="shared" si="3"/>
        <v>C</v>
      </c>
      <c r="L47" s="39" t="str">
        <f t="shared" si="4"/>
        <v>Average</v>
      </c>
      <c r="M47" s="39"/>
    </row>
    <row r="48" spans="1:13" x14ac:dyDescent="0.35">
      <c r="A48" s="4" t="s">
        <v>156</v>
      </c>
      <c r="B48" s="3" t="s">
        <v>157</v>
      </c>
      <c r="C48" s="4" t="s">
        <v>158</v>
      </c>
      <c r="D48" s="5">
        <v>73</v>
      </c>
      <c r="E48" s="5">
        <v>53</v>
      </c>
      <c r="F48" s="5">
        <v>40</v>
      </c>
      <c r="G48" s="5">
        <v>68</v>
      </c>
      <c r="H48" s="5">
        <f t="shared" si="0"/>
        <v>0</v>
      </c>
      <c r="I48" s="5">
        <f t="shared" si="1"/>
        <v>8</v>
      </c>
      <c r="J48" s="40">
        <f t="shared" si="2"/>
        <v>60.5</v>
      </c>
      <c r="K48" s="41" t="str">
        <f t="shared" si="3"/>
        <v>D</v>
      </c>
      <c r="L48" s="39" t="str">
        <f t="shared" si="4"/>
        <v>Need to work hard</v>
      </c>
      <c r="M48" s="39"/>
    </row>
    <row r="49" spans="1:13" x14ac:dyDescent="0.35">
      <c r="A49" s="4" t="s">
        <v>159</v>
      </c>
      <c r="B49" s="3" t="s">
        <v>160</v>
      </c>
      <c r="C49" s="4" t="s">
        <v>161</v>
      </c>
      <c r="D49" s="5">
        <v>64</v>
      </c>
      <c r="E49" s="5">
        <v>69</v>
      </c>
      <c r="F49" s="5">
        <v>62</v>
      </c>
      <c r="G49" s="5">
        <v>73</v>
      </c>
      <c r="H49" s="5">
        <f t="shared" si="0"/>
        <v>0</v>
      </c>
      <c r="I49" s="5">
        <f t="shared" si="1"/>
        <v>0</v>
      </c>
      <c r="J49" s="40">
        <f t="shared" si="2"/>
        <v>67</v>
      </c>
      <c r="K49" s="41" t="str">
        <f t="shared" si="3"/>
        <v>D</v>
      </c>
      <c r="L49" s="39" t="str">
        <f t="shared" si="4"/>
        <v>Need to work hard</v>
      </c>
      <c r="M49" s="39"/>
    </row>
    <row r="50" spans="1:13" x14ac:dyDescent="0.35">
      <c r="A50" s="3" t="s">
        <v>162</v>
      </c>
      <c r="B50" s="3" t="s">
        <v>163</v>
      </c>
      <c r="C50" s="4" t="s">
        <v>164</v>
      </c>
      <c r="D50" s="5">
        <v>70</v>
      </c>
      <c r="E50" s="5">
        <v>53</v>
      </c>
      <c r="F50" s="5">
        <v>87</v>
      </c>
      <c r="G50" s="5">
        <v>61</v>
      </c>
      <c r="H50" s="5">
        <f t="shared" si="0"/>
        <v>0</v>
      </c>
      <c r="I50" s="5">
        <f t="shared" si="1"/>
        <v>8</v>
      </c>
      <c r="J50" s="40">
        <f t="shared" si="2"/>
        <v>69.75</v>
      </c>
      <c r="K50" s="41" t="str">
        <f t="shared" si="3"/>
        <v>D</v>
      </c>
      <c r="L50" s="39" t="str">
        <f t="shared" si="4"/>
        <v>Need to work hard</v>
      </c>
      <c r="M50" s="39"/>
    </row>
    <row r="51" spans="1:13" x14ac:dyDescent="0.35">
      <c r="A51" s="4" t="s">
        <v>165</v>
      </c>
      <c r="B51" s="3" t="s">
        <v>166</v>
      </c>
      <c r="C51" s="4" t="s">
        <v>167</v>
      </c>
      <c r="D51" s="5">
        <v>60</v>
      </c>
      <c r="E51" s="5">
        <v>64</v>
      </c>
      <c r="F51" s="5">
        <v>88</v>
      </c>
      <c r="G51" s="5">
        <v>67</v>
      </c>
      <c r="H51" s="5">
        <f t="shared" si="0"/>
        <v>0</v>
      </c>
      <c r="I51" s="5">
        <f t="shared" si="1"/>
        <v>0</v>
      </c>
      <c r="J51" s="40">
        <f t="shared" si="2"/>
        <v>69.75</v>
      </c>
      <c r="K51" s="41" t="str">
        <f t="shared" si="3"/>
        <v>D</v>
      </c>
      <c r="L51" s="39" t="str">
        <f t="shared" si="4"/>
        <v>Need to work hard</v>
      </c>
      <c r="M51" s="39"/>
    </row>
    <row r="52" spans="1:13" x14ac:dyDescent="0.35">
      <c r="A52" s="4" t="s">
        <v>168</v>
      </c>
      <c r="B52" s="3" t="s">
        <v>169</v>
      </c>
      <c r="C52" s="4" t="s">
        <v>170</v>
      </c>
      <c r="D52" s="5">
        <v>52</v>
      </c>
      <c r="E52" s="5">
        <v>74</v>
      </c>
      <c r="F52" s="5">
        <v>81</v>
      </c>
      <c r="G52" s="5">
        <v>25</v>
      </c>
      <c r="H52" s="5">
        <f t="shared" si="0"/>
        <v>0</v>
      </c>
      <c r="I52" s="5">
        <f t="shared" si="1"/>
        <v>8</v>
      </c>
      <c r="J52" s="40">
        <f t="shared" si="2"/>
        <v>60</v>
      </c>
      <c r="K52" s="41" t="str">
        <f t="shared" si="3"/>
        <v>D</v>
      </c>
      <c r="L52" s="39" t="str">
        <f t="shared" si="4"/>
        <v>Need to work hard</v>
      </c>
      <c r="M52" s="39"/>
    </row>
    <row r="53" spans="1:13" x14ac:dyDescent="0.35">
      <c r="A53" s="3" t="s">
        <v>171</v>
      </c>
      <c r="B53" s="3" t="s">
        <v>172</v>
      </c>
      <c r="C53" s="4" t="s">
        <v>173</v>
      </c>
      <c r="D53" s="5">
        <v>56</v>
      </c>
      <c r="E53" s="5">
        <v>56</v>
      </c>
      <c r="F53" s="5">
        <v>46</v>
      </c>
      <c r="G53" s="5">
        <v>68</v>
      </c>
      <c r="H53" s="5">
        <f t="shared" si="0"/>
        <v>0</v>
      </c>
      <c r="I53" s="5">
        <f t="shared" si="1"/>
        <v>8</v>
      </c>
      <c r="J53" s="40">
        <f t="shared" si="2"/>
        <v>58.5</v>
      </c>
      <c r="K53" s="41" t="str">
        <f t="shared" si="3"/>
        <v>F</v>
      </c>
      <c r="L53" s="39" t="str">
        <f t="shared" si="4"/>
        <v>Bad</v>
      </c>
      <c r="M53" s="39"/>
    </row>
    <row r="54" spans="1:13" x14ac:dyDescent="0.35">
      <c r="A54" s="4" t="s">
        <v>174</v>
      </c>
      <c r="B54" s="3" t="s">
        <v>175</v>
      </c>
      <c r="C54" s="4" t="s">
        <v>176</v>
      </c>
      <c r="D54" s="5">
        <v>56</v>
      </c>
      <c r="E54" s="5">
        <v>60</v>
      </c>
      <c r="F54" s="5">
        <v>59</v>
      </c>
      <c r="G54" s="5">
        <v>56</v>
      </c>
      <c r="H54" s="5">
        <f t="shared" si="0"/>
        <v>0</v>
      </c>
      <c r="I54" s="5">
        <f t="shared" si="1"/>
        <v>8</v>
      </c>
      <c r="J54" s="40">
        <f t="shared" si="2"/>
        <v>59.75</v>
      </c>
      <c r="K54" s="41" t="str">
        <f t="shared" si="3"/>
        <v>F</v>
      </c>
      <c r="L54" s="39" t="str">
        <f t="shared" si="4"/>
        <v>Bad</v>
      </c>
      <c r="M54" s="39"/>
    </row>
    <row r="55" spans="1:13" x14ac:dyDescent="0.35">
      <c r="A55" s="4" t="s">
        <v>177</v>
      </c>
      <c r="B55" s="3" t="s">
        <v>178</v>
      </c>
      <c r="C55" s="4" t="s">
        <v>179</v>
      </c>
      <c r="D55" s="5">
        <v>59</v>
      </c>
      <c r="E55" s="5">
        <v>45</v>
      </c>
      <c r="F55" s="5">
        <v>46</v>
      </c>
      <c r="G55" s="5">
        <v>61</v>
      </c>
      <c r="H55" s="5">
        <f t="shared" si="0"/>
        <v>0</v>
      </c>
      <c r="I55" s="5">
        <f t="shared" si="1"/>
        <v>8</v>
      </c>
      <c r="J55" s="40">
        <f t="shared" si="2"/>
        <v>54.75</v>
      </c>
      <c r="K55" s="41" t="str">
        <f t="shared" si="3"/>
        <v>F</v>
      </c>
      <c r="L55" s="39" t="str">
        <f t="shared" si="4"/>
        <v>Bad</v>
      </c>
      <c r="M55" s="39"/>
    </row>
    <row r="56" spans="1:13" x14ac:dyDescent="0.35">
      <c r="A56" s="4" t="s">
        <v>180</v>
      </c>
      <c r="B56" s="3" t="s">
        <v>102</v>
      </c>
      <c r="C56" s="4" t="s">
        <v>181</v>
      </c>
      <c r="D56" s="5">
        <v>64</v>
      </c>
      <c r="E56" s="5">
        <v>57</v>
      </c>
      <c r="F56" s="5">
        <v>99</v>
      </c>
      <c r="G56" s="5">
        <v>47</v>
      </c>
      <c r="H56" s="5">
        <f t="shared" si="0"/>
        <v>1</v>
      </c>
      <c r="I56" s="5">
        <f t="shared" si="1"/>
        <v>8</v>
      </c>
      <c r="J56" s="40">
        <f t="shared" si="2"/>
        <v>69</v>
      </c>
      <c r="K56" s="41" t="str">
        <f t="shared" si="3"/>
        <v>D</v>
      </c>
      <c r="L56" s="39" t="str">
        <f t="shared" si="4"/>
        <v>Need to work hard</v>
      </c>
      <c r="M56" s="39"/>
    </row>
    <row r="57" spans="1:13" x14ac:dyDescent="0.35">
      <c r="A57" s="3" t="s">
        <v>182</v>
      </c>
      <c r="B57" s="3" t="s">
        <v>183</v>
      </c>
      <c r="C57" s="4" t="s">
        <v>184</v>
      </c>
      <c r="D57" s="5">
        <v>60</v>
      </c>
      <c r="E57" s="5">
        <v>47</v>
      </c>
      <c r="F57" s="5">
        <v>45</v>
      </c>
      <c r="G57" s="5">
        <v>45</v>
      </c>
      <c r="H57" s="5">
        <f t="shared" si="0"/>
        <v>0</v>
      </c>
      <c r="I57" s="5">
        <f t="shared" si="1"/>
        <v>8</v>
      </c>
      <c r="J57" s="40">
        <f t="shared" si="2"/>
        <v>51.25</v>
      </c>
      <c r="K57" s="41" t="str">
        <f t="shared" si="3"/>
        <v>F</v>
      </c>
      <c r="L57" s="39" t="str">
        <f t="shared" si="4"/>
        <v>Bad</v>
      </c>
      <c r="M57" s="39"/>
    </row>
    <row r="58" spans="1:13" x14ac:dyDescent="0.35">
      <c r="A58" s="4" t="s">
        <v>185</v>
      </c>
      <c r="B58" s="3" t="s">
        <v>186</v>
      </c>
      <c r="C58" s="4" t="s">
        <v>187</v>
      </c>
      <c r="D58" s="5">
        <v>56</v>
      </c>
      <c r="E58" s="5">
        <v>53</v>
      </c>
      <c r="F58" s="5">
        <v>42</v>
      </c>
      <c r="G58" s="5">
        <v>54</v>
      </c>
      <c r="H58" s="5">
        <f t="shared" si="0"/>
        <v>0</v>
      </c>
      <c r="I58" s="5">
        <f t="shared" si="1"/>
        <v>8</v>
      </c>
      <c r="J58" s="40">
        <f t="shared" si="2"/>
        <v>53.25</v>
      </c>
      <c r="K58" s="41" t="str">
        <f t="shared" si="3"/>
        <v>F</v>
      </c>
      <c r="L58" s="39" t="str">
        <f t="shared" si="4"/>
        <v>Bad</v>
      </c>
      <c r="M58" s="39"/>
    </row>
    <row r="59" spans="1:13" x14ac:dyDescent="0.35">
      <c r="A59" s="4" t="s">
        <v>188</v>
      </c>
      <c r="B59" s="3" t="s">
        <v>189</v>
      </c>
      <c r="C59" s="4" t="s">
        <v>190</v>
      </c>
      <c r="D59" s="5">
        <v>56</v>
      </c>
      <c r="E59" s="5">
        <v>47</v>
      </c>
      <c r="F59" s="5">
        <v>90</v>
      </c>
      <c r="G59" s="5">
        <v>45</v>
      </c>
      <c r="H59" s="5">
        <f t="shared" si="0"/>
        <v>0</v>
      </c>
      <c r="I59" s="5">
        <f t="shared" si="1"/>
        <v>8</v>
      </c>
      <c r="J59" s="40">
        <f t="shared" si="2"/>
        <v>61.5</v>
      </c>
      <c r="K59" s="41" t="str">
        <f t="shared" si="3"/>
        <v>D</v>
      </c>
      <c r="L59" s="39" t="str">
        <f t="shared" si="4"/>
        <v>Need to work hard</v>
      </c>
      <c r="M59" s="39"/>
    </row>
    <row r="60" spans="1:13" x14ac:dyDescent="0.35">
      <c r="A60" s="3" t="s">
        <v>191</v>
      </c>
      <c r="B60" s="3" t="s">
        <v>192</v>
      </c>
      <c r="C60" s="4" t="s">
        <v>193</v>
      </c>
      <c r="D60" s="5">
        <v>53</v>
      </c>
      <c r="E60" s="5">
        <v>48</v>
      </c>
      <c r="F60" s="5">
        <v>85</v>
      </c>
      <c r="G60" s="5">
        <v>36</v>
      </c>
      <c r="H60" s="5">
        <f t="shared" si="0"/>
        <v>0</v>
      </c>
      <c r="I60" s="5">
        <f t="shared" si="1"/>
        <v>8</v>
      </c>
      <c r="J60" s="40">
        <f t="shared" si="2"/>
        <v>57.5</v>
      </c>
      <c r="K60" s="41" t="str">
        <f t="shared" si="3"/>
        <v>F</v>
      </c>
      <c r="L60" s="39" t="str">
        <f t="shared" si="4"/>
        <v>Bad</v>
      </c>
      <c r="M60" s="39"/>
    </row>
    <row r="61" spans="1:13" x14ac:dyDescent="0.35">
      <c r="A61" s="4" t="s">
        <v>194</v>
      </c>
      <c r="B61" s="3" t="s">
        <v>195</v>
      </c>
      <c r="C61" s="4" t="s">
        <v>196</v>
      </c>
      <c r="D61" s="5">
        <v>39</v>
      </c>
      <c r="E61" s="5">
        <v>42</v>
      </c>
      <c r="F61" s="5">
        <v>46</v>
      </c>
      <c r="G61" s="5">
        <v>53</v>
      </c>
      <c r="H61" s="5">
        <f t="shared" si="0"/>
        <v>0</v>
      </c>
      <c r="I61" s="5">
        <f t="shared" si="1"/>
        <v>8</v>
      </c>
      <c r="J61" s="40">
        <f t="shared" si="2"/>
        <v>47</v>
      </c>
      <c r="K61" s="41" t="str">
        <f t="shared" si="3"/>
        <v>F</v>
      </c>
      <c r="L61" s="39" t="str">
        <f t="shared" si="4"/>
        <v>Bad</v>
      </c>
      <c r="M61" s="39"/>
    </row>
    <row r="62" spans="1:13" x14ac:dyDescent="0.35">
      <c r="A62" s="3" t="s">
        <v>197</v>
      </c>
      <c r="B62" s="3" t="s">
        <v>198</v>
      </c>
      <c r="C62" s="4" t="s">
        <v>199</v>
      </c>
      <c r="D62" s="5">
        <v>47</v>
      </c>
      <c r="E62" s="5">
        <v>27</v>
      </c>
      <c r="F62" s="5">
        <v>98</v>
      </c>
      <c r="G62" s="5">
        <v>34</v>
      </c>
      <c r="H62" s="5">
        <f t="shared" si="0"/>
        <v>2</v>
      </c>
      <c r="I62" s="5">
        <f t="shared" si="1"/>
        <v>8</v>
      </c>
      <c r="J62" s="40">
        <f t="shared" si="2"/>
        <v>54</v>
      </c>
      <c r="K62" s="41" t="str">
        <f t="shared" si="3"/>
        <v>F</v>
      </c>
      <c r="L62" s="39" t="str">
        <f t="shared" si="4"/>
        <v>Bad</v>
      </c>
      <c r="M62" s="39"/>
    </row>
    <row r="63" spans="1:13" x14ac:dyDescent="0.35">
      <c r="A63" s="4" t="s">
        <v>200</v>
      </c>
      <c r="B63" s="3" t="s">
        <v>201</v>
      </c>
      <c r="C63" s="4" t="s">
        <v>202</v>
      </c>
      <c r="D63" s="5">
        <v>31</v>
      </c>
      <c r="E63" s="5">
        <v>33</v>
      </c>
      <c r="F63" s="5">
        <v>77</v>
      </c>
      <c r="G63" s="5">
        <v>46</v>
      </c>
      <c r="H63" s="5">
        <f t="shared" si="0"/>
        <v>0</v>
      </c>
      <c r="I63" s="5">
        <f t="shared" si="1"/>
        <v>8</v>
      </c>
      <c r="J63" s="40">
        <f t="shared" si="2"/>
        <v>48.75</v>
      </c>
      <c r="K63" s="41" t="str">
        <f t="shared" si="3"/>
        <v>F</v>
      </c>
      <c r="L63" s="39" t="str">
        <f t="shared" si="4"/>
        <v>Bad</v>
      </c>
      <c r="M63" s="39"/>
    </row>
    <row r="64" spans="1:13" x14ac:dyDescent="0.35">
      <c r="A64" s="4" t="s">
        <v>203</v>
      </c>
      <c r="B64" s="3" t="s">
        <v>204</v>
      </c>
      <c r="C64" s="4" t="s">
        <v>205</v>
      </c>
      <c r="D64" s="5">
        <v>54</v>
      </c>
      <c r="E64" s="5">
        <v>29</v>
      </c>
      <c r="F64" s="5">
        <v>74</v>
      </c>
      <c r="G64" s="5">
        <v>32</v>
      </c>
      <c r="H64" s="5">
        <f t="shared" si="0"/>
        <v>0</v>
      </c>
      <c r="I64" s="5">
        <f t="shared" si="1"/>
        <v>8</v>
      </c>
      <c r="J64" s="40">
        <f t="shared" si="2"/>
        <v>49.25</v>
      </c>
      <c r="K64" s="41" t="str">
        <f t="shared" si="3"/>
        <v>F</v>
      </c>
      <c r="L64" s="39" t="str">
        <f t="shared" si="4"/>
        <v>Bad</v>
      </c>
      <c r="M64" s="39"/>
    </row>
    <row r="65" spans="1:13" x14ac:dyDescent="0.35">
      <c r="A65" s="4" t="s">
        <v>206</v>
      </c>
      <c r="B65" s="3" t="s">
        <v>207</v>
      </c>
      <c r="C65" s="4" t="s">
        <v>208</v>
      </c>
      <c r="D65" s="5">
        <v>40</v>
      </c>
      <c r="E65" s="5">
        <v>32</v>
      </c>
      <c r="F65" s="5">
        <v>45</v>
      </c>
      <c r="G65" s="5">
        <v>37</v>
      </c>
      <c r="H65" s="5">
        <f t="shared" si="0"/>
        <v>0</v>
      </c>
      <c r="I65" s="5">
        <f t="shared" si="1"/>
        <v>8</v>
      </c>
      <c r="J65" s="40">
        <f t="shared" si="2"/>
        <v>40.5</v>
      </c>
      <c r="K65" s="41" t="str">
        <f t="shared" si="3"/>
        <v>F</v>
      </c>
      <c r="L65" s="39" t="str">
        <f t="shared" si="4"/>
        <v>Bad</v>
      </c>
      <c r="M65" s="39"/>
    </row>
    <row r="66" spans="1:13" x14ac:dyDescent="0.35">
      <c r="A66" s="3" t="s">
        <v>209</v>
      </c>
      <c r="B66" s="3" t="s">
        <v>210</v>
      </c>
      <c r="C66" s="4" t="s">
        <v>211</v>
      </c>
      <c r="D66" s="5">
        <v>25</v>
      </c>
      <c r="E66" s="5">
        <v>29</v>
      </c>
      <c r="F66" s="5">
        <v>59</v>
      </c>
      <c r="G66" s="5">
        <v>27</v>
      </c>
      <c r="H66" s="5">
        <f t="shared" si="0"/>
        <v>0</v>
      </c>
      <c r="I66" s="5">
        <f t="shared" si="1"/>
        <v>8</v>
      </c>
      <c r="J66" s="40">
        <f t="shared" si="2"/>
        <v>37</v>
      </c>
      <c r="K66" s="41" t="str">
        <f t="shared" si="3"/>
        <v>F</v>
      </c>
      <c r="L66" s="39" t="str">
        <f t="shared" si="4"/>
        <v>Bad</v>
      </c>
      <c r="M66" s="39"/>
    </row>
    <row r="67" spans="1:13" x14ac:dyDescent="0.35">
      <c r="A67" s="4" t="s">
        <v>212</v>
      </c>
      <c r="B67" s="3" t="s">
        <v>213</v>
      </c>
      <c r="C67" s="4" t="s">
        <v>214</v>
      </c>
      <c r="D67" s="5">
        <v>46</v>
      </c>
      <c r="E67" s="5">
        <v>30</v>
      </c>
      <c r="F67" s="5">
        <v>98</v>
      </c>
      <c r="G67" s="5">
        <v>0</v>
      </c>
      <c r="H67" s="5">
        <f t="shared" si="0"/>
        <v>2</v>
      </c>
      <c r="I67" s="5">
        <f t="shared" si="1"/>
        <v>8</v>
      </c>
      <c r="J67" s="40">
        <f t="shared" si="2"/>
        <v>46</v>
      </c>
      <c r="K67" s="41" t="str">
        <f t="shared" si="3"/>
        <v>F</v>
      </c>
      <c r="L67" s="39" t="str">
        <f t="shared" si="4"/>
        <v>Bad</v>
      </c>
      <c r="M67" s="39"/>
    </row>
    <row r="68" spans="1:13" x14ac:dyDescent="0.35">
      <c r="A68" s="4" t="s">
        <v>215</v>
      </c>
      <c r="B68" s="3" t="s">
        <v>216</v>
      </c>
      <c r="C68" s="4" t="s">
        <v>217</v>
      </c>
      <c r="D68" s="5">
        <v>96</v>
      </c>
      <c r="E68" s="5">
        <v>95</v>
      </c>
      <c r="F68" s="5">
        <v>67</v>
      </c>
      <c r="G68" s="5">
        <v>35</v>
      </c>
      <c r="H68" s="5">
        <f t="shared" ref="H68:H97" si="5">IF(MAX(D68:G68)&gt;90,MIN(100-MAX(D68:G68),5),0)</f>
        <v>4</v>
      </c>
      <c r="I68" s="5">
        <f t="shared" ref="I68:I97" si="6">IF(MIN(D68:G68)&lt;60,8,0)</f>
        <v>8</v>
      </c>
      <c r="J68" s="40">
        <f t="shared" ref="J68:J97" si="7">SUM(D68:I68)/4</f>
        <v>76.25</v>
      </c>
      <c r="K68" s="41" t="str">
        <f t="shared" ref="K68:K97" si="8">VLOOKUP(J68,$N$8:$O$12,2,TRUE)</f>
        <v>C</v>
      </c>
      <c r="L68" s="39" t="str">
        <f t="shared" ref="L68:L97" si="9">VLOOKUP(K68,$O$8:$P$12,2,FALSE)</f>
        <v>Average</v>
      </c>
      <c r="M68" s="39"/>
    </row>
    <row r="69" spans="1:13" x14ac:dyDescent="0.35">
      <c r="A69" s="4" t="s">
        <v>218</v>
      </c>
      <c r="B69" s="3" t="s">
        <v>219</v>
      </c>
      <c r="C69" s="4" t="s">
        <v>220</v>
      </c>
      <c r="D69" s="5">
        <v>87</v>
      </c>
      <c r="E69" s="5">
        <v>82</v>
      </c>
      <c r="F69" s="5">
        <v>84</v>
      </c>
      <c r="G69" s="5">
        <v>46</v>
      </c>
      <c r="H69" s="5">
        <f t="shared" si="5"/>
        <v>0</v>
      </c>
      <c r="I69" s="5">
        <f t="shared" si="6"/>
        <v>8</v>
      </c>
      <c r="J69" s="40">
        <f t="shared" si="7"/>
        <v>76.75</v>
      </c>
      <c r="K69" s="41" t="str">
        <f t="shared" si="8"/>
        <v>C</v>
      </c>
      <c r="L69" s="39" t="str">
        <f t="shared" si="9"/>
        <v>Average</v>
      </c>
      <c r="M69" s="39"/>
    </row>
    <row r="70" spans="1:13" x14ac:dyDescent="0.35">
      <c r="A70" s="4" t="s">
        <v>221</v>
      </c>
      <c r="B70" s="3" t="s">
        <v>222</v>
      </c>
      <c r="C70" s="4" t="s">
        <v>223</v>
      </c>
      <c r="D70" s="5">
        <v>93</v>
      </c>
      <c r="E70" s="5">
        <v>93</v>
      </c>
      <c r="F70" s="5">
        <v>74</v>
      </c>
      <c r="G70" s="5">
        <v>47</v>
      </c>
      <c r="H70" s="5">
        <f t="shared" si="5"/>
        <v>5</v>
      </c>
      <c r="I70" s="5">
        <f t="shared" si="6"/>
        <v>8</v>
      </c>
      <c r="J70" s="40">
        <f t="shared" si="7"/>
        <v>80</v>
      </c>
      <c r="K70" s="41" t="str">
        <f t="shared" si="8"/>
        <v>B</v>
      </c>
      <c r="L70" s="39" t="str">
        <f t="shared" si="9"/>
        <v>Good</v>
      </c>
      <c r="M70" s="39"/>
    </row>
    <row r="71" spans="1:13" x14ac:dyDescent="0.35">
      <c r="A71" s="4" t="s">
        <v>224</v>
      </c>
      <c r="B71" s="3" t="s">
        <v>225</v>
      </c>
      <c r="C71" s="4" t="s">
        <v>226</v>
      </c>
      <c r="D71" s="5">
        <v>93</v>
      </c>
      <c r="E71" s="5">
        <v>90</v>
      </c>
      <c r="F71" s="5">
        <v>79</v>
      </c>
      <c r="G71" s="5">
        <v>54</v>
      </c>
      <c r="H71" s="5">
        <f t="shared" si="5"/>
        <v>5</v>
      </c>
      <c r="I71" s="5">
        <f t="shared" si="6"/>
        <v>8</v>
      </c>
      <c r="J71" s="40">
        <f t="shared" si="7"/>
        <v>82.25</v>
      </c>
      <c r="K71" s="41" t="str">
        <f t="shared" si="8"/>
        <v>B</v>
      </c>
      <c r="L71" s="39" t="str">
        <f t="shared" si="9"/>
        <v>Good</v>
      </c>
      <c r="M71" s="39"/>
    </row>
    <row r="72" spans="1:13" x14ac:dyDescent="0.35">
      <c r="A72" s="4" t="s">
        <v>227</v>
      </c>
      <c r="B72" s="3" t="s">
        <v>228</v>
      </c>
      <c r="C72" s="4" t="s">
        <v>229</v>
      </c>
      <c r="D72" s="5">
        <v>85</v>
      </c>
      <c r="E72" s="5">
        <v>83</v>
      </c>
      <c r="F72" s="5">
        <v>80</v>
      </c>
      <c r="G72" s="5">
        <v>66</v>
      </c>
      <c r="H72" s="5">
        <f t="shared" si="5"/>
        <v>0</v>
      </c>
      <c r="I72" s="5">
        <f t="shared" si="6"/>
        <v>0</v>
      </c>
      <c r="J72" s="40">
        <f t="shared" si="7"/>
        <v>78.5</v>
      </c>
      <c r="K72" s="41" t="str">
        <f t="shared" si="8"/>
        <v>C</v>
      </c>
      <c r="L72" s="39" t="str">
        <f t="shared" si="9"/>
        <v>Average</v>
      </c>
      <c r="M72" s="39"/>
    </row>
    <row r="73" spans="1:13" x14ac:dyDescent="0.35">
      <c r="A73" s="4" t="s">
        <v>230</v>
      </c>
      <c r="B73" s="3" t="s">
        <v>231</v>
      </c>
      <c r="C73" s="4" t="s">
        <v>232</v>
      </c>
      <c r="D73" s="5">
        <v>26</v>
      </c>
      <c r="E73" s="5">
        <v>87</v>
      </c>
      <c r="F73" s="5">
        <v>56</v>
      </c>
      <c r="G73" s="5">
        <v>69</v>
      </c>
      <c r="H73" s="5">
        <f t="shared" si="5"/>
        <v>0</v>
      </c>
      <c r="I73" s="5">
        <f t="shared" si="6"/>
        <v>8</v>
      </c>
      <c r="J73" s="40">
        <f t="shared" si="7"/>
        <v>61.5</v>
      </c>
      <c r="K73" s="41" t="str">
        <f t="shared" si="8"/>
        <v>D</v>
      </c>
      <c r="L73" s="39" t="str">
        <f t="shared" si="9"/>
        <v>Need to work hard</v>
      </c>
      <c r="M73" s="39"/>
    </row>
    <row r="74" spans="1:13" x14ac:dyDescent="0.35">
      <c r="A74" s="4" t="s">
        <v>233</v>
      </c>
      <c r="B74" s="3" t="s">
        <v>234</v>
      </c>
      <c r="C74" s="4" t="s">
        <v>235</v>
      </c>
      <c r="D74" s="5">
        <v>59</v>
      </c>
      <c r="E74" s="5">
        <v>83</v>
      </c>
      <c r="F74" s="5">
        <v>68</v>
      </c>
      <c r="G74" s="5">
        <v>69</v>
      </c>
      <c r="H74" s="5">
        <f t="shared" si="5"/>
        <v>0</v>
      </c>
      <c r="I74" s="5">
        <f t="shared" si="6"/>
        <v>8</v>
      </c>
      <c r="J74" s="40">
        <f t="shared" si="7"/>
        <v>71.75</v>
      </c>
      <c r="K74" s="41" t="str">
        <f t="shared" si="8"/>
        <v>C</v>
      </c>
      <c r="L74" s="39" t="str">
        <f t="shared" si="9"/>
        <v>Average</v>
      </c>
      <c r="M74" s="39"/>
    </row>
    <row r="75" spans="1:13" x14ac:dyDescent="0.35">
      <c r="A75" s="4" t="s">
        <v>203</v>
      </c>
      <c r="B75" s="3" t="s">
        <v>236</v>
      </c>
      <c r="C75" s="4" t="s">
        <v>237</v>
      </c>
      <c r="D75" s="5">
        <v>64</v>
      </c>
      <c r="E75" s="5">
        <v>83</v>
      </c>
      <c r="F75" s="5">
        <v>67</v>
      </c>
      <c r="G75" s="5">
        <v>70</v>
      </c>
      <c r="H75" s="5">
        <f t="shared" si="5"/>
        <v>0</v>
      </c>
      <c r="I75" s="5">
        <f t="shared" si="6"/>
        <v>0</v>
      </c>
      <c r="J75" s="40">
        <f t="shared" si="7"/>
        <v>71</v>
      </c>
      <c r="K75" s="41" t="str">
        <f t="shared" si="8"/>
        <v>C</v>
      </c>
      <c r="L75" s="39" t="str">
        <f t="shared" si="9"/>
        <v>Average</v>
      </c>
      <c r="M75" s="39"/>
    </row>
    <row r="76" spans="1:13" x14ac:dyDescent="0.35">
      <c r="A76" s="4" t="s">
        <v>238</v>
      </c>
      <c r="B76" s="3" t="s">
        <v>239</v>
      </c>
      <c r="C76" s="4" t="s">
        <v>240</v>
      </c>
      <c r="D76" s="5">
        <v>68</v>
      </c>
      <c r="E76" s="5">
        <v>77</v>
      </c>
      <c r="F76" s="5">
        <v>59</v>
      </c>
      <c r="G76" s="5">
        <v>70</v>
      </c>
      <c r="H76" s="5">
        <f t="shared" si="5"/>
        <v>0</v>
      </c>
      <c r="I76" s="5">
        <f t="shared" si="6"/>
        <v>8</v>
      </c>
      <c r="J76" s="40">
        <f t="shared" si="7"/>
        <v>70.5</v>
      </c>
      <c r="K76" s="41" t="str">
        <f t="shared" si="8"/>
        <v>C</v>
      </c>
      <c r="L76" s="39" t="str">
        <f t="shared" si="9"/>
        <v>Average</v>
      </c>
      <c r="M76" s="39"/>
    </row>
    <row r="77" spans="1:13" x14ac:dyDescent="0.35">
      <c r="A77" s="4" t="s">
        <v>241</v>
      </c>
      <c r="B77" s="3" t="s">
        <v>242</v>
      </c>
      <c r="C77" s="4" t="s">
        <v>243</v>
      </c>
      <c r="D77" s="5">
        <v>72</v>
      </c>
      <c r="E77" s="5">
        <v>84</v>
      </c>
      <c r="F77" s="5">
        <v>42</v>
      </c>
      <c r="G77" s="5">
        <v>70</v>
      </c>
      <c r="H77" s="5">
        <f t="shared" si="5"/>
        <v>0</v>
      </c>
      <c r="I77" s="5">
        <f t="shared" si="6"/>
        <v>8</v>
      </c>
      <c r="J77" s="40">
        <f t="shared" si="7"/>
        <v>69</v>
      </c>
      <c r="K77" s="41" t="str">
        <f t="shared" si="8"/>
        <v>D</v>
      </c>
      <c r="L77" s="39" t="str">
        <f t="shared" si="9"/>
        <v>Need to work hard</v>
      </c>
      <c r="M77" s="39"/>
    </row>
    <row r="78" spans="1:13" x14ac:dyDescent="0.35">
      <c r="A78" s="4" t="s">
        <v>244</v>
      </c>
      <c r="B78" s="3" t="s">
        <v>245</v>
      </c>
      <c r="C78" s="4" t="s">
        <v>246</v>
      </c>
      <c r="D78" s="5">
        <v>73</v>
      </c>
      <c r="E78" s="5">
        <v>84</v>
      </c>
      <c r="F78" s="5">
        <v>100</v>
      </c>
      <c r="G78" s="5">
        <v>72</v>
      </c>
      <c r="H78" s="5">
        <f t="shared" si="5"/>
        <v>0</v>
      </c>
      <c r="I78" s="5">
        <f t="shared" si="6"/>
        <v>0</v>
      </c>
      <c r="J78" s="40">
        <f t="shared" si="7"/>
        <v>82.25</v>
      </c>
      <c r="K78" s="41" t="str">
        <f t="shared" si="8"/>
        <v>B</v>
      </c>
      <c r="L78" s="39" t="str">
        <f t="shared" si="9"/>
        <v>Good</v>
      </c>
      <c r="M78" s="39"/>
    </row>
    <row r="79" spans="1:13" x14ac:dyDescent="0.35">
      <c r="A79" s="4" t="s">
        <v>247</v>
      </c>
      <c r="B79" s="3" t="s">
        <v>248</v>
      </c>
      <c r="C79" s="4" t="s">
        <v>249</v>
      </c>
      <c r="D79" s="5">
        <v>74</v>
      </c>
      <c r="E79" s="5">
        <v>74</v>
      </c>
      <c r="F79" s="5">
        <v>71</v>
      </c>
      <c r="G79" s="5">
        <v>73</v>
      </c>
      <c r="H79" s="5">
        <f t="shared" si="5"/>
        <v>0</v>
      </c>
      <c r="I79" s="5">
        <f t="shared" si="6"/>
        <v>0</v>
      </c>
      <c r="J79" s="40">
        <f t="shared" si="7"/>
        <v>73</v>
      </c>
      <c r="K79" s="41" t="str">
        <f t="shared" si="8"/>
        <v>C</v>
      </c>
      <c r="L79" s="39" t="str">
        <f t="shared" si="9"/>
        <v>Average</v>
      </c>
      <c r="M79" s="39"/>
    </row>
    <row r="80" spans="1:13" x14ac:dyDescent="0.35">
      <c r="A80" s="3" t="s">
        <v>250</v>
      </c>
      <c r="B80" s="3" t="s">
        <v>251</v>
      </c>
      <c r="C80" s="4" t="s">
        <v>252</v>
      </c>
      <c r="D80" s="5">
        <v>75</v>
      </c>
      <c r="E80" s="5">
        <v>81</v>
      </c>
      <c r="F80" s="5">
        <v>72</v>
      </c>
      <c r="G80" s="5">
        <v>73</v>
      </c>
      <c r="H80" s="5">
        <f t="shared" si="5"/>
        <v>0</v>
      </c>
      <c r="I80" s="5">
        <f t="shared" si="6"/>
        <v>0</v>
      </c>
      <c r="J80" s="40">
        <f t="shared" si="7"/>
        <v>75.25</v>
      </c>
      <c r="K80" s="41" t="str">
        <f t="shared" si="8"/>
        <v>C</v>
      </c>
      <c r="L80" s="39" t="str">
        <f t="shared" si="9"/>
        <v>Average</v>
      </c>
      <c r="M80" s="39"/>
    </row>
    <row r="81" spans="1:13" x14ac:dyDescent="0.35">
      <c r="A81" s="3" t="s">
        <v>253</v>
      </c>
      <c r="B81" s="3" t="s">
        <v>254</v>
      </c>
      <c r="C81" s="4" t="s">
        <v>255</v>
      </c>
      <c r="D81" s="5">
        <v>76</v>
      </c>
      <c r="E81" s="5">
        <v>81</v>
      </c>
      <c r="F81" s="5">
        <v>90</v>
      </c>
      <c r="G81" s="5">
        <v>73</v>
      </c>
      <c r="H81" s="5">
        <f t="shared" si="5"/>
        <v>0</v>
      </c>
      <c r="I81" s="5">
        <f t="shared" si="6"/>
        <v>0</v>
      </c>
      <c r="J81" s="40">
        <f t="shared" si="7"/>
        <v>80</v>
      </c>
      <c r="K81" s="41" t="str">
        <f t="shared" si="8"/>
        <v>B</v>
      </c>
      <c r="L81" s="39" t="str">
        <f t="shared" si="9"/>
        <v>Good</v>
      </c>
      <c r="M81" s="39"/>
    </row>
    <row r="82" spans="1:13" x14ac:dyDescent="0.35">
      <c r="A82" s="3" t="s">
        <v>256</v>
      </c>
      <c r="B82" s="3" t="s">
        <v>257</v>
      </c>
      <c r="C82" s="4" t="s">
        <v>258</v>
      </c>
      <c r="D82" s="5">
        <v>78</v>
      </c>
      <c r="E82" s="5">
        <v>64</v>
      </c>
      <c r="F82" s="5">
        <v>86</v>
      </c>
      <c r="G82" s="5">
        <v>74</v>
      </c>
      <c r="H82" s="5">
        <f t="shared" si="5"/>
        <v>0</v>
      </c>
      <c r="I82" s="5">
        <f t="shared" si="6"/>
        <v>0</v>
      </c>
      <c r="J82" s="40">
        <f t="shared" si="7"/>
        <v>75.5</v>
      </c>
      <c r="K82" s="41" t="str">
        <f t="shared" si="8"/>
        <v>C</v>
      </c>
      <c r="L82" s="39" t="str">
        <f t="shared" si="9"/>
        <v>Average</v>
      </c>
      <c r="M82" s="39"/>
    </row>
    <row r="83" spans="1:13" x14ac:dyDescent="0.35">
      <c r="A83" s="4" t="s">
        <v>259</v>
      </c>
      <c r="B83" s="3" t="s">
        <v>260</v>
      </c>
      <c r="C83" s="4" t="s">
        <v>261</v>
      </c>
      <c r="D83" s="5">
        <v>79</v>
      </c>
      <c r="E83" s="5">
        <v>68</v>
      </c>
      <c r="F83" s="5">
        <v>75</v>
      </c>
      <c r="G83" s="5">
        <v>76</v>
      </c>
      <c r="H83" s="5">
        <f t="shared" si="5"/>
        <v>0</v>
      </c>
      <c r="I83" s="5">
        <f t="shared" si="6"/>
        <v>0</v>
      </c>
      <c r="J83" s="40">
        <f t="shared" si="7"/>
        <v>74.5</v>
      </c>
      <c r="K83" s="41" t="str">
        <f t="shared" si="8"/>
        <v>C</v>
      </c>
      <c r="L83" s="39" t="str">
        <f t="shared" si="9"/>
        <v>Average</v>
      </c>
      <c r="M83" s="39"/>
    </row>
    <row r="84" spans="1:13" x14ac:dyDescent="0.35">
      <c r="A84" s="3" t="s">
        <v>262</v>
      </c>
      <c r="B84" s="3" t="s">
        <v>263</v>
      </c>
      <c r="C84" s="4" t="s">
        <v>264</v>
      </c>
      <c r="D84" s="5">
        <v>81</v>
      </c>
      <c r="E84" s="5">
        <v>78</v>
      </c>
      <c r="F84" s="5">
        <v>83</v>
      </c>
      <c r="G84" s="5">
        <v>77</v>
      </c>
      <c r="H84" s="5">
        <f t="shared" si="5"/>
        <v>0</v>
      </c>
      <c r="I84" s="5">
        <f t="shared" si="6"/>
        <v>0</v>
      </c>
      <c r="J84" s="40">
        <f t="shared" si="7"/>
        <v>79.75</v>
      </c>
      <c r="K84" s="41" t="str">
        <f t="shared" si="8"/>
        <v>C</v>
      </c>
      <c r="L84" s="39" t="str">
        <f t="shared" si="9"/>
        <v>Average</v>
      </c>
      <c r="M84" s="39"/>
    </row>
    <row r="85" spans="1:13" x14ac:dyDescent="0.35">
      <c r="A85" s="4" t="s">
        <v>265</v>
      </c>
      <c r="B85" s="3" t="s">
        <v>266</v>
      </c>
      <c r="C85" s="4" t="s">
        <v>267</v>
      </c>
      <c r="D85" s="5">
        <v>83</v>
      </c>
      <c r="E85" s="5">
        <v>70</v>
      </c>
      <c r="F85" s="5">
        <v>64</v>
      </c>
      <c r="G85" s="5">
        <v>77</v>
      </c>
      <c r="H85" s="5">
        <f t="shared" si="5"/>
        <v>0</v>
      </c>
      <c r="I85" s="5">
        <f t="shared" si="6"/>
        <v>0</v>
      </c>
      <c r="J85" s="40">
        <f t="shared" si="7"/>
        <v>73.5</v>
      </c>
      <c r="K85" s="41" t="str">
        <f t="shared" si="8"/>
        <v>C</v>
      </c>
      <c r="L85" s="39" t="str">
        <f t="shared" si="9"/>
        <v>Average</v>
      </c>
      <c r="M85" s="39"/>
    </row>
    <row r="86" spans="1:13" x14ac:dyDescent="0.35">
      <c r="A86" s="4" t="s">
        <v>268</v>
      </c>
      <c r="B86" s="3" t="s">
        <v>269</v>
      </c>
      <c r="C86" s="4" t="s">
        <v>270</v>
      </c>
      <c r="D86" s="5">
        <v>83</v>
      </c>
      <c r="E86" s="5">
        <v>60</v>
      </c>
      <c r="F86" s="5">
        <v>78</v>
      </c>
      <c r="G86" s="5">
        <v>78</v>
      </c>
      <c r="H86" s="5">
        <f t="shared" si="5"/>
        <v>0</v>
      </c>
      <c r="I86" s="5">
        <f t="shared" si="6"/>
        <v>0</v>
      </c>
      <c r="J86" s="40">
        <f t="shared" si="7"/>
        <v>74.75</v>
      </c>
      <c r="K86" s="41" t="str">
        <f t="shared" si="8"/>
        <v>C</v>
      </c>
      <c r="L86" s="39" t="str">
        <f t="shared" si="9"/>
        <v>Average</v>
      </c>
      <c r="M86" s="39"/>
    </row>
    <row r="87" spans="1:13" x14ac:dyDescent="0.35">
      <c r="A87" s="4" t="s">
        <v>271</v>
      </c>
      <c r="B87" s="3" t="s">
        <v>272</v>
      </c>
      <c r="C87" s="4" t="s">
        <v>273</v>
      </c>
      <c r="D87" s="5">
        <v>83</v>
      </c>
      <c r="E87" s="5">
        <v>85</v>
      </c>
      <c r="F87" s="5">
        <v>97</v>
      </c>
      <c r="G87" s="5">
        <v>80</v>
      </c>
      <c r="H87" s="5">
        <f t="shared" si="5"/>
        <v>3</v>
      </c>
      <c r="I87" s="5">
        <f t="shared" si="6"/>
        <v>0</v>
      </c>
      <c r="J87" s="40">
        <f t="shared" si="7"/>
        <v>87</v>
      </c>
      <c r="K87" s="41" t="str">
        <f t="shared" si="8"/>
        <v>B</v>
      </c>
      <c r="L87" s="39" t="str">
        <f t="shared" si="9"/>
        <v>Good</v>
      </c>
      <c r="M87" s="39"/>
    </row>
    <row r="88" spans="1:13" x14ac:dyDescent="0.35">
      <c r="A88" s="3" t="s">
        <v>274</v>
      </c>
      <c r="B88" s="3" t="s">
        <v>275</v>
      </c>
      <c r="C88" s="4" t="s">
        <v>276</v>
      </c>
      <c r="D88" s="5">
        <v>84</v>
      </c>
      <c r="E88" s="5">
        <v>81</v>
      </c>
      <c r="F88" s="5">
        <v>45</v>
      </c>
      <c r="G88" s="5">
        <v>81</v>
      </c>
      <c r="H88" s="5">
        <f t="shared" si="5"/>
        <v>0</v>
      </c>
      <c r="I88" s="5">
        <f t="shared" si="6"/>
        <v>8</v>
      </c>
      <c r="J88" s="40">
        <f t="shared" si="7"/>
        <v>74.75</v>
      </c>
      <c r="K88" s="41" t="str">
        <f t="shared" si="8"/>
        <v>C</v>
      </c>
      <c r="L88" s="39" t="str">
        <f t="shared" si="9"/>
        <v>Average</v>
      </c>
      <c r="M88" s="39"/>
    </row>
    <row r="89" spans="1:13" x14ac:dyDescent="0.35">
      <c r="A89" s="3" t="s">
        <v>277</v>
      </c>
      <c r="B89" s="3" t="s">
        <v>278</v>
      </c>
      <c r="C89" s="4" t="s">
        <v>279</v>
      </c>
      <c r="D89" s="5">
        <v>84</v>
      </c>
      <c r="E89" s="5">
        <v>82</v>
      </c>
      <c r="F89" s="5">
        <v>50</v>
      </c>
      <c r="G89" s="5">
        <v>82</v>
      </c>
      <c r="H89" s="5">
        <f t="shared" si="5"/>
        <v>0</v>
      </c>
      <c r="I89" s="5">
        <f t="shared" si="6"/>
        <v>8</v>
      </c>
      <c r="J89" s="40">
        <f t="shared" si="7"/>
        <v>76.5</v>
      </c>
      <c r="K89" s="41" t="str">
        <f t="shared" si="8"/>
        <v>C</v>
      </c>
      <c r="L89" s="39" t="str">
        <f t="shared" si="9"/>
        <v>Average</v>
      </c>
      <c r="M89" s="39"/>
    </row>
    <row r="90" spans="1:13" x14ac:dyDescent="0.35">
      <c r="A90" s="4" t="s">
        <v>280</v>
      </c>
      <c r="B90" s="3" t="s">
        <v>281</v>
      </c>
      <c r="C90" s="4" t="s">
        <v>282</v>
      </c>
      <c r="D90" s="5">
        <v>85</v>
      </c>
      <c r="E90" s="5">
        <v>79</v>
      </c>
      <c r="F90" s="5">
        <v>94</v>
      </c>
      <c r="G90" s="5">
        <v>82</v>
      </c>
      <c r="H90" s="5">
        <f t="shared" si="5"/>
        <v>5</v>
      </c>
      <c r="I90" s="5">
        <f t="shared" si="6"/>
        <v>0</v>
      </c>
      <c r="J90" s="40">
        <f t="shared" si="7"/>
        <v>86.25</v>
      </c>
      <c r="K90" s="41" t="str">
        <f t="shared" si="8"/>
        <v>B</v>
      </c>
      <c r="L90" s="39" t="str">
        <f t="shared" si="9"/>
        <v>Good</v>
      </c>
      <c r="M90" s="39"/>
    </row>
    <row r="91" spans="1:13" x14ac:dyDescent="0.35">
      <c r="A91" s="3" t="s">
        <v>283</v>
      </c>
      <c r="B91" s="3" t="s">
        <v>284</v>
      </c>
      <c r="C91" s="4" t="s">
        <v>285</v>
      </c>
      <c r="D91" s="5">
        <v>85</v>
      </c>
      <c r="E91" s="5">
        <v>69</v>
      </c>
      <c r="F91" s="5">
        <v>56</v>
      </c>
      <c r="G91" s="5">
        <v>83</v>
      </c>
      <c r="H91" s="5">
        <f t="shared" si="5"/>
        <v>0</v>
      </c>
      <c r="I91" s="5">
        <f t="shared" si="6"/>
        <v>8</v>
      </c>
      <c r="J91" s="40">
        <f t="shared" si="7"/>
        <v>75.25</v>
      </c>
      <c r="K91" s="41" t="str">
        <f t="shared" si="8"/>
        <v>C</v>
      </c>
      <c r="L91" s="39" t="str">
        <f t="shared" si="9"/>
        <v>Average</v>
      </c>
      <c r="M91" s="39"/>
    </row>
    <row r="92" spans="1:13" x14ac:dyDescent="0.35">
      <c r="A92" s="3" t="s">
        <v>286</v>
      </c>
      <c r="B92" s="3" t="s">
        <v>287</v>
      </c>
      <c r="C92" s="4" t="s">
        <v>288</v>
      </c>
      <c r="D92" s="5">
        <v>88</v>
      </c>
      <c r="E92" s="5">
        <v>74</v>
      </c>
      <c r="F92" s="5">
        <v>45</v>
      </c>
      <c r="G92" s="5">
        <v>86</v>
      </c>
      <c r="H92" s="5">
        <f t="shared" si="5"/>
        <v>0</v>
      </c>
      <c r="I92" s="5">
        <f t="shared" si="6"/>
        <v>8</v>
      </c>
      <c r="J92" s="40">
        <f t="shared" si="7"/>
        <v>75.25</v>
      </c>
      <c r="K92" s="41" t="str">
        <f t="shared" si="8"/>
        <v>C</v>
      </c>
      <c r="L92" s="39" t="str">
        <f t="shared" si="9"/>
        <v>Average</v>
      </c>
      <c r="M92" s="39"/>
    </row>
    <row r="93" spans="1:13" x14ac:dyDescent="0.35">
      <c r="A93" s="4" t="s">
        <v>148</v>
      </c>
      <c r="B93" s="3" t="s">
        <v>289</v>
      </c>
      <c r="C93" s="4" t="s">
        <v>290</v>
      </c>
      <c r="D93" s="5">
        <v>89</v>
      </c>
      <c r="E93" s="5">
        <v>73</v>
      </c>
      <c r="F93" s="5">
        <v>48</v>
      </c>
      <c r="G93" s="5">
        <v>86</v>
      </c>
      <c r="H93" s="5">
        <f t="shared" si="5"/>
        <v>0</v>
      </c>
      <c r="I93" s="5">
        <f t="shared" si="6"/>
        <v>8</v>
      </c>
      <c r="J93" s="40">
        <f t="shared" si="7"/>
        <v>76</v>
      </c>
      <c r="K93" s="41" t="str">
        <f t="shared" si="8"/>
        <v>C</v>
      </c>
      <c r="L93" s="39" t="str">
        <f t="shared" si="9"/>
        <v>Average</v>
      </c>
      <c r="M93" s="39"/>
    </row>
    <row r="94" spans="1:13" x14ac:dyDescent="0.35">
      <c r="A94" s="4" t="s">
        <v>291</v>
      </c>
      <c r="B94" s="3" t="s">
        <v>292</v>
      </c>
      <c r="C94" s="4" t="s">
        <v>293</v>
      </c>
      <c r="D94" s="5">
        <v>89</v>
      </c>
      <c r="E94" s="5">
        <v>60</v>
      </c>
      <c r="F94" s="5">
        <v>73</v>
      </c>
      <c r="G94" s="5">
        <v>90</v>
      </c>
      <c r="H94" s="5">
        <f t="shared" si="5"/>
        <v>0</v>
      </c>
      <c r="I94" s="5">
        <f t="shared" si="6"/>
        <v>0</v>
      </c>
      <c r="J94" s="40">
        <f t="shared" si="7"/>
        <v>78</v>
      </c>
      <c r="K94" s="41" t="str">
        <f t="shared" si="8"/>
        <v>C</v>
      </c>
      <c r="L94" s="39" t="str">
        <f t="shared" si="9"/>
        <v>Average</v>
      </c>
      <c r="M94" s="39"/>
    </row>
    <row r="95" spans="1:13" x14ac:dyDescent="0.35">
      <c r="A95" s="4" t="s">
        <v>294</v>
      </c>
      <c r="B95" s="3" t="s">
        <v>295</v>
      </c>
      <c r="C95" s="4" t="s">
        <v>296</v>
      </c>
      <c r="D95" s="5">
        <v>90</v>
      </c>
      <c r="E95" s="5">
        <v>73</v>
      </c>
      <c r="F95" s="5">
        <v>63</v>
      </c>
      <c r="G95" s="5">
        <v>90</v>
      </c>
      <c r="H95" s="5">
        <f t="shared" si="5"/>
        <v>0</v>
      </c>
      <c r="I95" s="5">
        <f t="shared" si="6"/>
        <v>0</v>
      </c>
      <c r="J95" s="40">
        <f t="shared" si="7"/>
        <v>79</v>
      </c>
      <c r="K95" s="41" t="str">
        <f t="shared" si="8"/>
        <v>C</v>
      </c>
      <c r="L95" s="39" t="str">
        <f t="shared" si="9"/>
        <v>Average</v>
      </c>
      <c r="M95" s="39"/>
    </row>
    <row r="96" spans="1:13" x14ac:dyDescent="0.35">
      <c r="A96" s="4" t="s">
        <v>297</v>
      </c>
      <c r="B96" s="3" t="s">
        <v>298</v>
      </c>
      <c r="C96" s="4" t="s">
        <v>299</v>
      </c>
      <c r="D96" s="5">
        <v>90</v>
      </c>
      <c r="E96" s="5">
        <v>49</v>
      </c>
      <c r="F96" s="5">
        <v>85</v>
      </c>
      <c r="G96" s="5">
        <v>94</v>
      </c>
      <c r="H96" s="5">
        <f t="shared" si="5"/>
        <v>5</v>
      </c>
      <c r="I96" s="5">
        <f t="shared" si="6"/>
        <v>8</v>
      </c>
      <c r="J96" s="40">
        <f t="shared" si="7"/>
        <v>82.75</v>
      </c>
      <c r="K96" s="41" t="str">
        <f t="shared" si="8"/>
        <v>B</v>
      </c>
      <c r="L96" s="39" t="str">
        <f t="shared" si="9"/>
        <v>Good</v>
      </c>
      <c r="M96" s="39"/>
    </row>
    <row r="97" spans="1:13" x14ac:dyDescent="0.35">
      <c r="A97" s="4" t="s">
        <v>300</v>
      </c>
      <c r="B97" s="3" t="s">
        <v>301</v>
      </c>
      <c r="C97" s="4" t="s">
        <v>302</v>
      </c>
      <c r="D97" s="5">
        <v>90</v>
      </c>
      <c r="E97" s="5">
        <v>23</v>
      </c>
      <c r="F97" s="5">
        <v>99</v>
      </c>
      <c r="G97" s="5">
        <v>98</v>
      </c>
      <c r="H97" s="5">
        <f t="shared" si="5"/>
        <v>1</v>
      </c>
      <c r="I97" s="5">
        <f t="shared" si="6"/>
        <v>8</v>
      </c>
      <c r="J97" s="40">
        <f t="shared" si="7"/>
        <v>79.75</v>
      </c>
      <c r="K97" s="41" t="str">
        <f t="shared" si="8"/>
        <v>C</v>
      </c>
      <c r="L97" s="39" t="str">
        <f t="shared" si="9"/>
        <v>Average</v>
      </c>
      <c r="M97" s="39"/>
    </row>
  </sheetData>
  <mergeCells count="13">
    <mergeCell ref="N7:O7"/>
    <mergeCell ref="G1:G2"/>
    <mergeCell ref="H1:H2"/>
    <mergeCell ref="I1:I2"/>
    <mergeCell ref="J1:J2"/>
    <mergeCell ref="K1:K2"/>
    <mergeCell ref="L1:L2"/>
    <mergeCell ref="F1:F2"/>
    <mergeCell ref="A1:A2"/>
    <mergeCell ref="B1:B2"/>
    <mergeCell ref="C1:C2"/>
    <mergeCell ref="D1:D2"/>
    <mergeCell ref="E1:E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BD15A-2E6C-499D-ACEC-3BD2717327D2}">
  <sheetPr codeName="Sheet4"/>
  <dimension ref="A1:I22"/>
  <sheetViews>
    <sheetView workbookViewId="0">
      <selection activeCell="P11" sqref="P11"/>
    </sheetView>
  </sheetViews>
  <sheetFormatPr defaultRowHeight="15.5" x14ac:dyDescent="0.35"/>
  <cols>
    <col min="2" max="2" width="8.6640625" style="49"/>
    <col min="3" max="3" width="9.9140625" customWidth="1"/>
    <col min="4" max="4" width="10.4140625" customWidth="1"/>
    <col min="5" max="5" width="11.1640625" customWidth="1"/>
    <col min="8" max="8" width="9.5" customWidth="1"/>
    <col min="9" max="9" width="10.1640625" customWidth="1"/>
  </cols>
  <sheetData>
    <row r="1" spans="1:9" ht="16" thickBot="1" x14ac:dyDescent="0.4">
      <c r="A1" s="406" t="s">
        <v>362</v>
      </c>
      <c r="B1" s="406"/>
      <c r="C1" s="406" t="s">
        <v>363</v>
      </c>
      <c r="D1" s="406" t="s">
        <v>364</v>
      </c>
      <c r="E1" s="407" t="s">
        <v>365</v>
      </c>
    </row>
    <row r="2" spans="1:9" x14ac:dyDescent="0.35">
      <c r="A2" s="406"/>
      <c r="B2" s="406"/>
      <c r="C2" s="406"/>
      <c r="D2" s="406"/>
      <c r="E2" s="408"/>
      <c r="H2" s="400" t="s">
        <v>37</v>
      </c>
      <c r="I2" s="401"/>
    </row>
    <row r="3" spans="1:9" x14ac:dyDescent="0.35">
      <c r="A3" s="43" t="s">
        <v>366</v>
      </c>
      <c r="B3" s="43" t="s">
        <v>367</v>
      </c>
      <c r="C3" s="44" t="s">
        <v>368</v>
      </c>
      <c r="D3" s="43" t="s">
        <v>37</v>
      </c>
      <c r="E3" s="43" t="s">
        <v>366</v>
      </c>
      <c r="H3" s="8">
        <v>0</v>
      </c>
      <c r="I3" s="9" t="s">
        <v>41</v>
      </c>
    </row>
    <row r="4" spans="1:9" x14ac:dyDescent="0.35">
      <c r="A4" s="45">
        <v>1</v>
      </c>
      <c r="B4" s="45">
        <f ca="1">RANDBETWEEN(50,100)</f>
        <v>83</v>
      </c>
      <c r="C4" s="46" t="str">
        <f ca="1">IF(B4&lt;60,"Fail","Pass")</f>
        <v>Pass</v>
      </c>
      <c r="D4" s="46" t="str" cm="1">
        <f t="array" aca="1" ref="D4" ca="1">_xlfn.IFS(B4&lt;60,"F",B4&lt;70,"D",B4&lt;80,"C",B4&lt;90,"B",B4&gt;=90,"A")</f>
        <v>B</v>
      </c>
      <c r="E4" s="46" t="str">
        <f>VLOOKUP(A4,$H$11:$I$13,2,)</f>
        <v>Female</v>
      </c>
      <c r="H4" s="8">
        <v>60</v>
      </c>
      <c r="I4" s="9" t="s">
        <v>45</v>
      </c>
    </row>
    <row r="5" spans="1:9" x14ac:dyDescent="0.35">
      <c r="A5" s="45">
        <v>2</v>
      </c>
      <c r="B5" s="45">
        <f t="shared" ref="B5:B7" ca="1" si="0">RANDBETWEEN(50,100)</f>
        <v>81</v>
      </c>
      <c r="C5" s="46" t="str">
        <f t="shared" ref="C5:C22" ca="1" si="1">IF(B5&lt;60,"Fail","Pass")</f>
        <v>Pass</v>
      </c>
      <c r="D5" s="46" t="str" cm="1">
        <f t="array" aca="1" ref="D5" ca="1">_xlfn.IFS(B5&lt;60,"F",B5&lt;70,"D",B5&lt;80,"C",B5&lt;90,"B",B5&gt;=90,"A")</f>
        <v>B</v>
      </c>
      <c r="E5" s="46" t="str">
        <f t="shared" ref="E5:E22" si="2">VLOOKUP(A5,$H$11:$I$13,2,)</f>
        <v>Male</v>
      </c>
      <c r="H5" s="8">
        <v>70</v>
      </c>
      <c r="I5" s="9" t="s">
        <v>49</v>
      </c>
    </row>
    <row r="6" spans="1:9" x14ac:dyDescent="0.35">
      <c r="A6" s="45">
        <v>2</v>
      </c>
      <c r="B6" s="45">
        <f t="shared" ca="1" si="0"/>
        <v>84</v>
      </c>
      <c r="C6" s="46" t="str">
        <f t="shared" ca="1" si="1"/>
        <v>Pass</v>
      </c>
      <c r="D6" s="46" t="str" cm="1">
        <f t="array" aca="1" ref="D6" ca="1">_xlfn.IFS(B6&lt;60,"F",B6&lt;70,"D",B6&lt;80,"C",B6&lt;90,"B",B6&gt;=90,"A")</f>
        <v>B</v>
      </c>
      <c r="E6" s="46" t="str">
        <f t="shared" si="2"/>
        <v>Male</v>
      </c>
      <c r="H6" s="8">
        <v>80</v>
      </c>
      <c r="I6" s="9" t="s">
        <v>53</v>
      </c>
    </row>
    <row r="7" spans="1:9" ht="16" thickBot="1" x14ac:dyDescent="0.4">
      <c r="A7" s="45">
        <v>1</v>
      </c>
      <c r="B7" s="45">
        <f t="shared" ca="1" si="0"/>
        <v>88</v>
      </c>
      <c r="C7" s="46" t="str">
        <f t="shared" ca="1" si="1"/>
        <v>Pass</v>
      </c>
      <c r="D7" s="46" t="str" cm="1">
        <f t="array" aca="1" ref="D7" ca="1">_xlfn.IFS(B7&lt;60,"F",B7&lt;70,"D",B7&lt;80,"C",B7&lt;90,"B",B7&gt;=90,"A")</f>
        <v>B</v>
      </c>
      <c r="E7" s="46" t="str">
        <f t="shared" si="2"/>
        <v>Female</v>
      </c>
      <c r="H7" s="10">
        <v>90</v>
      </c>
      <c r="I7" s="11" t="s">
        <v>57</v>
      </c>
    </row>
    <row r="8" spans="1:9" x14ac:dyDescent="0.35">
      <c r="A8" s="45">
        <v>2</v>
      </c>
      <c r="B8" s="45">
        <v>83</v>
      </c>
      <c r="C8" s="46" t="str">
        <f t="shared" si="1"/>
        <v>Pass</v>
      </c>
      <c r="D8" s="46" t="str" cm="1">
        <f t="array" ref="D8">_xlfn.IFS(B8&lt;60,"F",B8&lt;70,"D",B8&lt;80,"C",B8&lt;90,"B",B8&gt;=90,"A")</f>
        <v>B</v>
      </c>
      <c r="E8" s="46" t="str">
        <f t="shared" si="2"/>
        <v>Male</v>
      </c>
    </row>
    <row r="9" spans="1:9" x14ac:dyDescent="0.35">
      <c r="A9" s="45">
        <v>3</v>
      </c>
      <c r="B9" s="45">
        <f t="shared" ref="B9:B22" ca="1" si="3">RANDBETWEEN(50,100)</f>
        <v>84</v>
      </c>
      <c r="C9" s="46" t="str">
        <f t="shared" ca="1" si="1"/>
        <v>Pass</v>
      </c>
      <c r="D9" s="46" t="str" cm="1">
        <f t="array" aca="1" ref="D9" ca="1">_xlfn.IFS(B9&lt;60,"F",B9&lt;70,"D",B9&lt;80,"C",B9&lt;90,"B",B9&gt;=90,"A")</f>
        <v>B</v>
      </c>
      <c r="E9" s="46" t="str">
        <f t="shared" si="2"/>
        <v>Undeclared</v>
      </c>
    </row>
    <row r="10" spans="1:9" x14ac:dyDescent="0.35">
      <c r="A10" s="45">
        <v>1</v>
      </c>
      <c r="B10" s="45">
        <f t="shared" ca="1" si="3"/>
        <v>63</v>
      </c>
      <c r="C10" s="46" t="str">
        <f t="shared" ca="1" si="1"/>
        <v>Pass</v>
      </c>
      <c r="D10" s="46" t="str" cm="1">
        <f t="array" aca="1" ref="D10" ca="1">_xlfn.IFS(B10&lt;60,"F",B10&lt;70,"D",B10&lt;80,"C",B10&lt;90,"B",B10&gt;=90,"A")</f>
        <v>D</v>
      </c>
      <c r="E10" s="46" t="str">
        <f t="shared" si="2"/>
        <v>Female</v>
      </c>
      <c r="H10" s="405" t="s">
        <v>366</v>
      </c>
      <c r="I10" s="405"/>
    </row>
    <row r="11" spans="1:9" x14ac:dyDescent="0.35">
      <c r="A11" s="45">
        <v>1</v>
      </c>
      <c r="B11" s="45">
        <f t="shared" ca="1" si="3"/>
        <v>99</v>
      </c>
      <c r="C11" s="46" t="str">
        <f t="shared" ca="1" si="1"/>
        <v>Pass</v>
      </c>
      <c r="D11" s="46" t="str" cm="1">
        <f t="array" aca="1" ref="D11" ca="1">_xlfn.IFS(B11&lt;60,"F",B11&lt;70,"D",B11&lt;80,"C",B11&lt;90,"B",B11&gt;=90,"A")</f>
        <v>A</v>
      </c>
      <c r="E11" s="46" t="str">
        <f t="shared" si="2"/>
        <v>Female</v>
      </c>
      <c r="H11" s="47">
        <v>1</v>
      </c>
      <c r="I11" s="47" t="s">
        <v>369</v>
      </c>
    </row>
    <row r="12" spans="1:9" x14ac:dyDescent="0.35">
      <c r="A12" s="45">
        <v>2</v>
      </c>
      <c r="B12" s="45">
        <f t="shared" ca="1" si="3"/>
        <v>55</v>
      </c>
      <c r="C12" s="46" t="str">
        <f t="shared" ca="1" si="1"/>
        <v>Fail</v>
      </c>
      <c r="D12" s="46" t="str" cm="1">
        <f t="array" aca="1" ref="D12" ca="1">_xlfn.IFS(B12&lt;60,"F",B12&lt;70,"D",B12&lt;80,"C",B12&lt;90,"B",B12&gt;=90,"A")</f>
        <v>F</v>
      </c>
      <c r="E12" s="46" t="str">
        <f t="shared" si="2"/>
        <v>Male</v>
      </c>
      <c r="H12" s="47">
        <v>2</v>
      </c>
      <c r="I12" s="47" t="s">
        <v>370</v>
      </c>
    </row>
    <row r="13" spans="1:9" x14ac:dyDescent="0.35">
      <c r="A13" s="45">
        <v>1</v>
      </c>
      <c r="B13" s="45">
        <f t="shared" ca="1" si="3"/>
        <v>64</v>
      </c>
      <c r="C13" s="46" t="str">
        <f t="shared" ca="1" si="1"/>
        <v>Pass</v>
      </c>
      <c r="D13" s="46" t="str" cm="1">
        <f t="array" aca="1" ref="D13" ca="1">_xlfn.IFS(B13&lt;60,"F",B13&lt;70,"D",B13&lt;80,"C",B13&lt;90,"B",B13&gt;=90,"A")</f>
        <v>D</v>
      </c>
      <c r="E13" s="46" t="str">
        <f t="shared" si="2"/>
        <v>Female</v>
      </c>
      <c r="H13" s="47">
        <v>3</v>
      </c>
      <c r="I13" s="47" t="s">
        <v>371</v>
      </c>
    </row>
    <row r="14" spans="1:9" x14ac:dyDescent="0.35">
      <c r="A14" s="45">
        <v>2</v>
      </c>
      <c r="B14" s="45">
        <f t="shared" ca="1" si="3"/>
        <v>52</v>
      </c>
      <c r="C14" s="46" t="str">
        <f t="shared" ca="1" si="1"/>
        <v>Fail</v>
      </c>
      <c r="D14" s="46" t="str" cm="1">
        <f t="array" aca="1" ref="D14" ca="1">_xlfn.IFS(B14&lt;60,"F",B14&lt;70,"D",B14&lt;80,"C",B14&lt;90,"B",B14&gt;=90,"A")</f>
        <v>F</v>
      </c>
      <c r="E14" s="46" t="str">
        <f t="shared" si="2"/>
        <v>Male</v>
      </c>
    </row>
    <row r="15" spans="1:9" x14ac:dyDescent="0.35">
      <c r="A15" s="45">
        <v>2</v>
      </c>
      <c r="B15" s="45">
        <f t="shared" ca="1" si="3"/>
        <v>93</v>
      </c>
      <c r="C15" s="46" t="str">
        <f t="shared" ca="1" si="1"/>
        <v>Pass</v>
      </c>
      <c r="D15" s="46" t="str" cm="1">
        <f t="array" aca="1" ref="D15" ca="1">_xlfn.IFS(B15&lt;60,"F",B15&lt;70,"D",B15&lt;80,"C",B15&lt;90,"B",B15&gt;=90,"A")</f>
        <v>A</v>
      </c>
      <c r="E15" s="46" t="str">
        <f t="shared" si="2"/>
        <v>Male</v>
      </c>
      <c r="H15" s="48" t="s">
        <v>372</v>
      </c>
    </row>
    <row r="16" spans="1:9" x14ac:dyDescent="0.35">
      <c r="A16" s="45">
        <v>1</v>
      </c>
      <c r="B16" s="45">
        <f t="shared" ca="1" si="3"/>
        <v>91</v>
      </c>
      <c r="C16" s="46" t="str">
        <f t="shared" ca="1" si="1"/>
        <v>Pass</v>
      </c>
      <c r="D16" s="46" t="str" cm="1">
        <f t="array" aca="1" ref="D16" ca="1">_xlfn.IFS(B16&lt;60,"F",B16&lt;70,"D",B16&lt;80,"C",B16&lt;90,"B",B16&gt;=90,"A")</f>
        <v>A</v>
      </c>
      <c r="E16" s="46" t="str">
        <f t="shared" si="2"/>
        <v>Female</v>
      </c>
    </row>
    <row r="17" spans="1:5" x14ac:dyDescent="0.35">
      <c r="A17" s="45">
        <v>3</v>
      </c>
      <c r="B17" s="45">
        <f t="shared" ca="1" si="3"/>
        <v>66</v>
      </c>
      <c r="C17" s="46" t="str">
        <f t="shared" ca="1" si="1"/>
        <v>Pass</v>
      </c>
      <c r="D17" s="46" t="str" cm="1">
        <f t="array" aca="1" ref="D17" ca="1">_xlfn.IFS(B17&lt;60,"F",B17&lt;70,"D",B17&lt;80,"C",B17&lt;90,"B",B17&gt;=90,"A")</f>
        <v>D</v>
      </c>
      <c r="E17" s="46" t="str">
        <f t="shared" si="2"/>
        <v>Undeclared</v>
      </c>
    </row>
    <row r="18" spans="1:5" x14ac:dyDescent="0.35">
      <c r="A18" s="45">
        <v>1</v>
      </c>
      <c r="B18" s="45">
        <f t="shared" ca="1" si="3"/>
        <v>76</v>
      </c>
      <c r="C18" s="46" t="str">
        <f t="shared" ca="1" si="1"/>
        <v>Pass</v>
      </c>
      <c r="D18" s="46" t="str" cm="1">
        <f t="array" aca="1" ref="D18" ca="1">_xlfn.IFS(B18&lt;60,"F",B18&lt;70,"D",B18&lt;80,"C",B18&lt;90,"B",B18&gt;=90,"A")</f>
        <v>C</v>
      </c>
      <c r="E18" s="46" t="str">
        <f t="shared" si="2"/>
        <v>Female</v>
      </c>
    </row>
    <row r="19" spans="1:5" x14ac:dyDescent="0.35">
      <c r="A19" s="45">
        <v>3</v>
      </c>
      <c r="B19" s="45">
        <f t="shared" ca="1" si="3"/>
        <v>98</v>
      </c>
      <c r="C19" s="46" t="str">
        <f t="shared" ca="1" si="1"/>
        <v>Pass</v>
      </c>
      <c r="D19" s="46" t="str" cm="1">
        <f t="array" aca="1" ref="D19" ca="1">_xlfn.IFS(B19&lt;60,"F",B19&lt;70,"D",B19&lt;80,"C",B19&lt;90,"B",B19&gt;=90,"A")</f>
        <v>A</v>
      </c>
      <c r="E19" s="46" t="str">
        <f t="shared" si="2"/>
        <v>Undeclared</v>
      </c>
    </row>
    <row r="20" spans="1:5" x14ac:dyDescent="0.35">
      <c r="A20" s="45">
        <v>1</v>
      </c>
      <c r="B20" s="45">
        <f t="shared" ca="1" si="3"/>
        <v>89</v>
      </c>
      <c r="C20" s="46" t="str">
        <f t="shared" ca="1" si="1"/>
        <v>Pass</v>
      </c>
      <c r="D20" s="46" t="str" cm="1">
        <f t="array" aca="1" ref="D20" ca="1">_xlfn.IFS(B20&lt;60,"F",B20&lt;70,"D",B20&lt;80,"C",B20&lt;90,"B",B20&gt;=90,"A")</f>
        <v>B</v>
      </c>
      <c r="E20" s="46" t="str">
        <f t="shared" si="2"/>
        <v>Female</v>
      </c>
    </row>
    <row r="21" spans="1:5" x14ac:dyDescent="0.35">
      <c r="A21" s="45">
        <v>2</v>
      </c>
      <c r="B21" s="45">
        <f t="shared" ca="1" si="3"/>
        <v>81</v>
      </c>
      <c r="C21" s="46" t="str">
        <f t="shared" ca="1" si="1"/>
        <v>Pass</v>
      </c>
      <c r="D21" s="46" t="str" cm="1">
        <f t="array" aca="1" ref="D21" ca="1">_xlfn.IFS(B21&lt;60,"F",B21&lt;70,"D",B21&lt;80,"C",B21&lt;90,"B",B21&gt;=90,"A")</f>
        <v>B</v>
      </c>
      <c r="E21" s="46" t="str">
        <f t="shared" si="2"/>
        <v>Male</v>
      </c>
    </row>
    <row r="22" spans="1:5" x14ac:dyDescent="0.35">
      <c r="A22" s="45">
        <v>1</v>
      </c>
      <c r="B22" s="45">
        <f t="shared" ca="1" si="3"/>
        <v>93</v>
      </c>
      <c r="C22" s="46" t="str">
        <f t="shared" ca="1" si="1"/>
        <v>Pass</v>
      </c>
      <c r="D22" s="46" t="str" cm="1">
        <f t="array" aca="1" ref="D22" ca="1">_xlfn.IFS(B22&lt;60,"F",B22&lt;70,"D",B22&lt;80,"C",B22&lt;90,"B",B22&gt;=90,"A")</f>
        <v>A</v>
      </c>
      <c r="E22" s="46" t="str">
        <f t="shared" si="2"/>
        <v>Female</v>
      </c>
    </row>
  </sheetData>
  <mergeCells count="6">
    <mergeCell ref="H10:I10"/>
    <mergeCell ref="A1:B2"/>
    <mergeCell ref="C1:C2"/>
    <mergeCell ref="D1:D2"/>
    <mergeCell ref="E1:E2"/>
    <mergeCell ref="H2:I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6756D-F357-4F5B-9A25-0683CCD01645}">
  <sheetPr codeName="Sheet5"/>
  <dimension ref="A1:Q1015"/>
  <sheetViews>
    <sheetView topLeftCell="G1" workbookViewId="0">
      <selection activeCell="V15" sqref="V15"/>
    </sheetView>
  </sheetViews>
  <sheetFormatPr defaultColWidth="12" defaultRowHeight="18.5" x14ac:dyDescent="0.45"/>
  <cols>
    <col min="1" max="1" width="9.1640625" style="51" bestFit="1" customWidth="1"/>
    <col min="2" max="2" width="9.83203125" style="60" customWidth="1"/>
    <col min="3" max="3" width="8.1640625" style="60" customWidth="1"/>
    <col min="4" max="5" width="7.83203125" style="60" customWidth="1"/>
    <col min="6" max="6" width="7.6640625" style="51" customWidth="1"/>
    <col min="7" max="7" width="13.1640625" style="60" customWidth="1"/>
    <col min="8" max="8" width="12" style="60"/>
    <col min="9" max="9" width="3.83203125" style="51" customWidth="1"/>
    <col min="10" max="10" width="12" style="51"/>
    <col min="11" max="11" width="9.33203125" style="51" customWidth="1"/>
    <col min="12" max="12" width="9.6640625" style="51" customWidth="1"/>
    <col min="13" max="13" width="9" style="51" customWidth="1"/>
    <col min="14" max="14" width="11.1640625" style="51" customWidth="1"/>
    <col min="15" max="15" width="7.83203125" style="51" customWidth="1"/>
    <col min="16" max="16" width="8.58203125" style="51" customWidth="1"/>
    <col min="17" max="17" width="12.1640625" style="51" customWidth="1"/>
    <col min="18" max="18" width="7.83203125" style="51" customWidth="1"/>
    <col min="19" max="16384" width="12" style="51"/>
  </cols>
  <sheetData>
    <row r="1" spans="1:13" ht="17.399999999999999" customHeight="1" x14ac:dyDescent="0.45">
      <c r="A1" s="50" t="s">
        <v>8</v>
      </c>
      <c r="B1" s="50" t="s">
        <v>7</v>
      </c>
      <c r="C1" s="50" t="s">
        <v>3</v>
      </c>
      <c r="D1" s="50" t="s">
        <v>4</v>
      </c>
      <c r="E1" s="50" t="s">
        <v>5</v>
      </c>
      <c r="F1" s="50" t="s">
        <v>6</v>
      </c>
      <c r="G1" s="50" t="s">
        <v>373</v>
      </c>
      <c r="H1" s="50" t="s">
        <v>2</v>
      </c>
      <c r="J1" s="52" t="s">
        <v>374</v>
      </c>
      <c r="K1" s="53"/>
      <c r="M1" s="51" t="s">
        <v>375</v>
      </c>
    </row>
    <row r="2" spans="1:13" ht="17.399999999999999" customHeight="1" x14ac:dyDescent="0.45">
      <c r="A2" s="54" t="str">
        <f>_xlfn.XLOOKUP(B2,$K$11:$K$15,$J$11:$J$15,,-1)</f>
        <v>B</v>
      </c>
      <c r="B2" s="50">
        <f>AVERAGE(C2:F2)</f>
        <v>89.5</v>
      </c>
      <c r="C2" s="55">
        <v>98</v>
      </c>
      <c r="D2" s="55">
        <v>87</v>
      </c>
      <c r="E2" s="55">
        <v>83</v>
      </c>
      <c r="F2" s="55">
        <v>90</v>
      </c>
      <c r="G2" s="56" t="s">
        <v>99</v>
      </c>
      <c r="H2" s="55" t="s">
        <v>149</v>
      </c>
      <c r="M2" s="51" t="s">
        <v>376</v>
      </c>
    </row>
    <row r="3" spans="1:13" ht="17.399999999999999" customHeight="1" x14ac:dyDescent="0.45">
      <c r="A3" s="54" t="str">
        <f t="shared" ref="A3:A66" si="0">_xlfn.XLOOKUP(B3,$K$11:$K$15,$J$11:$J$15,,-1)</f>
        <v>C</v>
      </c>
      <c r="B3" s="50">
        <f t="shared" ref="B3:B66" si="1">AVERAGE(C3:F3)</f>
        <v>75.5</v>
      </c>
      <c r="C3" s="55">
        <v>70</v>
      </c>
      <c r="D3" s="55">
        <v>88</v>
      </c>
      <c r="E3" s="55">
        <v>94</v>
      </c>
      <c r="F3" s="55">
        <v>50</v>
      </c>
      <c r="G3" s="56" t="s">
        <v>151</v>
      </c>
      <c r="H3" s="55" t="s">
        <v>152</v>
      </c>
      <c r="J3" s="409" t="s">
        <v>377</v>
      </c>
      <c r="K3" s="410"/>
      <c r="M3" s="51" t="s">
        <v>378</v>
      </c>
    </row>
    <row r="4" spans="1:13" ht="17.399999999999999" customHeight="1" x14ac:dyDescent="0.45">
      <c r="A4" s="54" t="str">
        <f t="shared" si="0"/>
        <v>B</v>
      </c>
      <c r="B4" s="50">
        <f t="shared" si="1"/>
        <v>81.5</v>
      </c>
      <c r="C4" s="55">
        <v>70</v>
      </c>
      <c r="D4" s="55">
        <v>97</v>
      </c>
      <c r="E4" s="55">
        <v>91</v>
      </c>
      <c r="F4" s="55">
        <v>68</v>
      </c>
      <c r="G4" s="56" t="s">
        <v>154</v>
      </c>
      <c r="H4" s="55" t="s">
        <v>155</v>
      </c>
      <c r="I4" s="57"/>
      <c r="J4" s="55">
        <v>0</v>
      </c>
      <c r="K4" s="55" t="s">
        <v>41</v>
      </c>
    </row>
    <row r="5" spans="1:13" ht="17.399999999999999" customHeight="1" x14ac:dyDescent="0.45">
      <c r="A5" s="54" t="str">
        <f t="shared" si="0"/>
        <v>C</v>
      </c>
      <c r="B5" s="50">
        <f t="shared" si="1"/>
        <v>78.5</v>
      </c>
      <c r="C5" s="55">
        <v>73</v>
      </c>
      <c r="D5" s="55">
        <v>89</v>
      </c>
      <c r="E5" s="55">
        <v>84</v>
      </c>
      <c r="F5" s="55">
        <v>68</v>
      </c>
      <c r="G5" s="56" t="s">
        <v>157</v>
      </c>
      <c r="H5" s="55" t="s">
        <v>158</v>
      </c>
      <c r="I5" s="57"/>
      <c r="J5" s="55">
        <v>60</v>
      </c>
      <c r="K5" s="55" t="s">
        <v>45</v>
      </c>
    </row>
    <row r="6" spans="1:13" ht="17.399999999999999" customHeight="1" x14ac:dyDescent="0.45">
      <c r="A6" s="54" t="str">
        <f t="shared" si="0"/>
        <v>B</v>
      </c>
      <c r="B6" s="50">
        <f t="shared" si="1"/>
        <v>81.5</v>
      </c>
      <c r="C6" s="55">
        <v>64</v>
      </c>
      <c r="D6" s="55">
        <v>94</v>
      </c>
      <c r="E6" s="55">
        <v>95</v>
      </c>
      <c r="F6" s="55">
        <v>73</v>
      </c>
      <c r="G6" s="56" t="s">
        <v>160</v>
      </c>
      <c r="H6" s="55" t="s">
        <v>161</v>
      </c>
      <c r="J6" s="55">
        <v>70</v>
      </c>
      <c r="K6" s="55" t="s">
        <v>49</v>
      </c>
    </row>
    <row r="7" spans="1:13" ht="17.399999999999999" customHeight="1" x14ac:dyDescent="0.45">
      <c r="A7" s="54" t="str">
        <f t="shared" si="0"/>
        <v>A</v>
      </c>
      <c r="B7" s="50">
        <f t="shared" si="1"/>
        <v>91</v>
      </c>
      <c r="C7" s="55">
        <v>98</v>
      </c>
      <c r="D7" s="55">
        <v>87</v>
      </c>
      <c r="E7" s="55">
        <v>90</v>
      </c>
      <c r="F7" s="55">
        <v>89</v>
      </c>
      <c r="G7" s="56" t="s">
        <v>163</v>
      </c>
      <c r="H7" s="55" t="s">
        <v>164</v>
      </c>
      <c r="I7" s="57"/>
      <c r="J7" s="55">
        <v>80</v>
      </c>
      <c r="K7" s="55" t="s">
        <v>53</v>
      </c>
    </row>
    <row r="8" spans="1:13" ht="17.399999999999999" customHeight="1" x14ac:dyDescent="0.45">
      <c r="A8" s="54" t="str">
        <f t="shared" si="0"/>
        <v>A</v>
      </c>
      <c r="B8" s="50">
        <f t="shared" si="1"/>
        <v>90.75</v>
      </c>
      <c r="C8" s="55">
        <v>93</v>
      </c>
      <c r="D8" s="55">
        <v>90</v>
      </c>
      <c r="E8" s="55">
        <v>90</v>
      </c>
      <c r="F8" s="55">
        <v>90</v>
      </c>
      <c r="G8" s="56" t="s">
        <v>166</v>
      </c>
      <c r="H8" s="55" t="s">
        <v>167</v>
      </c>
      <c r="I8" s="58"/>
      <c r="J8" s="55">
        <v>90</v>
      </c>
      <c r="K8" s="55" t="s">
        <v>57</v>
      </c>
    </row>
    <row r="9" spans="1:13" ht="17.399999999999999" customHeight="1" x14ac:dyDescent="0.45">
      <c r="A9" s="54" t="str">
        <f t="shared" si="0"/>
        <v>D</v>
      </c>
      <c r="B9" s="50">
        <f t="shared" si="1"/>
        <v>60.25</v>
      </c>
      <c r="C9" s="55">
        <v>52</v>
      </c>
      <c r="D9" s="55">
        <v>74</v>
      </c>
      <c r="E9" s="55">
        <v>90</v>
      </c>
      <c r="F9" s="55">
        <v>25</v>
      </c>
      <c r="G9" s="56" t="s">
        <v>379</v>
      </c>
      <c r="H9" s="55" t="s">
        <v>170</v>
      </c>
    </row>
    <row r="10" spans="1:13" ht="17.399999999999999" customHeight="1" x14ac:dyDescent="0.45">
      <c r="A10" s="54" t="str">
        <f t="shared" si="0"/>
        <v>B</v>
      </c>
      <c r="B10" s="50">
        <f t="shared" si="1"/>
        <v>89.5</v>
      </c>
      <c r="C10" s="55">
        <v>89</v>
      </c>
      <c r="D10" s="55">
        <v>87</v>
      </c>
      <c r="E10" s="55">
        <v>92</v>
      </c>
      <c r="F10" s="55">
        <v>90</v>
      </c>
      <c r="G10" s="56" t="s">
        <v>380</v>
      </c>
      <c r="H10" s="55" t="s">
        <v>173</v>
      </c>
      <c r="J10" s="409" t="s">
        <v>381</v>
      </c>
      <c r="K10" s="410"/>
    </row>
    <row r="11" spans="1:13" ht="17.399999999999999" customHeight="1" x14ac:dyDescent="0.45">
      <c r="A11" s="54" t="str">
        <f t="shared" si="0"/>
        <v>D</v>
      </c>
      <c r="B11" s="50">
        <f t="shared" si="1"/>
        <v>63.25</v>
      </c>
      <c r="C11" s="55">
        <v>56</v>
      </c>
      <c r="D11" s="55">
        <v>60</v>
      </c>
      <c r="E11" s="55">
        <v>81</v>
      </c>
      <c r="F11" s="55">
        <v>56</v>
      </c>
      <c r="G11" s="56" t="s">
        <v>175</v>
      </c>
      <c r="H11" s="55" t="s">
        <v>176</v>
      </c>
      <c r="J11" s="55" t="s">
        <v>57</v>
      </c>
      <c r="K11" s="55">
        <v>90</v>
      </c>
    </row>
    <row r="12" spans="1:13" ht="17.399999999999999" customHeight="1" x14ac:dyDescent="0.45">
      <c r="A12" s="54" t="str">
        <f t="shared" si="0"/>
        <v>D</v>
      </c>
      <c r="B12" s="50">
        <f t="shared" si="1"/>
        <v>63.5</v>
      </c>
      <c r="C12" s="55">
        <v>59</v>
      </c>
      <c r="D12" s="55">
        <v>45</v>
      </c>
      <c r="E12" s="55">
        <v>89</v>
      </c>
      <c r="F12" s="55">
        <v>61</v>
      </c>
      <c r="G12" s="56" t="s">
        <v>178</v>
      </c>
      <c r="H12" s="55" t="s">
        <v>179</v>
      </c>
      <c r="J12" s="55" t="s">
        <v>53</v>
      </c>
      <c r="K12" s="55">
        <v>80</v>
      </c>
    </row>
    <row r="13" spans="1:13" ht="17.399999999999999" customHeight="1" x14ac:dyDescent="0.45">
      <c r="A13" s="54" t="str">
        <f t="shared" si="0"/>
        <v>C</v>
      </c>
      <c r="B13" s="50">
        <f t="shared" si="1"/>
        <v>76</v>
      </c>
      <c r="C13" s="55">
        <v>64</v>
      </c>
      <c r="D13" s="55">
        <v>83</v>
      </c>
      <c r="E13" s="55">
        <v>87</v>
      </c>
      <c r="F13" s="55">
        <v>70</v>
      </c>
      <c r="G13" s="56" t="s">
        <v>236</v>
      </c>
      <c r="H13" s="55" t="s">
        <v>237</v>
      </c>
      <c r="J13" s="55" t="s">
        <v>49</v>
      </c>
      <c r="K13" s="55">
        <v>70</v>
      </c>
    </row>
    <row r="14" spans="1:13" ht="17.399999999999999" customHeight="1" x14ac:dyDescent="0.45">
      <c r="A14" s="54" t="str">
        <f t="shared" si="0"/>
        <v>C</v>
      </c>
      <c r="B14" s="50">
        <f t="shared" si="1"/>
        <v>78.25</v>
      </c>
      <c r="C14" s="55">
        <v>68</v>
      </c>
      <c r="D14" s="55">
        <v>77</v>
      </c>
      <c r="E14" s="55">
        <v>98</v>
      </c>
      <c r="F14" s="55">
        <v>70</v>
      </c>
      <c r="G14" s="56" t="s">
        <v>239</v>
      </c>
      <c r="H14" s="55" t="s">
        <v>240</v>
      </c>
      <c r="J14" s="55" t="s">
        <v>45</v>
      </c>
      <c r="K14" s="55">
        <v>60</v>
      </c>
    </row>
    <row r="15" spans="1:13" ht="17.399999999999999" customHeight="1" x14ac:dyDescent="0.45">
      <c r="A15" s="54" t="str">
        <f t="shared" si="0"/>
        <v>C</v>
      </c>
      <c r="B15" s="50">
        <f t="shared" si="1"/>
        <v>79.25</v>
      </c>
      <c r="C15" s="55">
        <v>72</v>
      </c>
      <c r="D15" s="55">
        <v>84</v>
      </c>
      <c r="E15" s="55">
        <v>91</v>
      </c>
      <c r="F15" s="55">
        <v>70</v>
      </c>
      <c r="G15" s="56" t="s">
        <v>242</v>
      </c>
      <c r="H15" s="55" t="s">
        <v>243</v>
      </c>
      <c r="J15" s="55" t="s">
        <v>41</v>
      </c>
      <c r="K15" s="55">
        <v>0</v>
      </c>
    </row>
    <row r="16" spans="1:13" ht="17.399999999999999" customHeight="1" x14ac:dyDescent="0.45">
      <c r="A16" s="54" t="str">
        <f t="shared" si="0"/>
        <v>C</v>
      </c>
      <c r="B16" s="50">
        <f t="shared" si="1"/>
        <v>78.75</v>
      </c>
      <c r="C16" s="55">
        <v>73</v>
      </c>
      <c r="D16" s="55">
        <v>84</v>
      </c>
      <c r="E16" s="55">
        <v>86</v>
      </c>
      <c r="F16" s="55">
        <v>72</v>
      </c>
      <c r="G16" s="56" t="s">
        <v>245</v>
      </c>
      <c r="H16" s="55" t="s">
        <v>246</v>
      </c>
    </row>
    <row r="17" spans="1:17" ht="17.399999999999999" customHeight="1" x14ac:dyDescent="0.45">
      <c r="A17" s="54" t="str">
        <f t="shared" si="0"/>
        <v>C</v>
      </c>
      <c r="B17" s="50">
        <f t="shared" si="1"/>
        <v>75.5</v>
      </c>
      <c r="C17" s="55">
        <v>74</v>
      </c>
      <c r="D17" s="55">
        <v>74</v>
      </c>
      <c r="E17" s="55">
        <v>81</v>
      </c>
      <c r="F17" s="55">
        <v>73</v>
      </c>
      <c r="G17" s="56" t="s">
        <v>248</v>
      </c>
      <c r="H17" s="55" t="s">
        <v>249</v>
      </c>
      <c r="K17" s="50" t="s">
        <v>8</v>
      </c>
      <c r="L17" s="50" t="s">
        <v>7</v>
      </c>
      <c r="M17" s="50" t="s">
        <v>3</v>
      </c>
      <c r="N17" s="50" t="s">
        <v>4</v>
      </c>
      <c r="O17" s="50" t="s">
        <v>5</v>
      </c>
      <c r="P17" s="50" t="s">
        <v>6</v>
      </c>
      <c r="Q17" s="50" t="s">
        <v>373</v>
      </c>
    </row>
    <row r="18" spans="1:17" ht="17.399999999999999" customHeight="1" x14ac:dyDescent="0.45">
      <c r="A18" s="54" t="str">
        <f t="shared" si="0"/>
        <v>D</v>
      </c>
      <c r="B18" s="50">
        <f t="shared" si="1"/>
        <v>64</v>
      </c>
      <c r="C18" s="55">
        <v>64</v>
      </c>
      <c r="D18" s="55">
        <v>57</v>
      </c>
      <c r="E18" s="55">
        <v>88</v>
      </c>
      <c r="F18" s="55">
        <v>47</v>
      </c>
      <c r="G18" s="56" t="s">
        <v>102</v>
      </c>
      <c r="H18" s="55" t="s">
        <v>181</v>
      </c>
      <c r="J18" s="55" t="s">
        <v>205</v>
      </c>
      <c r="K18" s="54" t="str" cm="1">
        <f t="array" ref="K18:Q18">_xlfn.XLOOKUP(J18,$H$2:$H$96,$A$2:$G$96,,0)</f>
        <v>F</v>
      </c>
      <c r="L18" s="50">
        <v>49.5</v>
      </c>
      <c r="M18" s="55">
        <v>54</v>
      </c>
      <c r="N18" s="55">
        <v>29</v>
      </c>
      <c r="O18" s="55">
        <v>83</v>
      </c>
      <c r="P18" s="55">
        <v>32</v>
      </c>
      <c r="Q18" s="55" t="str">
        <v>Rajesh</v>
      </c>
    </row>
    <row r="19" spans="1:17" ht="17.399999999999999" customHeight="1" x14ac:dyDescent="0.45">
      <c r="A19" s="54" t="str">
        <f t="shared" si="0"/>
        <v>D</v>
      </c>
      <c r="B19" s="50">
        <f t="shared" si="1"/>
        <v>60.5</v>
      </c>
      <c r="C19" s="55">
        <v>60</v>
      </c>
      <c r="D19" s="55">
        <v>47</v>
      </c>
      <c r="E19" s="55">
        <v>90</v>
      </c>
      <c r="F19" s="55">
        <v>45</v>
      </c>
      <c r="G19" s="56" t="s">
        <v>380</v>
      </c>
      <c r="H19" s="55" t="s">
        <v>184</v>
      </c>
    </row>
    <row r="20" spans="1:17" ht="17.399999999999999" customHeight="1" x14ac:dyDescent="0.45">
      <c r="A20" s="54" t="str">
        <f t="shared" si="0"/>
        <v>D</v>
      </c>
      <c r="B20" s="50">
        <f t="shared" si="1"/>
        <v>65</v>
      </c>
      <c r="C20" s="55">
        <v>56</v>
      </c>
      <c r="D20" s="55">
        <v>53</v>
      </c>
      <c r="E20" s="55">
        <v>97</v>
      </c>
      <c r="F20" s="55">
        <v>54</v>
      </c>
      <c r="G20" s="56" t="s">
        <v>186</v>
      </c>
      <c r="H20" s="55" t="s">
        <v>187</v>
      </c>
    </row>
    <row r="21" spans="1:17" ht="17.399999999999999" customHeight="1" x14ac:dyDescent="0.45">
      <c r="A21" s="54" t="str">
        <f t="shared" si="0"/>
        <v>D</v>
      </c>
      <c r="B21" s="50">
        <f t="shared" si="1"/>
        <v>60.25</v>
      </c>
      <c r="C21" s="55">
        <v>56</v>
      </c>
      <c r="D21" s="55">
        <v>47</v>
      </c>
      <c r="E21" s="55">
        <v>93</v>
      </c>
      <c r="F21" s="55">
        <v>45</v>
      </c>
      <c r="G21" s="56" t="s">
        <v>189</v>
      </c>
      <c r="H21" s="55" t="s">
        <v>190</v>
      </c>
      <c r="L21" s="51">
        <f>HLOOKUP(N17,A1:G96,2)</f>
        <v>87</v>
      </c>
    </row>
    <row r="22" spans="1:17" ht="17.399999999999999" customHeight="1" x14ac:dyDescent="0.45">
      <c r="A22" s="54" t="str">
        <f t="shared" si="0"/>
        <v>F</v>
      </c>
      <c r="B22" s="50">
        <f t="shared" si="1"/>
        <v>56</v>
      </c>
      <c r="C22" s="55">
        <v>53</v>
      </c>
      <c r="D22" s="55">
        <v>48</v>
      </c>
      <c r="E22" s="55">
        <v>87</v>
      </c>
      <c r="F22" s="55">
        <v>36</v>
      </c>
      <c r="G22" s="56" t="s">
        <v>192</v>
      </c>
      <c r="H22" s="55" t="s">
        <v>193</v>
      </c>
    </row>
    <row r="23" spans="1:17" ht="17.399999999999999" customHeight="1" x14ac:dyDescent="0.45">
      <c r="A23" s="54" t="str">
        <f t="shared" si="0"/>
        <v>F</v>
      </c>
      <c r="B23" s="50">
        <f t="shared" si="1"/>
        <v>56.75</v>
      </c>
      <c r="C23" s="55">
        <v>39</v>
      </c>
      <c r="D23" s="55">
        <v>42</v>
      </c>
      <c r="E23" s="55">
        <v>93</v>
      </c>
      <c r="F23" s="55">
        <v>53</v>
      </c>
      <c r="G23" s="56" t="s">
        <v>195</v>
      </c>
      <c r="H23" s="55" t="s">
        <v>196</v>
      </c>
    </row>
    <row r="24" spans="1:17" ht="17.399999999999999" customHeight="1" x14ac:dyDescent="0.45">
      <c r="A24" s="54" t="str">
        <f t="shared" si="0"/>
        <v>F</v>
      </c>
      <c r="B24" s="50">
        <f t="shared" si="1"/>
        <v>48.5</v>
      </c>
      <c r="C24" s="55">
        <v>47</v>
      </c>
      <c r="D24" s="55">
        <v>27</v>
      </c>
      <c r="E24" s="55">
        <v>86</v>
      </c>
      <c r="F24" s="55">
        <v>34</v>
      </c>
      <c r="G24" s="56" t="s">
        <v>198</v>
      </c>
      <c r="H24" s="55" t="s">
        <v>199</v>
      </c>
    </row>
    <row r="25" spans="1:17" ht="17.399999999999999" customHeight="1" x14ac:dyDescent="0.45">
      <c r="A25" s="54" t="str">
        <f t="shared" si="0"/>
        <v>F</v>
      </c>
      <c r="B25" s="50">
        <f t="shared" si="1"/>
        <v>50</v>
      </c>
      <c r="C25" s="55">
        <v>31</v>
      </c>
      <c r="D25" s="55">
        <v>33</v>
      </c>
      <c r="E25" s="55">
        <v>90</v>
      </c>
      <c r="F25" s="55">
        <v>46</v>
      </c>
      <c r="G25" s="56" t="s">
        <v>201</v>
      </c>
      <c r="H25" s="55" t="s">
        <v>202</v>
      </c>
    </row>
    <row r="26" spans="1:17" ht="17.399999999999999" customHeight="1" x14ac:dyDescent="0.45">
      <c r="A26" s="54" t="str">
        <f t="shared" si="0"/>
        <v>F</v>
      </c>
      <c r="B26" s="50">
        <f t="shared" si="1"/>
        <v>49.5</v>
      </c>
      <c r="C26" s="55">
        <v>54</v>
      </c>
      <c r="D26" s="55">
        <v>29</v>
      </c>
      <c r="E26" s="55">
        <v>83</v>
      </c>
      <c r="F26" s="55">
        <v>32</v>
      </c>
      <c r="G26" s="56" t="s">
        <v>204</v>
      </c>
      <c r="H26" s="55" t="s">
        <v>205</v>
      </c>
    </row>
    <row r="27" spans="1:17" ht="17.399999999999999" customHeight="1" x14ac:dyDescent="0.45">
      <c r="A27" s="54" t="str">
        <f t="shared" si="0"/>
        <v>F</v>
      </c>
      <c r="B27" s="50">
        <f t="shared" si="1"/>
        <v>50.5</v>
      </c>
      <c r="C27" s="55">
        <v>40</v>
      </c>
      <c r="D27" s="55">
        <v>32</v>
      </c>
      <c r="E27" s="55">
        <v>93</v>
      </c>
      <c r="F27" s="55">
        <v>37</v>
      </c>
      <c r="G27" s="56" t="s">
        <v>207</v>
      </c>
      <c r="H27" s="55" t="s">
        <v>208</v>
      </c>
    </row>
    <row r="28" spans="1:17" ht="17.399999999999999" customHeight="1" x14ac:dyDescent="0.45">
      <c r="A28" s="54" t="str">
        <f t="shared" si="0"/>
        <v>F</v>
      </c>
      <c r="B28" s="50">
        <f t="shared" si="1"/>
        <v>41.75</v>
      </c>
      <c r="C28" s="55">
        <v>25</v>
      </c>
      <c r="D28" s="55">
        <v>29</v>
      </c>
      <c r="E28" s="55">
        <v>86</v>
      </c>
      <c r="F28" s="55">
        <v>27</v>
      </c>
      <c r="G28" s="56" t="s">
        <v>210</v>
      </c>
      <c r="H28" s="55" t="s">
        <v>211</v>
      </c>
    </row>
    <row r="29" spans="1:17" ht="17.399999999999999" customHeight="1" x14ac:dyDescent="0.45">
      <c r="A29" s="54" t="str">
        <f t="shared" si="0"/>
        <v>F</v>
      </c>
      <c r="B29" s="50">
        <f t="shared" si="1"/>
        <v>41</v>
      </c>
      <c r="C29" s="55">
        <v>46</v>
      </c>
      <c r="D29" s="55">
        <v>30</v>
      </c>
      <c r="E29" s="55">
        <v>88</v>
      </c>
      <c r="F29" s="55">
        <v>0</v>
      </c>
      <c r="G29" s="56" t="s">
        <v>213</v>
      </c>
      <c r="H29" s="55" t="s">
        <v>214</v>
      </c>
    </row>
    <row r="30" spans="1:17" ht="17.399999999999999" customHeight="1" x14ac:dyDescent="0.45">
      <c r="A30" s="54" t="str">
        <f t="shared" si="0"/>
        <v>C</v>
      </c>
      <c r="B30" s="50">
        <f t="shared" si="1"/>
        <v>79.75</v>
      </c>
      <c r="C30" s="55">
        <v>96</v>
      </c>
      <c r="D30" s="55">
        <v>95</v>
      </c>
      <c r="E30" s="55">
        <v>93</v>
      </c>
      <c r="F30" s="55">
        <v>35</v>
      </c>
      <c r="G30" s="56" t="s">
        <v>216</v>
      </c>
      <c r="H30" s="55" t="s">
        <v>217</v>
      </c>
    </row>
    <row r="31" spans="1:17" ht="17.399999999999999" customHeight="1" x14ac:dyDescent="0.45">
      <c r="A31" s="54" t="str">
        <f t="shared" si="0"/>
        <v>C</v>
      </c>
      <c r="B31" s="50">
        <f t="shared" si="1"/>
        <v>74</v>
      </c>
      <c r="C31" s="55">
        <v>87</v>
      </c>
      <c r="D31" s="55">
        <v>82</v>
      </c>
      <c r="E31" s="55">
        <v>81</v>
      </c>
      <c r="F31" s="55">
        <v>46</v>
      </c>
      <c r="G31" s="56" t="s">
        <v>219</v>
      </c>
      <c r="H31" s="55" t="s">
        <v>220</v>
      </c>
    </row>
    <row r="32" spans="1:17" ht="17.399999999999999" customHeight="1" x14ac:dyDescent="0.45">
      <c r="A32" s="54" t="str">
        <f t="shared" si="0"/>
        <v>B</v>
      </c>
      <c r="B32" s="50">
        <f t="shared" si="1"/>
        <v>82.75</v>
      </c>
      <c r="C32" s="55">
        <v>93</v>
      </c>
      <c r="D32" s="55">
        <v>93</v>
      </c>
      <c r="E32" s="55">
        <v>98</v>
      </c>
      <c r="F32" s="55">
        <v>47</v>
      </c>
      <c r="G32" s="56" t="s">
        <v>222</v>
      </c>
      <c r="H32" s="55" t="s">
        <v>223</v>
      </c>
    </row>
    <row r="33" spans="1:8" ht="17.399999999999999" customHeight="1" x14ac:dyDescent="0.45">
      <c r="A33" s="54" t="str">
        <f t="shared" si="0"/>
        <v>C</v>
      </c>
      <c r="B33" s="50">
        <f t="shared" si="1"/>
        <v>79.5</v>
      </c>
      <c r="C33" s="55">
        <v>93</v>
      </c>
      <c r="D33" s="55">
        <v>90</v>
      </c>
      <c r="E33" s="55">
        <v>81</v>
      </c>
      <c r="F33" s="55">
        <v>54</v>
      </c>
      <c r="G33" s="56" t="s">
        <v>225</v>
      </c>
      <c r="H33" s="55" t="s">
        <v>226</v>
      </c>
    </row>
    <row r="34" spans="1:8" ht="17.399999999999999" customHeight="1" x14ac:dyDescent="0.45">
      <c r="A34" s="54" t="str">
        <f t="shared" si="0"/>
        <v>B</v>
      </c>
      <c r="B34" s="50">
        <f t="shared" si="1"/>
        <v>80.25</v>
      </c>
      <c r="C34" s="55">
        <v>85</v>
      </c>
      <c r="D34" s="55">
        <v>83</v>
      </c>
      <c r="E34" s="55">
        <v>87</v>
      </c>
      <c r="F34" s="55">
        <v>66</v>
      </c>
      <c r="G34" s="56" t="s">
        <v>228</v>
      </c>
      <c r="H34" s="55" t="s">
        <v>229</v>
      </c>
    </row>
    <row r="35" spans="1:8" ht="17.399999999999999" customHeight="1" x14ac:dyDescent="0.45">
      <c r="A35" s="54" t="str">
        <f t="shared" si="0"/>
        <v>D</v>
      </c>
      <c r="B35" s="50">
        <f t="shared" si="1"/>
        <v>67.75</v>
      </c>
      <c r="C35" s="55">
        <v>26</v>
      </c>
      <c r="D35" s="55">
        <v>87</v>
      </c>
      <c r="E35" s="55">
        <v>89</v>
      </c>
      <c r="F35" s="55">
        <v>69</v>
      </c>
      <c r="G35" s="56" t="s">
        <v>231</v>
      </c>
      <c r="H35" s="55" t="s">
        <v>232</v>
      </c>
    </row>
    <row r="36" spans="1:8" ht="17.399999999999999" customHeight="1" x14ac:dyDescent="0.45">
      <c r="A36" s="54" t="str">
        <f t="shared" si="0"/>
        <v>A</v>
      </c>
      <c r="B36" s="50">
        <f t="shared" si="1"/>
        <v>91.5</v>
      </c>
      <c r="C36" s="55">
        <v>90</v>
      </c>
      <c r="D36" s="55">
        <v>91</v>
      </c>
      <c r="E36" s="55">
        <v>96</v>
      </c>
      <c r="F36" s="55">
        <v>89</v>
      </c>
      <c r="G36" s="56" t="s">
        <v>234</v>
      </c>
      <c r="H36" s="55" t="s">
        <v>235</v>
      </c>
    </row>
    <row r="37" spans="1:8" ht="17.399999999999999" customHeight="1" x14ac:dyDescent="0.45">
      <c r="A37" s="54" t="str">
        <f t="shared" si="0"/>
        <v>C</v>
      </c>
      <c r="B37" s="50">
        <f t="shared" si="1"/>
        <v>77.5</v>
      </c>
      <c r="C37" s="55">
        <v>75</v>
      </c>
      <c r="D37" s="55">
        <v>81</v>
      </c>
      <c r="E37" s="55">
        <v>81</v>
      </c>
      <c r="F37" s="55">
        <v>73</v>
      </c>
      <c r="G37" s="56" t="s">
        <v>251</v>
      </c>
      <c r="H37" s="55" t="s">
        <v>252</v>
      </c>
    </row>
    <row r="38" spans="1:8" ht="17.399999999999999" customHeight="1" x14ac:dyDescent="0.45">
      <c r="A38" s="54" t="str">
        <f t="shared" si="0"/>
        <v>C</v>
      </c>
      <c r="B38" s="50">
        <f t="shared" si="1"/>
        <v>78.25</v>
      </c>
      <c r="C38" s="55">
        <v>76</v>
      </c>
      <c r="D38" s="55">
        <v>81</v>
      </c>
      <c r="E38" s="55">
        <v>83</v>
      </c>
      <c r="F38" s="55">
        <v>73</v>
      </c>
      <c r="G38" s="56" t="s">
        <v>254</v>
      </c>
      <c r="H38" s="55" t="s">
        <v>255</v>
      </c>
    </row>
    <row r="39" spans="1:8" ht="17.399999999999999" customHeight="1" x14ac:dyDescent="0.45">
      <c r="A39" s="54" t="str">
        <f t="shared" si="0"/>
        <v>C</v>
      </c>
      <c r="B39" s="50">
        <f t="shared" si="1"/>
        <v>78</v>
      </c>
      <c r="C39" s="55">
        <v>78</v>
      </c>
      <c r="D39" s="55">
        <v>64</v>
      </c>
      <c r="E39" s="55">
        <v>96</v>
      </c>
      <c r="F39" s="55">
        <v>74</v>
      </c>
      <c r="G39" s="56" t="s">
        <v>257</v>
      </c>
      <c r="H39" s="55" t="s">
        <v>258</v>
      </c>
    </row>
    <row r="40" spans="1:8" ht="17.399999999999999" customHeight="1" x14ac:dyDescent="0.45">
      <c r="A40" s="54" t="str">
        <f t="shared" si="0"/>
        <v>C</v>
      </c>
      <c r="B40" s="50">
        <f t="shared" si="1"/>
        <v>77.5</v>
      </c>
      <c r="C40" s="55">
        <v>79</v>
      </c>
      <c r="D40" s="55">
        <v>68</v>
      </c>
      <c r="E40" s="55">
        <v>87</v>
      </c>
      <c r="F40" s="55">
        <v>76</v>
      </c>
      <c r="G40" s="56" t="s">
        <v>260</v>
      </c>
      <c r="H40" s="55" t="s">
        <v>261</v>
      </c>
    </row>
    <row r="41" spans="1:8" ht="17.399999999999999" customHeight="1" x14ac:dyDescent="0.45">
      <c r="A41" s="54" t="str">
        <f t="shared" si="0"/>
        <v>B</v>
      </c>
      <c r="B41" s="50">
        <f t="shared" si="1"/>
        <v>81.5</v>
      </c>
      <c r="C41" s="55">
        <v>81</v>
      </c>
      <c r="D41" s="55">
        <v>78</v>
      </c>
      <c r="E41" s="55">
        <v>90</v>
      </c>
      <c r="F41" s="55">
        <v>77</v>
      </c>
      <c r="G41" s="56" t="s">
        <v>263</v>
      </c>
      <c r="H41" s="55" t="s">
        <v>264</v>
      </c>
    </row>
    <row r="42" spans="1:8" ht="17.399999999999999" customHeight="1" x14ac:dyDescent="0.45">
      <c r="A42" s="54" t="str">
        <f t="shared" si="0"/>
        <v>A</v>
      </c>
      <c r="B42" s="50">
        <f t="shared" si="1"/>
        <v>92.75</v>
      </c>
      <c r="C42" s="55">
        <v>91</v>
      </c>
      <c r="D42" s="55">
        <v>93</v>
      </c>
      <c r="E42" s="55">
        <v>93</v>
      </c>
      <c r="F42" s="55">
        <v>94</v>
      </c>
      <c r="G42" s="56" t="s">
        <v>29</v>
      </c>
      <c r="H42" s="55" t="s">
        <v>30</v>
      </c>
    </row>
    <row r="43" spans="1:8" ht="17.399999999999999" customHeight="1" x14ac:dyDescent="0.45">
      <c r="A43" s="54" t="str">
        <f t="shared" si="0"/>
        <v>B</v>
      </c>
      <c r="B43" s="50">
        <f t="shared" si="1"/>
        <v>85.25</v>
      </c>
      <c r="C43" s="55">
        <v>94</v>
      </c>
      <c r="D43" s="55">
        <v>89</v>
      </c>
      <c r="E43" s="55">
        <v>86</v>
      </c>
      <c r="F43" s="55">
        <v>72</v>
      </c>
      <c r="G43" s="56" t="s">
        <v>32</v>
      </c>
      <c r="H43" s="55" t="s">
        <v>33</v>
      </c>
    </row>
    <row r="44" spans="1:8" ht="17.399999999999999" customHeight="1" x14ac:dyDescent="0.45">
      <c r="A44" s="54" t="str">
        <f t="shared" si="0"/>
        <v>B</v>
      </c>
      <c r="B44" s="50">
        <f t="shared" si="1"/>
        <v>84.25</v>
      </c>
      <c r="C44" s="55">
        <v>92</v>
      </c>
      <c r="D44" s="55">
        <v>90</v>
      </c>
      <c r="E44" s="55">
        <v>87</v>
      </c>
      <c r="F44" s="55">
        <v>68</v>
      </c>
      <c r="G44" s="56" t="s">
        <v>35</v>
      </c>
      <c r="H44" s="55" t="s">
        <v>36</v>
      </c>
    </row>
    <row r="45" spans="1:8" ht="17.399999999999999" customHeight="1" x14ac:dyDescent="0.45">
      <c r="A45" s="54" t="str">
        <f t="shared" si="0"/>
        <v>B</v>
      </c>
      <c r="B45" s="50">
        <f t="shared" si="1"/>
        <v>86.75</v>
      </c>
      <c r="C45" s="55">
        <v>80</v>
      </c>
      <c r="D45" s="55">
        <v>90</v>
      </c>
      <c r="E45" s="55">
        <v>86</v>
      </c>
      <c r="F45" s="55">
        <v>91</v>
      </c>
      <c r="G45" s="56" t="s">
        <v>39</v>
      </c>
      <c r="H45" s="55" t="s">
        <v>40</v>
      </c>
    </row>
    <row r="46" spans="1:8" ht="17.399999999999999" customHeight="1" x14ac:dyDescent="0.45">
      <c r="A46" s="54" t="str">
        <f t="shared" si="0"/>
        <v>B</v>
      </c>
      <c r="B46" s="50">
        <f t="shared" si="1"/>
        <v>88.25</v>
      </c>
      <c r="C46" s="55">
        <v>96</v>
      </c>
      <c r="D46" s="55">
        <v>82</v>
      </c>
      <c r="E46" s="55">
        <v>97</v>
      </c>
      <c r="F46" s="55">
        <v>78</v>
      </c>
      <c r="G46" s="56" t="s">
        <v>43</v>
      </c>
      <c r="H46" s="55" t="s">
        <v>44</v>
      </c>
    </row>
    <row r="47" spans="1:8" ht="17.399999999999999" customHeight="1" x14ac:dyDescent="0.45">
      <c r="A47" s="54" t="str">
        <f t="shared" si="0"/>
        <v>B</v>
      </c>
      <c r="B47" s="50">
        <f t="shared" si="1"/>
        <v>83.25</v>
      </c>
      <c r="C47" s="55">
        <v>91</v>
      </c>
      <c r="D47" s="55">
        <v>84</v>
      </c>
      <c r="E47" s="55">
        <v>81</v>
      </c>
      <c r="F47" s="55">
        <v>77</v>
      </c>
      <c r="G47" s="56" t="s">
        <v>47</v>
      </c>
      <c r="H47" s="55" t="s">
        <v>48</v>
      </c>
    </row>
    <row r="48" spans="1:8" ht="17.399999999999999" customHeight="1" x14ac:dyDescent="0.45">
      <c r="A48" s="54" t="str">
        <f t="shared" si="0"/>
        <v>B</v>
      </c>
      <c r="B48" s="50">
        <f t="shared" si="1"/>
        <v>84</v>
      </c>
      <c r="C48" s="55">
        <v>91</v>
      </c>
      <c r="D48" s="55">
        <v>77</v>
      </c>
      <c r="E48" s="55">
        <v>83</v>
      </c>
      <c r="F48" s="55">
        <v>85</v>
      </c>
      <c r="G48" s="56" t="s">
        <v>51</v>
      </c>
      <c r="H48" s="55" t="s">
        <v>52</v>
      </c>
    </row>
    <row r="49" spans="1:8" ht="17.399999999999999" customHeight="1" x14ac:dyDescent="0.45">
      <c r="A49" s="54" t="str">
        <f t="shared" si="0"/>
        <v>B</v>
      </c>
      <c r="B49" s="50">
        <f t="shared" si="1"/>
        <v>85.75</v>
      </c>
      <c r="C49" s="55">
        <v>86</v>
      </c>
      <c r="D49" s="55">
        <v>79</v>
      </c>
      <c r="E49" s="55">
        <v>90</v>
      </c>
      <c r="F49" s="55">
        <v>88</v>
      </c>
      <c r="G49" s="56" t="s">
        <v>55</v>
      </c>
      <c r="H49" s="55" t="s">
        <v>56</v>
      </c>
    </row>
    <row r="50" spans="1:8" ht="17.399999999999999" customHeight="1" x14ac:dyDescent="0.45">
      <c r="A50" s="54" t="str">
        <f t="shared" si="0"/>
        <v>B</v>
      </c>
      <c r="B50" s="50">
        <f t="shared" si="1"/>
        <v>86.75</v>
      </c>
      <c r="C50" s="55">
        <v>85</v>
      </c>
      <c r="D50" s="55">
        <v>93</v>
      </c>
      <c r="E50" s="55">
        <v>87</v>
      </c>
      <c r="F50" s="55">
        <v>82</v>
      </c>
      <c r="G50" s="56" t="s">
        <v>59</v>
      </c>
      <c r="H50" s="55" t="s">
        <v>60</v>
      </c>
    </row>
    <row r="51" spans="1:8" ht="17.399999999999999" customHeight="1" x14ac:dyDescent="0.45">
      <c r="A51" s="54" t="str">
        <f t="shared" si="0"/>
        <v>B</v>
      </c>
      <c r="B51" s="50">
        <f t="shared" si="1"/>
        <v>81.25</v>
      </c>
      <c r="C51" s="55">
        <v>89</v>
      </c>
      <c r="D51" s="55">
        <v>68</v>
      </c>
      <c r="E51" s="55">
        <v>80</v>
      </c>
      <c r="F51" s="55">
        <v>88</v>
      </c>
      <c r="G51" s="56" t="s">
        <v>62</v>
      </c>
      <c r="H51" s="55" t="s">
        <v>63</v>
      </c>
    </row>
    <row r="52" spans="1:8" ht="17.399999999999999" customHeight="1" x14ac:dyDescent="0.45">
      <c r="A52" s="54" t="str">
        <f t="shared" si="0"/>
        <v>B</v>
      </c>
      <c r="B52" s="50">
        <f t="shared" si="1"/>
        <v>80.5</v>
      </c>
      <c r="C52" s="55">
        <v>95</v>
      </c>
      <c r="D52" s="55">
        <v>73</v>
      </c>
      <c r="E52" s="55">
        <v>88</v>
      </c>
      <c r="F52" s="55">
        <v>66</v>
      </c>
      <c r="G52" s="56" t="s">
        <v>66</v>
      </c>
      <c r="H52" s="55" t="s">
        <v>67</v>
      </c>
    </row>
    <row r="53" spans="1:8" ht="17.399999999999999" customHeight="1" x14ac:dyDescent="0.45">
      <c r="A53" s="54" t="str">
        <f t="shared" si="0"/>
        <v>B</v>
      </c>
      <c r="B53" s="50">
        <f t="shared" si="1"/>
        <v>81.75</v>
      </c>
      <c r="C53" s="55">
        <v>89</v>
      </c>
      <c r="D53" s="55">
        <v>78</v>
      </c>
      <c r="E53" s="55">
        <v>89</v>
      </c>
      <c r="F53" s="55">
        <v>71</v>
      </c>
      <c r="G53" s="56" t="s">
        <v>70</v>
      </c>
      <c r="H53" s="55" t="s">
        <v>71</v>
      </c>
    </row>
    <row r="54" spans="1:8" ht="17.399999999999999" customHeight="1" x14ac:dyDescent="0.45">
      <c r="A54" s="54" t="str">
        <f t="shared" si="0"/>
        <v>B</v>
      </c>
      <c r="B54" s="50">
        <f t="shared" si="1"/>
        <v>80.5</v>
      </c>
      <c r="C54" s="55">
        <v>83</v>
      </c>
      <c r="D54" s="55">
        <v>78</v>
      </c>
      <c r="E54" s="55">
        <v>80</v>
      </c>
      <c r="F54" s="55">
        <v>81</v>
      </c>
      <c r="G54" s="56" t="s">
        <v>73</v>
      </c>
      <c r="H54" s="55" t="s">
        <v>74</v>
      </c>
    </row>
    <row r="55" spans="1:8" ht="17.399999999999999" customHeight="1" x14ac:dyDescent="0.45">
      <c r="A55" s="54" t="str">
        <f t="shared" si="0"/>
        <v>C</v>
      </c>
      <c r="B55" s="50">
        <f t="shared" si="1"/>
        <v>71.75</v>
      </c>
      <c r="C55" s="55">
        <v>76</v>
      </c>
      <c r="D55" s="55">
        <v>70</v>
      </c>
      <c r="E55" s="55">
        <v>86</v>
      </c>
      <c r="F55" s="55">
        <v>55</v>
      </c>
      <c r="G55" s="56" t="s">
        <v>76</v>
      </c>
      <c r="H55" s="55" t="s">
        <v>141</v>
      </c>
    </row>
    <row r="56" spans="1:8" ht="17.399999999999999" customHeight="1" x14ac:dyDescent="0.45">
      <c r="A56" s="54" t="str">
        <f t="shared" si="0"/>
        <v>C</v>
      </c>
      <c r="B56" s="50">
        <f t="shared" si="1"/>
        <v>75.5</v>
      </c>
      <c r="C56" s="55">
        <v>71</v>
      </c>
      <c r="D56" s="55">
        <v>75</v>
      </c>
      <c r="E56" s="55">
        <v>83</v>
      </c>
      <c r="F56" s="55">
        <v>73</v>
      </c>
      <c r="G56" s="56" t="s">
        <v>143</v>
      </c>
      <c r="H56" s="55" t="s">
        <v>144</v>
      </c>
    </row>
    <row r="57" spans="1:8" ht="17.399999999999999" customHeight="1" x14ac:dyDescent="0.45">
      <c r="A57" s="54" t="str">
        <f t="shared" si="0"/>
        <v>C</v>
      </c>
      <c r="B57" s="50">
        <f t="shared" si="1"/>
        <v>74.25</v>
      </c>
      <c r="C57" s="55">
        <v>69</v>
      </c>
      <c r="D57" s="55">
        <v>79</v>
      </c>
      <c r="E57" s="55">
        <v>87</v>
      </c>
      <c r="F57" s="55">
        <v>62</v>
      </c>
      <c r="G57" s="56" t="s">
        <v>146</v>
      </c>
      <c r="H57" s="55" t="s">
        <v>147</v>
      </c>
    </row>
    <row r="58" spans="1:8" ht="17.399999999999999" customHeight="1" x14ac:dyDescent="0.45">
      <c r="A58" s="54" t="str">
        <f t="shared" si="0"/>
        <v>B</v>
      </c>
      <c r="B58" s="50">
        <f t="shared" si="1"/>
        <v>80.25</v>
      </c>
      <c r="C58" s="55">
        <v>83</v>
      </c>
      <c r="D58" s="55">
        <v>70</v>
      </c>
      <c r="E58" s="55">
        <v>91</v>
      </c>
      <c r="F58" s="55">
        <v>77</v>
      </c>
      <c r="G58" s="56" t="s">
        <v>266</v>
      </c>
      <c r="H58" s="55" t="s">
        <v>267</v>
      </c>
    </row>
    <row r="59" spans="1:8" ht="17.399999999999999" customHeight="1" x14ac:dyDescent="0.45">
      <c r="A59" s="54" t="str">
        <f t="shared" si="0"/>
        <v>C</v>
      </c>
      <c r="B59" s="50">
        <f t="shared" si="1"/>
        <v>76.25</v>
      </c>
      <c r="C59" s="55">
        <v>83</v>
      </c>
      <c r="D59" s="55">
        <v>60</v>
      </c>
      <c r="E59" s="55">
        <v>84</v>
      </c>
      <c r="F59" s="55">
        <v>78</v>
      </c>
      <c r="G59" s="56" t="s">
        <v>269</v>
      </c>
      <c r="H59" s="55" t="s">
        <v>270</v>
      </c>
    </row>
    <row r="60" spans="1:8" ht="17.399999999999999" customHeight="1" x14ac:dyDescent="0.45">
      <c r="A60" s="54" t="str">
        <f t="shared" si="0"/>
        <v>B</v>
      </c>
      <c r="B60" s="50">
        <f t="shared" si="1"/>
        <v>82</v>
      </c>
      <c r="C60" s="55">
        <v>83</v>
      </c>
      <c r="D60" s="55">
        <v>85</v>
      </c>
      <c r="E60" s="55">
        <v>80</v>
      </c>
      <c r="F60" s="55">
        <v>80</v>
      </c>
      <c r="G60" s="56" t="s">
        <v>272</v>
      </c>
      <c r="H60" s="55" t="s">
        <v>273</v>
      </c>
    </row>
    <row r="61" spans="1:8" ht="17.399999999999999" customHeight="1" x14ac:dyDescent="0.45">
      <c r="A61" s="54" t="str">
        <f t="shared" si="0"/>
        <v>B</v>
      </c>
      <c r="B61" s="50">
        <f t="shared" si="1"/>
        <v>85.25</v>
      </c>
      <c r="C61" s="55">
        <v>84</v>
      </c>
      <c r="D61" s="55">
        <v>81</v>
      </c>
      <c r="E61" s="55">
        <v>95</v>
      </c>
      <c r="F61" s="55">
        <v>81</v>
      </c>
      <c r="G61" s="56" t="s">
        <v>275</v>
      </c>
      <c r="H61" s="55" t="s">
        <v>276</v>
      </c>
    </row>
    <row r="62" spans="1:8" ht="17.399999999999999" customHeight="1" x14ac:dyDescent="0.45">
      <c r="A62" s="54" t="str">
        <f t="shared" si="0"/>
        <v>B</v>
      </c>
      <c r="B62" s="50">
        <f t="shared" si="1"/>
        <v>85</v>
      </c>
      <c r="C62" s="55">
        <v>84</v>
      </c>
      <c r="D62" s="55">
        <v>82</v>
      </c>
      <c r="E62" s="55">
        <v>92</v>
      </c>
      <c r="F62" s="55">
        <v>82</v>
      </c>
      <c r="G62" s="56" t="s">
        <v>278</v>
      </c>
      <c r="H62" s="55" t="s">
        <v>279</v>
      </c>
    </row>
    <row r="63" spans="1:8" ht="17.399999999999999" customHeight="1" x14ac:dyDescent="0.45">
      <c r="A63" s="54" t="str">
        <f t="shared" si="0"/>
        <v>B</v>
      </c>
      <c r="B63" s="50">
        <f t="shared" si="1"/>
        <v>82.25</v>
      </c>
      <c r="C63" s="55">
        <v>85</v>
      </c>
      <c r="D63" s="55">
        <v>79</v>
      </c>
      <c r="E63" s="55">
        <v>83</v>
      </c>
      <c r="F63" s="55">
        <v>82</v>
      </c>
      <c r="G63" s="56" t="s">
        <v>281</v>
      </c>
      <c r="H63" s="55" t="s">
        <v>282</v>
      </c>
    </row>
    <row r="64" spans="1:8" ht="17.399999999999999" customHeight="1" x14ac:dyDescent="0.45">
      <c r="A64" s="54" t="str">
        <f t="shared" si="0"/>
        <v>B</v>
      </c>
      <c r="B64" s="50">
        <f t="shared" si="1"/>
        <v>83.5</v>
      </c>
      <c r="C64" s="55">
        <v>85</v>
      </c>
      <c r="D64" s="55">
        <v>69</v>
      </c>
      <c r="E64" s="55">
        <v>97</v>
      </c>
      <c r="F64" s="55">
        <v>83</v>
      </c>
      <c r="G64" s="56" t="s">
        <v>284</v>
      </c>
      <c r="H64" s="55" t="s">
        <v>285</v>
      </c>
    </row>
    <row r="65" spans="1:8" ht="17.399999999999999" customHeight="1" x14ac:dyDescent="0.45">
      <c r="A65" s="54" t="str">
        <f t="shared" si="0"/>
        <v>B</v>
      </c>
      <c r="B65" s="50">
        <f t="shared" si="1"/>
        <v>88.75</v>
      </c>
      <c r="C65" s="55">
        <v>88</v>
      </c>
      <c r="D65" s="55">
        <v>96</v>
      </c>
      <c r="E65" s="55">
        <v>92</v>
      </c>
      <c r="F65" s="55">
        <v>79</v>
      </c>
      <c r="G65" s="56" t="s">
        <v>14</v>
      </c>
      <c r="H65" s="55" t="s">
        <v>15</v>
      </c>
    </row>
    <row r="66" spans="1:8" ht="17.399999999999999" customHeight="1" x14ac:dyDescent="0.45">
      <c r="A66" s="54" t="str">
        <f t="shared" si="0"/>
        <v>A</v>
      </c>
      <c r="B66" s="50">
        <f t="shared" si="1"/>
        <v>91</v>
      </c>
      <c r="C66" s="55">
        <v>92</v>
      </c>
      <c r="D66" s="55">
        <v>87</v>
      </c>
      <c r="E66" s="55">
        <v>95</v>
      </c>
      <c r="F66" s="55">
        <v>90</v>
      </c>
      <c r="G66" s="56" t="s">
        <v>18</v>
      </c>
      <c r="H66" s="55" t="s">
        <v>19</v>
      </c>
    </row>
    <row r="67" spans="1:8" ht="17.399999999999999" customHeight="1" x14ac:dyDescent="0.45">
      <c r="A67" s="54" t="str">
        <f t="shared" ref="A67:A96" si="2">_xlfn.XLOOKUP(B67,$K$11:$K$15,$J$11:$J$15,,-1)</f>
        <v>A</v>
      </c>
      <c r="B67" s="50">
        <f t="shared" ref="B67:B96" si="3">AVERAGE(C67:F67)</f>
        <v>92</v>
      </c>
      <c r="C67" s="55">
        <v>92</v>
      </c>
      <c r="D67" s="55">
        <v>90</v>
      </c>
      <c r="E67" s="55">
        <v>95</v>
      </c>
      <c r="F67" s="55">
        <v>91</v>
      </c>
      <c r="G67" s="56" t="s">
        <v>22</v>
      </c>
      <c r="H67" s="55" t="s">
        <v>23</v>
      </c>
    </row>
    <row r="68" spans="1:8" ht="17.399999999999999" customHeight="1" x14ac:dyDescent="0.45">
      <c r="A68" s="54" t="str">
        <f t="shared" si="2"/>
        <v>A</v>
      </c>
      <c r="B68" s="50">
        <f t="shared" si="3"/>
        <v>91.5</v>
      </c>
      <c r="C68" s="55">
        <v>92</v>
      </c>
      <c r="D68" s="55">
        <v>88</v>
      </c>
      <c r="E68" s="55">
        <v>96</v>
      </c>
      <c r="F68" s="55">
        <v>90</v>
      </c>
      <c r="G68" s="56" t="s">
        <v>26</v>
      </c>
      <c r="H68" s="55" t="s">
        <v>27</v>
      </c>
    </row>
    <row r="69" spans="1:8" ht="17.399999999999999" customHeight="1" x14ac:dyDescent="0.45">
      <c r="A69" s="54" t="str">
        <f t="shared" si="2"/>
        <v>B</v>
      </c>
      <c r="B69" s="50">
        <f t="shared" si="3"/>
        <v>80.5</v>
      </c>
      <c r="C69" s="55">
        <v>87</v>
      </c>
      <c r="D69" s="55">
        <v>79</v>
      </c>
      <c r="E69" s="55">
        <v>83</v>
      </c>
      <c r="F69" s="55">
        <v>73</v>
      </c>
      <c r="G69" s="56" t="s">
        <v>76</v>
      </c>
      <c r="H69" s="55" t="s">
        <v>77</v>
      </c>
    </row>
    <row r="70" spans="1:8" ht="17.399999999999999" customHeight="1" x14ac:dyDescent="0.45">
      <c r="A70" s="54" t="str">
        <f t="shared" si="2"/>
        <v>B</v>
      </c>
      <c r="B70" s="50">
        <f t="shared" si="3"/>
        <v>82.75</v>
      </c>
      <c r="C70" s="55">
        <v>89</v>
      </c>
      <c r="D70" s="55">
        <v>79</v>
      </c>
      <c r="E70" s="55">
        <v>80</v>
      </c>
      <c r="F70" s="55">
        <v>83</v>
      </c>
      <c r="G70" s="56" t="s">
        <v>79</v>
      </c>
      <c r="H70" s="55" t="s">
        <v>80</v>
      </c>
    </row>
    <row r="71" spans="1:8" ht="17.399999999999999" customHeight="1" x14ac:dyDescent="0.45">
      <c r="A71" s="54" t="str">
        <f t="shared" si="2"/>
        <v>C</v>
      </c>
      <c r="B71" s="50">
        <f t="shared" si="3"/>
        <v>79</v>
      </c>
      <c r="C71" s="55">
        <v>85</v>
      </c>
      <c r="D71" s="55">
        <v>79</v>
      </c>
      <c r="E71" s="55">
        <v>82</v>
      </c>
      <c r="F71" s="55">
        <v>70</v>
      </c>
      <c r="G71" s="56" t="s">
        <v>83</v>
      </c>
      <c r="H71" s="55" t="s">
        <v>84</v>
      </c>
    </row>
    <row r="72" spans="1:8" ht="17.399999999999999" customHeight="1" x14ac:dyDescent="0.45">
      <c r="A72" s="54" t="str">
        <f t="shared" si="2"/>
        <v>B</v>
      </c>
      <c r="B72" s="50">
        <f t="shared" si="3"/>
        <v>86</v>
      </c>
      <c r="C72" s="55">
        <v>88</v>
      </c>
      <c r="D72" s="55">
        <v>80</v>
      </c>
      <c r="E72" s="55">
        <v>91</v>
      </c>
      <c r="F72" s="55">
        <v>85</v>
      </c>
      <c r="G72" s="56" t="s">
        <v>86</v>
      </c>
      <c r="H72" s="55" t="s">
        <v>87</v>
      </c>
    </row>
    <row r="73" spans="1:8" ht="17.399999999999999" customHeight="1" x14ac:dyDescent="0.45">
      <c r="A73" s="54" t="str">
        <f t="shared" si="2"/>
        <v>B</v>
      </c>
      <c r="B73" s="50">
        <f t="shared" si="3"/>
        <v>81</v>
      </c>
      <c r="C73" s="55">
        <v>89</v>
      </c>
      <c r="D73" s="55">
        <v>80</v>
      </c>
      <c r="E73" s="55">
        <v>93</v>
      </c>
      <c r="F73" s="55">
        <v>62</v>
      </c>
      <c r="G73" s="56" t="s">
        <v>89</v>
      </c>
      <c r="H73" s="55" t="s">
        <v>90</v>
      </c>
    </row>
    <row r="74" spans="1:8" ht="17.399999999999999" customHeight="1" x14ac:dyDescent="0.45">
      <c r="A74" s="54" t="str">
        <f t="shared" si="2"/>
        <v>B</v>
      </c>
      <c r="B74" s="50">
        <f t="shared" si="3"/>
        <v>84</v>
      </c>
      <c r="C74" s="55">
        <v>84</v>
      </c>
      <c r="D74" s="55">
        <v>81</v>
      </c>
      <c r="E74" s="55">
        <v>88</v>
      </c>
      <c r="F74" s="55">
        <v>83</v>
      </c>
      <c r="G74" s="56" t="s">
        <v>92</v>
      </c>
      <c r="H74" s="55" t="s">
        <v>93</v>
      </c>
    </row>
    <row r="75" spans="1:8" ht="17.399999999999999" customHeight="1" x14ac:dyDescent="0.45">
      <c r="A75" s="54" t="str">
        <f t="shared" si="2"/>
        <v>C</v>
      </c>
      <c r="B75" s="50">
        <f t="shared" si="3"/>
        <v>79.5</v>
      </c>
      <c r="C75" s="55">
        <v>81</v>
      </c>
      <c r="D75" s="55">
        <v>83</v>
      </c>
      <c r="E75" s="55">
        <v>81</v>
      </c>
      <c r="F75" s="55">
        <v>73</v>
      </c>
      <c r="G75" s="56" t="s">
        <v>96</v>
      </c>
      <c r="H75" s="55" t="s">
        <v>97</v>
      </c>
    </row>
    <row r="76" spans="1:8" ht="17.399999999999999" customHeight="1" x14ac:dyDescent="0.45">
      <c r="A76" s="54" t="str">
        <f t="shared" si="2"/>
        <v>B</v>
      </c>
      <c r="B76" s="50">
        <f t="shared" si="3"/>
        <v>81</v>
      </c>
      <c r="C76" s="55">
        <v>86</v>
      </c>
      <c r="D76" s="55">
        <v>84</v>
      </c>
      <c r="E76" s="55">
        <v>85</v>
      </c>
      <c r="F76" s="55">
        <v>69</v>
      </c>
      <c r="G76" s="56" t="s">
        <v>99</v>
      </c>
      <c r="H76" s="55" t="s">
        <v>100</v>
      </c>
    </row>
    <row r="77" spans="1:8" ht="17.399999999999999" customHeight="1" x14ac:dyDescent="0.45">
      <c r="A77" s="54" t="str">
        <f t="shared" si="2"/>
        <v>B</v>
      </c>
      <c r="B77" s="50">
        <f t="shared" si="3"/>
        <v>81</v>
      </c>
      <c r="C77" s="55">
        <v>87</v>
      </c>
      <c r="D77" s="55">
        <v>85</v>
      </c>
      <c r="E77" s="55">
        <v>80</v>
      </c>
      <c r="F77" s="55">
        <v>72</v>
      </c>
      <c r="G77" s="56" t="s">
        <v>102</v>
      </c>
      <c r="H77" s="55" t="s">
        <v>103</v>
      </c>
    </row>
    <row r="78" spans="1:8" ht="17.399999999999999" customHeight="1" x14ac:dyDescent="0.45">
      <c r="A78" s="54" t="str">
        <f t="shared" si="2"/>
        <v>B</v>
      </c>
      <c r="B78" s="50">
        <f t="shared" si="3"/>
        <v>83.75</v>
      </c>
      <c r="C78" s="55">
        <v>88</v>
      </c>
      <c r="D78" s="55">
        <v>85</v>
      </c>
      <c r="E78" s="55">
        <v>87</v>
      </c>
      <c r="F78" s="55">
        <v>75</v>
      </c>
      <c r="G78" s="56" t="s">
        <v>105</v>
      </c>
      <c r="H78" s="55" t="s">
        <v>106</v>
      </c>
    </row>
    <row r="79" spans="1:8" ht="17.399999999999999" customHeight="1" x14ac:dyDescent="0.45">
      <c r="A79" s="54" t="str">
        <f t="shared" si="2"/>
        <v>B</v>
      </c>
      <c r="B79" s="50">
        <f t="shared" si="3"/>
        <v>82</v>
      </c>
      <c r="C79" s="55">
        <v>90</v>
      </c>
      <c r="D79" s="55">
        <v>86</v>
      </c>
      <c r="E79" s="55">
        <v>86</v>
      </c>
      <c r="F79" s="55">
        <v>66</v>
      </c>
      <c r="G79" s="56" t="s">
        <v>108</v>
      </c>
      <c r="H79" s="55" t="s">
        <v>109</v>
      </c>
    </row>
    <row r="80" spans="1:8" ht="17.399999999999999" customHeight="1" x14ac:dyDescent="0.45">
      <c r="A80" s="54" t="str">
        <f t="shared" si="2"/>
        <v>C</v>
      </c>
      <c r="B80" s="50">
        <f t="shared" si="3"/>
        <v>77.25</v>
      </c>
      <c r="C80" s="55">
        <v>86</v>
      </c>
      <c r="D80" s="55">
        <v>86</v>
      </c>
      <c r="E80" s="55">
        <v>83</v>
      </c>
      <c r="F80" s="55">
        <v>54</v>
      </c>
      <c r="G80" s="56" t="s">
        <v>111</v>
      </c>
      <c r="H80" s="55" t="s">
        <v>112</v>
      </c>
    </row>
    <row r="81" spans="1:8" ht="17.399999999999999" customHeight="1" x14ac:dyDescent="0.45">
      <c r="A81" s="54" t="str">
        <f t="shared" si="2"/>
        <v>C</v>
      </c>
      <c r="B81" s="50">
        <f t="shared" si="3"/>
        <v>74.5</v>
      </c>
      <c r="C81" s="55">
        <v>76</v>
      </c>
      <c r="D81" s="55">
        <v>86</v>
      </c>
      <c r="E81" s="55">
        <v>80</v>
      </c>
      <c r="F81" s="55">
        <v>56</v>
      </c>
      <c r="G81" s="56" t="s">
        <v>114</v>
      </c>
      <c r="H81" s="55" t="s">
        <v>115</v>
      </c>
    </row>
    <row r="82" spans="1:8" ht="17.399999999999999" customHeight="1" x14ac:dyDescent="0.45">
      <c r="A82" s="54" t="str">
        <f t="shared" si="2"/>
        <v>B</v>
      </c>
      <c r="B82" s="50">
        <f t="shared" si="3"/>
        <v>80</v>
      </c>
      <c r="C82" s="55">
        <v>94</v>
      </c>
      <c r="D82" s="55">
        <v>49</v>
      </c>
      <c r="E82" s="55">
        <v>83</v>
      </c>
      <c r="F82" s="55">
        <v>94</v>
      </c>
      <c r="G82" s="56" t="s">
        <v>117</v>
      </c>
      <c r="H82" s="55" t="s">
        <v>118</v>
      </c>
    </row>
    <row r="83" spans="1:8" ht="17.399999999999999" customHeight="1" x14ac:dyDescent="0.45">
      <c r="A83" s="54" t="str">
        <f t="shared" si="2"/>
        <v>B</v>
      </c>
      <c r="B83" s="50">
        <f t="shared" si="3"/>
        <v>81.25</v>
      </c>
      <c r="C83" s="55">
        <v>82</v>
      </c>
      <c r="D83" s="55">
        <v>87</v>
      </c>
      <c r="E83" s="55">
        <v>85</v>
      </c>
      <c r="F83" s="55">
        <v>71</v>
      </c>
      <c r="G83" s="56" t="s">
        <v>120</v>
      </c>
      <c r="H83" s="55" t="s">
        <v>121</v>
      </c>
    </row>
    <row r="84" spans="1:8" ht="17.399999999999999" customHeight="1" x14ac:dyDescent="0.45">
      <c r="A84" s="54" t="str">
        <f t="shared" si="2"/>
        <v>C</v>
      </c>
      <c r="B84" s="50">
        <f t="shared" si="3"/>
        <v>79.75</v>
      </c>
      <c r="C84" s="55">
        <v>81</v>
      </c>
      <c r="D84" s="55">
        <v>87</v>
      </c>
      <c r="E84" s="55">
        <v>88</v>
      </c>
      <c r="F84" s="55">
        <v>63</v>
      </c>
      <c r="G84" s="56" t="s">
        <v>123</v>
      </c>
      <c r="H84" s="55" t="s">
        <v>124</v>
      </c>
    </row>
    <row r="85" spans="1:8" ht="17.399999999999999" customHeight="1" x14ac:dyDescent="0.45">
      <c r="A85" s="54" t="str">
        <f t="shared" si="2"/>
        <v>B</v>
      </c>
      <c r="B85" s="50">
        <f t="shared" si="3"/>
        <v>83.25</v>
      </c>
      <c r="C85" s="55">
        <v>79</v>
      </c>
      <c r="D85" s="55">
        <v>92</v>
      </c>
      <c r="E85" s="55">
        <v>90</v>
      </c>
      <c r="F85" s="55">
        <v>72</v>
      </c>
      <c r="G85" s="56" t="s">
        <v>126</v>
      </c>
      <c r="H85" s="55" t="s">
        <v>127</v>
      </c>
    </row>
    <row r="86" spans="1:8" ht="17.399999999999999" customHeight="1" x14ac:dyDescent="0.45">
      <c r="A86" s="54" t="str">
        <f t="shared" si="2"/>
        <v>C</v>
      </c>
      <c r="B86" s="50">
        <f t="shared" si="3"/>
        <v>77.5</v>
      </c>
      <c r="C86" s="55">
        <v>76</v>
      </c>
      <c r="D86" s="55">
        <v>75</v>
      </c>
      <c r="E86" s="55">
        <v>95</v>
      </c>
      <c r="F86" s="55">
        <v>64</v>
      </c>
      <c r="G86" s="56" t="s">
        <v>129</v>
      </c>
      <c r="H86" s="55" t="s">
        <v>130</v>
      </c>
    </row>
    <row r="87" spans="1:8" ht="17.399999999999999" customHeight="1" x14ac:dyDescent="0.45">
      <c r="A87" s="54" t="str">
        <f t="shared" si="2"/>
        <v>C</v>
      </c>
      <c r="B87" s="50">
        <f t="shared" si="3"/>
        <v>73.75</v>
      </c>
      <c r="C87" s="55">
        <v>74</v>
      </c>
      <c r="D87" s="55">
        <v>65</v>
      </c>
      <c r="E87" s="55">
        <v>81</v>
      </c>
      <c r="F87" s="55">
        <v>75</v>
      </c>
      <c r="G87" s="56" t="s">
        <v>132</v>
      </c>
      <c r="H87" s="55" t="s">
        <v>133</v>
      </c>
    </row>
    <row r="88" spans="1:8" ht="17.399999999999999" customHeight="1" x14ac:dyDescent="0.45">
      <c r="A88" s="54" t="str">
        <f t="shared" si="2"/>
        <v>C</v>
      </c>
      <c r="B88" s="50">
        <f t="shared" si="3"/>
        <v>71.5</v>
      </c>
      <c r="C88" s="55">
        <v>60</v>
      </c>
      <c r="D88" s="55">
        <v>80</v>
      </c>
      <c r="E88" s="55">
        <v>80</v>
      </c>
      <c r="F88" s="55">
        <v>66</v>
      </c>
      <c r="G88" s="56" t="s">
        <v>135</v>
      </c>
      <c r="H88" s="55" t="s">
        <v>136</v>
      </c>
    </row>
    <row r="89" spans="1:8" ht="17.399999999999999" customHeight="1" x14ac:dyDescent="0.45">
      <c r="A89" s="54" t="str">
        <f t="shared" si="2"/>
        <v>C</v>
      </c>
      <c r="B89" s="50">
        <f t="shared" si="3"/>
        <v>71.25</v>
      </c>
      <c r="C89" s="55">
        <v>76</v>
      </c>
      <c r="D89" s="55">
        <v>73</v>
      </c>
      <c r="E89" s="55">
        <v>88</v>
      </c>
      <c r="F89" s="55">
        <v>48</v>
      </c>
      <c r="G89" s="56" t="s">
        <v>138</v>
      </c>
      <c r="H89" s="55" t="s">
        <v>139</v>
      </c>
    </row>
    <row r="90" spans="1:8" ht="17.399999999999999" customHeight="1" x14ac:dyDescent="0.45">
      <c r="A90" s="54" t="str">
        <f t="shared" si="2"/>
        <v>B</v>
      </c>
      <c r="B90" s="50">
        <f t="shared" si="3"/>
        <v>86.25</v>
      </c>
      <c r="C90" s="55">
        <v>88</v>
      </c>
      <c r="D90" s="55">
        <v>74</v>
      </c>
      <c r="E90" s="55">
        <v>97</v>
      </c>
      <c r="F90" s="55">
        <v>86</v>
      </c>
      <c r="G90" s="56" t="s">
        <v>287</v>
      </c>
      <c r="H90" s="55" t="s">
        <v>288</v>
      </c>
    </row>
    <row r="91" spans="1:8" ht="17.399999999999999" customHeight="1" x14ac:dyDescent="0.45">
      <c r="A91" s="54" t="str">
        <f t="shared" si="2"/>
        <v>B</v>
      </c>
      <c r="B91" s="50">
        <f t="shared" si="3"/>
        <v>82.75</v>
      </c>
      <c r="C91" s="55">
        <v>89</v>
      </c>
      <c r="D91" s="55">
        <v>73</v>
      </c>
      <c r="E91" s="55">
        <v>83</v>
      </c>
      <c r="F91" s="55">
        <v>86</v>
      </c>
      <c r="G91" s="56" t="s">
        <v>289</v>
      </c>
      <c r="H91" s="55" t="s">
        <v>290</v>
      </c>
    </row>
    <row r="92" spans="1:8" ht="17.399999999999999" customHeight="1" x14ac:dyDescent="0.45">
      <c r="A92" s="54" t="str">
        <f t="shared" si="2"/>
        <v>B</v>
      </c>
      <c r="B92" s="50">
        <f t="shared" si="3"/>
        <v>81.5</v>
      </c>
      <c r="C92" s="55">
        <v>89</v>
      </c>
      <c r="D92" s="55">
        <v>60</v>
      </c>
      <c r="E92" s="55">
        <v>87</v>
      </c>
      <c r="F92" s="55">
        <v>90</v>
      </c>
      <c r="G92" s="56" t="s">
        <v>292</v>
      </c>
      <c r="H92" s="55" t="s">
        <v>293</v>
      </c>
    </row>
    <row r="93" spans="1:8" ht="17.399999999999999" customHeight="1" x14ac:dyDescent="0.45">
      <c r="A93" s="54" t="str">
        <f t="shared" si="2"/>
        <v>B</v>
      </c>
      <c r="B93" s="50">
        <f t="shared" si="3"/>
        <v>83.25</v>
      </c>
      <c r="C93" s="55">
        <v>90</v>
      </c>
      <c r="D93" s="55">
        <v>73</v>
      </c>
      <c r="E93" s="55">
        <v>80</v>
      </c>
      <c r="F93" s="55">
        <v>90</v>
      </c>
      <c r="G93" s="56" t="s">
        <v>295</v>
      </c>
      <c r="H93" s="55" t="s">
        <v>296</v>
      </c>
    </row>
    <row r="94" spans="1:8" ht="17.399999999999999" customHeight="1" x14ac:dyDescent="0.45">
      <c r="A94" s="54" t="str">
        <f t="shared" si="2"/>
        <v>C</v>
      </c>
      <c r="B94" s="50">
        <f t="shared" si="3"/>
        <v>79.25</v>
      </c>
      <c r="C94" s="55">
        <v>90</v>
      </c>
      <c r="D94" s="55">
        <v>49</v>
      </c>
      <c r="E94" s="55">
        <v>84</v>
      </c>
      <c r="F94" s="55">
        <v>94</v>
      </c>
      <c r="G94" s="56" t="s">
        <v>298</v>
      </c>
      <c r="H94" s="55" t="s">
        <v>299</v>
      </c>
    </row>
    <row r="95" spans="1:8" ht="17.399999999999999" customHeight="1" x14ac:dyDescent="0.45">
      <c r="A95" s="54" t="str">
        <f t="shared" si="2"/>
        <v>C</v>
      </c>
      <c r="B95" s="50">
        <f t="shared" si="3"/>
        <v>74.25</v>
      </c>
      <c r="C95" s="55">
        <v>90</v>
      </c>
      <c r="D95" s="55">
        <v>23</v>
      </c>
      <c r="E95" s="55">
        <v>86</v>
      </c>
      <c r="F95" s="55">
        <v>98</v>
      </c>
      <c r="G95" s="56" t="s">
        <v>301</v>
      </c>
      <c r="H95" s="55" t="s">
        <v>302</v>
      </c>
    </row>
    <row r="96" spans="1:8" ht="17.399999999999999" customHeight="1" x14ac:dyDescent="0.45">
      <c r="A96" s="54" t="str">
        <f t="shared" si="2"/>
        <v>A</v>
      </c>
      <c r="B96" s="50">
        <f t="shared" si="3"/>
        <v>91</v>
      </c>
      <c r="C96" s="55">
        <v>97</v>
      </c>
      <c r="D96" s="55">
        <v>90</v>
      </c>
      <c r="E96" s="55">
        <v>84</v>
      </c>
      <c r="F96" s="55">
        <v>93</v>
      </c>
      <c r="G96" s="56" t="s">
        <v>11</v>
      </c>
      <c r="H96" s="55" t="s">
        <v>12</v>
      </c>
    </row>
    <row r="97" spans="2:2" ht="17.399999999999999" customHeight="1" x14ac:dyDescent="0.45">
      <c r="B97" s="59"/>
    </row>
    <row r="98" spans="2:2" ht="17.399999999999999" customHeight="1" x14ac:dyDescent="0.45">
      <c r="B98" s="59"/>
    </row>
    <row r="99" spans="2:2" ht="17.399999999999999" customHeight="1" x14ac:dyDescent="0.45">
      <c r="B99" s="59"/>
    </row>
    <row r="100" spans="2:2" ht="17.399999999999999" customHeight="1" x14ac:dyDescent="0.45">
      <c r="B100" s="59"/>
    </row>
    <row r="101" spans="2:2" ht="17.399999999999999" customHeight="1" x14ac:dyDescent="0.45">
      <c r="B101" s="59"/>
    </row>
    <row r="102" spans="2:2" ht="17.399999999999999" customHeight="1" x14ac:dyDescent="0.45">
      <c r="B102" s="59"/>
    </row>
    <row r="103" spans="2:2" ht="17.399999999999999" customHeight="1" x14ac:dyDescent="0.45">
      <c r="B103" s="59"/>
    </row>
    <row r="104" spans="2:2" ht="17.399999999999999" customHeight="1" x14ac:dyDescent="0.45">
      <c r="B104" s="59"/>
    </row>
    <row r="105" spans="2:2" ht="17.399999999999999" customHeight="1" x14ac:dyDescent="0.45">
      <c r="B105" s="59"/>
    </row>
    <row r="106" spans="2:2" ht="17.399999999999999" customHeight="1" x14ac:dyDescent="0.45">
      <c r="B106" s="59"/>
    </row>
    <row r="107" spans="2:2" ht="17.399999999999999" customHeight="1" x14ac:dyDescent="0.45">
      <c r="B107" s="59"/>
    </row>
    <row r="108" spans="2:2" ht="17.399999999999999" customHeight="1" x14ac:dyDescent="0.45">
      <c r="B108" s="59"/>
    </row>
    <row r="109" spans="2:2" ht="17.399999999999999" customHeight="1" x14ac:dyDescent="0.45">
      <c r="B109" s="59"/>
    </row>
    <row r="110" spans="2:2" ht="17.399999999999999" customHeight="1" x14ac:dyDescent="0.45">
      <c r="B110" s="59"/>
    </row>
    <row r="111" spans="2:2" ht="17.399999999999999" customHeight="1" x14ac:dyDescent="0.45">
      <c r="B111" s="59"/>
    </row>
    <row r="112" spans="2:2" ht="17.399999999999999" customHeight="1" x14ac:dyDescent="0.45">
      <c r="B112" s="59"/>
    </row>
    <row r="113" spans="2:2" ht="17.399999999999999" customHeight="1" x14ac:dyDescent="0.45">
      <c r="B113" s="59"/>
    </row>
    <row r="114" spans="2:2" ht="17.399999999999999" customHeight="1" x14ac:dyDescent="0.45">
      <c r="B114" s="59"/>
    </row>
    <row r="115" spans="2:2" ht="17.399999999999999" customHeight="1" x14ac:dyDescent="0.45">
      <c r="B115" s="59"/>
    </row>
    <row r="116" spans="2:2" ht="17.399999999999999" customHeight="1" x14ac:dyDescent="0.45">
      <c r="B116" s="59"/>
    </row>
    <row r="117" spans="2:2" ht="17.399999999999999" customHeight="1" x14ac:dyDescent="0.45">
      <c r="B117" s="59"/>
    </row>
    <row r="118" spans="2:2" ht="17.399999999999999" customHeight="1" x14ac:dyDescent="0.45">
      <c r="B118" s="59"/>
    </row>
    <row r="119" spans="2:2" ht="17.399999999999999" customHeight="1" x14ac:dyDescent="0.45">
      <c r="B119" s="59"/>
    </row>
    <row r="120" spans="2:2" ht="17.399999999999999" customHeight="1" x14ac:dyDescent="0.45">
      <c r="B120" s="59"/>
    </row>
    <row r="121" spans="2:2" ht="17.399999999999999" customHeight="1" x14ac:dyDescent="0.45">
      <c r="B121" s="59"/>
    </row>
    <row r="122" spans="2:2" ht="17.399999999999999" customHeight="1" x14ac:dyDescent="0.45">
      <c r="B122" s="59"/>
    </row>
    <row r="123" spans="2:2" ht="17.399999999999999" customHeight="1" x14ac:dyDescent="0.45">
      <c r="B123" s="59"/>
    </row>
    <row r="124" spans="2:2" ht="17.399999999999999" customHeight="1" x14ac:dyDescent="0.45">
      <c r="B124" s="59"/>
    </row>
    <row r="125" spans="2:2" ht="17.399999999999999" customHeight="1" x14ac:dyDescent="0.45">
      <c r="B125" s="59"/>
    </row>
    <row r="126" spans="2:2" ht="17.399999999999999" customHeight="1" x14ac:dyDescent="0.45">
      <c r="B126" s="59"/>
    </row>
    <row r="127" spans="2:2" ht="17.399999999999999" customHeight="1" x14ac:dyDescent="0.45">
      <c r="B127" s="59"/>
    </row>
    <row r="128" spans="2:2" ht="17.399999999999999" customHeight="1" x14ac:dyDescent="0.45">
      <c r="B128" s="59"/>
    </row>
    <row r="129" spans="2:2" ht="17.399999999999999" customHeight="1" x14ac:dyDescent="0.45">
      <c r="B129" s="59"/>
    </row>
    <row r="130" spans="2:2" ht="17.399999999999999" customHeight="1" x14ac:dyDescent="0.45">
      <c r="B130" s="59"/>
    </row>
    <row r="131" spans="2:2" ht="17.399999999999999" customHeight="1" x14ac:dyDescent="0.45">
      <c r="B131" s="59"/>
    </row>
    <row r="132" spans="2:2" ht="17.399999999999999" customHeight="1" x14ac:dyDescent="0.45">
      <c r="B132" s="59"/>
    </row>
    <row r="133" spans="2:2" ht="17.399999999999999" customHeight="1" x14ac:dyDescent="0.45">
      <c r="B133" s="59"/>
    </row>
    <row r="134" spans="2:2" ht="17.399999999999999" customHeight="1" x14ac:dyDescent="0.45">
      <c r="B134" s="59"/>
    </row>
    <row r="135" spans="2:2" ht="17.399999999999999" customHeight="1" x14ac:dyDescent="0.45">
      <c r="B135" s="59"/>
    </row>
    <row r="136" spans="2:2" ht="17.399999999999999" customHeight="1" x14ac:dyDescent="0.45">
      <c r="B136" s="59"/>
    </row>
    <row r="137" spans="2:2" ht="17.399999999999999" customHeight="1" x14ac:dyDescent="0.45">
      <c r="B137" s="59"/>
    </row>
    <row r="138" spans="2:2" ht="17.399999999999999" customHeight="1" x14ac:dyDescent="0.45">
      <c r="B138" s="59"/>
    </row>
    <row r="139" spans="2:2" ht="17.399999999999999" customHeight="1" x14ac:dyDescent="0.45">
      <c r="B139" s="59"/>
    </row>
    <row r="140" spans="2:2" ht="17.399999999999999" customHeight="1" x14ac:dyDescent="0.45">
      <c r="B140" s="59"/>
    </row>
    <row r="141" spans="2:2" ht="17.399999999999999" customHeight="1" x14ac:dyDescent="0.45">
      <c r="B141" s="59"/>
    </row>
    <row r="142" spans="2:2" ht="17.399999999999999" customHeight="1" x14ac:dyDescent="0.45">
      <c r="B142" s="59"/>
    </row>
    <row r="143" spans="2:2" ht="17.399999999999999" customHeight="1" x14ac:dyDescent="0.45">
      <c r="B143" s="59"/>
    </row>
    <row r="144" spans="2:2" ht="17.399999999999999" customHeight="1" x14ac:dyDescent="0.45">
      <c r="B144" s="59"/>
    </row>
    <row r="145" spans="2:2" ht="17.399999999999999" customHeight="1" x14ac:dyDescent="0.45">
      <c r="B145" s="59"/>
    </row>
    <row r="146" spans="2:2" ht="17.399999999999999" customHeight="1" x14ac:dyDescent="0.45">
      <c r="B146" s="59"/>
    </row>
    <row r="147" spans="2:2" ht="17.399999999999999" customHeight="1" x14ac:dyDescent="0.45">
      <c r="B147" s="59"/>
    </row>
    <row r="148" spans="2:2" ht="17.399999999999999" customHeight="1" x14ac:dyDescent="0.45">
      <c r="B148" s="59"/>
    </row>
    <row r="149" spans="2:2" ht="17.399999999999999" customHeight="1" x14ac:dyDescent="0.45">
      <c r="B149" s="59"/>
    </row>
    <row r="150" spans="2:2" ht="17.399999999999999" customHeight="1" x14ac:dyDescent="0.45">
      <c r="B150" s="59"/>
    </row>
    <row r="151" spans="2:2" ht="17.399999999999999" customHeight="1" x14ac:dyDescent="0.45">
      <c r="B151" s="59"/>
    </row>
    <row r="152" spans="2:2" ht="17.399999999999999" customHeight="1" x14ac:dyDescent="0.45">
      <c r="B152" s="59"/>
    </row>
    <row r="153" spans="2:2" ht="17.399999999999999" customHeight="1" x14ac:dyDescent="0.45">
      <c r="B153" s="59"/>
    </row>
    <row r="154" spans="2:2" ht="17.399999999999999" customHeight="1" x14ac:dyDescent="0.45">
      <c r="B154" s="59"/>
    </row>
    <row r="155" spans="2:2" ht="17.399999999999999" customHeight="1" x14ac:dyDescent="0.45">
      <c r="B155" s="59"/>
    </row>
    <row r="156" spans="2:2" ht="17.399999999999999" customHeight="1" x14ac:dyDescent="0.45">
      <c r="B156" s="59"/>
    </row>
    <row r="157" spans="2:2" ht="17.399999999999999" customHeight="1" x14ac:dyDescent="0.45">
      <c r="B157" s="59"/>
    </row>
    <row r="158" spans="2:2" ht="17.399999999999999" customHeight="1" x14ac:dyDescent="0.45">
      <c r="B158" s="59"/>
    </row>
    <row r="159" spans="2:2" ht="17.399999999999999" customHeight="1" x14ac:dyDescent="0.45">
      <c r="B159" s="59"/>
    </row>
    <row r="160" spans="2:2" ht="17.399999999999999" customHeight="1" x14ac:dyDescent="0.45">
      <c r="B160" s="59"/>
    </row>
    <row r="161" spans="2:2" ht="17.399999999999999" customHeight="1" x14ac:dyDescent="0.45">
      <c r="B161" s="59"/>
    </row>
    <row r="162" spans="2:2" ht="17.399999999999999" customHeight="1" x14ac:dyDescent="0.45">
      <c r="B162" s="59"/>
    </row>
    <row r="163" spans="2:2" ht="17.399999999999999" customHeight="1" x14ac:dyDescent="0.45">
      <c r="B163" s="59"/>
    </row>
    <row r="164" spans="2:2" ht="17.399999999999999" customHeight="1" x14ac:dyDescent="0.45">
      <c r="B164" s="59"/>
    </row>
    <row r="165" spans="2:2" ht="17.399999999999999" customHeight="1" x14ac:dyDescent="0.45">
      <c r="B165" s="59"/>
    </row>
    <row r="166" spans="2:2" ht="17.399999999999999" customHeight="1" x14ac:dyDescent="0.45">
      <c r="B166" s="59"/>
    </row>
    <row r="167" spans="2:2" ht="17.399999999999999" customHeight="1" x14ac:dyDescent="0.45">
      <c r="B167" s="59"/>
    </row>
    <row r="168" spans="2:2" ht="17.399999999999999" customHeight="1" x14ac:dyDescent="0.45">
      <c r="B168" s="59"/>
    </row>
    <row r="169" spans="2:2" ht="17.399999999999999" customHeight="1" x14ac:dyDescent="0.45">
      <c r="B169" s="59"/>
    </row>
    <row r="170" spans="2:2" ht="17.399999999999999" customHeight="1" x14ac:dyDescent="0.45">
      <c r="B170" s="59"/>
    </row>
    <row r="171" spans="2:2" ht="17.399999999999999" customHeight="1" x14ac:dyDescent="0.45">
      <c r="B171" s="59"/>
    </row>
    <row r="172" spans="2:2" ht="17.399999999999999" customHeight="1" x14ac:dyDescent="0.45">
      <c r="B172" s="59"/>
    </row>
    <row r="173" spans="2:2" ht="17.399999999999999" customHeight="1" x14ac:dyDescent="0.45">
      <c r="B173" s="59"/>
    </row>
    <row r="174" spans="2:2" ht="17.399999999999999" customHeight="1" x14ac:dyDescent="0.45">
      <c r="B174" s="59"/>
    </row>
    <row r="175" spans="2:2" ht="17.399999999999999" customHeight="1" x14ac:dyDescent="0.45">
      <c r="B175" s="59"/>
    </row>
    <row r="176" spans="2:2" ht="17.399999999999999" customHeight="1" x14ac:dyDescent="0.45">
      <c r="B176" s="59"/>
    </row>
    <row r="177" spans="2:2" ht="17.399999999999999" customHeight="1" x14ac:dyDescent="0.45">
      <c r="B177" s="59"/>
    </row>
    <row r="178" spans="2:2" ht="17.399999999999999" customHeight="1" x14ac:dyDescent="0.45">
      <c r="B178" s="59"/>
    </row>
    <row r="179" spans="2:2" ht="17.399999999999999" customHeight="1" x14ac:dyDescent="0.45">
      <c r="B179" s="59"/>
    </row>
    <row r="180" spans="2:2" ht="17.399999999999999" customHeight="1" x14ac:dyDescent="0.45">
      <c r="B180" s="59"/>
    </row>
    <row r="181" spans="2:2" ht="17.399999999999999" customHeight="1" x14ac:dyDescent="0.45">
      <c r="B181" s="59"/>
    </row>
    <row r="182" spans="2:2" ht="17.399999999999999" customHeight="1" x14ac:dyDescent="0.45">
      <c r="B182" s="59"/>
    </row>
    <row r="183" spans="2:2" ht="17.399999999999999" customHeight="1" x14ac:dyDescent="0.45">
      <c r="B183" s="59"/>
    </row>
    <row r="184" spans="2:2" ht="17.399999999999999" customHeight="1" x14ac:dyDescent="0.45">
      <c r="B184" s="59"/>
    </row>
    <row r="185" spans="2:2" ht="17.399999999999999" customHeight="1" x14ac:dyDescent="0.45">
      <c r="B185" s="59"/>
    </row>
    <row r="186" spans="2:2" ht="17.399999999999999" customHeight="1" x14ac:dyDescent="0.45">
      <c r="B186" s="59"/>
    </row>
    <row r="187" spans="2:2" ht="17.399999999999999" customHeight="1" x14ac:dyDescent="0.45">
      <c r="B187" s="59"/>
    </row>
    <row r="188" spans="2:2" ht="17.399999999999999" customHeight="1" x14ac:dyDescent="0.45">
      <c r="B188" s="59"/>
    </row>
    <row r="189" spans="2:2" ht="17.399999999999999" customHeight="1" x14ac:dyDescent="0.45">
      <c r="B189" s="59"/>
    </row>
    <row r="190" spans="2:2" ht="17.399999999999999" customHeight="1" x14ac:dyDescent="0.45">
      <c r="B190" s="59"/>
    </row>
    <row r="191" spans="2:2" ht="17.399999999999999" customHeight="1" x14ac:dyDescent="0.45">
      <c r="B191" s="59"/>
    </row>
    <row r="192" spans="2:2" ht="17.399999999999999" customHeight="1" x14ac:dyDescent="0.45">
      <c r="B192" s="59"/>
    </row>
    <row r="193" spans="2:2" ht="17.399999999999999" customHeight="1" x14ac:dyDescent="0.45">
      <c r="B193" s="59"/>
    </row>
    <row r="194" spans="2:2" ht="17.399999999999999" customHeight="1" x14ac:dyDescent="0.45">
      <c r="B194" s="59"/>
    </row>
    <row r="195" spans="2:2" ht="17.399999999999999" customHeight="1" x14ac:dyDescent="0.45">
      <c r="B195" s="59"/>
    </row>
    <row r="196" spans="2:2" ht="17.399999999999999" customHeight="1" x14ac:dyDescent="0.45">
      <c r="B196" s="59"/>
    </row>
    <row r="197" spans="2:2" ht="17.399999999999999" customHeight="1" x14ac:dyDescent="0.45">
      <c r="B197" s="59"/>
    </row>
    <row r="198" spans="2:2" ht="17.399999999999999" customHeight="1" x14ac:dyDescent="0.45">
      <c r="B198" s="59"/>
    </row>
    <row r="199" spans="2:2" ht="17.399999999999999" customHeight="1" x14ac:dyDescent="0.45">
      <c r="B199" s="59"/>
    </row>
    <row r="200" spans="2:2" ht="17.399999999999999" customHeight="1" x14ac:dyDescent="0.45">
      <c r="B200" s="59"/>
    </row>
    <row r="201" spans="2:2" ht="17.399999999999999" customHeight="1" x14ac:dyDescent="0.45">
      <c r="B201" s="59"/>
    </row>
    <row r="202" spans="2:2" ht="17.399999999999999" customHeight="1" x14ac:dyDescent="0.45">
      <c r="B202" s="59"/>
    </row>
    <row r="203" spans="2:2" ht="17.399999999999999" customHeight="1" x14ac:dyDescent="0.45">
      <c r="B203" s="59"/>
    </row>
    <row r="204" spans="2:2" ht="17.399999999999999" customHeight="1" x14ac:dyDescent="0.45">
      <c r="B204" s="59"/>
    </row>
    <row r="205" spans="2:2" ht="17.399999999999999" customHeight="1" x14ac:dyDescent="0.45">
      <c r="B205" s="59"/>
    </row>
    <row r="206" spans="2:2" ht="17.399999999999999" customHeight="1" x14ac:dyDescent="0.45">
      <c r="B206" s="59"/>
    </row>
    <row r="207" spans="2:2" ht="17.399999999999999" customHeight="1" x14ac:dyDescent="0.45">
      <c r="B207" s="59"/>
    </row>
    <row r="208" spans="2:2" ht="17.399999999999999" customHeight="1" x14ac:dyDescent="0.45">
      <c r="B208" s="59"/>
    </row>
    <row r="209" spans="2:2" ht="17.399999999999999" customHeight="1" x14ac:dyDescent="0.45">
      <c r="B209" s="59"/>
    </row>
    <row r="210" spans="2:2" ht="17.399999999999999" customHeight="1" x14ac:dyDescent="0.45">
      <c r="B210" s="59"/>
    </row>
    <row r="211" spans="2:2" ht="17.399999999999999" customHeight="1" x14ac:dyDescent="0.45">
      <c r="B211" s="59"/>
    </row>
    <row r="212" spans="2:2" ht="17.399999999999999" customHeight="1" x14ac:dyDescent="0.45">
      <c r="B212" s="59"/>
    </row>
    <row r="213" spans="2:2" ht="17.399999999999999" customHeight="1" x14ac:dyDescent="0.45">
      <c r="B213" s="59"/>
    </row>
    <row r="214" spans="2:2" ht="17.399999999999999" customHeight="1" x14ac:dyDescent="0.45">
      <c r="B214" s="59"/>
    </row>
    <row r="215" spans="2:2" ht="17.399999999999999" customHeight="1" x14ac:dyDescent="0.45">
      <c r="B215" s="59"/>
    </row>
    <row r="216" spans="2:2" ht="17.399999999999999" customHeight="1" x14ac:dyDescent="0.45">
      <c r="B216" s="59"/>
    </row>
    <row r="217" spans="2:2" ht="17.399999999999999" customHeight="1" x14ac:dyDescent="0.45">
      <c r="B217" s="59"/>
    </row>
    <row r="218" spans="2:2" ht="17.399999999999999" customHeight="1" x14ac:dyDescent="0.45">
      <c r="B218" s="59"/>
    </row>
    <row r="219" spans="2:2" ht="17.399999999999999" customHeight="1" x14ac:dyDescent="0.45">
      <c r="B219" s="59"/>
    </row>
    <row r="220" spans="2:2" ht="17.399999999999999" customHeight="1" x14ac:dyDescent="0.45">
      <c r="B220" s="59"/>
    </row>
    <row r="221" spans="2:2" ht="17.399999999999999" customHeight="1" x14ac:dyDescent="0.45">
      <c r="B221" s="59"/>
    </row>
    <row r="222" spans="2:2" ht="17.399999999999999" customHeight="1" x14ac:dyDescent="0.45">
      <c r="B222" s="59"/>
    </row>
    <row r="223" spans="2:2" ht="17.399999999999999" customHeight="1" x14ac:dyDescent="0.45">
      <c r="B223" s="59"/>
    </row>
    <row r="224" spans="2:2" ht="17.399999999999999" customHeight="1" x14ac:dyDescent="0.45">
      <c r="B224" s="59"/>
    </row>
    <row r="225" spans="2:2" ht="17.399999999999999" customHeight="1" x14ac:dyDescent="0.45">
      <c r="B225" s="59"/>
    </row>
    <row r="226" spans="2:2" ht="17.399999999999999" customHeight="1" x14ac:dyDescent="0.45">
      <c r="B226" s="59"/>
    </row>
    <row r="227" spans="2:2" ht="17.399999999999999" customHeight="1" x14ac:dyDescent="0.45">
      <c r="B227" s="59"/>
    </row>
    <row r="228" spans="2:2" ht="17.399999999999999" customHeight="1" x14ac:dyDescent="0.45">
      <c r="B228" s="59"/>
    </row>
    <row r="229" spans="2:2" ht="17.399999999999999" customHeight="1" x14ac:dyDescent="0.45">
      <c r="B229" s="59"/>
    </row>
    <row r="230" spans="2:2" ht="17.399999999999999" customHeight="1" x14ac:dyDescent="0.45">
      <c r="B230" s="59"/>
    </row>
    <row r="231" spans="2:2" ht="17.399999999999999" customHeight="1" x14ac:dyDescent="0.45">
      <c r="B231" s="59"/>
    </row>
    <row r="232" spans="2:2" ht="17.399999999999999" customHeight="1" x14ac:dyDescent="0.45">
      <c r="B232" s="59"/>
    </row>
    <row r="233" spans="2:2" ht="17.399999999999999" customHeight="1" x14ac:dyDescent="0.45">
      <c r="B233" s="59"/>
    </row>
    <row r="234" spans="2:2" ht="17.399999999999999" customHeight="1" x14ac:dyDescent="0.45">
      <c r="B234" s="59"/>
    </row>
    <row r="235" spans="2:2" ht="17.399999999999999" customHeight="1" x14ac:dyDescent="0.45">
      <c r="B235" s="59"/>
    </row>
    <row r="236" spans="2:2" ht="17.399999999999999" customHeight="1" x14ac:dyDescent="0.45">
      <c r="B236" s="59"/>
    </row>
    <row r="237" spans="2:2" ht="17.399999999999999" customHeight="1" x14ac:dyDescent="0.45">
      <c r="B237" s="59"/>
    </row>
    <row r="238" spans="2:2" ht="17.399999999999999" customHeight="1" x14ac:dyDescent="0.45">
      <c r="B238" s="59"/>
    </row>
    <row r="239" spans="2:2" ht="17.399999999999999" customHeight="1" x14ac:dyDescent="0.45">
      <c r="B239" s="59"/>
    </row>
    <row r="240" spans="2:2" ht="17.399999999999999" customHeight="1" x14ac:dyDescent="0.45">
      <c r="B240" s="59"/>
    </row>
    <row r="241" spans="2:2" ht="17.399999999999999" customHeight="1" x14ac:dyDescent="0.45">
      <c r="B241" s="59"/>
    </row>
    <row r="242" spans="2:2" ht="17.399999999999999" customHeight="1" x14ac:dyDescent="0.45">
      <c r="B242" s="59"/>
    </row>
    <row r="243" spans="2:2" ht="17.399999999999999" customHeight="1" x14ac:dyDescent="0.45">
      <c r="B243" s="59"/>
    </row>
    <row r="244" spans="2:2" ht="17.399999999999999" customHeight="1" x14ac:dyDescent="0.45">
      <c r="B244" s="59"/>
    </row>
    <row r="245" spans="2:2" ht="17.399999999999999" customHeight="1" x14ac:dyDescent="0.45">
      <c r="B245" s="59"/>
    </row>
    <row r="246" spans="2:2" ht="17.399999999999999" customHeight="1" x14ac:dyDescent="0.45">
      <c r="B246" s="59"/>
    </row>
    <row r="247" spans="2:2" ht="17.399999999999999" customHeight="1" x14ac:dyDescent="0.45">
      <c r="B247" s="59"/>
    </row>
    <row r="248" spans="2:2" ht="17.399999999999999" customHeight="1" x14ac:dyDescent="0.45">
      <c r="B248" s="59"/>
    </row>
    <row r="249" spans="2:2" ht="17.399999999999999" customHeight="1" x14ac:dyDescent="0.45">
      <c r="B249" s="59"/>
    </row>
    <row r="250" spans="2:2" ht="17.399999999999999" customHeight="1" x14ac:dyDescent="0.45">
      <c r="B250" s="59"/>
    </row>
    <row r="251" spans="2:2" ht="17.399999999999999" customHeight="1" x14ac:dyDescent="0.45">
      <c r="B251" s="59"/>
    </row>
    <row r="252" spans="2:2" ht="17.399999999999999" customHeight="1" x14ac:dyDescent="0.45">
      <c r="B252" s="59"/>
    </row>
    <row r="253" spans="2:2" ht="17.399999999999999" customHeight="1" x14ac:dyDescent="0.45">
      <c r="B253" s="59"/>
    </row>
    <row r="254" spans="2:2" ht="17.399999999999999" customHeight="1" x14ac:dyDescent="0.45">
      <c r="B254" s="59"/>
    </row>
    <row r="255" spans="2:2" ht="17.399999999999999" customHeight="1" x14ac:dyDescent="0.45">
      <c r="B255" s="59"/>
    </row>
    <row r="256" spans="2:2" ht="17.399999999999999" customHeight="1" x14ac:dyDescent="0.45">
      <c r="B256" s="59"/>
    </row>
    <row r="257" spans="2:2" ht="17.399999999999999" customHeight="1" x14ac:dyDescent="0.45">
      <c r="B257" s="59"/>
    </row>
    <row r="258" spans="2:2" ht="17.399999999999999" customHeight="1" x14ac:dyDescent="0.45">
      <c r="B258" s="59"/>
    </row>
    <row r="259" spans="2:2" ht="17.399999999999999" customHeight="1" x14ac:dyDescent="0.45">
      <c r="B259" s="59"/>
    </row>
    <row r="260" spans="2:2" ht="17.399999999999999" customHeight="1" x14ac:dyDescent="0.45">
      <c r="B260" s="59"/>
    </row>
    <row r="261" spans="2:2" ht="17.399999999999999" customHeight="1" x14ac:dyDescent="0.45">
      <c r="B261" s="59"/>
    </row>
    <row r="262" spans="2:2" ht="17.399999999999999" customHeight="1" x14ac:dyDescent="0.45">
      <c r="B262" s="59"/>
    </row>
    <row r="263" spans="2:2" ht="17.399999999999999" customHeight="1" x14ac:dyDescent="0.45">
      <c r="B263" s="59"/>
    </row>
    <row r="264" spans="2:2" ht="17.399999999999999" customHeight="1" x14ac:dyDescent="0.45">
      <c r="B264" s="59"/>
    </row>
    <row r="265" spans="2:2" ht="17.399999999999999" customHeight="1" x14ac:dyDescent="0.45">
      <c r="B265" s="59"/>
    </row>
    <row r="266" spans="2:2" ht="17.399999999999999" customHeight="1" x14ac:dyDescent="0.45">
      <c r="B266" s="59"/>
    </row>
    <row r="267" spans="2:2" ht="17.399999999999999" customHeight="1" x14ac:dyDescent="0.45">
      <c r="B267" s="59"/>
    </row>
    <row r="268" spans="2:2" ht="17.399999999999999" customHeight="1" x14ac:dyDescent="0.45">
      <c r="B268" s="59"/>
    </row>
    <row r="269" spans="2:2" ht="17.399999999999999" customHeight="1" x14ac:dyDescent="0.45">
      <c r="B269" s="59"/>
    </row>
    <row r="270" spans="2:2" ht="17.399999999999999" customHeight="1" x14ac:dyDescent="0.45">
      <c r="B270" s="59"/>
    </row>
    <row r="271" spans="2:2" ht="17.399999999999999" customHeight="1" x14ac:dyDescent="0.45">
      <c r="B271" s="59"/>
    </row>
    <row r="272" spans="2:2" ht="17.399999999999999" customHeight="1" x14ac:dyDescent="0.45">
      <c r="B272" s="59"/>
    </row>
    <row r="273" spans="2:2" ht="17.399999999999999" customHeight="1" x14ac:dyDescent="0.45">
      <c r="B273" s="59"/>
    </row>
    <row r="274" spans="2:2" ht="17.399999999999999" customHeight="1" x14ac:dyDescent="0.45">
      <c r="B274" s="59"/>
    </row>
    <row r="275" spans="2:2" ht="17.399999999999999" customHeight="1" x14ac:dyDescent="0.45">
      <c r="B275" s="59"/>
    </row>
    <row r="276" spans="2:2" ht="17.399999999999999" customHeight="1" x14ac:dyDescent="0.45">
      <c r="B276" s="59"/>
    </row>
    <row r="277" spans="2:2" ht="17.399999999999999" customHeight="1" x14ac:dyDescent="0.45">
      <c r="B277" s="59"/>
    </row>
    <row r="278" spans="2:2" ht="17.399999999999999" customHeight="1" x14ac:dyDescent="0.45">
      <c r="B278" s="59"/>
    </row>
    <row r="279" spans="2:2" ht="17.399999999999999" customHeight="1" x14ac:dyDescent="0.45">
      <c r="B279" s="59"/>
    </row>
    <row r="280" spans="2:2" ht="17.399999999999999" customHeight="1" x14ac:dyDescent="0.45">
      <c r="B280" s="59"/>
    </row>
    <row r="281" spans="2:2" ht="17.399999999999999" customHeight="1" x14ac:dyDescent="0.45">
      <c r="B281" s="59"/>
    </row>
    <row r="282" spans="2:2" ht="17.399999999999999" customHeight="1" x14ac:dyDescent="0.45">
      <c r="B282" s="59"/>
    </row>
    <row r="283" spans="2:2" ht="17.399999999999999" customHeight="1" x14ac:dyDescent="0.45">
      <c r="B283" s="59"/>
    </row>
    <row r="284" spans="2:2" ht="17.399999999999999" customHeight="1" x14ac:dyDescent="0.45">
      <c r="B284" s="59"/>
    </row>
    <row r="285" spans="2:2" ht="17.399999999999999" customHeight="1" x14ac:dyDescent="0.45">
      <c r="B285" s="59"/>
    </row>
    <row r="286" spans="2:2" ht="17.399999999999999" customHeight="1" x14ac:dyDescent="0.45">
      <c r="B286" s="59"/>
    </row>
    <row r="287" spans="2:2" ht="17.399999999999999" customHeight="1" x14ac:dyDescent="0.45">
      <c r="B287" s="59"/>
    </row>
    <row r="288" spans="2:2" ht="17.399999999999999" customHeight="1" x14ac:dyDescent="0.45">
      <c r="B288" s="59"/>
    </row>
    <row r="289" spans="2:2" ht="17.399999999999999" customHeight="1" x14ac:dyDescent="0.45">
      <c r="B289" s="59"/>
    </row>
    <row r="290" spans="2:2" ht="17.399999999999999" customHeight="1" x14ac:dyDescent="0.45">
      <c r="B290" s="59"/>
    </row>
    <row r="291" spans="2:2" ht="17.399999999999999" customHeight="1" x14ac:dyDescent="0.45">
      <c r="B291" s="59"/>
    </row>
    <row r="292" spans="2:2" ht="17.399999999999999" customHeight="1" x14ac:dyDescent="0.45">
      <c r="B292" s="59"/>
    </row>
    <row r="293" spans="2:2" ht="17.399999999999999" customHeight="1" x14ac:dyDescent="0.45">
      <c r="B293" s="59"/>
    </row>
    <row r="294" spans="2:2" ht="17.399999999999999" customHeight="1" x14ac:dyDescent="0.45">
      <c r="B294" s="59"/>
    </row>
    <row r="295" spans="2:2" ht="17.399999999999999" customHeight="1" x14ac:dyDescent="0.45">
      <c r="B295" s="59"/>
    </row>
    <row r="296" spans="2:2" ht="17.399999999999999" customHeight="1" x14ac:dyDescent="0.45">
      <c r="B296" s="59"/>
    </row>
    <row r="297" spans="2:2" ht="17.399999999999999" customHeight="1" x14ac:dyDescent="0.45">
      <c r="B297" s="59"/>
    </row>
    <row r="298" spans="2:2" ht="17.399999999999999" customHeight="1" x14ac:dyDescent="0.45">
      <c r="B298" s="59"/>
    </row>
    <row r="299" spans="2:2" ht="17.399999999999999" customHeight="1" x14ac:dyDescent="0.45">
      <c r="B299" s="59"/>
    </row>
    <row r="300" spans="2:2" ht="17.399999999999999" customHeight="1" x14ac:dyDescent="0.45">
      <c r="B300" s="59"/>
    </row>
    <row r="301" spans="2:2" ht="17.399999999999999" customHeight="1" x14ac:dyDescent="0.45">
      <c r="B301" s="59"/>
    </row>
    <row r="302" spans="2:2" ht="17.399999999999999" customHeight="1" x14ac:dyDescent="0.45">
      <c r="B302" s="59"/>
    </row>
    <row r="303" spans="2:2" ht="17.399999999999999" customHeight="1" x14ac:dyDescent="0.45">
      <c r="B303" s="59"/>
    </row>
    <row r="304" spans="2:2" ht="17.399999999999999" customHeight="1" x14ac:dyDescent="0.45">
      <c r="B304" s="59"/>
    </row>
    <row r="305" spans="2:2" ht="17.399999999999999" customHeight="1" x14ac:dyDescent="0.45">
      <c r="B305" s="59"/>
    </row>
    <row r="306" spans="2:2" ht="17.399999999999999" customHeight="1" x14ac:dyDescent="0.45">
      <c r="B306" s="59"/>
    </row>
    <row r="307" spans="2:2" ht="17.399999999999999" customHeight="1" x14ac:dyDescent="0.45">
      <c r="B307" s="59"/>
    </row>
    <row r="308" spans="2:2" ht="17.399999999999999" customHeight="1" x14ac:dyDescent="0.45">
      <c r="B308" s="59"/>
    </row>
    <row r="309" spans="2:2" ht="17.399999999999999" customHeight="1" x14ac:dyDescent="0.45">
      <c r="B309" s="59"/>
    </row>
    <row r="310" spans="2:2" ht="17.399999999999999" customHeight="1" x14ac:dyDescent="0.45">
      <c r="B310" s="59"/>
    </row>
    <row r="311" spans="2:2" ht="17.399999999999999" customHeight="1" x14ac:dyDescent="0.45">
      <c r="B311" s="59"/>
    </row>
    <row r="312" spans="2:2" ht="17.399999999999999" customHeight="1" x14ac:dyDescent="0.45">
      <c r="B312" s="59"/>
    </row>
    <row r="313" spans="2:2" ht="17.399999999999999" customHeight="1" x14ac:dyDescent="0.45">
      <c r="B313" s="59"/>
    </row>
    <row r="314" spans="2:2" ht="17.399999999999999" customHeight="1" x14ac:dyDescent="0.45">
      <c r="B314" s="59"/>
    </row>
    <row r="315" spans="2:2" ht="17.399999999999999" customHeight="1" x14ac:dyDescent="0.45">
      <c r="B315" s="59"/>
    </row>
    <row r="316" spans="2:2" ht="17.399999999999999" customHeight="1" x14ac:dyDescent="0.45">
      <c r="B316" s="59"/>
    </row>
    <row r="317" spans="2:2" ht="17.399999999999999" customHeight="1" x14ac:dyDescent="0.45">
      <c r="B317" s="59"/>
    </row>
    <row r="318" spans="2:2" ht="17.399999999999999" customHeight="1" x14ac:dyDescent="0.45">
      <c r="B318" s="59"/>
    </row>
    <row r="319" spans="2:2" ht="17.399999999999999" customHeight="1" x14ac:dyDescent="0.45">
      <c r="B319" s="59"/>
    </row>
    <row r="320" spans="2:2" ht="17.399999999999999" customHeight="1" x14ac:dyDescent="0.45">
      <c r="B320" s="59"/>
    </row>
    <row r="321" spans="2:2" ht="17.399999999999999" customHeight="1" x14ac:dyDescent="0.45">
      <c r="B321" s="59"/>
    </row>
    <row r="322" spans="2:2" ht="17.399999999999999" customHeight="1" x14ac:dyDescent="0.45">
      <c r="B322" s="59"/>
    </row>
    <row r="323" spans="2:2" ht="17.399999999999999" customHeight="1" x14ac:dyDescent="0.45">
      <c r="B323" s="59"/>
    </row>
    <row r="324" spans="2:2" ht="17.399999999999999" customHeight="1" x14ac:dyDescent="0.45">
      <c r="B324" s="59"/>
    </row>
    <row r="325" spans="2:2" ht="17.399999999999999" customHeight="1" x14ac:dyDescent="0.45">
      <c r="B325" s="59"/>
    </row>
    <row r="326" spans="2:2" ht="17.399999999999999" customHeight="1" x14ac:dyDescent="0.45">
      <c r="B326" s="59"/>
    </row>
    <row r="327" spans="2:2" ht="17.399999999999999" customHeight="1" x14ac:dyDescent="0.45">
      <c r="B327" s="59"/>
    </row>
    <row r="328" spans="2:2" ht="17.399999999999999" customHeight="1" x14ac:dyDescent="0.45">
      <c r="B328" s="59"/>
    </row>
    <row r="329" spans="2:2" ht="17.399999999999999" customHeight="1" x14ac:dyDescent="0.45">
      <c r="B329" s="59"/>
    </row>
    <row r="330" spans="2:2" ht="17.399999999999999" customHeight="1" x14ac:dyDescent="0.45">
      <c r="B330" s="59"/>
    </row>
    <row r="331" spans="2:2" ht="17.399999999999999" customHeight="1" x14ac:dyDescent="0.45">
      <c r="B331" s="59"/>
    </row>
    <row r="332" spans="2:2" ht="17.399999999999999" customHeight="1" x14ac:dyDescent="0.45">
      <c r="B332" s="59"/>
    </row>
    <row r="333" spans="2:2" ht="17.399999999999999" customHeight="1" x14ac:dyDescent="0.45">
      <c r="B333" s="59"/>
    </row>
    <row r="334" spans="2:2" ht="17.399999999999999" customHeight="1" x14ac:dyDescent="0.45">
      <c r="B334" s="59"/>
    </row>
    <row r="335" spans="2:2" ht="17.399999999999999" customHeight="1" x14ac:dyDescent="0.45">
      <c r="B335" s="59"/>
    </row>
    <row r="336" spans="2:2" ht="17.399999999999999" customHeight="1" x14ac:dyDescent="0.45">
      <c r="B336" s="59"/>
    </row>
    <row r="337" spans="2:2" ht="17.399999999999999" customHeight="1" x14ac:dyDescent="0.45">
      <c r="B337" s="59"/>
    </row>
    <row r="338" spans="2:2" ht="17.399999999999999" customHeight="1" x14ac:dyDescent="0.45">
      <c r="B338" s="59"/>
    </row>
    <row r="339" spans="2:2" ht="17.399999999999999" customHeight="1" x14ac:dyDescent="0.45">
      <c r="B339" s="59"/>
    </row>
    <row r="340" spans="2:2" ht="17.399999999999999" customHeight="1" x14ac:dyDescent="0.45">
      <c r="B340" s="59"/>
    </row>
    <row r="341" spans="2:2" ht="17.399999999999999" customHeight="1" x14ac:dyDescent="0.45">
      <c r="B341" s="59"/>
    </row>
    <row r="342" spans="2:2" ht="17.399999999999999" customHeight="1" x14ac:dyDescent="0.45">
      <c r="B342" s="59"/>
    </row>
    <row r="343" spans="2:2" ht="17.399999999999999" customHeight="1" x14ac:dyDescent="0.45">
      <c r="B343" s="59"/>
    </row>
    <row r="344" spans="2:2" ht="17.399999999999999" customHeight="1" x14ac:dyDescent="0.45">
      <c r="B344" s="59"/>
    </row>
    <row r="345" spans="2:2" ht="17.399999999999999" customHeight="1" x14ac:dyDescent="0.45">
      <c r="B345" s="59"/>
    </row>
    <row r="346" spans="2:2" ht="17.399999999999999" customHeight="1" x14ac:dyDescent="0.45">
      <c r="B346" s="59"/>
    </row>
    <row r="347" spans="2:2" ht="17.399999999999999" customHeight="1" x14ac:dyDescent="0.45">
      <c r="B347" s="59"/>
    </row>
    <row r="348" spans="2:2" ht="17.399999999999999" customHeight="1" x14ac:dyDescent="0.45">
      <c r="B348" s="59"/>
    </row>
    <row r="349" spans="2:2" ht="17.399999999999999" customHeight="1" x14ac:dyDescent="0.45">
      <c r="B349" s="59"/>
    </row>
    <row r="350" spans="2:2" ht="17.399999999999999" customHeight="1" x14ac:dyDescent="0.45">
      <c r="B350" s="59"/>
    </row>
    <row r="351" spans="2:2" ht="17.399999999999999" customHeight="1" x14ac:dyDescent="0.45">
      <c r="B351" s="59"/>
    </row>
    <row r="352" spans="2:2" ht="17.399999999999999" customHeight="1" x14ac:dyDescent="0.45">
      <c r="B352" s="59"/>
    </row>
    <row r="353" spans="2:2" ht="17.399999999999999" customHeight="1" x14ac:dyDescent="0.45">
      <c r="B353" s="59"/>
    </row>
    <row r="354" spans="2:2" ht="17.399999999999999" customHeight="1" x14ac:dyDescent="0.45">
      <c r="B354" s="59"/>
    </row>
    <row r="355" spans="2:2" ht="17.399999999999999" customHeight="1" x14ac:dyDescent="0.45">
      <c r="B355" s="59"/>
    </row>
    <row r="356" spans="2:2" ht="17.399999999999999" customHeight="1" x14ac:dyDescent="0.45">
      <c r="B356" s="59"/>
    </row>
    <row r="357" spans="2:2" ht="17.399999999999999" customHeight="1" x14ac:dyDescent="0.45">
      <c r="B357" s="59"/>
    </row>
    <row r="358" spans="2:2" ht="17.399999999999999" customHeight="1" x14ac:dyDescent="0.45">
      <c r="B358" s="59"/>
    </row>
    <row r="359" spans="2:2" ht="17.399999999999999" customHeight="1" x14ac:dyDescent="0.45">
      <c r="B359" s="59"/>
    </row>
    <row r="360" spans="2:2" ht="17.399999999999999" customHeight="1" x14ac:dyDescent="0.45">
      <c r="B360" s="59"/>
    </row>
    <row r="361" spans="2:2" ht="17.399999999999999" customHeight="1" x14ac:dyDescent="0.45">
      <c r="B361" s="59"/>
    </row>
    <row r="362" spans="2:2" ht="17.399999999999999" customHeight="1" x14ac:dyDescent="0.45">
      <c r="B362" s="59"/>
    </row>
    <row r="363" spans="2:2" ht="17.399999999999999" customHeight="1" x14ac:dyDescent="0.45">
      <c r="B363" s="59"/>
    </row>
    <row r="364" spans="2:2" ht="17.399999999999999" customHeight="1" x14ac:dyDescent="0.45">
      <c r="B364" s="59"/>
    </row>
    <row r="365" spans="2:2" ht="17.399999999999999" customHeight="1" x14ac:dyDescent="0.45">
      <c r="B365" s="59"/>
    </row>
    <row r="366" spans="2:2" ht="17.399999999999999" customHeight="1" x14ac:dyDescent="0.45">
      <c r="B366" s="59"/>
    </row>
    <row r="367" spans="2:2" ht="17.399999999999999" customHeight="1" x14ac:dyDescent="0.45">
      <c r="B367" s="59"/>
    </row>
    <row r="368" spans="2:2" ht="17.399999999999999" customHeight="1" x14ac:dyDescent="0.45">
      <c r="B368" s="59"/>
    </row>
    <row r="369" spans="2:2" ht="17.399999999999999" customHeight="1" x14ac:dyDescent="0.45">
      <c r="B369" s="59"/>
    </row>
    <row r="370" spans="2:2" ht="17.399999999999999" customHeight="1" x14ac:dyDescent="0.45">
      <c r="B370" s="59"/>
    </row>
    <row r="371" spans="2:2" ht="17.399999999999999" customHeight="1" x14ac:dyDescent="0.45">
      <c r="B371" s="59"/>
    </row>
    <row r="372" spans="2:2" ht="17.399999999999999" customHeight="1" x14ac:dyDescent="0.45">
      <c r="B372" s="59"/>
    </row>
    <row r="373" spans="2:2" ht="17.399999999999999" customHeight="1" x14ac:dyDescent="0.45">
      <c r="B373" s="59"/>
    </row>
    <row r="374" spans="2:2" ht="17.399999999999999" customHeight="1" x14ac:dyDescent="0.45">
      <c r="B374" s="59"/>
    </row>
    <row r="375" spans="2:2" ht="17.399999999999999" customHeight="1" x14ac:dyDescent="0.45">
      <c r="B375" s="59"/>
    </row>
    <row r="376" spans="2:2" ht="17.399999999999999" customHeight="1" x14ac:dyDescent="0.45">
      <c r="B376" s="59"/>
    </row>
    <row r="377" spans="2:2" ht="17.399999999999999" customHeight="1" x14ac:dyDescent="0.45">
      <c r="B377" s="59"/>
    </row>
    <row r="378" spans="2:2" ht="17.399999999999999" customHeight="1" x14ac:dyDescent="0.45">
      <c r="B378" s="59"/>
    </row>
    <row r="379" spans="2:2" ht="17.399999999999999" customHeight="1" x14ac:dyDescent="0.45">
      <c r="B379" s="59"/>
    </row>
    <row r="380" spans="2:2" ht="17.399999999999999" customHeight="1" x14ac:dyDescent="0.45">
      <c r="B380" s="59"/>
    </row>
    <row r="381" spans="2:2" ht="17.399999999999999" customHeight="1" x14ac:dyDescent="0.45">
      <c r="B381" s="59"/>
    </row>
    <row r="382" spans="2:2" ht="17.399999999999999" customHeight="1" x14ac:dyDescent="0.45">
      <c r="B382" s="59"/>
    </row>
    <row r="383" spans="2:2" ht="17.399999999999999" customHeight="1" x14ac:dyDescent="0.45">
      <c r="B383" s="59"/>
    </row>
    <row r="384" spans="2:2" ht="17.399999999999999" customHeight="1" x14ac:dyDescent="0.45">
      <c r="B384" s="59"/>
    </row>
    <row r="385" spans="2:2" ht="17.399999999999999" customHeight="1" x14ac:dyDescent="0.45">
      <c r="B385" s="59"/>
    </row>
    <row r="386" spans="2:2" ht="17.399999999999999" customHeight="1" x14ac:dyDescent="0.45">
      <c r="B386" s="59"/>
    </row>
    <row r="387" spans="2:2" ht="17.399999999999999" customHeight="1" x14ac:dyDescent="0.45">
      <c r="B387" s="59"/>
    </row>
    <row r="388" spans="2:2" ht="17.399999999999999" customHeight="1" x14ac:dyDescent="0.45">
      <c r="B388" s="59"/>
    </row>
    <row r="389" spans="2:2" ht="17.399999999999999" customHeight="1" x14ac:dyDescent="0.45">
      <c r="B389" s="59"/>
    </row>
    <row r="390" spans="2:2" ht="17.399999999999999" customHeight="1" x14ac:dyDescent="0.45">
      <c r="B390" s="59"/>
    </row>
    <row r="391" spans="2:2" ht="17.399999999999999" customHeight="1" x14ac:dyDescent="0.45">
      <c r="B391" s="59"/>
    </row>
    <row r="392" spans="2:2" ht="17.399999999999999" customHeight="1" x14ac:dyDescent="0.45">
      <c r="B392" s="59"/>
    </row>
    <row r="393" spans="2:2" ht="17.399999999999999" customHeight="1" x14ac:dyDescent="0.45">
      <c r="B393" s="59"/>
    </row>
    <row r="394" spans="2:2" ht="17.399999999999999" customHeight="1" x14ac:dyDescent="0.45">
      <c r="B394" s="59"/>
    </row>
    <row r="395" spans="2:2" ht="17.399999999999999" customHeight="1" x14ac:dyDescent="0.45">
      <c r="B395" s="59"/>
    </row>
    <row r="396" spans="2:2" ht="17.399999999999999" customHeight="1" x14ac:dyDescent="0.45">
      <c r="B396" s="59"/>
    </row>
    <row r="397" spans="2:2" ht="17.399999999999999" customHeight="1" x14ac:dyDescent="0.45">
      <c r="B397" s="59"/>
    </row>
    <row r="398" spans="2:2" ht="17.399999999999999" customHeight="1" x14ac:dyDescent="0.45">
      <c r="B398" s="59"/>
    </row>
    <row r="399" spans="2:2" ht="17.399999999999999" customHeight="1" x14ac:dyDescent="0.45">
      <c r="B399" s="59"/>
    </row>
    <row r="400" spans="2:2" ht="17.399999999999999" customHeight="1" x14ac:dyDescent="0.45">
      <c r="B400" s="59"/>
    </row>
    <row r="401" spans="2:2" ht="17.399999999999999" customHeight="1" x14ac:dyDescent="0.45">
      <c r="B401" s="59"/>
    </row>
    <row r="402" spans="2:2" ht="17.399999999999999" customHeight="1" x14ac:dyDescent="0.45">
      <c r="B402" s="59"/>
    </row>
    <row r="403" spans="2:2" ht="17.399999999999999" customHeight="1" x14ac:dyDescent="0.45">
      <c r="B403" s="59"/>
    </row>
    <row r="404" spans="2:2" ht="17.399999999999999" customHeight="1" x14ac:dyDescent="0.45">
      <c r="B404" s="59"/>
    </row>
    <row r="405" spans="2:2" ht="17.399999999999999" customHeight="1" x14ac:dyDescent="0.45">
      <c r="B405" s="59"/>
    </row>
    <row r="406" spans="2:2" ht="17.399999999999999" customHeight="1" x14ac:dyDescent="0.45">
      <c r="B406" s="59"/>
    </row>
    <row r="407" spans="2:2" ht="17.399999999999999" customHeight="1" x14ac:dyDescent="0.45">
      <c r="B407" s="59"/>
    </row>
    <row r="408" spans="2:2" ht="17.399999999999999" customHeight="1" x14ac:dyDescent="0.45">
      <c r="B408" s="59"/>
    </row>
    <row r="409" spans="2:2" ht="17.399999999999999" customHeight="1" x14ac:dyDescent="0.45">
      <c r="B409" s="59"/>
    </row>
    <row r="410" spans="2:2" ht="17.399999999999999" customHeight="1" x14ac:dyDescent="0.45">
      <c r="B410" s="59"/>
    </row>
    <row r="411" spans="2:2" ht="17.399999999999999" customHeight="1" x14ac:dyDescent="0.45">
      <c r="B411" s="59"/>
    </row>
    <row r="412" spans="2:2" ht="17.399999999999999" customHeight="1" x14ac:dyDescent="0.45">
      <c r="B412" s="59"/>
    </row>
    <row r="413" spans="2:2" ht="17.399999999999999" customHeight="1" x14ac:dyDescent="0.45">
      <c r="B413" s="59"/>
    </row>
    <row r="414" spans="2:2" ht="17.399999999999999" customHeight="1" x14ac:dyDescent="0.45">
      <c r="B414" s="59"/>
    </row>
    <row r="415" spans="2:2" ht="17.399999999999999" customHeight="1" x14ac:dyDescent="0.45">
      <c r="B415" s="59"/>
    </row>
    <row r="416" spans="2:2" ht="17.399999999999999" customHeight="1" x14ac:dyDescent="0.45">
      <c r="B416" s="59"/>
    </row>
    <row r="417" spans="2:2" ht="17.399999999999999" customHeight="1" x14ac:dyDescent="0.45">
      <c r="B417" s="59"/>
    </row>
    <row r="418" spans="2:2" ht="17.399999999999999" customHeight="1" x14ac:dyDescent="0.45">
      <c r="B418" s="59"/>
    </row>
    <row r="419" spans="2:2" ht="17.399999999999999" customHeight="1" x14ac:dyDescent="0.45">
      <c r="B419" s="59"/>
    </row>
    <row r="420" spans="2:2" ht="17.399999999999999" customHeight="1" x14ac:dyDescent="0.45">
      <c r="B420" s="59"/>
    </row>
    <row r="421" spans="2:2" ht="17.399999999999999" customHeight="1" x14ac:dyDescent="0.45">
      <c r="B421" s="59"/>
    </row>
    <row r="422" spans="2:2" ht="17.399999999999999" customHeight="1" x14ac:dyDescent="0.45">
      <c r="B422" s="59"/>
    </row>
    <row r="423" spans="2:2" ht="17.399999999999999" customHeight="1" x14ac:dyDescent="0.45">
      <c r="B423" s="59"/>
    </row>
    <row r="424" spans="2:2" ht="17.399999999999999" customHeight="1" x14ac:dyDescent="0.45">
      <c r="B424" s="59"/>
    </row>
    <row r="425" spans="2:2" ht="17.399999999999999" customHeight="1" x14ac:dyDescent="0.45">
      <c r="B425" s="59"/>
    </row>
    <row r="426" spans="2:2" ht="17.399999999999999" customHeight="1" x14ac:dyDescent="0.45">
      <c r="B426" s="59"/>
    </row>
    <row r="427" spans="2:2" ht="17.399999999999999" customHeight="1" x14ac:dyDescent="0.45">
      <c r="B427" s="59"/>
    </row>
    <row r="428" spans="2:2" ht="17.399999999999999" customHeight="1" x14ac:dyDescent="0.45">
      <c r="B428" s="59"/>
    </row>
    <row r="429" spans="2:2" ht="17.399999999999999" customHeight="1" x14ac:dyDescent="0.45">
      <c r="B429" s="59"/>
    </row>
    <row r="430" spans="2:2" ht="17.399999999999999" customHeight="1" x14ac:dyDescent="0.45">
      <c r="B430" s="59"/>
    </row>
    <row r="431" spans="2:2" ht="17.399999999999999" customHeight="1" x14ac:dyDescent="0.45">
      <c r="B431" s="59"/>
    </row>
    <row r="432" spans="2:2" ht="17.399999999999999" customHeight="1" x14ac:dyDescent="0.45">
      <c r="B432" s="59"/>
    </row>
    <row r="433" spans="2:2" ht="17.399999999999999" customHeight="1" x14ac:dyDescent="0.45">
      <c r="B433" s="59"/>
    </row>
    <row r="434" spans="2:2" ht="17.399999999999999" customHeight="1" x14ac:dyDescent="0.45">
      <c r="B434" s="59"/>
    </row>
    <row r="435" spans="2:2" ht="17.399999999999999" customHeight="1" x14ac:dyDescent="0.45">
      <c r="B435" s="59"/>
    </row>
    <row r="436" spans="2:2" ht="17.399999999999999" customHeight="1" x14ac:dyDescent="0.45">
      <c r="B436" s="59"/>
    </row>
    <row r="437" spans="2:2" ht="17.399999999999999" customHeight="1" x14ac:dyDescent="0.45">
      <c r="B437" s="59"/>
    </row>
    <row r="438" spans="2:2" ht="17.399999999999999" customHeight="1" x14ac:dyDescent="0.45">
      <c r="B438" s="59"/>
    </row>
    <row r="439" spans="2:2" ht="17.399999999999999" customHeight="1" x14ac:dyDescent="0.45">
      <c r="B439" s="59"/>
    </row>
    <row r="440" spans="2:2" ht="17.399999999999999" customHeight="1" x14ac:dyDescent="0.45">
      <c r="B440" s="59"/>
    </row>
    <row r="441" spans="2:2" ht="17.399999999999999" customHeight="1" x14ac:dyDescent="0.45">
      <c r="B441" s="59"/>
    </row>
    <row r="442" spans="2:2" ht="17.399999999999999" customHeight="1" x14ac:dyDescent="0.45">
      <c r="B442" s="59"/>
    </row>
    <row r="443" spans="2:2" ht="17.399999999999999" customHeight="1" x14ac:dyDescent="0.45">
      <c r="B443" s="59"/>
    </row>
    <row r="444" spans="2:2" ht="17.399999999999999" customHeight="1" x14ac:dyDescent="0.45">
      <c r="B444" s="59"/>
    </row>
    <row r="445" spans="2:2" ht="17.399999999999999" customHeight="1" x14ac:dyDescent="0.45">
      <c r="B445" s="59"/>
    </row>
    <row r="446" spans="2:2" ht="17.399999999999999" customHeight="1" x14ac:dyDescent="0.45">
      <c r="B446" s="59"/>
    </row>
    <row r="447" spans="2:2" ht="17.399999999999999" customHeight="1" x14ac:dyDescent="0.45">
      <c r="B447" s="59"/>
    </row>
    <row r="448" spans="2:2" ht="17.399999999999999" customHeight="1" x14ac:dyDescent="0.45">
      <c r="B448" s="59"/>
    </row>
    <row r="449" spans="2:2" ht="17.399999999999999" customHeight="1" x14ac:dyDescent="0.45">
      <c r="B449" s="59"/>
    </row>
    <row r="450" spans="2:2" ht="17.399999999999999" customHeight="1" x14ac:dyDescent="0.45">
      <c r="B450" s="59"/>
    </row>
    <row r="451" spans="2:2" ht="17.399999999999999" customHeight="1" x14ac:dyDescent="0.45">
      <c r="B451" s="59"/>
    </row>
    <row r="452" spans="2:2" ht="17.399999999999999" customHeight="1" x14ac:dyDescent="0.45">
      <c r="B452" s="59"/>
    </row>
    <row r="453" spans="2:2" ht="17.399999999999999" customHeight="1" x14ac:dyDescent="0.45">
      <c r="B453" s="59"/>
    </row>
    <row r="454" spans="2:2" ht="17.399999999999999" customHeight="1" x14ac:dyDescent="0.45">
      <c r="B454" s="59"/>
    </row>
    <row r="455" spans="2:2" ht="17.399999999999999" customHeight="1" x14ac:dyDescent="0.45">
      <c r="B455" s="59"/>
    </row>
    <row r="456" spans="2:2" ht="17.399999999999999" customHeight="1" x14ac:dyDescent="0.45">
      <c r="B456" s="59"/>
    </row>
    <row r="457" spans="2:2" ht="17.399999999999999" customHeight="1" x14ac:dyDescent="0.45">
      <c r="B457" s="59"/>
    </row>
    <row r="458" spans="2:2" ht="17.399999999999999" customHeight="1" x14ac:dyDescent="0.45">
      <c r="B458" s="59"/>
    </row>
    <row r="459" spans="2:2" ht="17.399999999999999" customHeight="1" x14ac:dyDescent="0.45">
      <c r="B459" s="59"/>
    </row>
    <row r="460" spans="2:2" ht="17.399999999999999" customHeight="1" x14ac:dyDescent="0.45">
      <c r="B460" s="59"/>
    </row>
    <row r="461" spans="2:2" ht="17.399999999999999" customHeight="1" x14ac:dyDescent="0.45">
      <c r="B461" s="59"/>
    </row>
    <row r="462" spans="2:2" ht="17.399999999999999" customHeight="1" x14ac:dyDescent="0.45">
      <c r="B462" s="59"/>
    </row>
    <row r="463" spans="2:2" ht="17.399999999999999" customHeight="1" x14ac:dyDescent="0.45">
      <c r="B463" s="59"/>
    </row>
    <row r="464" spans="2:2" ht="17.399999999999999" customHeight="1" x14ac:dyDescent="0.45">
      <c r="B464" s="59"/>
    </row>
    <row r="465" spans="2:2" ht="17.399999999999999" customHeight="1" x14ac:dyDescent="0.45">
      <c r="B465" s="59"/>
    </row>
    <row r="466" spans="2:2" ht="17.399999999999999" customHeight="1" x14ac:dyDescent="0.45">
      <c r="B466" s="59"/>
    </row>
    <row r="467" spans="2:2" ht="17.399999999999999" customHeight="1" x14ac:dyDescent="0.45">
      <c r="B467" s="59"/>
    </row>
    <row r="468" spans="2:2" ht="17.399999999999999" customHeight="1" x14ac:dyDescent="0.45">
      <c r="B468" s="59"/>
    </row>
    <row r="469" spans="2:2" ht="17.399999999999999" customHeight="1" x14ac:dyDescent="0.45">
      <c r="B469" s="59"/>
    </row>
    <row r="470" spans="2:2" ht="17.399999999999999" customHeight="1" x14ac:dyDescent="0.45">
      <c r="B470" s="59"/>
    </row>
    <row r="471" spans="2:2" ht="17.399999999999999" customHeight="1" x14ac:dyDescent="0.45">
      <c r="B471" s="59"/>
    </row>
    <row r="472" spans="2:2" ht="17.399999999999999" customHeight="1" x14ac:dyDescent="0.45">
      <c r="B472" s="59"/>
    </row>
    <row r="473" spans="2:2" ht="17.399999999999999" customHeight="1" x14ac:dyDescent="0.45">
      <c r="B473" s="59"/>
    </row>
    <row r="474" spans="2:2" ht="17.399999999999999" customHeight="1" x14ac:dyDescent="0.45">
      <c r="B474" s="59"/>
    </row>
    <row r="475" spans="2:2" ht="17.399999999999999" customHeight="1" x14ac:dyDescent="0.45">
      <c r="B475" s="59"/>
    </row>
    <row r="476" spans="2:2" ht="17.399999999999999" customHeight="1" x14ac:dyDescent="0.45">
      <c r="B476" s="59"/>
    </row>
    <row r="477" spans="2:2" ht="17.399999999999999" customHeight="1" x14ac:dyDescent="0.45">
      <c r="B477" s="59"/>
    </row>
    <row r="478" spans="2:2" ht="17.399999999999999" customHeight="1" x14ac:dyDescent="0.45">
      <c r="B478" s="59"/>
    </row>
    <row r="479" spans="2:2" ht="17.399999999999999" customHeight="1" x14ac:dyDescent="0.45">
      <c r="B479" s="59"/>
    </row>
    <row r="480" spans="2:2" ht="17.399999999999999" customHeight="1" x14ac:dyDescent="0.45">
      <c r="B480" s="59"/>
    </row>
    <row r="481" spans="2:2" ht="17.399999999999999" customHeight="1" x14ac:dyDescent="0.45">
      <c r="B481" s="59"/>
    </row>
    <row r="482" spans="2:2" ht="17.399999999999999" customHeight="1" x14ac:dyDescent="0.45">
      <c r="B482" s="59"/>
    </row>
    <row r="483" spans="2:2" ht="17.399999999999999" customHeight="1" x14ac:dyDescent="0.45">
      <c r="B483" s="59"/>
    </row>
    <row r="484" spans="2:2" ht="17.399999999999999" customHeight="1" x14ac:dyDescent="0.45">
      <c r="B484" s="59"/>
    </row>
    <row r="485" spans="2:2" ht="17.399999999999999" customHeight="1" x14ac:dyDescent="0.45">
      <c r="B485" s="59"/>
    </row>
    <row r="486" spans="2:2" ht="17.399999999999999" customHeight="1" x14ac:dyDescent="0.45">
      <c r="B486" s="59"/>
    </row>
    <row r="487" spans="2:2" ht="17.399999999999999" customHeight="1" x14ac:dyDescent="0.45">
      <c r="B487" s="59"/>
    </row>
    <row r="488" spans="2:2" ht="17.399999999999999" customHeight="1" x14ac:dyDescent="0.45">
      <c r="B488" s="59"/>
    </row>
    <row r="489" spans="2:2" ht="17.399999999999999" customHeight="1" x14ac:dyDescent="0.45">
      <c r="B489" s="59"/>
    </row>
    <row r="490" spans="2:2" ht="17.399999999999999" customHeight="1" x14ac:dyDescent="0.45">
      <c r="B490" s="59"/>
    </row>
    <row r="491" spans="2:2" ht="17.399999999999999" customHeight="1" x14ac:dyDescent="0.45">
      <c r="B491" s="59"/>
    </row>
    <row r="492" spans="2:2" ht="17.399999999999999" customHeight="1" x14ac:dyDescent="0.45">
      <c r="B492" s="59"/>
    </row>
    <row r="493" spans="2:2" ht="17.399999999999999" customHeight="1" x14ac:dyDescent="0.45">
      <c r="B493" s="59"/>
    </row>
    <row r="494" spans="2:2" ht="17.399999999999999" customHeight="1" x14ac:dyDescent="0.45">
      <c r="B494" s="59"/>
    </row>
    <row r="495" spans="2:2" ht="17.399999999999999" customHeight="1" x14ac:dyDescent="0.45">
      <c r="B495" s="59"/>
    </row>
    <row r="496" spans="2:2" ht="17.399999999999999" customHeight="1" x14ac:dyDescent="0.45">
      <c r="B496" s="59"/>
    </row>
    <row r="497" spans="2:2" ht="17.399999999999999" customHeight="1" x14ac:dyDescent="0.45">
      <c r="B497" s="59"/>
    </row>
    <row r="498" spans="2:2" ht="17.399999999999999" customHeight="1" x14ac:dyDescent="0.45">
      <c r="B498" s="59"/>
    </row>
    <row r="499" spans="2:2" ht="17.399999999999999" customHeight="1" x14ac:dyDescent="0.45">
      <c r="B499" s="59"/>
    </row>
    <row r="500" spans="2:2" ht="17.399999999999999" customHeight="1" x14ac:dyDescent="0.45">
      <c r="B500" s="59"/>
    </row>
    <row r="501" spans="2:2" ht="17.399999999999999" customHeight="1" x14ac:dyDescent="0.45">
      <c r="B501" s="59"/>
    </row>
    <row r="502" spans="2:2" ht="17.399999999999999" customHeight="1" x14ac:dyDescent="0.45">
      <c r="B502" s="59"/>
    </row>
    <row r="503" spans="2:2" ht="17.399999999999999" customHeight="1" x14ac:dyDescent="0.45">
      <c r="B503" s="59"/>
    </row>
    <row r="504" spans="2:2" ht="17.399999999999999" customHeight="1" x14ac:dyDescent="0.45">
      <c r="B504" s="59"/>
    </row>
    <row r="505" spans="2:2" ht="17.399999999999999" customHeight="1" x14ac:dyDescent="0.45">
      <c r="B505" s="59"/>
    </row>
    <row r="506" spans="2:2" ht="17.399999999999999" customHeight="1" x14ac:dyDescent="0.45">
      <c r="B506" s="59"/>
    </row>
    <row r="507" spans="2:2" ht="17.399999999999999" customHeight="1" x14ac:dyDescent="0.45">
      <c r="B507" s="59"/>
    </row>
    <row r="508" spans="2:2" ht="17.399999999999999" customHeight="1" x14ac:dyDescent="0.45">
      <c r="B508" s="59"/>
    </row>
    <row r="509" spans="2:2" ht="17.399999999999999" customHeight="1" x14ac:dyDescent="0.45">
      <c r="B509" s="59"/>
    </row>
    <row r="510" spans="2:2" ht="17.399999999999999" customHeight="1" x14ac:dyDescent="0.45">
      <c r="B510" s="59"/>
    </row>
    <row r="511" spans="2:2" ht="17.399999999999999" customHeight="1" x14ac:dyDescent="0.45">
      <c r="B511" s="59"/>
    </row>
    <row r="512" spans="2:2" ht="17.399999999999999" customHeight="1" x14ac:dyDescent="0.45">
      <c r="B512" s="59"/>
    </row>
    <row r="513" spans="2:2" ht="17.399999999999999" customHeight="1" x14ac:dyDescent="0.45">
      <c r="B513" s="59"/>
    </row>
    <row r="514" spans="2:2" ht="17.399999999999999" customHeight="1" x14ac:dyDescent="0.45">
      <c r="B514" s="59"/>
    </row>
    <row r="515" spans="2:2" ht="17.399999999999999" customHeight="1" x14ac:dyDescent="0.45">
      <c r="B515" s="59"/>
    </row>
    <row r="516" spans="2:2" ht="17.399999999999999" customHeight="1" x14ac:dyDescent="0.45">
      <c r="B516" s="59"/>
    </row>
    <row r="517" spans="2:2" ht="17.399999999999999" customHeight="1" x14ac:dyDescent="0.45">
      <c r="B517" s="59"/>
    </row>
    <row r="518" spans="2:2" ht="17.399999999999999" customHeight="1" x14ac:dyDescent="0.45">
      <c r="B518" s="59"/>
    </row>
    <row r="519" spans="2:2" ht="17.399999999999999" customHeight="1" x14ac:dyDescent="0.45">
      <c r="B519" s="59"/>
    </row>
    <row r="520" spans="2:2" ht="17.399999999999999" customHeight="1" x14ac:dyDescent="0.45">
      <c r="B520" s="59"/>
    </row>
    <row r="521" spans="2:2" ht="17.399999999999999" customHeight="1" x14ac:dyDescent="0.45">
      <c r="B521" s="59"/>
    </row>
    <row r="522" spans="2:2" ht="17.399999999999999" customHeight="1" x14ac:dyDescent="0.45">
      <c r="B522" s="59"/>
    </row>
    <row r="523" spans="2:2" ht="17.399999999999999" customHeight="1" x14ac:dyDescent="0.45">
      <c r="B523" s="59"/>
    </row>
    <row r="524" spans="2:2" ht="17.399999999999999" customHeight="1" x14ac:dyDescent="0.45">
      <c r="B524" s="59"/>
    </row>
    <row r="525" spans="2:2" ht="17.399999999999999" customHeight="1" x14ac:dyDescent="0.45">
      <c r="B525" s="59"/>
    </row>
    <row r="526" spans="2:2" ht="17.399999999999999" customHeight="1" x14ac:dyDescent="0.45">
      <c r="B526" s="59"/>
    </row>
    <row r="527" spans="2:2" ht="17.399999999999999" customHeight="1" x14ac:dyDescent="0.45">
      <c r="B527" s="59"/>
    </row>
    <row r="528" spans="2:2" ht="17.399999999999999" customHeight="1" x14ac:dyDescent="0.45">
      <c r="B528" s="59"/>
    </row>
    <row r="529" spans="2:2" ht="17.399999999999999" customHeight="1" x14ac:dyDescent="0.45">
      <c r="B529" s="59"/>
    </row>
    <row r="530" spans="2:2" ht="17.399999999999999" customHeight="1" x14ac:dyDescent="0.45">
      <c r="B530" s="59"/>
    </row>
    <row r="531" spans="2:2" ht="17.399999999999999" customHeight="1" x14ac:dyDescent="0.45">
      <c r="B531" s="59"/>
    </row>
    <row r="532" spans="2:2" ht="17.399999999999999" customHeight="1" x14ac:dyDescent="0.45">
      <c r="B532" s="59"/>
    </row>
    <row r="533" spans="2:2" ht="17.399999999999999" customHeight="1" x14ac:dyDescent="0.45">
      <c r="B533" s="59"/>
    </row>
    <row r="534" spans="2:2" ht="17.399999999999999" customHeight="1" x14ac:dyDescent="0.45">
      <c r="B534" s="59"/>
    </row>
    <row r="535" spans="2:2" ht="17.399999999999999" customHeight="1" x14ac:dyDescent="0.45">
      <c r="B535" s="59"/>
    </row>
    <row r="536" spans="2:2" ht="17.399999999999999" customHeight="1" x14ac:dyDescent="0.45">
      <c r="B536" s="59"/>
    </row>
    <row r="537" spans="2:2" ht="17.399999999999999" customHeight="1" x14ac:dyDescent="0.45">
      <c r="B537" s="59"/>
    </row>
    <row r="538" spans="2:2" ht="17.399999999999999" customHeight="1" x14ac:dyDescent="0.45">
      <c r="B538" s="59"/>
    </row>
    <row r="539" spans="2:2" ht="17.399999999999999" customHeight="1" x14ac:dyDescent="0.45">
      <c r="B539" s="59"/>
    </row>
    <row r="540" spans="2:2" ht="17.399999999999999" customHeight="1" x14ac:dyDescent="0.45">
      <c r="B540" s="59"/>
    </row>
    <row r="541" spans="2:2" ht="17.399999999999999" customHeight="1" x14ac:dyDescent="0.45">
      <c r="B541" s="59"/>
    </row>
    <row r="542" spans="2:2" ht="17.399999999999999" customHeight="1" x14ac:dyDescent="0.45">
      <c r="B542" s="59"/>
    </row>
    <row r="543" spans="2:2" ht="17.399999999999999" customHeight="1" x14ac:dyDescent="0.45">
      <c r="B543" s="59"/>
    </row>
    <row r="544" spans="2:2" ht="17.399999999999999" customHeight="1" x14ac:dyDescent="0.45">
      <c r="B544" s="59"/>
    </row>
    <row r="545" spans="2:2" ht="17.399999999999999" customHeight="1" x14ac:dyDescent="0.45">
      <c r="B545" s="59"/>
    </row>
    <row r="546" spans="2:2" ht="17.399999999999999" customHeight="1" x14ac:dyDescent="0.45">
      <c r="B546" s="59"/>
    </row>
    <row r="547" spans="2:2" ht="17.399999999999999" customHeight="1" x14ac:dyDescent="0.45">
      <c r="B547" s="59"/>
    </row>
    <row r="548" spans="2:2" ht="17.399999999999999" customHeight="1" x14ac:dyDescent="0.45">
      <c r="B548" s="59"/>
    </row>
    <row r="549" spans="2:2" ht="17.399999999999999" customHeight="1" x14ac:dyDescent="0.45">
      <c r="B549" s="59"/>
    </row>
    <row r="550" spans="2:2" ht="17.399999999999999" customHeight="1" x14ac:dyDescent="0.45">
      <c r="B550" s="59"/>
    </row>
    <row r="551" spans="2:2" ht="17.399999999999999" customHeight="1" x14ac:dyDescent="0.45">
      <c r="B551" s="59"/>
    </row>
    <row r="552" spans="2:2" ht="17.399999999999999" customHeight="1" x14ac:dyDescent="0.45">
      <c r="B552" s="59"/>
    </row>
    <row r="553" spans="2:2" ht="17.399999999999999" customHeight="1" x14ac:dyDescent="0.45">
      <c r="B553" s="59"/>
    </row>
    <row r="554" spans="2:2" ht="17.399999999999999" customHeight="1" x14ac:dyDescent="0.45">
      <c r="B554" s="59"/>
    </row>
    <row r="555" spans="2:2" ht="17.399999999999999" customHeight="1" x14ac:dyDescent="0.45">
      <c r="B555" s="59"/>
    </row>
    <row r="556" spans="2:2" ht="17.399999999999999" customHeight="1" x14ac:dyDescent="0.45">
      <c r="B556" s="59"/>
    </row>
    <row r="557" spans="2:2" ht="17.399999999999999" customHeight="1" x14ac:dyDescent="0.45">
      <c r="B557" s="59"/>
    </row>
    <row r="558" spans="2:2" ht="17.399999999999999" customHeight="1" x14ac:dyDescent="0.45">
      <c r="B558" s="59"/>
    </row>
    <row r="559" spans="2:2" ht="17.399999999999999" customHeight="1" x14ac:dyDescent="0.45">
      <c r="B559" s="59"/>
    </row>
    <row r="560" spans="2:2" ht="17.399999999999999" customHeight="1" x14ac:dyDescent="0.45">
      <c r="B560" s="59"/>
    </row>
    <row r="561" spans="2:2" ht="17.399999999999999" customHeight="1" x14ac:dyDescent="0.45">
      <c r="B561" s="59"/>
    </row>
    <row r="562" spans="2:2" ht="17.399999999999999" customHeight="1" x14ac:dyDescent="0.45">
      <c r="B562" s="59"/>
    </row>
    <row r="563" spans="2:2" ht="17.399999999999999" customHeight="1" x14ac:dyDescent="0.45">
      <c r="B563" s="59"/>
    </row>
    <row r="564" spans="2:2" ht="17.399999999999999" customHeight="1" x14ac:dyDescent="0.45">
      <c r="B564" s="59"/>
    </row>
    <row r="565" spans="2:2" ht="17.399999999999999" customHeight="1" x14ac:dyDescent="0.45">
      <c r="B565" s="59"/>
    </row>
    <row r="566" spans="2:2" ht="17.399999999999999" customHeight="1" x14ac:dyDescent="0.45">
      <c r="B566" s="59"/>
    </row>
    <row r="567" spans="2:2" ht="17.399999999999999" customHeight="1" x14ac:dyDescent="0.45">
      <c r="B567" s="59"/>
    </row>
    <row r="568" spans="2:2" ht="17.399999999999999" customHeight="1" x14ac:dyDescent="0.45">
      <c r="B568" s="59"/>
    </row>
    <row r="569" spans="2:2" ht="17.399999999999999" customHeight="1" x14ac:dyDescent="0.45">
      <c r="B569" s="59"/>
    </row>
    <row r="570" spans="2:2" ht="17.399999999999999" customHeight="1" x14ac:dyDescent="0.45">
      <c r="B570" s="59"/>
    </row>
    <row r="571" spans="2:2" ht="17.399999999999999" customHeight="1" x14ac:dyDescent="0.45">
      <c r="B571" s="59"/>
    </row>
    <row r="572" spans="2:2" ht="17.399999999999999" customHeight="1" x14ac:dyDescent="0.45">
      <c r="B572" s="59"/>
    </row>
    <row r="573" spans="2:2" ht="17.399999999999999" customHeight="1" x14ac:dyDescent="0.45">
      <c r="B573" s="59"/>
    </row>
    <row r="574" spans="2:2" ht="17.399999999999999" customHeight="1" x14ac:dyDescent="0.45">
      <c r="B574" s="59"/>
    </row>
    <row r="575" spans="2:2" ht="17.399999999999999" customHeight="1" x14ac:dyDescent="0.45">
      <c r="B575" s="59"/>
    </row>
    <row r="576" spans="2:2" ht="17.399999999999999" customHeight="1" x14ac:dyDescent="0.45">
      <c r="B576" s="59"/>
    </row>
    <row r="577" spans="2:2" ht="17.399999999999999" customHeight="1" x14ac:dyDescent="0.45">
      <c r="B577" s="59"/>
    </row>
    <row r="578" spans="2:2" ht="17.399999999999999" customHeight="1" x14ac:dyDescent="0.45">
      <c r="B578" s="59"/>
    </row>
    <row r="579" spans="2:2" ht="17.399999999999999" customHeight="1" x14ac:dyDescent="0.45">
      <c r="B579" s="59"/>
    </row>
    <row r="580" spans="2:2" ht="17.399999999999999" customHeight="1" x14ac:dyDescent="0.45">
      <c r="B580" s="59"/>
    </row>
    <row r="581" spans="2:2" ht="17.399999999999999" customHeight="1" x14ac:dyDescent="0.45">
      <c r="B581" s="59"/>
    </row>
    <row r="582" spans="2:2" ht="17.399999999999999" customHeight="1" x14ac:dyDescent="0.45">
      <c r="B582" s="59"/>
    </row>
    <row r="583" spans="2:2" ht="17.399999999999999" customHeight="1" x14ac:dyDescent="0.45">
      <c r="B583" s="59"/>
    </row>
    <row r="584" spans="2:2" ht="17.399999999999999" customHeight="1" x14ac:dyDescent="0.45">
      <c r="B584" s="59"/>
    </row>
    <row r="585" spans="2:2" ht="17.399999999999999" customHeight="1" x14ac:dyDescent="0.45">
      <c r="B585" s="59"/>
    </row>
    <row r="586" spans="2:2" ht="17.399999999999999" customHeight="1" x14ac:dyDescent="0.45">
      <c r="B586" s="59"/>
    </row>
    <row r="587" spans="2:2" ht="17.399999999999999" customHeight="1" x14ac:dyDescent="0.45">
      <c r="B587" s="59"/>
    </row>
    <row r="588" spans="2:2" ht="17.399999999999999" customHeight="1" x14ac:dyDescent="0.45">
      <c r="B588" s="59"/>
    </row>
    <row r="589" spans="2:2" ht="17.399999999999999" customHeight="1" x14ac:dyDescent="0.45">
      <c r="B589" s="59"/>
    </row>
    <row r="590" spans="2:2" ht="17.399999999999999" customHeight="1" x14ac:dyDescent="0.45">
      <c r="B590" s="59"/>
    </row>
    <row r="591" spans="2:2" ht="17.399999999999999" customHeight="1" x14ac:dyDescent="0.45">
      <c r="B591" s="59"/>
    </row>
    <row r="592" spans="2:2" ht="17.399999999999999" customHeight="1" x14ac:dyDescent="0.45">
      <c r="B592" s="59"/>
    </row>
    <row r="593" spans="2:2" ht="17.399999999999999" customHeight="1" x14ac:dyDescent="0.45">
      <c r="B593" s="59"/>
    </row>
    <row r="594" spans="2:2" ht="17.399999999999999" customHeight="1" x14ac:dyDescent="0.45">
      <c r="B594" s="59"/>
    </row>
    <row r="595" spans="2:2" ht="17.399999999999999" customHeight="1" x14ac:dyDescent="0.45">
      <c r="B595" s="59"/>
    </row>
    <row r="596" spans="2:2" ht="17.399999999999999" customHeight="1" x14ac:dyDescent="0.45">
      <c r="B596" s="59"/>
    </row>
    <row r="597" spans="2:2" ht="17.399999999999999" customHeight="1" x14ac:dyDescent="0.45">
      <c r="B597" s="59"/>
    </row>
    <row r="598" spans="2:2" ht="17.399999999999999" customHeight="1" x14ac:dyDescent="0.45">
      <c r="B598" s="59"/>
    </row>
    <row r="599" spans="2:2" ht="17.399999999999999" customHeight="1" x14ac:dyDescent="0.45">
      <c r="B599" s="59"/>
    </row>
    <row r="600" spans="2:2" ht="17.399999999999999" customHeight="1" x14ac:dyDescent="0.45">
      <c r="B600" s="59"/>
    </row>
    <row r="601" spans="2:2" ht="17.399999999999999" customHeight="1" x14ac:dyDescent="0.45">
      <c r="B601" s="59"/>
    </row>
    <row r="602" spans="2:2" ht="17.399999999999999" customHeight="1" x14ac:dyDescent="0.45">
      <c r="B602" s="59"/>
    </row>
    <row r="603" spans="2:2" ht="17.399999999999999" customHeight="1" x14ac:dyDescent="0.45">
      <c r="B603" s="59"/>
    </row>
    <row r="604" spans="2:2" ht="17.399999999999999" customHeight="1" x14ac:dyDescent="0.45">
      <c r="B604" s="59"/>
    </row>
    <row r="605" spans="2:2" ht="17.399999999999999" customHeight="1" x14ac:dyDescent="0.45">
      <c r="B605" s="59"/>
    </row>
    <row r="606" spans="2:2" ht="17.399999999999999" customHeight="1" x14ac:dyDescent="0.45">
      <c r="B606" s="59"/>
    </row>
    <row r="607" spans="2:2" ht="17.399999999999999" customHeight="1" x14ac:dyDescent="0.45">
      <c r="B607" s="59"/>
    </row>
    <row r="608" spans="2:2" ht="17.399999999999999" customHeight="1" x14ac:dyDescent="0.45">
      <c r="B608" s="59"/>
    </row>
    <row r="609" spans="2:2" ht="17.399999999999999" customHeight="1" x14ac:dyDescent="0.45">
      <c r="B609" s="59"/>
    </row>
    <row r="610" spans="2:2" ht="17.399999999999999" customHeight="1" x14ac:dyDescent="0.45">
      <c r="B610" s="59"/>
    </row>
    <row r="611" spans="2:2" ht="17.399999999999999" customHeight="1" x14ac:dyDescent="0.45">
      <c r="B611" s="59"/>
    </row>
    <row r="612" spans="2:2" ht="17.399999999999999" customHeight="1" x14ac:dyDescent="0.45">
      <c r="B612" s="59"/>
    </row>
    <row r="613" spans="2:2" ht="17.399999999999999" customHeight="1" x14ac:dyDescent="0.45">
      <c r="B613" s="59"/>
    </row>
    <row r="614" spans="2:2" ht="17.399999999999999" customHeight="1" x14ac:dyDescent="0.45">
      <c r="B614" s="59"/>
    </row>
    <row r="615" spans="2:2" ht="17.399999999999999" customHeight="1" x14ac:dyDescent="0.45">
      <c r="B615" s="59"/>
    </row>
    <row r="616" spans="2:2" ht="17.399999999999999" customHeight="1" x14ac:dyDescent="0.45">
      <c r="B616" s="59"/>
    </row>
    <row r="617" spans="2:2" ht="17.399999999999999" customHeight="1" x14ac:dyDescent="0.45">
      <c r="B617" s="59"/>
    </row>
    <row r="618" spans="2:2" ht="17.399999999999999" customHeight="1" x14ac:dyDescent="0.45">
      <c r="B618" s="59"/>
    </row>
    <row r="619" spans="2:2" ht="17.399999999999999" customHeight="1" x14ac:dyDescent="0.45">
      <c r="B619" s="59"/>
    </row>
    <row r="620" spans="2:2" ht="17.399999999999999" customHeight="1" x14ac:dyDescent="0.45">
      <c r="B620" s="59"/>
    </row>
    <row r="621" spans="2:2" ht="17.399999999999999" customHeight="1" x14ac:dyDescent="0.45">
      <c r="B621" s="59"/>
    </row>
    <row r="622" spans="2:2" ht="17.399999999999999" customHeight="1" x14ac:dyDescent="0.45">
      <c r="B622" s="59"/>
    </row>
    <row r="623" spans="2:2" ht="17.399999999999999" customHeight="1" x14ac:dyDescent="0.45">
      <c r="B623" s="59"/>
    </row>
    <row r="624" spans="2:2" ht="17.399999999999999" customHeight="1" x14ac:dyDescent="0.45">
      <c r="B624" s="59"/>
    </row>
    <row r="625" spans="2:2" ht="17.399999999999999" customHeight="1" x14ac:dyDescent="0.45">
      <c r="B625" s="59"/>
    </row>
    <row r="626" spans="2:2" ht="17.399999999999999" customHeight="1" x14ac:dyDescent="0.45">
      <c r="B626" s="59"/>
    </row>
    <row r="627" spans="2:2" ht="17.399999999999999" customHeight="1" x14ac:dyDescent="0.45">
      <c r="B627" s="59"/>
    </row>
    <row r="628" spans="2:2" ht="17.399999999999999" customHeight="1" x14ac:dyDescent="0.45">
      <c r="B628" s="59"/>
    </row>
    <row r="629" spans="2:2" ht="17.399999999999999" customHeight="1" x14ac:dyDescent="0.45">
      <c r="B629" s="59"/>
    </row>
    <row r="630" spans="2:2" ht="17.399999999999999" customHeight="1" x14ac:dyDescent="0.45">
      <c r="B630" s="59"/>
    </row>
    <row r="631" spans="2:2" ht="17.399999999999999" customHeight="1" x14ac:dyDescent="0.45">
      <c r="B631" s="59"/>
    </row>
    <row r="632" spans="2:2" ht="17.399999999999999" customHeight="1" x14ac:dyDescent="0.45">
      <c r="B632" s="59"/>
    </row>
    <row r="633" spans="2:2" ht="17.399999999999999" customHeight="1" x14ac:dyDescent="0.45">
      <c r="B633" s="59"/>
    </row>
    <row r="634" spans="2:2" ht="17.399999999999999" customHeight="1" x14ac:dyDescent="0.45">
      <c r="B634" s="59"/>
    </row>
    <row r="635" spans="2:2" ht="17.399999999999999" customHeight="1" x14ac:dyDescent="0.45">
      <c r="B635" s="59"/>
    </row>
    <row r="636" spans="2:2" ht="17.399999999999999" customHeight="1" x14ac:dyDescent="0.45">
      <c r="B636" s="59"/>
    </row>
    <row r="637" spans="2:2" ht="17.399999999999999" customHeight="1" x14ac:dyDescent="0.45">
      <c r="B637" s="59"/>
    </row>
    <row r="638" spans="2:2" ht="17.399999999999999" customHeight="1" x14ac:dyDescent="0.45">
      <c r="B638" s="59"/>
    </row>
    <row r="639" spans="2:2" ht="17.399999999999999" customHeight="1" x14ac:dyDescent="0.45">
      <c r="B639" s="59"/>
    </row>
    <row r="640" spans="2:2" ht="17.399999999999999" customHeight="1" x14ac:dyDescent="0.45">
      <c r="B640" s="59"/>
    </row>
    <row r="641" spans="2:2" ht="17.399999999999999" customHeight="1" x14ac:dyDescent="0.45">
      <c r="B641" s="59"/>
    </row>
    <row r="642" spans="2:2" ht="17.399999999999999" customHeight="1" x14ac:dyDescent="0.45">
      <c r="B642" s="59"/>
    </row>
    <row r="643" spans="2:2" ht="17.399999999999999" customHeight="1" x14ac:dyDescent="0.45">
      <c r="B643" s="59"/>
    </row>
    <row r="644" spans="2:2" ht="17.399999999999999" customHeight="1" x14ac:dyDescent="0.45">
      <c r="B644" s="59"/>
    </row>
    <row r="645" spans="2:2" ht="17.399999999999999" customHeight="1" x14ac:dyDescent="0.45">
      <c r="B645" s="59"/>
    </row>
    <row r="646" spans="2:2" ht="17.399999999999999" customHeight="1" x14ac:dyDescent="0.45">
      <c r="B646" s="59"/>
    </row>
    <row r="647" spans="2:2" ht="17.399999999999999" customHeight="1" x14ac:dyDescent="0.45">
      <c r="B647" s="59"/>
    </row>
    <row r="648" spans="2:2" ht="17.399999999999999" customHeight="1" x14ac:dyDescent="0.45">
      <c r="B648" s="59"/>
    </row>
    <row r="649" spans="2:2" ht="17.399999999999999" customHeight="1" x14ac:dyDescent="0.45">
      <c r="B649" s="59"/>
    </row>
    <row r="650" spans="2:2" ht="17.399999999999999" customHeight="1" x14ac:dyDescent="0.45">
      <c r="B650" s="59"/>
    </row>
    <row r="651" spans="2:2" ht="17.399999999999999" customHeight="1" x14ac:dyDescent="0.45">
      <c r="B651" s="59"/>
    </row>
    <row r="652" spans="2:2" ht="17.399999999999999" customHeight="1" x14ac:dyDescent="0.45">
      <c r="B652" s="59"/>
    </row>
    <row r="653" spans="2:2" ht="17.399999999999999" customHeight="1" x14ac:dyDescent="0.45">
      <c r="B653" s="59"/>
    </row>
    <row r="654" spans="2:2" ht="17.399999999999999" customHeight="1" x14ac:dyDescent="0.45">
      <c r="B654" s="59"/>
    </row>
    <row r="655" spans="2:2" ht="17.399999999999999" customHeight="1" x14ac:dyDescent="0.45">
      <c r="B655" s="59"/>
    </row>
    <row r="656" spans="2:2" ht="17.399999999999999" customHeight="1" x14ac:dyDescent="0.45">
      <c r="B656" s="59"/>
    </row>
    <row r="657" spans="2:2" ht="17.399999999999999" customHeight="1" x14ac:dyDescent="0.45">
      <c r="B657" s="59"/>
    </row>
    <row r="658" spans="2:2" ht="17.399999999999999" customHeight="1" x14ac:dyDescent="0.45">
      <c r="B658" s="59"/>
    </row>
    <row r="659" spans="2:2" ht="17.399999999999999" customHeight="1" x14ac:dyDescent="0.45">
      <c r="B659" s="59"/>
    </row>
    <row r="660" spans="2:2" ht="17.399999999999999" customHeight="1" x14ac:dyDescent="0.45">
      <c r="B660" s="59"/>
    </row>
    <row r="661" spans="2:2" ht="17.399999999999999" customHeight="1" x14ac:dyDescent="0.45">
      <c r="B661" s="59"/>
    </row>
    <row r="662" spans="2:2" ht="17.399999999999999" customHeight="1" x14ac:dyDescent="0.45">
      <c r="B662" s="59"/>
    </row>
    <row r="663" spans="2:2" ht="17.399999999999999" customHeight="1" x14ac:dyDescent="0.45">
      <c r="B663" s="59"/>
    </row>
    <row r="664" spans="2:2" ht="17.399999999999999" customHeight="1" x14ac:dyDescent="0.45">
      <c r="B664" s="59"/>
    </row>
    <row r="665" spans="2:2" ht="17.399999999999999" customHeight="1" x14ac:dyDescent="0.45">
      <c r="B665" s="59"/>
    </row>
    <row r="666" spans="2:2" ht="17.399999999999999" customHeight="1" x14ac:dyDescent="0.45">
      <c r="B666" s="59"/>
    </row>
    <row r="667" spans="2:2" ht="17.399999999999999" customHeight="1" x14ac:dyDescent="0.45">
      <c r="B667" s="59"/>
    </row>
    <row r="668" spans="2:2" ht="17.399999999999999" customHeight="1" x14ac:dyDescent="0.45">
      <c r="B668" s="59"/>
    </row>
    <row r="669" spans="2:2" ht="17.399999999999999" customHeight="1" x14ac:dyDescent="0.45">
      <c r="B669" s="59"/>
    </row>
    <row r="670" spans="2:2" ht="17.399999999999999" customHeight="1" x14ac:dyDescent="0.45">
      <c r="B670" s="59"/>
    </row>
    <row r="671" spans="2:2" ht="17.399999999999999" customHeight="1" x14ac:dyDescent="0.45">
      <c r="B671" s="59"/>
    </row>
    <row r="672" spans="2:2" ht="17.399999999999999" customHeight="1" x14ac:dyDescent="0.45">
      <c r="B672" s="59"/>
    </row>
    <row r="673" spans="2:2" ht="17.399999999999999" customHeight="1" x14ac:dyDescent="0.45">
      <c r="B673" s="59"/>
    </row>
    <row r="674" spans="2:2" ht="17.399999999999999" customHeight="1" x14ac:dyDescent="0.45">
      <c r="B674" s="59"/>
    </row>
    <row r="675" spans="2:2" ht="17.399999999999999" customHeight="1" x14ac:dyDescent="0.45">
      <c r="B675" s="59"/>
    </row>
    <row r="676" spans="2:2" ht="17.399999999999999" customHeight="1" x14ac:dyDescent="0.45">
      <c r="B676" s="59"/>
    </row>
    <row r="677" spans="2:2" ht="17.399999999999999" customHeight="1" x14ac:dyDescent="0.45">
      <c r="B677" s="59"/>
    </row>
    <row r="678" spans="2:2" ht="17.399999999999999" customHeight="1" x14ac:dyDescent="0.45">
      <c r="B678" s="59"/>
    </row>
    <row r="679" spans="2:2" ht="17.399999999999999" customHeight="1" x14ac:dyDescent="0.45">
      <c r="B679" s="59"/>
    </row>
    <row r="680" spans="2:2" ht="17.399999999999999" customHeight="1" x14ac:dyDescent="0.45">
      <c r="B680" s="59"/>
    </row>
    <row r="681" spans="2:2" ht="17.399999999999999" customHeight="1" x14ac:dyDescent="0.45">
      <c r="B681" s="59"/>
    </row>
    <row r="682" spans="2:2" ht="17.399999999999999" customHeight="1" x14ac:dyDescent="0.45">
      <c r="B682" s="59"/>
    </row>
    <row r="683" spans="2:2" ht="17.399999999999999" customHeight="1" x14ac:dyDescent="0.45">
      <c r="B683" s="59"/>
    </row>
    <row r="684" spans="2:2" ht="17.399999999999999" customHeight="1" x14ac:dyDescent="0.45">
      <c r="B684" s="59"/>
    </row>
    <row r="685" spans="2:2" ht="17.399999999999999" customHeight="1" x14ac:dyDescent="0.45">
      <c r="B685" s="59"/>
    </row>
    <row r="686" spans="2:2" ht="17.399999999999999" customHeight="1" x14ac:dyDescent="0.45">
      <c r="B686" s="59"/>
    </row>
    <row r="687" spans="2:2" ht="17.399999999999999" customHeight="1" x14ac:dyDescent="0.45">
      <c r="B687" s="59"/>
    </row>
    <row r="688" spans="2:2" ht="17.399999999999999" customHeight="1" x14ac:dyDescent="0.45">
      <c r="B688" s="59"/>
    </row>
    <row r="689" spans="2:2" ht="17.399999999999999" customHeight="1" x14ac:dyDescent="0.45">
      <c r="B689" s="59"/>
    </row>
    <row r="690" spans="2:2" ht="17.399999999999999" customHeight="1" x14ac:dyDescent="0.45">
      <c r="B690" s="59"/>
    </row>
    <row r="691" spans="2:2" ht="17.399999999999999" customHeight="1" x14ac:dyDescent="0.45">
      <c r="B691" s="59"/>
    </row>
    <row r="692" spans="2:2" ht="17.399999999999999" customHeight="1" x14ac:dyDescent="0.45">
      <c r="B692" s="59"/>
    </row>
    <row r="693" spans="2:2" ht="17.399999999999999" customHeight="1" x14ac:dyDescent="0.45">
      <c r="B693" s="59"/>
    </row>
    <row r="694" spans="2:2" ht="17.399999999999999" customHeight="1" x14ac:dyDescent="0.45">
      <c r="B694" s="59"/>
    </row>
    <row r="695" spans="2:2" ht="17.399999999999999" customHeight="1" x14ac:dyDescent="0.45">
      <c r="B695" s="59"/>
    </row>
    <row r="696" spans="2:2" ht="17.399999999999999" customHeight="1" x14ac:dyDescent="0.45">
      <c r="B696" s="59"/>
    </row>
    <row r="697" spans="2:2" ht="17.399999999999999" customHeight="1" x14ac:dyDescent="0.45">
      <c r="B697" s="59"/>
    </row>
    <row r="698" spans="2:2" ht="17.399999999999999" customHeight="1" x14ac:dyDescent="0.45">
      <c r="B698" s="59"/>
    </row>
    <row r="699" spans="2:2" ht="17.399999999999999" customHeight="1" x14ac:dyDescent="0.45">
      <c r="B699" s="59"/>
    </row>
    <row r="700" spans="2:2" ht="17.399999999999999" customHeight="1" x14ac:dyDescent="0.45">
      <c r="B700" s="59"/>
    </row>
    <row r="701" spans="2:2" ht="17.399999999999999" customHeight="1" x14ac:dyDescent="0.45">
      <c r="B701" s="59"/>
    </row>
    <row r="702" spans="2:2" ht="17.399999999999999" customHeight="1" x14ac:dyDescent="0.45">
      <c r="B702" s="59"/>
    </row>
    <row r="703" spans="2:2" ht="17.399999999999999" customHeight="1" x14ac:dyDescent="0.45">
      <c r="B703" s="59"/>
    </row>
    <row r="704" spans="2:2" ht="17.399999999999999" customHeight="1" x14ac:dyDescent="0.45">
      <c r="B704" s="59"/>
    </row>
    <row r="705" spans="2:2" ht="17.399999999999999" customHeight="1" x14ac:dyDescent="0.45">
      <c r="B705" s="59"/>
    </row>
    <row r="706" spans="2:2" ht="17.399999999999999" customHeight="1" x14ac:dyDescent="0.45">
      <c r="B706" s="59"/>
    </row>
    <row r="707" spans="2:2" ht="17.399999999999999" customHeight="1" x14ac:dyDescent="0.45">
      <c r="B707" s="59"/>
    </row>
    <row r="708" spans="2:2" ht="17.399999999999999" customHeight="1" x14ac:dyDescent="0.45">
      <c r="B708" s="59"/>
    </row>
    <row r="709" spans="2:2" ht="17.399999999999999" customHeight="1" x14ac:dyDescent="0.45">
      <c r="B709" s="59"/>
    </row>
    <row r="710" spans="2:2" ht="17.399999999999999" customHeight="1" x14ac:dyDescent="0.45">
      <c r="B710" s="59"/>
    </row>
    <row r="711" spans="2:2" ht="17.399999999999999" customHeight="1" x14ac:dyDescent="0.45">
      <c r="B711" s="59"/>
    </row>
    <row r="712" spans="2:2" ht="17.399999999999999" customHeight="1" x14ac:dyDescent="0.45">
      <c r="B712" s="59"/>
    </row>
    <row r="713" spans="2:2" ht="17.399999999999999" customHeight="1" x14ac:dyDescent="0.45">
      <c r="B713" s="59"/>
    </row>
    <row r="714" spans="2:2" ht="17.399999999999999" customHeight="1" x14ac:dyDescent="0.45">
      <c r="B714" s="59"/>
    </row>
    <row r="715" spans="2:2" ht="17.399999999999999" customHeight="1" x14ac:dyDescent="0.45">
      <c r="B715" s="59"/>
    </row>
    <row r="716" spans="2:2" ht="17.399999999999999" customHeight="1" x14ac:dyDescent="0.45">
      <c r="B716" s="59"/>
    </row>
    <row r="717" spans="2:2" ht="17.399999999999999" customHeight="1" x14ac:dyDescent="0.45">
      <c r="B717" s="59"/>
    </row>
    <row r="718" spans="2:2" ht="17.399999999999999" customHeight="1" x14ac:dyDescent="0.45">
      <c r="B718" s="59"/>
    </row>
    <row r="719" spans="2:2" ht="17.399999999999999" customHeight="1" x14ac:dyDescent="0.45">
      <c r="B719" s="59"/>
    </row>
    <row r="720" spans="2:2" ht="17.399999999999999" customHeight="1" x14ac:dyDescent="0.45">
      <c r="B720" s="59"/>
    </row>
    <row r="721" spans="2:2" ht="17.399999999999999" customHeight="1" x14ac:dyDescent="0.45">
      <c r="B721" s="59"/>
    </row>
    <row r="722" spans="2:2" ht="17.399999999999999" customHeight="1" x14ac:dyDescent="0.45">
      <c r="B722" s="59"/>
    </row>
    <row r="723" spans="2:2" ht="17.399999999999999" customHeight="1" x14ac:dyDescent="0.45">
      <c r="B723" s="59"/>
    </row>
    <row r="724" spans="2:2" ht="17.399999999999999" customHeight="1" x14ac:dyDescent="0.45">
      <c r="B724" s="59"/>
    </row>
    <row r="725" spans="2:2" ht="17.399999999999999" customHeight="1" x14ac:dyDescent="0.45">
      <c r="B725" s="59"/>
    </row>
    <row r="726" spans="2:2" ht="17.399999999999999" customHeight="1" x14ac:dyDescent="0.45">
      <c r="B726" s="59"/>
    </row>
    <row r="727" spans="2:2" ht="17.399999999999999" customHeight="1" x14ac:dyDescent="0.45">
      <c r="B727" s="59"/>
    </row>
    <row r="728" spans="2:2" ht="17.399999999999999" customHeight="1" x14ac:dyDescent="0.45">
      <c r="B728" s="59"/>
    </row>
    <row r="729" spans="2:2" ht="17.399999999999999" customHeight="1" x14ac:dyDescent="0.45">
      <c r="B729" s="59"/>
    </row>
    <row r="730" spans="2:2" ht="17.399999999999999" customHeight="1" x14ac:dyDescent="0.45">
      <c r="B730" s="59"/>
    </row>
    <row r="731" spans="2:2" ht="17.399999999999999" customHeight="1" x14ac:dyDescent="0.45">
      <c r="B731" s="59"/>
    </row>
    <row r="732" spans="2:2" ht="17.399999999999999" customHeight="1" x14ac:dyDescent="0.45">
      <c r="B732" s="59"/>
    </row>
    <row r="733" spans="2:2" ht="17.399999999999999" customHeight="1" x14ac:dyDescent="0.45">
      <c r="B733" s="59"/>
    </row>
    <row r="734" spans="2:2" ht="17.399999999999999" customHeight="1" x14ac:dyDescent="0.45">
      <c r="B734" s="59"/>
    </row>
    <row r="735" spans="2:2" ht="17.399999999999999" customHeight="1" x14ac:dyDescent="0.45">
      <c r="B735" s="59"/>
    </row>
    <row r="736" spans="2:2" ht="17.399999999999999" customHeight="1" x14ac:dyDescent="0.45">
      <c r="B736" s="59"/>
    </row>
    <row r="737" spans="2:2" ht="17.399999999999999" customHeight="1" x14ac:dyDescent="0.45">
      <c r="B737" s="59"/>
    </row>
    <row r="738" spans="2:2" ht="17.399999999999999" customHeight="1" x14ac:dyDescent="0.45">
      <c r="B738" s="59"/>
    </row>
    <row r="739" spans="2:2" ht="17.399999999999999" customHeight="1" x14ac:dyDescent="0.45">
      <c r="B739" s="59"/>
    </row>
    <row r="740" spans="2:2" ht="17.399999999999999" customHeight="1" x14ac:dyDescent="0.45">
      <c r="B740" s="59"/>
    </row>
    <row r="741" spans="2:2" ht="17.399999999999999" customHeight="1" x14ac:dyDescent="0.45">
      <c r="B741" s="59"/>
    </row>
    <row r="742" spans="2:2" ht="17.399999999999999" customHeight="1" x14ac:dyDescent="0.45">
      <c r="B742" s="59"/>
    </row>
    <row r="743" spans="2:2" ht="17.399999999999999" customHeight="1" x14ac:dyDescent="0.45">
      <c r="B743" s="59"/>
    </row>
    <row r="744" spans="2:2" ht="17.399999999999999" customHeight="1" x14ac:dyDescent="0.45">
      <c r="B744" s="59"/>
    </row>
    <row r="745" spans="2:2" ht="17.399999999999999" customHeight="1" x14ac:dyDescent="0.45">
      <c r="B745" s="59"/>
    </row>
    <row r="746" spans="2:2" ht="17.399999999999999" customHeight="1" x14ac:dyDescent="0.45">
      <c r="B746" s="59"/>
    </row>
    <row r="747" spans="2:2" ht="17.399999999999999" customHeight="1" x14ac:dyDescent="0.45">
      <c r="B747" s="59"/>
    </row>
    <row r="748" spans="2:2" ht="17.399999999999999" customHeight="1" x14ac:dyDescent="0.45">
      <c r="B748" s="59"/>
    </row>
    <row r="749" spans="2:2" ht="17.399999999999999" customHeight="1" x14ac:dyDescent="0.45">
      <c r="B749" s="59"/>
    </row>
    <row r="750" spans="2:2" ht="17.399999999999999" customHeight="1" x14ac:dyDescent="0.45">
      <c r="B750" s="59"/>
    </row>
    <row r="751" spans="2:2" ht="17.399999999999999" customHeight="1" x14ac:dyDescent="0.45">
      <c r="B751" s="59"/>
    </row>
    <row r="752" spans="2:2" ht="17.399999999999999" customHeight="1" x14ac:dyDescent="0.45">
      <c r="B752" s="59"/>
    </row>
    <row r="753" spans="2:2" ht="17.399999999999999" customHeight="1" x14ac:dyDescent="0.45">
      <c r="B753" s="59"/>
    </row>
    <row r="754" spans="2:2" ht="17.399999999999999" customHeight="1" x14ac:dyDescent="0.45">
      <c r="B754" s="59"/>
    </row>
    <row r="755" spans="2:2" ht="17.399999999999999" customHeight="1" x14ac:dyDescent="0.45">
      <c r="B755" s="59"/>
    </row>
    <row r="756" spans="2:2" ht="17.399999999999999" customHeight="1" x14ac:dyDescent="0.45">
      <c r="B756" s="59"/>
    </row>
    <row r="757" spans="2:2" ht="17.399999999999999" customHeight="1" x14ac:dyDescent="0.45">
      <c r="B757" s="59"/>
    </row>
    <row r="758" spans="2:2" ht="17.399999999999999" customHeight="1" x14ac:dyDescent="0.45">
      <c r="B758" s="59"/>
    </row>
    <row r="759" spans="2:2" ht="17.399999999999999" customHeight="1" x14ac:dyDescent="0.45">
      <c r="B759" s="59"/>
    </row>
    <row r="760" spans="2:2" ht="17.399999999999999" customHeight="1" x14ac:dyDescent="0.45">
      <c r="B760" s="59"/>
    </row>
    <row r="761" spans="2:2" ht="17.399999999999999" customHeight="1" x14ac:dyDescent="0.45">
      <c r="B761" s="59"/>
    </row>
    <row r="762" spans="2:2" ht="17.399999999999999" customHeight="1" x14ac:dyDescent="0.45">
      <c r="B762" s="59"/>
    </row>
    <row r="763" spans="2:2" ht="17.399999999999999" customHeight="1" x14ac:dyDescent="0.45">
      <c r="B763" s="59"/>
    </row>
    <row r="764" spans="2:2" ht="17.399999999999999" customHeight="1" x14ac:dyDescent="0.45">
      <c r="B764" s="59"/>
    </row>
    <row r="765" spans="2:2" ht="17.399999999999999" customHeight="1" x14ac:dyDescent="0.45">
      <c r="B765" s="59"/>
    </row>
    <row r="766" spans="2:2" ht="17.399999999999999" customHeight="1" x14ac:dyDescent="0.45">
      <c r="B766" s="59"/>
    </row>
    <row r="767" spans="2:2" ht="17.399999999999999" customHeight="1" x14ac:dyDescent="0.45">
      <c r="B767" s="59"/>
    </row>
    <row r="768" spans="2:2" ht="17.399999999999999" customHeight="1" x14ac:dyDescent="0.45">
      <c r="B768" s="59"/>
    </row>
    <row r="769" spans="2:2" ht="17.399999999999999" customHeight="1" x14ac:dyDescent="0.45">
      <c r="B769" s="59"/>
    </row>
    <row r="770" spans="2:2" ht="17.399999999999999" customHeight="1" x14ac:dyDescent="0.45">
      <c r="B770" s="59"/>
    </row>
    <row r="771" spans="2:2" ht="17.399999999999999" customHeight="1" x14ac:dyDescent="0.45">
      <c r="B771" s="59"/>
    </row>
    <row r="772" spans="2:2" ht="17.399999999999999" customHeight="1" x14ac:dyDescent="0.45">
      <c r="B772" s="59"/>
    </row>
    <row r="773" spans="2:2" ht="17.399999999999999" customHeight="1" x14ac:dyDescent="0.45">
      <c r="B773" s="59"/>
    </row>
    <row r="774" spans="2:2" ht="17.399999999999999" customHeight="1" x14ac:dyDescent="0.45">
      <c r="B774" s="59"/>
    </row>
    <row r="775" spans="2:2" ht="17.399999999999999" customHeight="1" x14ac:dyDescent="0.45">
      <c r="B775" s="59"/>
    </row>
    <row r="776" spans="2:2" ht="17.399999999999999" customHeight="1" x14ac:dyDescent="0.45">
      <c r="B776" s="59"/>
    </row>
    <row r="777" spans="2:2" ht="17.399999999999999" customHeight="1" x14ac:dyDescent="0.45">
      <c r="B777" s="59"/>
    </row>
    <row r="778" spans="2:2" ht="17.399999999999999" customHeight="1" x14ac:dyDescent="0.45">
      <c r="B778" s="59"/>
    </row>
    <row r="779" spans="2:2" ht="17.399999999999999" customHeight="1" x14ac:dyDescent="0.45">
      <c r="B779" s="59"/>
    </row>
    <row r="780" spans="2:2" ht="17.399999999999999" customHeight="1" x14ac:dyDescent="0.45">
      <c r="B780" s="59"/>
    </row>
    <row r="781" spans="2:2" ht="17.399999999999999" customHeight="1" x14ac:dyDescent="0.45">
      <c r="B781" s="59"/>
    </row>
    <row r="782" spans="2:2" ht="17.399999999999999" customHeight="1" x14ac:dyDescent="0.45">
      <c r="B782" s="59"/>
    </row>
    <row r="783" spans="2:2" ht="17.399999999999999" customHeight="1" x14ac:dyDescent="0.45">
      <c r="B783" s="59"/>
    </row>
    <row r="784" spans="2:2" ht="17.399999999999999" customHeight="1" x14ac:dyDescent="0.45">
      <c r="B784" s="59"/>
    </row>
    <row r="785" spans="2:2" ht="17.399999999999999" customHeight="1" x14ac:dyDescent="0.45">
      <c r="B785" s="59"/>
    </row>
    <row r="786" spans="2:2" ht="17.399999999999999" customHeight="1" x14ac:dyDescent="0.45">
      <c r="B786" s="59"/>
    </row>
    <row r="787" spans="2:2" ht="17.399999999999999" customHeight="1" x14ac:dyDescent="0.45">
      <c r="B787" s="59"/>
    </row>
    <row r="788" spans="2:2" ht="17.399999999999999" customHeight="1" x14ac:dyDescent="0.45">
      <c r="B788" s="59"/>
    </row>
    <row r="789" spans="2:2" ht="17.399999999999999" customHeight="1" x14ac:dyDescent="0.45">
      <c r="B789" s="59"/>
    </row>
    <row r="790" spans="2:2" ht="17.399999999999999" customHeight="1" x14ac:dyDescent="0.45">
      <c r="B790" s="59"/>
    </row>
    <row r="791" spans="2:2" ht="17.399999999999999" customHeight="1" x14ac:dyDescent="0.45">
      <c r="B791" s="59"/>
    </row>
    <row r="792" spans="2:2" ht="17.399999999999999" customHeight="1" x14ac:dyDescent="0.45">
      <c r="B792" s="59"/>
    </row>
    <row r="793" spans="2:2" ht="17.399999999999999" customHeight="1" x14ac:dyDescent="0.45">
      <c r="B793" s="59"/>
    </row>
    <row r="794" spans="2:2" ht="17.399999999999999" customHeight="1" x14ac:dyDescent="0.45">
      <c r="B794" s="59"/>
    </row>
    <row r="795" spans="2:2" ht="17.399999999999999" customHeight="1" x14ac:dyDescent="0.45">
      <c r="B795" s="59"/>
    </row>
    <row r="796" spans="2:2" ht="17.399999999999999" customHeight="1" x14ac:dyDescent="0.45">
      <c r="B796" s="59"/>
    </row>
    <row r="797" spans="2:2" ht="17.399999999999999" customHeight="1" x14ac:dyDescent="0.45">
      <c r="B797" s="59"/>
    </row>
    <row r="798" spans="2:2" ht="17.399999999999999" customHeight="1" x14ac:dyDescent="0.45">
      <c r="B798" s="59"/>
    </row>
    <row r="799" spans="2:2" ht="17.399999999999999" customHeight="1" x14ac:dyDescent="0.45">
      <c r="B799" s="59"/>
    </row>
    <row r="800" spans="2:2" ht="17.399999999999999" customHeight="1" x14ac:dyDescent="0.45">
      <c r="B800" s="59"/>
    </row>
    <row r="801" spans="2:2" ht="17.399999999999999" customHeight="1" x14ac:dyDescent="0.45">
      <c r="B801" s="59"/>
    </row>
    <row r="802" spans="2:2" ht="17.399999999999999" customHeight="1" x14ac:dyDescent="0.45">
      <c r="B802" s="59"/>
    </row>
    <row r="803" spans="2:2" ht="17.399999999999999" customHeight="1" x14ac:dyDescent="0.45">
      <c r="B803" s="59"/>
    </row>
    <row r="804" spans="2:2" ht="17.399999999999999" customHeight="1" x14ac:dyDescent="0.45">
      <c r="B804" s="59"/>
    </row>
    <row r="805" spans="2:2" ht="17.399999999999999" customHeight="1" x14ac:dyDescent="0.45">
      <c r="B805" s="59"/>
    </row>
    <row r="806" spans="2:2" ht="17.399999999999999" customHeight="1" x14ac:dyDescent="0.45">
      <c r="B806" s="59"/>
    </row>
    <row r="807" spans="2:2" ht="17.399999999999999" customHeight="1" x14ac:dyDescent="0.45">
      <c r="B807" s="59"/>
    </row>
    <row r="808" spans="2:2" ht="17.399999999999999" customHeight="1" x14ac:dyDescent="0.45">
      <c r="B808" s="59"/>
    </row>
    <row r="809" spans="2:2" ht="17.399999999999999" customHeight="1" x14ac:dyDescent="0.45">
      <c r="B809" s="59"/>
    </row>
    <row r="810" spans="2:2" ht="17.399999999999999" customHeight="1" x14ac:dyDescent="0.45">
      <c r="B810" s="59"/>
    </row>
    <row r="811" spans="2:2" ht="17.399999999999999" customHeight="1" x14ac:dyDescent="0.45">
      <c r="B811" s="59"/>
    </row>
    <row r="812" spans="2:2" ht="17.399999999999999" customHeight="1" x14ac:dyDescent="0.45">
      <c r="B812" s="59"/>
    </row>
    <row r="813" spans="2:2" ht="17.399999999999999" customHeight="1" x14ac:dyDescent="0.45">
      <c r="B813" s="59"/>
    </row>
    <row r="814" spans="2:2" ht="17.399999999999999" customHeight="1" x14ac:dyDescent="0.45">
      <c r="B814" s="59"/>
    </row>
    <row r="815" spans="2:2" ht="17.399999999999999" customHeight="1" x14ac:dyDescent="0.45">
      <c r="B815" s="59"/>
    </row>
    <row r="816" spans="2:2" ht="17.399999999999999" customHeight="1" x14ac:dyDescent="0.45">
      <c r="B816" s="59"/>
    </row>
    <row r="817" spans="2:2" ht="17.399999999999999" customHeight="1" x14ac:dyDescent="0.45">
      <c r="B817" s="59"/>
    </row>
    <row r="818" spans="2:2" ht="17.399999999999999" customHeight="1" x14ac:dyDescent="0.45">
      <c r="B818" s="59"/>
    </row>
    <row r="819" spans="2:2" ht="17.399999999999999" customHeight="1" x14ac:dyDescent="0.45">
      <c r="B819" s="59"/>
    </row>
    <row r="820" spans="2:2" ht="17.399999999999999" customHeight="1" x14ac:dyDescent="0.45">
      <c r="B820" s="59"/>
    </row>
    <row r="821" spans="2:2" ht="17.399999999999999" customHeight="1" x14ac:dyDescent="0.45">
      <c r="B821" s="59"/>
    </row>
    <row r="822" spans="2:2" ht="17.399999999999999" customHeight="1" x14ac:dyDescent="0.45">
      <c r="B822" s="59"/>
    </row>
    <row r="823" spans="2:2" ht="17.399999999999999" customHeight="1" x14ac:dyDescent="0.45">
      <c r="B823" s="59"/>
    </row>
    <row r="824" spans="2:2" ht="17.399999999999999" customHeight="1" x14ac:dyDescent="0.45">
      <c r="B824" s="59"/>
    </row>
    <row r="825" spans="2:2" ht="17.399999999999999" customHeight="1" x14ac:dyDescent="0.45">
      <c r="B825" s="59"/>
    </row>
    <row r="826" spans="2:2" ht="17.399999999999999" customHeight="1" x14ac:dyDescent="0.45">
      <c r="B826" s="59"/>
    </row>
    <row r="827" spans="2:2" ht="17.399999999999999" customHeight="1" x14ac:dyDescent="0.45">
      <c r="B827" s="59"/>
    </row>
    <row r="828" spans="2:2" ht="17.399999999999999" customHeight="1" x14ac:dyDescent="0.45">
      <c r="B828" s="59"/>
    </row>
    <row r="829" spans="2:2" ht="17.399999999999999" customHeight="1" x14ac:dyDescent="0.45">
      <c r="B829" s="59"/>
    </row>
    <row r="830" spans="2:2" ht="17.399999999999999" customHeight="1" x14ac:dyDescent="0.45">
      <c r="B830" s="59"/>
    </row>
    <row r="831" spans="2:2" ht="17.399999999999999" customHeight="1" x14ac:dyDescent="0.45">
      <c r="B831" s="59"/>
    </row>
    <row r="832" spans="2:2" ht="17.399999999999999" customHeight="1" x14ac:dyDescent="0.45">
      <c r="B832" s="59"/>
    </row>
    <row r="833" spans="2:2" ht="17.399999999999999" customHeight="1" x14ac:dyDescent="0.45">
      <c r="B833" s="59"/>
    </row>
    <row r="834" spans="2:2" ht="17.399999999999999" customHeight="1" x14ac:dyDescent="0.45">
      <c r="B834" s="59"/>
    </row>
    <row r="835" spans="2:2" ht="17.399999999999999" customHeight="1" x14ac:dyDescent="0.45">
      <c r="B835" s="59"/>
    </row>
    <row r="836" spans="2:2" ht="17.399999999999999" customHeight="1" x14ac:dyDescent="0.45">
      <c r="B836" s="59"/>
    </row>
    <row r="837" spans="2:2" ht="17.399999999999999" customHeight="1" x14ac:dyDescent="0.45">
      <c r="B837" s="59"/>
    </row>
    <row r="838" spans="2:2" ht="17.399999999999999" customHeight="1" x14ac:dyDescent="0.45">
      <c r="B838" s="59"/>
    </row>
    <row r="839" spans="2:2" ht="17.399999999999999" customHeight="1" x14ac:dyDescent="0.45">
      <c r="B839" s="59"/>
    </row>
    <row r="840" spans="2:2" ht="17.399999999999999" customHeight="1" x14ac:dyDescent="0.45">
      <c r="B840" s="59"/>
    </row>
    <row r="841" spans="2:2" ht="17.399999999999999" customHeight="1" x14ac:dyDescent="0.45">
      <c r="B841" s="59"/>
    </row>
    <row r="842" spans="2:2" ht="17.399999999999999" customHeight="1" x14ac:dyDescent="0.45">
      <c r="B842" s="59"/>
    </row>
    <row r="843" spans="2:2" ht="17.399999999999999" customHeight="1" x14ac:dyDescent="0.45">
      <c r="B843" s="59"/>
    </row>
    <row r="844" spans="2:2" ht="17.399999999999999" customHeight="1" x14ac:dyDescent="0.45">
      <c r="B844" s="59"/>
    </row>
    <row r="845" spans="2:2" ht="17.399999999999999" customHeight="1" x14ac:dyDescent="0.45">
      <c r="B845" s="59"/>
    </row>
    <row r="846" spans="2:2" ht="17.399999999999999" customHeight="1" x14ac:dyDescent="0.45">
      <c r="B846" s="59"/>
    </row>
    <row r="847" spans="2:2" ht="17.399999999999999" customHeight="1" x14ac:dyDescent="0.45">
      <c r="B847" s="59"/>
    </row>
    <row r="848" spans="2:2" ht="17.399999999999999" customHeight="1" x14ac:dyDescent="0.45">
      <c r="B848" s="59"/>
    </row>
    <row r="849" spans="2:2" ht="17.399999999999999" customHeight="1" x14ac:dyDescent="0.45">
      <c r="B849" s="59"/>
    </row>
    <row r="850" spans="2:2" ht="17.399999999999999" customHeight="1" x14ac:dyDescent="0.45">
      <c r="B850" s="59"/>
    </row>
    <row r="851" spans="2:2" ht="17.399999999999999" customHeight="1" x14ac:dyDescent="0.45">
      <c r="B851" s="59"/>
    </row>
    <row r="852" spans="2:2" ht="17.399999999999999" customHeight="1" x14ac:dyDescent="0.45">
      <c r="B852" s="59"/>
    </row>
    <row r="853" spans="2:2" ht="17.399999999999999" customHeight="1" x14ac:dyDescent="0.45">
      <c r="B853" s="59"/>
    </row>
    <row r="854" spans="2:2" ht="17.399999999999999" customHeight="1" x14ac:dyDescent="0.45">
      <c r="B854" s="59"/>
    </row>
    <row r="855" spans="2:2" ht="17.399999999999999" customHeight="1" x14ac:dyDescent="0.45">
      <c r="B855" s="59"/>
    </row>
    <row r="856" spans="2:2" ht="17.399999999999999" customHeight="1" x14ac:dyDescent="0.45">
      <c r="B856" s="59"/>
    </row>
    <row r="857" spans="2:2" ht="17.399999999999999" customHeight="1" x14ac:dyDescent="0.45">
      <c r="B857" s="59"/>
    </row>
    <row r="858" spans="2:2" ht="17.399999999999999" customHeight="1" x14ac:dyDescent="0.45">
      <c r="B858" s="59"/>
    </row>
    <row r="859" spans="2:2" ht="17.399999999999999" customHeight="1" x14ac:dyDescent="0.45">
      <c r="B859" s="59"/>
    </row>
    <row r="860" spans="2:2" ht="17.399999999999999" customHeight="1" x14ac:dyDescent="0.45">
      <c r="B860" s="59"/>
    </row>
    <row r="861" spans="2:2" ht="17.399999999999999" customHeight="1" x14ac:dyDescent="0.45">
      <c r="B861" s="59"/>
    </row>
    <row r="862" spans="2:2" ht="17.399999999999999" customHeight="1" x14ac:dyDescent="0.45">
      <c r="B862" s="59"/>
    </row>
    <row r="863" spans="2:2" ht="17.399999999999999" customHeight="1" x14ac:dyDescent="0.45">
      <c r="B863" s="59"/>
    </row>
    <row r="864" spans="2:2" ht="17.399999999999999" customHeight="1" x14ac:dyDescent="0.45">
      <c r="B864" s="59"/>
    </row>
    <row r="865" spans="2:2" ht="17.399999999999999" customHeight="1" x14ac:dyDescent="0.45">
      <c r="B865" s="59"/>
    </row>
    <row r="866" spans="2:2" ht="17.399999999999999" customHeight="1" x14ac:dyDescent="0.45">
      <c r="B866" s="59"/>
    </row>
    <row r="867" spans="2:2" ht="17.399999999999999" customHeight="1" x14ac:dyDescent="0.45">
      <c r="B867" s="59"/>
    </row>
    <row r="868" spans="2:2" ht="17.399999999999999" customHeight="1" x14ac:dyDescent="0.45">
      <c r="B868" s="59"/>
    </row>
    <row r="869" spans="2:2" ht="17.399999999999999" customHeight="1" x14ac:dyDescent="0.45">
      <c r="B869" s="59"/>
    </row>
    <row r="870" spans="2:2" ht="17.399999999999999" customHeight="1" x14ac:dyDescent="0.45">
      <c r="B870" s="59"/>
    </row>
    <row r="871" spans="2:2" ht="17.399999999999999" customHeight="1" x14ac:dyDescent="0.45">
      <c r="B871" s="59"/>
    </row>
    <row r="872" spans="2:2" ht="17.399999999999999" customHeight="1" x14ac:dyDescent="0.45">
      <c r="B872" s="59"/>
    </row>
    <row r="873" spans="2:2" ht="17.399999999999999" customHeight="1" x14ac:dyDescent="0.45">
      <c r="B873" s="59"/>
    </row>
    <row r="874" spans="2:2" ht="17.399999999999999" customHeight="1" x14ac:dyDescent="0.45">
      <c r="B874" s="59"/>
    </row>
    <row r="875" spans="2:2" ht="17.399999999999999" customHeight="1" x14ac:dyDescent="0.45">
      <c r="B875" s="59"/>
    </row>
    <row r="876" spans="2:2" ht="17.399999999999999" customHeight="1" x14ac:dyDescent="0.45">
      <c r="B876" s="59"/>
    </row>
    <row r="877" spans="2:2" ht="17.399999999999999" customHeight="1" x14ac:dyDescent="0.45">
      <c r="B877" s="59"/>
    </row>
    <row r="878" spans="2:2" ht="17.399999999999999" customHeight="1" x14ac:dyDescent="0.45">
      <c r="B878" s="59"/>
    </row>
    <row r="879" spans="2:2" ht="17.399999999999999" customHeight="1" x14ac:dyDescent="0.45">
      <c r="B879" s="59"/>
    </row>
    <row r="880" spans="2:2" ht="17.399999999999999" customHeight="1" x14ac:dyDescent="0.45">
      <c r="B880" s="59"/>
    </row>
    <row r="881" spans="2:2" ht="17.399999999999999" customHeight="1" x14ac:dyDescent="0.45">
      <c r="B881" s="59"/>
    </row>
    <row r="882" spans="2:2" ht="17.399999999999999" customHeight="1" x14ac:dyDescent="0.45">
      <c r="B882" s="59"/>
    </row>
    <row r="883" spans="2:2" ht="17.399999999999999" customHeight="1" x14ac:dyDescent="0.45">
      <c r="B883" s="59"/>
    </row>
    <row r="884" spans="2:2" ht="17.399999999999999" customHeight="1" x14ac:dyDescent="0.45">
      <c r="B884" s="59"/>
    </row>
    <row r="885" spans="2:2" ht="17.399999999999999" customHeight="1" x14ac:dyDescent="0.45">
      <c r="B885" s="59"/>
    </row>
    <row r="886" spans="2:2" ht="17.399999999999999" customHeight="1" x14ac:dyDescent="0.45">
      <c r="B886" s="59"/>
    </row>
    <row r="887" spans="2:2" ht="17.399999999999999" customHeight="1" x14ac:dyDescent="0.45">
      <c r="B887" s="59"/>
    </row>
    <row r="888" spans="2:2" ht="17.399999999999999" customHeight="1" x14ac:dyDescent="0.45">
      <c r="B888" s="59"/>
    </row>
    <row r="889" spans="2:2" ht="17.399999999999999" customHeight="1" x14ac:dyDescent="0.45">
      <c r="B889" s="59"/>
    </row>
    <row r="890" spans="2:2" ht="17.399999999999999" customHeight="1" x14ac:dyDescent="0.45">
      <c r="B890" s="59"/>
    </row>
    <row r="891" spans="2:2" ht="17.399999999999999" customHeight="1" x14ac:dyDescent="0.45">
      <c r="B891" s="59"/>
    </row>
    <row r="892" spans="2:2" ht="17.399999999999999" customHeight="1" x14ac:dyDescent="0.45">
      <c r="B892" s="59"/>
    </row>
    <row r="893" spans="2:2" ht="17.399999999999999" customHeight="1" x14ac:dyDescent="0.45">
      <c r="B893" s="59"/>
    </row>
    <row r="894" spans="2:2" ht="17.399999999999999" customHeight="1" x14ac:dyDescent="0.45">
      <c r="B894" s="59"/>
    </row>
    <row r="895" spans="2:2" ht="17.399999999999999" customHeight="1" x14ac:dyDescent="0.45">
      <c r="B895" s="59"/>
    </row>
    <row r="896" spans="2:2" ht="17.399999999999999" customHeight="1" x14ac:dyDescent="0.45">
      <c r="B896" s="59"/>
    </row>
    <row r="897" spans="2:2" ht="17.399999999999999" customHeight="1" x14ac:dyDescent="0.45">
      <c r="B897" s="59"/>
    </row>
    <row r="898" spans="2:2" ht="17.399999999999999" customHeight="1" x14ac:dyDescent="0.45">
      <c r="B898" s="59"/>
    </row>
    <row r="899" spans="2:2" ht="17.399999999999999" customHeight="1" x14ac:dyDescent="0.45">
      <c r="B899" s="59"/>
    </row>
    <row r="900" spans="2:2" ht="17.399999999999999" customHeight="1" x14ac:dyDescent="0.45">
      <c r="B900" s="59"/>
    </row>
    <row r="901" spans="2:2" ht="17.399999999999999" customHeight="1" x14ac:dyDescent="0.45">
      <c r="B901" s="59"/>
    </row>
    <row r="902" spans="2:2" ht="17.399999999999999" customHeight="1" x14ac:dyDescent="0.45">
      <c r="B902" s="59"/>
    </row>
    <row r="903" spans="2:2" ht="17.399999999999999" customHeight="1" x14ac:dyDescent="0.45">
      <c r="B903" s="59"/>
    </row>
    <row r="904" spans="2:2" ht="17.399999999999999" customHeight="1" x14ac:dyDescent="0.45">
      <c r="B904" s="59"/>
    </row>
    <row r="905" spans="2:2" ht="17.399999999999999" customHeight="1" x14ac:dyDescent="0.45">
      <c r="B905" s="59"/>
    </row>
    <row r="906" spans="2:2" ht="17.399999999999999" customHeight="1" x14ac:dyDescent="0.45">
      <c r="B906" s="59"/>
    </row>
    <row r="907" spans="2:2" ht="17.399999999999999" customHeight="1" x14ac:dyDescent="0.45">
      <c r="B907" s="59"/>
    </row>
    <row r="908" spans="2:2" ht="17.399999999999999" customHeight="1" x14ac:dyDescent="0.45">
      <c r="B908" s="59"/>
    </row>
    <row r="909" spans="2:2" ht="17.399999999999999" customHeight="1" x14ac:dyDescent="0.45">
      <c r="B909" s="59"/>
    </row>
    <row r="910" spans="2:2" ht="17.399999999999999" customHeight="1" x14ac:dyDescent="0.45">
      <c r="B910" s="59"/>
    </row>
    <row r="911" spans="2:2" ht="17.399999999999999" customHeight="1" x14ac:dyDescent="0.45">
      <c r="B911" s="59"/>
    </row>
    <row r="912" spans="2:2" ht="17.399999999999999" customHeight="1" x14ac:dyDescent="0.45">
      <c r="B912" s="59"/>
    </row>
    <row r="913" spans="2:2" ht="17.399999999999999" customHeight="1" x14ac:dyDescent="0.45">
      <c r="B913" s="59"/>
    </row>
    <row r="914" spans="2:2" ht="17.399999999999999" customHeight="1" x14ac:dyDescent="0.45">
      <c r="B914" s="59"/>
    </row>
    <row r="915" spans="2:2" ht="17.399999999999999" customHeight="1" x14ac:dyDescent="0.45">
      <c r="B915" s="59"/>
    </row>
    <row r="916" spans="2:2" ht="17.399999999999999" customHeight="1" x14ac:dyDescent="0.45">
      <c r="B916" s="59"/>
    </row>
    <row r="917" spans="2:2" ht="17.399999999999999" customHeight="1" x14ac:dyDescent="0.45">
      <c r="B917" s="59"/>
    </row>
    <row r="918" spans="2:2" ht="17.399999999999999" customHeight="1" x14ac:dyDescent="0.45">
      <c r="B918" s="59"/>
    </row>
    <row r="919" spans="2:2" ht="17.399999999999999" customHeight="1" x14ac:dyDescent="0.45">
      <c r="B919" s="59"/>
    </row>
    <row r="920" spans="2:2" ht="17.399999999999999" customHeight="1" x14ac:dyDescent="0.45">
      <c r="B920" s="59"/>
    </row>
    <row r="921" spans="2:2" ht="17.399999999999999" customHeight="1" x14ac:dyDescent="0.45">
      <c r="B921" s="59"/>
    </row>
    <row r="922" spans="2:2" ht="17.399999999999999" customHeight="1" x14ac:dyDescent="0.45">
      <c r="B922" s="59"/>
    </row>
    <row r="923" spans="2:2" ht="17.399999999999999" customHeight="1" x14ac:dyDescent="0.45">
      <c r="B923" s="59"/>
    </row>
    <row r="924" spans="2:2" ht="17.399999999999999" customHeight="1" x14ac:dyDescent="0.45">
      <c r="B924" s="59"/>
    </row>
    <row r="925" spans="2:2" ht="17.399999999999999" customHeight="1" x14ac:dyDescent="0.45">
      <c r="B925" s="59"/>
    </row>
    <row r="926" spans="2:2" ht="17.399999999999999" customHeight="1" x14ac:dyDescent="0.45">
      <c r="B926" s="59"/>
    </row>
    <row r="927" spans="2:2" ht="17.399999999999999" customHeight="1" x14ac:dyDescent="0.45">
      <c r="B927" s="59"/>
    </row>
    <row r="928" spans="2:2" ht="17.399999999999999" customHeight="1" x14ac:dyDescent="0.45">
      <c r="B928" s="59"/>
    </row>
    <row r="929" spans="2:2" ht="17.399999999999999" customHeight="1" x14ac:dyDescent="0.45">
      <c r="B929" s="59"/>
    </row>
    <row r="930" spans="2:2" ht="17.399999999999999" customHeight="1" x14ac:dyDescent="0.45">
      <c r="B930" s="59"/>
    </row>
    <row r="931" spans="2:2" ht="17.399999999999999" customHeight="1" x14ac:dyDescent="0.45">
      <c r="B931" s="59"/>
    </row>
    <row r="932" spans="2:2" ht="17.399999999999999" customHeight="1" x14ac:dyDescent="0.45">
      <c r="B932" s="59"/>
    </row>
    <row r="933" spans="2:2" ht="17.399999999999999" customHeight="1" x14ac:dyDescent="0.45">
      <c r="B933" s="59"/>
    </row>
    <row r="934" spans="2:2" ht="17.399999999999999" customHeight="1" x14ac:dyDescent="0.45">
      <c r="B934" s="59"/>
    </row>
    <row r="935" spans="2:2" ht="17.399999999999999" customHeight="1" x14ac:dyDescent="0.45">
      <c r="B935" s="59"/>
    </row>
    <row r="936" spans="2:2" ht="17.399999999999999" customHeight="1" x14ac:dyDescent="0.45">
      <c r="B936" s="59"/>
    </row>
    <row r="937" spans="2:2" ht="17.399999999999999" customHeight="1" x14ac:dyDescent="0.45">
      <c r="B937" s="59"/>
    </row>
    <row r="938" spans="2:2" ht="17.399999999999999" customHeight="1" x14ac:dyDescent="0.45">
      <c r="B938" s="59"/>
    </row>
    <row r="939" spans="2:2" ht="17.399999999999999" customHeight="1" x14ac:dyDescent="0.45">
      <c r="B939" s="59"/>
    </row>
    <row r="940" spans="2:2" ht="17.399999999999999" customHeight="1" x14ac:dyDescent="0.45">
      <c r="B940" s="59"/>
    </row>
    <row r="941" spans="2:2" ht="17.399999999999999" customHeight="1" x14ac:dyDescent="0.45">
      <c r="B941" s="59"/>
    </row>
    <row r="942" spans="2:2" ht="17.399999999999999" customHeight="1" x14ac:dyDescent="0.45">
      <c r="B942" s="59"/>
    </row>
    <row r="943" spans="2:2" ht="17.399999999999999" customHeight="1" x14ac:dyDescent="0.45">
      <c r="B943" s="59"/>
    </row>
    <row r="944" spans="2:2" ht="17.399999999999999" customHeight="1" x14ac:dyDescent="0.45">
      <c r="B944" s="59"/>
    </row>
    <row r="945" spans="2:2" ht="17.399999999999999" customHeight="1" x14ac:dyDescent="0.45">
      <c r="B945" s="59"/>
    </row>
    <row r="946" spans="2:2" ht="17.399999999999999" customHeight="1" x14ac:dyDescent="0.45">
      <c r="B946" s="59"/>
    </row>
    <row r="947" spans="2:2" ht="17.399999999999999" customHeight="1" x14ac:dyDescent="0.45">
      <c r="B947" s="59"/>
    </row>
    <row r="948" spans="2:2" ht="17.399999999999999" customHeight="1" x14ac:dyDescent="0.45">
      <c r="B948" s="59"/>
    </row>
    <row r="949" spans="2:2" ht="17.399999999999999" customHeight="1" x14ac:dyDescent="0.45">
      <c r="B949" s="59"/>
    </row>
    <row r="950" spans="2:2" ht="17.399999999999999" customHeight="1" x14ac:dyDescent="0.45">
      <c r="B950" s="59"/>
    </row>
    <row r="951" spans="2:2" ht="17.399999999999999" customHeight="1" x14ac:dyDescent="0.45">
      <c r="B951" s="59"/>
    </row>
    <row r="952" spans="2:2" ht="17.399999999999999" customHeight="1" x14ac:dyDescent="0.45">
      <c r="B952" s="59"/>
    </row>
    <row r="953" spans="2:2" ht="17.399999999999999" customHeight="1" x14ac:dyDescent="0.45">
      <c r="B953" s="59"/>
    </row>
    <row r="954" spans="2:2" ht="17.399999999999999" customHeight="1" x14ac:dyDescent="0.45">
      <c r="B954" s="59"/>
    </row>
    <row r="955" spans="2:2" ht="17.399999999999999" customHeight="1" x14ac:dyDescent="0.45">
      <c r="B955" s="59"/>
    </row>
    <row r="956" spans="2:2" ht="17.399999999999999" customHeight="1" x14ac:dyDescent="0.45">
      <c r="B956" s="59"/>
    </row>
    <row r="957" spans="2:2" ht="17.399999999999999" customHeight="1" x14ac:dyDescent="0.45">
      <c r="B957" s="59"/>
    </row>
    <row r="958" spans="2:2" ht="17.399999999999999" customHeight="1" x14ac:dyDescent="0.45">
      <c r="B958" s="59"/>
    </row>
    <row r="959" spans="2:2" ht="17.399999999999999" customHeight="1" x14ac:dyDescent="0.45">
      <c r="B959" s="59"/>
    </row>
    <row r="960" spans="2:2" ht="17.399999999999999" customHeight="1" x14ac:dyDescent="0.45">
      <c r="B960" s="59"/>
    </row>
    <row r="961" spans="2:2" ht="17.399999999999999" customHeight="1" x14ac:dyDescent="0.45">
      <c r="B961" s="59"/>
    </row>
    <row r="962" spans="2:2" ht="17.399999999999999" customHeight="1" x14ac:dyDescent="0.45">
      <c r="B962" s="59"/>
    </row>
    <row r="963" spans="2:2" ht="17.399999999999999" customHeight="1" x14ac:dyDescent="0.45">
      <c r="B963" s="59"/>
    </row>
    <row r="964" spans="2:2" ht="17.399999999999999" customHeight="1" x14ac:dyDescent="0.45">
      <c r="B964" s="59"/>
    </row>
    <row r="965" spans="2:2" ht="17.399999999999999" customHeight="1" x14ac:dyDescent="0.45">
      <c r="B965" s="59"/>
    </row>
    <row r="966" spans="2:2" ht="17.399999999999999" customHeight="1" x14ac:dyDescent="0.45">
      <c r="B966" s="59"/>
    </row>
    <row r="967" spans="2:2" ht="17.399999999999999" customHeight="1" x14ac:dyDescent="0.45">
      <c r="B967" s="59"/>
    </row>
    <row r="968" spans="2:2" ht="17.399999999999999" customHeight="1" x14ac:dyDescent="0.45">
      <c r="B968" s="59"/>
    </row>
    <row r="969" spans="2:2" ht="17.399999999999999" customHeight="1" x14ac:dyDescent="0.45">
      <c r="B969" s="59"/>
    </row>
    <row r="970" spans="2:2" ht="17.399999999999999" customHeight="1" x14ac:dyDescent="0.45">
      <c r="B970" s="59"/>
    </row>
    <row r="971" spans="2:2" ht="17.399999999999999" customHeight="1" x14ac:dyDescent="0.45">
      <c r="B971" s="59"/>
    </row>
    <row r="972" spans="2:2" ht="17.399999999999999" customHeight="1" x14ac:dyDescent="0.45">
      <c r="B972" s="59"/>
    </row>
    <row r="973" spans="2:2" ht="17.399999999999999" customHeight="1" x14ac:dyDescent="0.45">
      <c r="B973" s="59"/>
    </row>
    <row r="974" spans="2:2" ht="17.399999999999999" customHeight="1" x14ac:dyDescent="0.45">
      <c r="B974" s="59"/>
    </row>
    <row r="975" spans="2:2" ht="17.399999999999999" customHeight="1" x14ac:dyDescent="0.45">
      <c r="B975" s="59"/>
    </row>
    <row r="976" spans="2:2" ht="17.399999999999999" customHeight="1" x14ac:dyDescent="0.45">
      <c r="B976" s="59"/>
    </row>
    <row r="977" spans="2:2" ht="17.399999999999999" customHeight="1" x14ac:dyDescent="0.45">
      <c r="B977" s="59"/>
    </row>
    <row r="978" spans="2:2" ht="17.399999999999999" customHeight="1" x14ac:dyDescent="0.45">
      <c r="B978" s="59"/>
    </row>
    <row r="979" spans="2:2" ht="17.399999999999999" customHeight="1" x14ac:dyDescent="0.45">
      <c r="B979" s="59"/>
    </row>
    <row r="980" spans="2:2" ht="17.399999999999999" customHeight="1" x14ac:dyDescent="0.45">
      <c r="B980" s="59"/>
    </row>
    <row r="981" spans="2:2" ht="17.399999999999999" customHeight="1" x14ac:dyDescent="0.45">
      <c r="B981" s="59"/>
    </row>
    <row r="982" spans="2:2" ht="17.399999999999999" customHeight="1" x14ac:dyDescent="0.45">
      <c r="B982" s="59"/>
    </row>
    <row r="983" spans="2:2" ht="17.399999999999999" customHeight="1" x14ac:dyDescent="0.45">
      <c r="B983" s="59"/>
    </row>
    <row r="984" spans="2:2" ht="17.399999999999999" customHeight="1" x14ac:dyDescent="0.45">
      <c r="B984" s="59"/>
    </row>
    <row r="985" spans="2:2" ht="17.399999999999999" customHeight="1" x14ac:dyDescent="0.45">
      <c r="B985" s="59"/>
    </row>
    <row r="986" spans="2:2" ht="17.399999999999999" customHeight="1" x14ac:dyDescent="0.45">
      <c r="B986" s="59"/>
    </row>
    <row r="987" spans="2:2" ht="17.399999999999999" customHeight="1" x14ac:dyDescent="0.45">
      <c r="B987" s="59"/>
    </row>
    <row r="988" spans="2:2" ht="17.399999999999999" customHeight="1" x14ac:dyDescent="0.45">
      <c r="B988" s="59"/>
    </row>
    <row r="989" spans="2:2" ht="17.399999999999999" customHeight="1" x14ac:dyDescent="0.45">
      <c r="B989" s="59"/>
    </row>
    <row r="990" spans="2:2" ht="17.399999999999999" customHeight="1" x14ac:dyDescent="0.45">
      <c r="B990" s="59"/>
    </row>
    <row r="991" spans="2:2" ht="17.399999999999999" customHeight="1" x14ac:dyDescent="0.45">
      <c r="B991" s="59"/>
    </row>
    <row r="992" spans="2:2" ht="17.399999999999999" customHeight="1" x14ac:dyDescent="0.45">
      <c r="B992" s="59"/>
    </row>
    <row r="993" spans="2:2" ht="17.399999999999999" customHeight="1" x14ac:dyDescent="0.45">
      <c r="B993" s="59"/>
    </row>
    <row r="994" spans="2:2" ht="17.399999999999999" customHeight="1" x14ac:dyDescent="0.45">
      <c r="B994" s="59"/>
    </row>
    <row r="995" spans="2:2" ht="17.399999999999999" customHeight="1" x14ac:dyDescent="0.45">
      <c r="B995" s="59"/>
    </row>
    <row r="996" spans="2:2" ht="17.399999999999999" customHeight="1" x14ac:dyDescent="0.45">
      <c r="B996" s="59"/>
    </row>
    <row r="997" spans="2:2" ht="17.399999999999999" customHeight="1" x14ac:dyDescent="0.45">
      <c r="B997" s="59"/>
    </row>
    <row r="998" spans="2:2" ht="17.399999999999999" customHeight="1" x14ac:dyDescent="0.45">
      <c r="B998" s="59"/>
    </row>
    <row r="999" spans="2:2" ht="17.399999999999999" customHeight="1" x14ac:dyDescent="0.45">
      <c r="B999" s="59"/>
    </row>
    <row r="1000" spans="2:2" ht="17.399999999999999" customHeight="1" x14ac:dyDescent="0.45">
      <c r="B1000" s="59"/>
    </row>
    <row r="1001" spans="2:2" ht="17.399999999999999" customHeight="1" x14ac:dyDescent="0.45">
      <c r="B1001" s="59"/>
    </row>
    <row r="1002" spans="2:2" ht="17.399999999999999" customHeight="1" x14ac:dyDescent="0.45">
      <c r="B1002" s="59"/>
    </row>
    <row r="1003" spans="2:2" ht="17.399999999999999" customHeight="1" x14ac:dyDescent="0.45">
      <c r="B1003" s="59"/>
    </row>
    <row r="1004" spans="2:2" ht="17.399999999999999" customHeight="1" x14ac:dyDescent="0.45">
      <c r="B1004" s="59"/>
    </row>
    <row r="1005" spans="2:2" ht="17.399999999999999" customHeight="1" x14ac:dyDescent="0.45">
      <c r="B1005" s="59"/>
    </row>
    <row r="1006" spans="2:2" ht="17.399999999999999" customHeight="1" x14ac:dyDescent="0.45">
      <c r="B1006" s="59"/>
    </row>
    <row r="1007" spans="2:2" ht="17.399999999999999" customHeight="1" x14ac:dyDescent="0.45">
      <c r="B1007" s="59"/>
    </row>
    <row r="1008" spans="2:2" ht="17.399999999999999" customHeight="1" x14ac:dyDescent="0.45">
      <c r="B1008" s="59"/>
    </row>
    <row r="1009" spans="2:2" ht="17.399999999999999" customHeight="1" x14ac:dyDescent="0.45">
      <c r="B1009" s="59"/>
    </row>
    <row r="1010" spans="2:2" ht="17.399999999999999" customHeight="1" x14ac:dyDescent="0.45">
      <c r="B1010" s="59"/>
    </row>
    <row r="1011" spans="2:2" ht="17.399999999999999" customHeight="1" x14ac:dyDescent="0.45">
      <c r="B1011" s="59"/>
    </row>
    <row r="1012" spans="2:2" ht="17.399999999999999" customHeight="1" x14ac:dyDescent="0.45">
      <c r="B1012" s="59"/>
    </row>
    <row r="1013" spans="2:2" ht="17.399999999999999" customHeight="1" x14ac:dyDescent="0.45">
      <c r="B1013" s="59"/>
    </row>
    <row r="1014" spans="2:2" ht="17.399999999999999" customHeight="1" x14ac:dyDescent="0.45">
      <c r="B1014" s="59"/>
    </row>
    <row r="1015" spans="2:2" ht="17.399999999999999" customHeight="1" x14ac:dyDescent="0.45">
      <c r="B1015" s="59"/>
    </row>
  </sheetData>
  <mergeCells count="2">
    <mergeCell ref="J3:K3"/>
    <mergeCell ref="J10:K10"/>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7074-E1D5-478B-9AB8-B2D94404149C}">
  <sheetPr codeName="Sheet6"/>
  <dimension ref="A1:P32"/>
  <sheetViews>
    <sheetView topLeftCell="G1" zoomScale="107" zoomScaleNormal="130" workbookViewId="0">
      <selection activeCell="X6" sqref="X6"/>
    </sheetView>
  </sheetViews>
  <sheetFormatPr defaultColWidth="8.1640625" defaultRowHeight="14.5" x14ac:dyDescent="0.35"/>
  <cols>
    <col min="1" max="1" width="8.1640625" style="66"/>
    <col min="2" max="2" width="11.9140625" style="66" customWidth="1"/>
    <col min="3" max="3" width="8.1640625" style="66"/>
    <col min="4" max="4" width="8.6640625" style="66" customWidth="1"/>
    <col min="5" max="5" width="8.33203125" style="66" customWidth="1"/>
    <col min="6" max="6" width="5" style="66" customWidth="1"/>
    <col min="7" max="7" width="8.1640625" style="66"/>
    <col min="8" max="8" width="11.1640625" style="66" customWidth="1"/>
    <col min="9" max="9" width="8.75" style="66" customWidth="1"/>
    <col min="10" max="10" width="8.1640625" style="66"/>
    <col min="11" max="11" width="10.6640625" style="82" customWidth="1"/>
    <col min="12" max="12" width="10.6640625" style="66" customWidth="1"/>
    <col min="13" max="13" width="12" style="81" customWidth="1"/>
    <col min="14" max="14" width="5.33203125" style="66" customWidth="1"/>
    <col min="15" max="15" width="9.33203125" style="66" customWidth="1"/>
    <col min="16" max="16" width="15.58203125" style="66" customWidth="1"/>
    <col min="17" max="16384" width="8.1640625" style="66"/>
  </cols>
  <sheetData>
    <row r="1" spans="1:16" ht="45" customHeight="1" x14ac:dyDescent="0.35">
      <c r="A1" s="61" t="s">
        <v>303</v>
      </c>
      <c r="B1" s="62" t="s">
        <v>304</v>
      </c>
      <c r="C1" s="62" t="s">
        <v>305</v>
      </c>
      <c r="D1" s="62" t="s">
        <v>306</v>
      </c>
      <c r="E1" s="62" t="s">
        <v>307</v>
      </c>
      <c r="F1" s="62" t="s">
        <v>308</v>
      </c>
      <c r="G1" s="62" t="s">
        <v>262</v>
      </c>
      <c r="H1" s="63" t="s">
        <v>382</v>
      </c>
      <c r="I1" s="64" t="s">
        <v>383</v>
      </c>
      <c r="J1" s="64" t="s">
        <v>384</v>
      </c>
      <c r="K1" s="65" t="s">
        <v>385</v>
      </c>
      <c r="L1" s="64" t="s">
        <v>386</v>
      </c>
      <c r="M1" s="64" t="s">
        <v>387</v>
      </c>
    </row>
    <row r="2" spans="1:16" ht="15.5" x14ac:dyDescent="0.35">
      <c r="A2" s="67">
        <v>45167</v>
      </c>
      <c r="B2" s="68" t="s">
        <v>322</v>
      </c>
      <c r="C2" s="68" t="s">
        <v>332</v>
      </c>
      <c r="D2" s="68" t="s">
        <v>315</v>
      </c>
      <c r="E2" s="68" t="s">
        <v>388</v>
      </c>
      <c r="F2" s="68">
        <v>36</v>
      </c>
      <c r="G2" s="69">
        <v>12</v>
      </c>
      <c r="H2" s="70">
        <f>F2*G2</f>
        <v>432</v>
      </c>
      <c r="I2" s="71" cm="1">
        <f t="array" ref="I2">_xlfn.IFS(C2=$O$5,$P$5,C2=$O$6,$P$6,C2=$O$7,$P$7,C2=$O$8,$P$8)</f>
        <v>15</v>
      </c>
      <c r="J2" s="72">
        <f>VLOOKUP(C2,$O$5:$P$8,2,FALSE)</f>
        <v>15</v>
      </c>
      <c r="K2" s="73">
        <f>VLOOKUP(H2,$O$17:$P$20,2,TRUE)</f>
        <v>0.02</v>
      </c>
      <c r="L2" s="74" cm="1">
        <f t="array" ref="L2">_xlfn.IFS(H2&lt;=299,1%,H2&lt;=799,2%,H2&lt;=1499,2.5%,H2&gt;1499,3%)</f>
        <v>0.02</v>
      </c>
      <c r="M2" s="71">
        <f>L2*H2</f>
        <v>8.64</v>
      </c>
      <c r="O2" s="75" t="s">
        <v>389</v>
      </c>
    </row>
    <row r="3" spans="1:16" ht="15.5" x14ac:dyDescent="0.35">
      <c r="A3" s="67">
        <v>45168</v>
      </c>
      <c r="B3" s="68" t="s">
        <v>336</v>
      </c>
      <c r="C3" s="68" t="s">
        <v>332</v>
      </c>
      <c r="D3" s="68" t="s">
        <v>390</v>
      </c>
      <c r="E3" s="68" t="s">
        <v>391</v>
      </c>
      <c r="F3" s="68">
        <v>65</v>
      </c>
      <c r="G3" s="69">
        <v>23</v>
      </c>
      <c r="H3" s="70">
        <f t="shared" ref="H3:H32" si="0">F3*G3</f>
        <v>1495</v>
      </c>
      <c r="I3" s="71" cm="1">
        <f t="array" ref="I3">_xlfn.IFS(C3=$O$5,$P$5,C3=$O$6,$P$6,C3=$O$7,$P$7,C3=$O$8,$P$8)</f>
        <v>15</v>
      </c>
      <c r="J3" s="72">
        <f t="shared" ref="J3:J32" si="1">VLOOKUP(C3,$O$5:$P$8,2,FALSE)</f>
        <v>15</v>
      </c>
      <c r="K3" s="73">
        <f>VLOOKUP(H3,$O$17:$P$20,2,TRUE)</f>
        <v>2.5000000000000001E-2</v>
      </c>
      <c r="L3" s="74" cm="1">
        <f t="array" ref="L3">_xlfn.IFS(H3&lt;=299,1%,H3&lt;=799,2%,H3&lt;=1499,2.5%,H3&gt;1499,3%)</f>
        <v>2.5000000000000001E-2</v>
      </c>
      <c r="M3" s="71">
        <f t="shared" ref="M3:M32" si="2">L3*H3</f>
        <v>37.375</v>
      </c>
      <c r="O3" s="66" t="s">
        <v>392</v>
      </c>
    </row>
    <row r="4" spans="1:16" ht="15.5" x14ac:dyDescent="0.35">
      <c r="A4" s="67">
        <v>45168</v>
      </c>
      <c r="B4" s="68" t="s">
        <v>313</v>
      </c>
      <c r="C4" s="68" t="s">
        <v>332</v>
      </c>
      <c r="D4" s="68" t="s">
        <v>390</v>
      </c>
      <c r="E4" s="68" t="s">
        <v>349</v>
      </c>
      <c r="F4" s="68">
        <v>47</v>
      </c>
      <c r="G4" s="69">
        <v>6</v>
      </c>
      <c r="H4" s="70">
        <f t="shared" si="0"/>
        <v>282</v>
      </c>
      <c r="I4" s="71" cm="1">
        <f t="array" ref="I4">_xlfn.IFS(C4=$O$5,$P$5,C4=$O$6,$P$6,C4=$O$7,$P$7,C4=$O$8,$P$8)</f>
        <v>15</v>
      </c>
      <c r="J4" s="72">
        <f t="shared" si="1"/>
        <v>15</v>
      </c>
      <c r="K4" s="73">
        <f t="shared" ref="K4:K32" si="3">VLOOKUP(H4,$O$17:$P$20,2,TRUE)</f>
        <v>0.01</v>
      </c>
      <c r="L4" s="74" cm="1">
        <f t="array" ref="L4">_xlfn.IFS(H4&lt;=299,1%,H4&lt;=799,2%,H4&lt;=1499,2.5%,H4&gt;1499,3%)</f>
        <v>0.01</v>
      </c>
      <c r="M4" s="71">
        <f t="shared" si="2"/>
        <v>2.82</v>
      </c>
    </row>
    <row r="5" spans="1:16" ht="15.5" x14ac:dyDescent="0.35">
      <c r="A5" s="67">
        <v>45168</v>
      </c>
      <c r="B5" s="68" t="s">
        <v>322</v>
      </c>
      <c r="C5" s="68" t="s">
        <v>393</v>
      </c>
      <c r="D5" s="68" t="s">
        <v>320</v>
      </c>
      <c r="E5" s="68" t="s">
        <v>394</v>
      </c>
      <c r="F5" s="68">
        <v>24</v>
      </c>
      <c r="G5" s="69">
        <v>6</v>
      </c>
      <c r="H5" s="70">
        <f t="shared" si="0"/>
        <v>144</v>
      </c>
      <c r="I5" s="71" cm="1">
        <f t="array" ref="I5">_xlfn.IFS(C5=$O$5,$P$5,C5=$O$6,$P$6,C5=$O$7,$P$7,C5=$O$8,$P$8)</f>
        <v>12</v>
      </c>
      <c r="J5" s="72">
        <f t="shared" si="1"/>
        <v>12</v>
      </c>
      <c r="K5" s="73">
        <f t="shared" si="3"/>
        <v>0.01</v>
      </c>
      <c r="L5" s="74" cm="1">
        <f t="array" ref="L5">_xlfn.IFS(H5&lt;=299,1%,H5&lt;=799,2%,H5&lt;=1499,2.5%,H5&gt;1499,3%)</f>
        <v>0.01</v>
      </c>
      <c r="M5" s="71">
        <f t="shared" si="2"/>
        <v>1.44</v>
      </c>
      <c r="O5" s="76" t="s">
        <v>319</v>
      </c>
      <c r="P5" s="76">
        <v>10</v>
      </c>
    </row>
    <row r="6" spans="1:16" ht="15.5" x14ac:dyDescent="0.35">
      <c r="A6" s="67">
        <v>45168</v>
      </c>
      <c r="B6" s="68" t="s">
        <v>336</v>
      </c>
      <c r="C6" s="68" t="s">
        <v>314</v>
      </c>
      <c r="D6" s="68" t="s">
        <v>390</v>
      </c>
      <c r="E6" s="68" t="s">
        <v>337</v>
      </c>
      <c r="F6" s="68">
        <v>58</v>
      </c>
      <c r="G6" s="69">
        <v>18</v>
      </c>
      <c r="H6" s="70">
        <f t="shared" si="0"/>
        <v>1044</v>
      </c>
      <c r="I6" s="71" cm="1">
        <f t="array" ref="I6">_xlfn.IFS(C6=$O$5,$P$5,C6=$O$6,$P$6,C6=$O$7,$P$7,C6=$O$8,$P$8)</f>
        <v>8</v>
      </c>
      <c r="J6" s="72">
        <f t="shared" si="1"/>
        <v>8</v>
      </c>
      <c r="K6" s="73">
        <f t="shared" si="3"/>
        <v>2.5000000000000001E-2</v>
      </c>
      <c r="L6" s="74" cm="1">
        <f t="array" ref="L6">_xlfn.IFS(H6&lt;=299,1%,H6&lt;=799,2%,H6&lt;=1499,2.5%,H6&gt;1499,3%)</f>
        <v>2.5000000000000001E-2</v>
      </c>
      <c r="M6" s="71">
        <f t="shared" si="2"/>
        <v>26.1</v>
      </c>
      <c r="O6" s="76" t="s">
        <v>332</v>
      </c>
      <c r="P6" s="76">
        <v>15</v>
      </c>
    </row>
    <row r="7" spans="1:16" ht="15.5" x14ac:dyDescent="0.35">
      <c r="A7" s="67">
        <v>45168</v>
      </c>
      <c r="B7" s="68" t="s">
        <v>322</v>
      </c>
      <c r="C7" s="68" t="s">
        <v>332</v>
      </c>
      <c r="D7" s="68" t="s">
        <v>333</v>
      </c>
      <c r="E7" s="68" t="s">
        <v>395</v>
      </c>
      <c r="F7" s="68">
        <v>22</v>
      </c>
      <c r="G7" s="69">
        <v>5</v>
      </c>
      <c r="H7" s="70">
        <f t="shared" si="0"/>
        <v>110</v>
      </c>
      <c r="I7" s="71" cm="1">
        <f t="array" ref="I7">_xlfn.IFS(C7=$O$5,$P$5,C7=$O$6,$P$6,C7=$O$7,$P$7,C7=$O$8,$P$8)</f>
        <v>15</v>
      </c>
      <c r="J7" s="72">
        <f t="shared" si="1"/>
        <v>15</v>
      </c>
      <c r="K7" s="73">
        <f t="shared" si="3"/>
        <v>0.01</v>
      </c>
      <c r="L7" s="74" cm="1">
        <f t="array" ref="L7">_xlfn.IFS(H7&lt;=299,1%,H7&lt;=799,2%,H7&lt;=1499,2.5%,H7&gt;1499,3%)</f>
        <v>0.01</v>
      </c>
      <c r="M7" s="71">
        <f t="shared" si="2"/>
        <v>1.1000000000000001</v>
      </c>
      <c r="O7" s="76" t="s">
        <v>393</v>
      </c>
      <c r="P7" s="76">
        <v>12</v>
      </c>
    </row>
    <row r="8" spans="1:16" ht="15.5" x14ac:dyDescent="0.35">
      <c r="A8" s="67">
        <v>45170</v>
      </c>
      <c r="B8" s="68" t="s">
        <v>322</v>
      </c>
      <c r="C8" s="68" t="s">
        <v>319</v>
      </c>
      <c r="D8" s="68" t="s">
        <v>320</v>
      </c>
      <c r="E8" s="68" t="s">
        <v>337</v>
      </c>
      <c r="F8" s="68">
        <v>8</v>
      </c>
      <c r="G8" s="69">
        <v>12</v>
      </c>
      <c r="H8" s="70">
        <f t="shared" si="0"/>
        <v>96</v>
      </c>
      <c r="I8" s="71" cm="1">
        <f t="array" ref="I8">_xlfn.IFS(C8=$O$5,$P$5,C8=$O$6,$P$6,C8=$O$7,$P$7,C8=$O$8,$P$8)</f>
        <v>10</v>
      </c>
      <c r="J8" s="72">
        <f t="shared" si="1"/>
        <v>10</v>
      </c>
      <c r="K8" s="73">
        <f t="shared" si="3"/>
        <v>0.01</v>
      </c>
      <c r="L8" s="74" cm="1">
        <f t="array" ref="L8">_xlfn.IFS(H8&lt;=299,1%,H8&lt;=799,2%,H8&lt;=1499,2.5%,H8&gt;1499,3%)</f>
        <v>0.01</v>
      </c>
      <c r="M8" s="71">
        <f t="shared" si="2"/>
        <v>0.96</v>
      </c>
      <c r="O8" s="76" t="s">
        <v>314</v>
      </c>
      <c r="P8" s="76">
        <v>8</v>
      </c>
    </row>
    <row r="9" spans="1:16" ht="15.5" x14ac:dyDescent="0.35">
      <c r="A9" s="67">
        <v>45171</v>
      </c>
      <c r="B9" s="68" t="s">
        <v>336</v>
      </c>
      <c r="C9" s="68" t="s">
        <v>314</v>
      </c>
      <c r="D9" s="68" t="s">
        <v>320</v>
      </c>
      <c r="E9" s="68" t="s">
        <v>395</v>
      </c>
      <c r="F9" s="68">
        <v>29</v>
      </c>
      <c r="G9" s="69">
        <v>17</v>
      </c>
      <c r="H9" s="70">
        <f t="shared" si="0"/>
        <v>493</v>
      </c>
      <c r="I9" s="71" cm="1">
        <f t="array" ref="I9">_xlfn.IFS(C9=$O$5,$P$5,C9=$O$6,$P$6,C9=$O$7,$P$7,C9=$O$8,$P$8)</f>
        <v>8</v>
      </c>
      <c r="J9" s="72">
        <f t="shared" si="1"/>
        <v>8</v>
      </c>
      <c r="K9" s="73">
        <f t="shared" si="3"/>
        <v>0.02</v>
      </c>
      <c r="L9" s="74" cm="1">
        <f t="array" ref="L9">_xlfn.IFS(H9&lt;=299,1%,H9&lt;=799,2%,H9&lt;=1499,2.5%,H9&gt;1499,3%)</f>
        <v>0.02</v>
      </c>
      <c r="M9" s="71">
        <f t="shared" si="2"/>
        <v>9.86</v>
      </c>
    </row>
    <row r="10" spans="1:16" ht="15.5" x14ac:dyDescent="0.35">
      <c r="A10" s="67">
        <v>45171</v>
      </c>
      <c r="B10" s="68" t="s">
        <v>318</v>
      </c>
      <c r="C10" s="68" t="s">
        <v>332</v>
      </c>
      <c r="D10" s="68" t="s">
        <v>324</v>
      </c>
      <c r="E10" s="68" t="s">
        <v>316</v>
      </c>
      <c r="F10" s="68">
        <v>55</v>
      </c>
      <c r="G10" s="69">
        <v>19</v>
      </c>
      <c r="H10" s="70">
        <f t="shared" si="0"/>
        <v>1045</v>
      </c>
      <c r="I10" s="71" cm="1">
        <f t="array" ref="I10">_xlfn.IFS(C10=$O$5,$P$5,C10=$O$6,$P$6,C10=$O$7,$P$7,C10=$O$8,$P$8)</f>
        <v>15</v>
      </c>
      <c r="J10" s="72">
        <f t="shared" si="1"/>
        <v>15</v>
      </c>
      <c r="K10" s="73">
        <f t="shared" si="3"/>
        <v>2.5000000000000001E-2</v>
      </c>
      <c r="L10" s="74" cm="1">
        <f t="array" ref="L10">_xlfn.IFS(H10&lt;=299,1%,H10&lt;=799,2%,H10&lt;=1499,2.5%,H10&gt;1499,3%)</f>
        <v>2.5000000000000001E-2</v>
      </c>
      <c r="M10" s="71">
        <f t="shared" si="2"/>
        <v>26.125</v>
      </c>
      <c r="O10" s="66" t="s">
        <v>396</v>
      </c>
    </row>
    <row r="11" spans="1:16" ht="15.5" x14ac:dyDescent="0.35">
      <c r="A11" s="67">
        <v>45173</v>
      </c>
      <c r="B11" s="68" t="s">
        <v>318</v>
      </c>
      <c r="C11" s="68" t="s">
        <v>393</v>
      </c>
      <c r="D11" s="68" t="s">
        <v>333</v>
      </c>
      <c r="E11" s="68" t="s">
        <v>316</v>
      </c>
      <c r="F11" s="68">
        <v>39</v>
      </c>
      <c r="G11" s="69">
        <v>25</v>
      </c>
      <c r="H11" s="70">
        <f t="shared" si="0"/>
        <v>975</v>
      </c>
      <c r="I11" s="71" cm="1">
        <f t="array" ref="I11">_xlfn.IFS(C11=$O$5,$P$5,C11=$O$6,$P$6,C11=$O$7,$P$7,C11=$O$8,$P$8)</f>
        <v>12</v>
      </c>
      <c r="J11" s="72">
        <f t="shared" si="1"/>
        <v>12</v>
      </c>
      <c r="K11" s="73">
        <f t="shared" si="3"/>
        <v>2.5000000000000001E-2</v>
      </c>
      <c r="L11" s="74" cm="1">
        <f t="array" ref="L11">_xlfn.IFS(H11&lt;=299,1%,H11&lt;=799,2%,H11&lt;=1499,2.5%,H11&gt;1499,3%)</f>
        <v>2.5000000000000001E-2</v>
      </c>
      <c r="M11" s="71">
        <f t="shared" si="2"/>
        <v>24.375</v>
      </c>
      <c r="O11" s="77" t="s">
        <v>397</v>
      </c>
      <c r="P11" s="77" t="s">
        <v>398</v>
      </c>
    </row>
    <row r="12" spans="1:16" ht="15.5" x14ac:dyDescent="0.35">
      <c r="A12" s="67">
        <v>45175</v>
      </c>
      <c r="B12" s="68" t="s">
        <v>336</v>
      </c>
      <c r="C12" s="68" t="s">
        <v>332</v>
      </c>
      <c r="D12" s="68" t="s">
        <v>390</v>
      </c>
      <c r="E12" s="68" t="s">
        <v>348</v>
      </c>
      <c r="F12" s="68">
        <v>49</v>
      </c>
      <c r="G12" s="69">
        <v>8</v>
      </c>
      <c r="H12" s="70">
        <f t="shared" si="0"/>
        <v>392</v>
      </c>
      <c r="I12" s="71" cm="1">
        <f t="array" ref="I12">_xlfn.IFS(C12=$O$5,$P$5,C12=$O$6,$P$6,C12=$O$7,$P$7,C12=$O$8,$P$8)</f>
        <v>15</v>
      </c>
      <c r="J12" s="72">
        <f t="shared" si="1"/>
        <v>15</v>
      </c>
      <c r="K12" s="73">
        <f t="shared" si="3"/>
        <v>0.02</v>
      </c>
      <c r="L12" s="74" cm="1">
        <f t="array" ref="L12">_xlfn.IFS(H12&lt;=299,1%,H12&lt;=799,2%,H12&lt;=1499,2.5%,H12&gt;1499,3%)</f>
        <v>0.02</v>
      </c>
      <c r="M12" s="71">
        <f t="shared" si="2"/>
        <v>7.84</v>
      </c>
      <c r="O12" s="73">
        <v>0.01</v>
      </c>
      <c r="P12" s="78" t="s">
        <v>399</v>
      </c>
    </row>
    <row r="13" spans="1:16" ht="15.5" x14ac:dyDescent="0.35">
      <c r="A13" s="67">
        <v>45177</v>
      </c>
      <c r="B13" s="68" t="s">
        <v>318</v>
      </c>
      <c r="C13" s="68" t="s">
        <v>393</v>
      </c>
      <c r="D13" s="68" t="s">
        <v>390</v>
      </c>
      <c r="E13" s="68" t="s">
        <v>400</v>
      </c>
      <c r="F13" s="68">
        <v>93</v>
      </c>
      <c r="G13" s="69">
        <v>22</v>
      </c>
      <c r="H13" s="70">
        <f t="shared" si="0"/>
        <v>2046</v>
      </c>
      <c r="I13" s="71" cm="1">
        <f t="array" ref="I13">_xlfn.IFS(C13=$O$5,$P$5,C13=$O$6,$P$6,C13=$O$7,$P$7,C13=$O$8,$P$8)</f>
        <v>12</v>
      </c>
      <c r="J13" s="72">
        <f t="shared" si="1"/>
        <v>12</v>
      </c>
      <c r="K13" s="73">
        <f t="shared" si="3"/>
        <v>0.03</v>
      </c>
      <c r="L13" s="74" cm="1">
        <f t="array" ref="L13">_xlfn.IFS(H13&lt;=299,1%,H13&lt;=799,2%,H13&lt;=1499,2.5%,H13&gt;1499,3%)</f>
        <v>0.03</v>
      </c>
      <c r="M13" s="71">
        <f t="shared" si="2"/>
        <v>61.379999999999995</v>
      </c>
      <c r="O13" s="73">
        <v>0.02</v>
      </c>
      <c r="P13" s="78" t="s">
        <v>401</v>
      </c>
    </row>
    <row r="14" spans="1:16" ht="15.5" x14ac:dyDescent="0.35">
      <c r="A14" s="67">
        <v>45178</v>
      </c>
      <c r="B14" s="68" t="s">
        <v>322</v>
      </c>
      <c r="C14" s="68" t="s">
        <v>314</v>
      </c>
      <c r="D14" s="68" t="s">
        <v>320</v>
      </c>
      <c r="E14" s="68" t="s">
        <v>334</v>
      </c>
      <c r="F14" s="68">
        <v>19</v>
      </c>
      <c r="G14" s="69">
        <v>17</v>
      </c>
      <c r="H14" s="70">
        <f t="shared" si="0"/>
        <v>323</v>
      </c>
      <c r="I14" s="71" cm="1">
        <f t="array" ref="I14">_xlfn.IFS(C14=$O$5,$P$5,C14=$O$6,$P$6,C14=$O$7,$P$7,C14=$O$8,$P$8)</f>
        <v>8</v>
      </c>
      <c r="J14" s="72">
        <f t="shared" si="1"/>
        <v>8</v>
      </c>
      <c r="K14" s="73">
        <f t="shared" si="3"/>
        <v>0.02</v>
      </c>
      <c r="L14" s="74" cm="1">
        <f t="array" ref="L14">_xlfn.IFS(H14&lt;=299,1%,H14&lt;=799,2%,H14&lt;=1499,2.5%,H14&gt;1499,3%)</f>
        <v>0.02</v>
      </c>
      <c r="M14" s="71">
        <f t="shared" si="2"/>
        <v>6.46</v>
      </c>
      <c r="O14" s="73">
        <v>2.5000000000000001E-2</v>
      </c>
      <c r="P14" s="78" t="s">
        <v>402</v>
      </c>
    </row>
    <row r="15" spans="1:16" ht="15.5" x14ac:dyDescent="0.35">
      <c r="A15" s="67">
        <v>45178</v>
      </c>
      <c r="B15" s="68" t="s">
        <v>322</v>
      </c>
      <c r="C15" s="68" t="s">
        <v>393</v>
      </c>
      <c r="D15" s="68" t="s">
        <v>324</v>
      </c>
      <c r="E15" s="68" t="s">
        <v>403</v>
      </c>
      <c r="F15" s="68">
        <v>40</v>
      </c>
      <c r="G15" s="69">
        <v>9</v>
      </c>
      <c r="H15" s="70">
        <f t="shared" si="0"/>
        <v>360</v>
      </c>
      <c r="I15" s="71" cm="1">
        <f t="array" ref="I15">_xlfn.IFS(C15=$O$5,$P$5,C15=$O$6,$P$6,C15=$O$7,$P$7,C15=$O$8,$P$8)</f>
        <v>12</v>
      </c>
      <c r="J15" s="72">
        <f t="shared" si="1"/>
        <v>12</v>
      </c>
      <c r="K15" s="73">
        <f t="shared" si="3"/>
        <v>0.02</v>
      </c>
      <c r="L15" s="74" cm="1">
        <f t="array" ref="L15">_xlfn.IFS(H15&lt;=299,1%,H15&lt;=799,2%,H15&lt;=1499,2.5%,H15&gt;1499,3%)</f>
        <v>0.02</v>
      </c>
      <c r="M15" s="71">
        <f t="shared" si="2"/>
        <v>7.2</v>
      </c>
      <c r="O15" s="73">
        <v>0.03</v>
      </c>
      <c r="P15" s="78" t="s">
        <v>404</v>
      </c>
    </row>
    <row r="16" spans="1:16" ht="15.5" x14ac:dyDescent="0.35">
      <c r="A16" s="67">
        <v>45179</v>
      </c>
      <c r="B16" s="68" t="s">
        <v>322</v>
      </c>
      <c r="C16" s="68" t="s">
        <v>319</v>
      </c>
      <c r="D16" s="68" t="s">
        <v>320</v>
      </c>
      <c r="E16" s="68" t="s">
        <v>335</v>
      </c>
      <c r="F16" s="68">
        <v>120</v>
      </c>
      <c r="G16" s="69">
        <v>21</v>
      </c>
      <c r="H16" s="70">
        <f t="shared" si="0"/>
        <v>2520</v>
      </c>
      <c r="I16" s="71" cm="1">
        <f t="array" ref="I16">_xlfn.IFS(C16=$O$5,$P$5,C16=$O$6,$P$6,C16=$O$7,$P$7,C16=$O$8,$P$8)</f>
        <v>10</v>
      </c>
      <c r="J16" s="72">
        <f t="shared" si="1"/>
        <v>10</v>
      </c>
      <c r="K16" s="73">
        <f t="shared" si="3"/>
        <v>0.03</v>
      </c>
      <c r="L16" s="74" cm="1">
        <f t="array" ref="L16">_xlfn.IFS(H16&lt;=299,1%,H16&lt;=799,2%,H16&lt;=1499,2.5%,H16&gt;1499,3%)</f>
        <v>0.03</v>
      </c>
      <c r="M16" s="71">
        <f t="shared" si="2"/>
        <v>75.599999999999994</v>
      </c>
      <c r="O16" s="79"/>
      <c r="P16" s="80"/>
    </row>
    <row r="17" spans="1:16" ht="15.5" x14ac:dyDescent="0.35">
      <c r="A17" s="67">
        <v>45179</v>
      </c>
      <c r="B17" s="68" t="s">
        <v>313</v>
      </c>
      <c r="C17" s="68" t="s">
        <v>314</v>
      </c>
      <c r="D17" s="68" t="s">
        <v>324</v>
      </c>
      <c r="E17" s="68" t="s">
        <v>350</v>
      </c>
      <c r="F17" s="68">
        <v>24</v>
      </c>
      <c r="G17" s="69">
        <v>24</v>
      </c>
      <c r="H17" s="70">
        <f t="shared" si="0"/>
        <v>576</v>
      </c>
      <c r="I17" s="71" cm="1">
        <f t="array" ref="I17">_xlfn.IFS(C17=$O$5,$P$5,C17=$O$6,$P$6,C17=$O$7,$P$7,C17=$O$8,$P$8)</f>
        <v>8</v>
      </c>
      <c r="J17" s="72">
        <f t="shared" si="1"/>
        <v>8</v>
      </c>
      <c r="K17" s="73">
        <f t="shared" si="3"/>
        <v>0.02</v>
      </c>
      <c r="L17" s="74" cm="1">
        <f t="array" ref="L17">_xlfn.IFS(H17&lt;=299,1%,H17&lt;=799,2%,H17&lt;=1499,2.5%,H17&gt;1499,3%)</f>
        <v>0.02</v>
      </c>
      <c r="M17" s="71">
        <f t="shared" si="2"/>
        <v>11.52</v>
      </c>
      <c r="O17" s="79">
        <v>0</v>
      </c>
      <c r="P17" s="78">
        <v>0.01</v>
      </c>
    </row>
    <row r="18" spans="1:16" ht="15.5" x14ac:dyDescent="0.35">
      <c r="A18" s="67">
        <v>45181</v>
      </c>
      <c r="B18" s="68" t="s">
        <v>327</v>
      </c>
      <c r="C18" s="68" t="s">
        <v>332</v>
      </c>
      <c r="D18" s="68" t="s">
        <v>390</v>
      </c>
      <c r="E18" s="68" t="s">
        <v>341</v>
      </c>
      <c r="F18" s="68">
        <v>10</v>
      </c>
      <c r="G18" s="69">
        <v>18</v>
      </c>
      <c r="H18" s="70">
        <f t="shared" si="0"/>
        <v>180</v>
      </c>
      <c r="I18" s="71" cm="1">
        <f t="array" ref="I18">_xlfn.IFS(C18=$O$5,$P$5,C18=$O$6,$P$6,C18=$O$7,$P$7,C18=$O$8,$P$8)</f>
        <v>15</v>
      </c>
      <c r="J18" s="72">
        <f t="shared" si="1"/>
        <v>15</v>
      </c>
      <c r="K18" s="73">
        <f t="shared" si="3"/>
        <v>0.01</v>
      </c>
      <c r="L18" s="74" cm="1">
        <f t="array" ref="L18">_xlfn.IFS(H18&lt;=299,1%,H18&lt;=799,2%,H18&lt;=1499,2.5%,H18&gt;1499,3%)</f>
        <v>0.01</v>
      </c>
      <c r="M18" s="71">
        <f t="shared" si="2"/>
        <v>1.8</v>
      </c>
      <c r="O18" s="81">
        <v>300</v>
      </c>
      <c r="P18" s="78">
        <v>0.02</v>
      </c>
    </row>
    <row r="19" spans="1:16" ht="15.5" x14ac:dyDescent="0.35">
      <c r="A19" s="67">
        <v>45181</v>
      </c>
      <c r="B19" s="68" t="s">
        <v>336</v>
      </c>
      <c r="C19" s="68" t="s">
        <v>319</v>
      </c>
      <c r="D19" s="68" t="s">
        <v>320</v>
      </c>
      <c r="E19" s="68" t="s">
        <v>339</v>
      </c>
      <c r="F19" s="68">
        <v>26</v>
      </c>
      <c r="G19" s="69">
        <v>15</v>
      </c>
      <c r="H19" s="70">
        <f t="shared" si="0"/>
        <v>390</v>
      </c>
      <c r="I19" s="71" cm="1">
        <f t="array" ref="I19">_xlfn.IFS(C19=$O$5,$P$5,C19=$O$6,$P$6,C19=$O$7,$P$7,C19=$O$8,$P$8)</f>
        <v>10</v>
      </c>
      <c r="J19" s="72">
        <f t="shared" si="1"/>
        <v>10</v>
      </c>
      <c r="K19" s="73">
        <f t="shared" si="3"/>
        <v>0.02</v>
      </c>
      <c r="L19" s="74" cm="1">
        <f t="array" ref="L19">_xlfn.IFS(H19&lt;=299,1%,H19&lt;=799,2%,H19&lt;=1499,2.5%,H19&gt;1499,3%)</f>
        <v>0.02</v>
      </c>
      <c r="M19" s="71">
        <f t="shared" si="2"/>
        <v>7.8</v>
      </c>
      <c r="O19" s="81">
        <v>800</v>
      </c>
      <c r="P19" s="78">
        <v>2.5000000000000001E-2</v>
      </c>
    </row>
    <row r="20" spans="1:16" ht="15.5" x14ac:dyDescent="0.35">
      <c r="A20" s="67">
        <v>45182</v>
      </c>
      <c r="B20" s="68" t="s">
        <v>336</v>
      </c>
      <c r="C20" s="68" t="s">
        <v>332</v>
      </c>
      <c r="D20" s="68" t="s">
        <v>390</v>
      </c>
      <c r="E20" s="68" t="s">
        <v>405</v>
      </c>
      <c r="F20" s="68">
        <v>65</v>
      </c>
      <c r="G20" s="69">
        <v>13</v>
      </c>
      <c r="H20" s="70">
        <f t="shared" si="0"/>
        <v>845</v>
      </c>
      <c r="I20" s="71" cm="1">
        <f t="array" ref="I20">_xlfn.IFS(C20=$O$5,$P$5,C20=$O$6,$P$6,C20=$O$7,$P$7,C20=$O$8,$P$8)</f>
        <v>15</v>
      </c>
      <c r="J20" s="72">
        <f t="shared" si="1"/>
        <v>15</v>
      </c>
      <c r="K20" s="73">
        <f t="shared" si="3"/>
        <v>2.5000000000000001E-2</v>
      </c>
      <c r="L20" s="74" cm="1">
        <f t="array" ref="L20">_xlfn.IFS(H20&lt;=299,1%,H20&lt;=799,2%,H20&lt;=1499,2.5%,H20&gt;1499,3%)</f>
        <v>2.5000000000000001E-2</v>
      </c>
      <c r="M20" s="71">
        <f t="shared" si="2"/>
        <v>21.125</v>
      </c>
      <c r="O20" s="81">
        <v>1500</v>
      </c>
      <c r="P20" s="78">
        <v>0.03</v>
      </c>
    </row>
    <row r="21" spans="1:16" ht="15.5" x14ac:dyDescent="0.35">
      <c r="A21" s="67">
        <v>45183</v>
      </c>
      <c r="B21" s="68" t="s">
        <v>318</v>
      </c>
      <c r="C21" s="68" t="s">
        <v>393</v>
      </c>
      <c r="D21" s="68" t="s">
        <v>315</v>
      </c>
      <c r="E21" s="68" t="s">
        <v>391</v>
      </c>
      <c r="F21" s="68">
        <v>43</v>
      </c>
      <c r="G21" s="69">
        <v>16</v>
      </c>
      <c r="H21" s="70">
        <f t="shared" si="0"/>
        <v>688</v>
      </c>
      <c r="I21" s="71" cm="1">
        <f t="array" ref="I21">_xlfn.IFS(C21=$O$5,$P$5,C21=$O$6,$P$6,C21=$O$7,$P$7,C21=$O$8,$P$8)</f>
        <v>12</v>
      </c>
      <c r="J21" s="72">
        <f t="shared" si="1"/>
        <v>12</v>
      </c>
      <c r="K21" s="73">
        <f t="shared" si="3"/>
        <v>0.02</v>
      </c>
      <c r="L21" s="74" cm="1">
        <f t="array" ref="L21">_xlfn.IFS(H21&lt;=299,1%,H21&lt;=799,2%,H21&lt;=1499,2.5%,H21&gt;1499,3%)</f>
        <v>0.02</v>
      </c>
      <c r="M21" s="71">
        <f t="shared" si="2"/>
        <v>13.76</v>
      </c>
    </row>
    <row r="22" spans="1:16" ht="15.5" x14ac:dyDescent="0.35">
      <c r="A22" s="67">
        <v>45183</v>
      </c>
      <c r="B22" s="68" t="s">
        <v>336</v>
      </c>
      <c r="C22" s="68" t="s">
        <v>314</v>
      </c>
      <c r="D22" s="68" t="s">
        <v>328</v>
      </c>
      <c r="E22" s="68" t="s">
        <v>406</v>
      </c>
      <c r="F22" s="68">
        <v>20</v>
      </c>
      <c r="G22" s="69">
        <v>15</v>
      </c>
      <c r="H22" s="70">
        <f t="shared" si="0"/>
        <v>300</v>
      </c>
      <c r="I22" s="71" cm="1">
        <f t="array" ref="I22">_xlfn.IFS(C22=$O$5,$P$5,C22=$O$6,$P$6,C22=$O$7,$P$7,C22=$O$8,$P$8)</f>
        <v>8</v>
      </c>
      <c r="J22" s="72">
        <f t="shared" si="1"/>
        <v>8</v>
      </c>
      <c r="K22" s="73">
        <f t="shared" si="3"/>
        <v>0.02</v>
      </c>
      <c r="L22" s="74" cm="1">
        <f t="array" ref="L22">_xlfn.IFS(H22&lt;=299,1%,H22&lt;=799,2%,H22&lt;=1499,2.5%,H22&gt;1499,3%)</f>
        <v>0.02</v>
      </c>
      <c r="M22" s="71">
        <f t="shared" si="2"/>
        <v>6</v>
      </c>
    </row>
    <row r="23" spans="1:16" ht="15.5" x14ac:dyDescent="0.35">
      <c r="A23" s="67">
        <v>45183</v>
      </c>
      <c r="B23" s="68" t="s">
        <v>327</v>
      </c>
      <c r="C23" s="68" t="s">
        <v>332</v>
      </c>
      <c r="D23" s="68" t="s">
        <v>328</v>
      </c>
      <c r="E23" s="68" t="s">
        <v>405</v>
      </c>
      <c r="F23" s="68">
        <v>39</v>
      </c>
      <c r="G23" s="69">
        <v>16</v>
      </c>
      <c r="H23" s="70">
        <f t="shared" si="0"/>
        <v>624</v>
      </c>
      <c r="I23" s="71" cm="1">
        <f t="array" ref="I23">_xlfn.IFS(C23=$O$5,$P$5,C23=$O$6,$P$6,C23=$O$7,$P$7,C23=$O$8,$P$8)</f>
        <v>15</v>
      </c>
      <c r="J23" s="72">
        <f t="shared" si="1"/>
        <v>15</v>
      </c>
      <c r="K23" s="73">
        <f t="shared" si="3"/>
        <v>0.02</v>
      </c>
      <c r="L23" s="74" cm="1">
        <f t="array" ref="L23">_xlfn.IFS(H23&lt;=299,1%,H23&lt;=799,2%,H23&lt;=1499,2.5%,H23&gt;1499,3%)</f>
        <v>0.02</v>
      </c>
      <c r="M23" s="71">
        <f t="shared" si="2"/>
        <v>12.48</v>
      </c>
    </row>
    <row r="24" spans="1:16" ht="15.5" x14ac:dyDescent="0.35">
      <c r="A24" s="67">
        <v>45184</v>
      </c>
      <c r="B24" s="68" t="s">
        <v>313</v>
      </c>
      <c r="C24" s="68" t="s">
        <v>393</v>
      </c>
      <c r="D24" s="68" t="s">
        <v>328</v>
      </c>
      <c r="E24" s="68" t="s">
        <v>395</v>
      </c>
      <c r="F24" s="68">
        <v>33</v>
      </c>
      <c r="G24" s="69">
        <v>16</v>
      </c>
      <c r="H24" s="70">
        <f t="shared" si="0"/>
        <v>528</v>
      </c>
      <c r="I24" s="71" cm="1">
        <f t="array" ref="I24">_xlfn.IFS(C24=$O$5,$P$5,C24=$O$6,$P$6,C24=$O$7,$P$7,C24=$O$8,$P$8)</f>
        <v>12</v>
      </c>
      <c r="J24" s="72">
        <f t="shared" si="1"/>
        <v>12</v>
      </c>
      <c r="K24" s="73">
        <f t="shared" si="3"/>
        <v>0.02</v>
      </c>
      <c r="L24" s="74" cm="1">
        <f t="array" ref="L24">_xlfn.IFS(H24&lt;=299,1%,H24&lt;=799,2%,H24&lt;=1499,2.5%,H24&gt;1499,3%)</f>
        <v>0.02</v>
      </c>
      <c r="M24" s="71">
        <f t="shared" si="2"/>
        <v>10.56</v>
      </c>
    </row>
    <row r="25" spans="1:16" ht="15.5" x14ac:dyDescent="0.35">
      <c r="A25" s="67">
        <v>45184</v>
      </c>
      <c r="B25" s="68" t="s">
        <v>336</v>
      </c>
      <c r="C25" s="68" t="s">
        <v>319</v>
      </c>
      <c r="D25" s="68" t="s">
        <v>324</v>
      </c>
      <c r="E25" s="68" t="s">
        <v>407</v>
      </c>
      <c r="F25" s="68">
        <v>6</v>
      </c>
      <c r="G25" s="69">
        <v>23</v>
      </c>
      <c r="H25" s="70">
        <f t="shared" si="0"/>
        <v>138</v>
      </c>
      <c r="I25" s="71" cm="1">
        <f t="array" ref="I25">_xlfn.IFS(C25=$O$5,$P$5,C25=$O$6,$P$6,C25=$O$7,$P$7,C25=$O$8,$P$8)</f>
        <v>10</v>
      </c>
      <c r="J25" s="72">
        <f t="shared" si="1"/>
        <v>10</v>
      </c>
      <c r="K25" s="73">
        <f t="shared" si="3"/>
        <v>0.01</v>
      </c>
      <c r="L25" s="74" cm="1">
        <f t="array" ref="L25">_xlfn.IFS(H25&lt;=299,1%,H25&lt;=799,2%,H25&lt;=1499,2.5%,H25&gt;1499,3%)</f>
        <v>0.01</v>
      </c>
      <c r="M25" s="71">
        <f t="shared" si="2"/>
        <v>1.3800000000000001</v>
      </c>
    </row>
    <row r="26" spans="1:16" ht="15.5" x14ac:dyDescent="0.35">
      <c r="A26" s="67">
        <v>45186</v>
      </c>
      <c r="B26" s="68" t="s">
        <v>318</v>
      </c>
      <c r="C26" s="68" t="s">
        <v>319</v>
      </c>
      <c r="D26" s="68" t="s">
        <v>324</v>
      </c>
      <c r="E26" s="68" t="s">
        <v>346</v>
      </c>
      <c r="F26" s="68">
        <v>33</v>
      </c>
      <c r="G26" s="69">
        <v>9</v>
      </c>
      <c r="H26" s="70">
        <f t="shared" si="0"/>
        <v>297</v>
      </c>
      <c r="I26" s="71" cm="1">
        <f t="array" ref="I26">_xlfn.IFS(C26=$O$5,$P$5,C26=$O$6,$P$6,C26=$O$7,$P$7,C26=$O$8,$P$8)</f>
        <v>10</v>
      </c>
      <c r="J26" s="72">
        <f t="shared" si="1"/>
        <v>10</v>
      </c>
      <c r="K26" s="73">
        <f t="shared" si="3"/>
        <v>0.01</v>
      </c>
      <c r="L26" s="74" cm="1">
        <f t="array" ref="L26">_xlfn.IFS(H26&lt;=299,1%,H26&lt;=799,2%,H26&lt;=1499,2.5%,H26&gt;1499,3%)</f>
        <v>0.01</v>
      </c>
      <c r="M26" s="71">
        <f t="shared" si="2"/>
        <v>2.97</v>
      </c>
    </row>
    <row r="27" spans="1:16" ht="15.5" x14ac:dyDescent="0.35">
      <c r="A27" s="67">
        <v>45188</v>
      </c>
      <c r="B27" s="68" t="s">
        <v>327</v>
      </c>
      <c r="C27" s="68" t="s">
        <v>319</v>
      </c>
      <c r="D27" s="68" t="s">
        <v>390</v>
      </c>
      <c r="E27" s="68" t="s">
        <v>391</v>
      </c>
      <c r="F27" s="68">
        <v>34</v>
      </c>
      <c r="G27" s="69">
        <v>10</v>
      </c>
      <c r="H27" s="70">
        <f t="shared" si="0"/>
        <v>340</v>
      </c>
      <c r="I27" s="71" cm="1">
        <f t="array" ref="I27">_xlfn.IFS(C27=$O$5,$P$5,C27=$O$6,$P$6,C27=$O$7,$P$7,C27=$O$8,$P$8)</f>
        <v>10</v>
      </c>
      <c r="J27" s="72">
        <f t="shared" si="1"/>
        <v>10</v>
      </c>
      <c r="K27" s="73">
        <f t="shared" si="3"/>
        <v>0.02</v>
      </c>
      <c r="L27" s="74" cm="1">
        <f t="array" ref="L27">_xlfn.IFS(H27&lt;=299,1%,H27&lt;=799,2%,H27&lt;=1499,2.5%,H27&gt;1499,3%)</f>
        <v>0.02</v>
      </c>
      <c r="M27" s="71">
        <f t="shared" si="2"/>
        <v>6.8</v>
      </c>
    </row>
    <row r="28" spans="1:16" ht="15.5" x14ac:dyDescent="0.35">
      <c r="A28" s="67">
        <v>45188</v>
      </c>
      <c r="B28" s="68" t="s">
        <v>327</v>
      </c>
      <c r="C28" s="68" t="s">
        <v>319</v>
      </c>
      <c r="D28" s="68" t="s">
        <v>320</v>
      </c>
      <c r="E28" s="68" t="s">
        <v>346</v>
      </c>
      <c r="F28" s="68">
        <v>23</v>
      </c>
      <c r="G28" s="69">
        <v>16</v>
      </c>
      <c r="H28" s="70">
        <f t="shared" si="0"/>
        <v>368</v>
      </c>
      <c r="I28" s="71" cm="1">
        <f t="array" ref="I28">_xlfn.IFS(C28=$O$5,$P$5,C28=$O$6,$P$6,C28=$O$7,$P$7,C28=$O$8,$P$8)</f>
        <v>10</v>
      </c>
      <c r="J28" s="72">
        <f t="shared" si="1"/>
        <v>10</v>
      </c>
      <c r="K28" s="73">
        <f t="shared" si="3"/>
        <v>0.02</v>
      </c>
      <c r="L28" s="74" cm="1">
        <f t="array" ref="L28">_xlfn.IFS(H28&lt;=299,1%,H28&lt;=799,2%,H28&lt;=1499,2.5%,H28&gt;1499,3%)</f>
        <v>0.02</v>
      </c>
      <c r="M28" s="71">
        <f t="shared" si="2"/>
        <v>7.36</v>
      </c>
    </row>
    <row r="29" spans="1:16" ht="15.5" x14ac:dyDescent="0.35">
      <c r="A29" s="67">
        <v>45188</v>
      </c>
      <c r="B29" s="68" t="s">
        <v>318</v>
      </c>
      <c r="C29" s="68" t="s">
        <v>393</v>
      </c>
      <c r="D29" s="68" t="s">
        <v>328</v>
      </c>
      <c r="E29" s="68" t="s">
        <v>344</v>
      </c>
      <c r="F29" s="68">
        <v>6</v>
      </c>
      <c r="G29" s="69">
        <v>25</v>
      </c>
      <c r="H29" s="70">
        <f t="shared" si="0"/>
        <v>150</v>
      </c>
      <c r="I29" s="71" cm="1">
        <f t="array" ref="I29">_xlfn.IFS(C29=$O$5,$P$5,C29=$O$6,$P$6,C29=$O$7,$P$7,C29=$O$8,$P$8)</f>
        <v>12</v>
      </c>
      <c r="J29" s="72">
        <f t="shared" si="1"/>
        <v>12</v>
      </c>
      <c r="K29" s="73">
        <f t="shared" si="3"/>
        <v>0.01</v>
      </c>
      <c r="L29" s="74" cm="1">
        <f t="array" ref="L29">_xlfn.IFS(H29&lt;=299,1%,H29&lt;=799,2%,H29&lt;=1499,2.5%,H29&gt;1499,3%)</f>
        <v>0.01</v>
      </c>
      <c r="M29" s="71">
        <f t="shared" si="2"/>
        <v>1.5</v>
      </c>
    </row>
    <row r="30" spans="1:16" ht="15.5" x14ac:dyDescent="0.35">
      <c r="A30" s="67">
        <v>45188</v>
      </c>
      <c r="B30" s="68" t="s">
        <v>313</v>
      </c>
      <c r="C30" s="68" t="s">
        <v>314</v>
      </c>
      <c r="D30" s="68" t="s">
        <v>320</v>
      </c>
      <c r="E30" s="68" t="s">
        <v>349</v>
      </c>
      <c r="F30" s="68">
        <v>15</v>
      </c>
      <c r="G30" s="69">
        <v>16</v>
      </c>
      <c r="H30" s="70">
        <f t="shared" si="0"/>
        <v>240</v>
      </c>
      <c r="I30" s="71" cm="1">
        <f t="array" ref="I30">_xlfn.IFS(C30=$O$5,$P$5,C30=$O$6,$P$6,C30=$O$7,$P$7,C30=$O$8,$P$8)</f>
        <v>8</v>
      </c>
      <c r="J30" s="72">
        <f t="shared" si="1"/>
        <v>8</v>
      </c>
      <c r="K30" s="73">
        <f t="shared" si="3"/>
        <v>0.01</v>
      </c>
      <c r="L30" s="74" cm="1">
        <f t="array" ref="L30">_xlfn.IFS(H30&lt;=299,1%,H30&lt;=799,2%,H30&lt;=1499,2.5%,H30&gt;1499,3%)</f>
        <v>0.01</v>
      </c>
      <c r="M30" s="71">
        <f t="shared" si="2"/>
        <v>2.4</v>
      </c>
    </row>
    <row r="31" spans="1:16" ht="15.5" x14ac:dyDescent="0.35">
      <c r="A31" s="67">
        <v>45188</v>
      </c>
      <c r="B31" s="68" t="s">
        <v>318</v>
      </c>
      <c r="C31" s="68" t="s">
        <v>314</v>
      </c>
      <c r="D31" s="68" t="s">
        <v>390</v>
      </c>
      <c r="E31" s="68" t="s">
        <v>334</v>
      </c>
      <c r="F31" s="68">
        <v>27</v>
      </c>
      <c r="G31" s="69">
        <v>22</v>
      </c>
      <c r="H31" s="70">
        <f t="shared" si="0"/>
        <v>594</v>
      </c>
      <c r="I31" s="71" cm="1">
        <f t="array" ref="I31">_xlfn.IFS(C31=$O$5,$P$5,C31=$O$6,$P$6,C31=$O$7,$P$7,C31=$O$8,$P$8)</f>
        <v>8</v>
      </c>
      <c r="J31" s="72">
        <f t="shared" si="1"/>
        <v>8</v>
      </c>
      <c r="K31" s="73">
        <f t="shared" si="3"/>
        <v>0.02</v>
      </c>
      <c r="L31" s="74" cm="1">
        <f t="array" ref="L31">_xlfn.IFS(H31&lt;=299,1%,H31&lt;=799,2%,H31&lt;=1499,2.5%,H31&gt;1499,3%)</f>
        <v>0.02</v>
      </c>
      <c r="M31" s="71">
        <f t="shared" si="2"/>
        <v>11.88</v>
      </c>
    </row>
    <row r="32" spans="1:16" ht="15.5" x14ac:dyDescent="0.35">
      <c r="A32" s="67">
        <v>45188</v>
      </c>
      <c r="B32" s="68" t="s">
        <v>313</v>
      </c>
      <c r="C32" s="68" t="s">
        <v>314</v>
      </c>
      <c r="D32" s="68" t="s">
        <v>390</v>
      </c>
      <c r="E32" s="68" t="s">
        <v>348</v>
      </c>
      <c r="F32" s="68">
        <v>36</v>
      </c>
      <c r="G32" s="69">
        <v>13</v>
      </c>
      <c r="H32" s="70">
        <f t="shared" si="0"/>
        <v>468</v>
      </c>
      <c r="I32" s="71" cm="1">
        <f t="array" ref="I32">_xlfn.IFS(C32=$O$5,$P$5,C32=$O$6,$P$6,C32=$O$7,$P$7,C32=$O$8,$P$8)</f>
        <v>8</v>
      </c>
      <c r="J32" s="72">
        <f t="shared" si="1"/>
        <v>8</v>
      </c>
      <c r="K32" s="73">
        <f t="shared" si="3"/>
        <v>0.02</v>
      </c>
      <c r="L32" s="74" cm="1">
        <f t="array" ref="L32">_xlfn.IFS(H32&lt;=299,1%,H32&lt;=799,2%,H32&lt;=1499,2.5%,H32&gt;1499,3%)</f>
        <v>0.02</v>
      </c>
      <c r="M32" s="71">
        <f t="shared" si="2"/>
        <v>9.36</v>
      </c>
    </row>
  </sheetData>
  <sheetProtection formatCells="0" formatColumns="0" formatRows="0" pivotTables="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CE459-78EE-47F4-B8AE-4EE501ED944F}">
  <sheetPr codeName="Sheet7"/>
  <dimension ref="A1:K77"/>
  <sheetViews>
    <sheetView workbookViewId="0">
      <selection activeCell="V25" sqref="V25"/>
    </sheetView>
  </sheetViews>
  <sheetFormatPr defaultColWidth="8.6640625" defaultRowHeight="15.5" x14ac:dyDescent="0.35"/>
  <cols>
    <col min="1" max="1" width="10.9140625" style="85" customWidth="1"/>
    <col min="2" max="2" width="8.5" style="85" customWidth="1"/>
    <col min="3" max="4" width="10.08203125" style="85" customWidth="1"/>
    <col min="5" max="5" width="8.6640625" style="98"/>
    <col min="6" max="6" width="8.1640625" style="85" customWidth="1"/>
    <col min="7" max="7" width="7.58203125" style="85" customWidth="1"/>
    <col min="8" max="8" width="8.1640625" style="85" customWidth="1"/>
    <col min="9" max="9" width="10" style="85" customWidth="1"/>
    <col min="10" max="16384" width="8.6640625" style="85"/>
  </cols>
  <sheetData>
    <row r="1" spans="1:11" x14ac:dyDescent="0.35">
      <c r="A1" s="83" t="s">
        <v>304</v>
      </c>
      <c r="B1" s="84" t="s">
        <v>305</v>
      </c>
      <c r="C1" s="84" t="s">
        <v>306</v>
      </c>
      <c r="D1" s="84" t="s">
        <v>307</v>
      </c>
      <c r="E1" s="84" t="s">
        <v>308</v>
      </c>
      <c r="F1" s="84" t="s">
        <v>262</v>
      </c>
      <c r="G1" s="83" t="s">
        <v>408</v>
      </c>
      <c r="H1" s="83" t="s">
        <v>409</v>
      </c>
    </row>
    <row r="2" spans="1:11" x14ac:dyDescent="0.35">
      <c r="A2" s="86" t="s">
        <v>313</v>
      </c>
      <c r="B2" s="87" t="s">
        <v>314</v>
      </c>
      <c r="C2" s="87" t="s">
        <v>315</v>
      </c>
      <c r="D2" s="87" t="s">
        <v>316</v>
      </c>
      <c r="E2" s="88">
        <v>19</v>
      </c>
      <c r="F2" s="89">
        <v>16</v>
      </c>
      <c r="G2" s="90">
        <f>Table1[[#This Row],[Price]]*Table1[[#This Row],[Units]]</f>
        <v>304</v>
      </c>
      <c r="H2" s="85">
        <f>0.05*Table1[[#This Row],[Amount]]</f>
        <v>15.200000000000001</v>
      </c>
      <c r="K2" s="91" t="s">
        <v>410</v>
      </c>
    </row>
    <row r="3" spans="1:11" x14ac:dyDescent="0.35">
      <c r="A3" s="86" t="s">
        <v>318</v>
      </c>
      <c r="B3" s="87" t="s">
        <v>319</v>
      </c>
      <c r="C3" s="87" t="s">
        <v>320</v>
      </c>
      <c r="D3" s="87" t="s">
        <v>321</v>
      </c>
      <c r="E3" s="88">
        <v>39</v>
      </c>
      <c r="F3" s="89">
        <v>12</v>
      </c>
      <c r="G3" s="90">
        <f>Table1[[#This Row],[Price]]*Table1[[#This Row],[Units]]</f>
        <v>468</v>
      </c>
      <c r="H3" s="85">
        <f>0.05*Table1[[#This Row],[Amount]]</f>
        <v>23.400000000000002</v>
      </c>
    </row>
    <row r="4" spans="1:11" x14ac:dyDescent="0.35">
      <c r="A4" s="86" t="s">
        <v>322</v>
      </c>
      <c r="B4" s="87" t="s">
        <v>393</v>
      </c>
      <c r="C4" s="87" t="s">
        <v>324</v>
      </c>
      <c r="D4" s="87" t="s">
        <v>325</v>
      </c>
      <c r="E4" s="88">
        <v>15</v>
      </c>
      <c r="F4" s="89">
        <v>20</v>
      </c>
      <c r="G4" s="90">
        <f>Table1[[#This Row],[Price]]*Table1[[#This Row],[Units]]</f>
        <v>300</v>
      </c>
      <c r="H4" s="85">
        <f>0.05*Table1[[#This Row],[Amount]]</f>
        <v>15</v>
      </c>
      <c r="J4" s="92" t="s">
        <v>411</v>
      </c>
    </row>
    <row r="5" spans="1:11" x14ac:dyDescent="0.35">
      <c r="A5" s="86" t="s">
        <v>327</v>
      </c>
      <c r="B5" s="87" t="s">
        <v>393</v>
      </c>
      <c r="C5" s="87" t="s">
        <v>412</v>
      </c>
      <c r="D5" s="87" t="s">
        <v>329</v>
      </c>
      <c r="E5" s="88">
        <v>60</v>
      </c>
      <c r="F5" s="89">
        <v>18</v>
      </c>
      <c r="G5" s="90">
        <f>Table1[[#This Row],[Price]]*Table1[[#This Row],[Units]]</f>
        <v>1080</v>
      </c>
      <c r="H5" s="85">
        <f>0.05*Table1[[#This Row],[Amount]]</f>
        <v>54</v>
      </c>
      <c r="J5" s="92" t="s">
        <v>413</v>
      </c>
    </row>
    <row r="6" spans="1:11" x14ac:dyDescent="0.35">
      <c r="A6" s="86" t="s">
        <v>322</v>
      </c>
      <c r="B6" s="87" t="s">
        <v>393</v>
      </c>
      <c r="C6" s="87" t="s">
        <v>320</v>
      </c>
      <c r="D6" s="87" t="s">
        <v>331</v>
      </c>
      <c r="E6" s="88">
        <v>65</v>
      </c>
      <c r="F6" s="89">
        <v>7</v>
      </c>
      <c r="G6" s="90">
        <f>Table1[[#This Row],[Price]]*Table1[[#This Row],[Units]]</f>
        <v>455</v>
      </c>
      <c r="H6" s="85">
        <f>0.05*Table1[[#This Row],[Amount]]</f>
        <v>22.75</v>
      </c>
      <c r="J6" s="85" t="s">
        <v>414</v>
      </c>
    </row>
    <row r="7" spans="1:11" x14ac:dyDescent="0.35">
      <c r="A7" s="86" t="s">
        <v>313</v>
      </c>
      <c r="B7" s="87" t="s">
        <v>332</v>
      </c>
      <c r="C7" s="87" t="s">
        <v>333</v>
      </c>
      <c r="D7" s="87" t="s">
        <v>334</v>
      </c>
      <c r="E7" s="88">
        <v>11</v>
      </c>
      <c r="F7" s="89">
        <v>7</v>
      </c>
      <c r="G7" s="90">
        <f>Table1[[#This Row],[Price]]*Table1[[#This Row],[Units]]</f>
        <v>77</v>
      </c>
      <c r="H7" s="85">
        <f>0.05*Table1[[#This Row],[Amount]]</f>
        <v>3.85</v>
      </c>
      <c r="J7" s="85" t="s">
        <v>415</v>
      </c>
    </row>
    <row r="8" spans="1:11" x14ac:dyDescent="0.35">
      <c r="A8" s="86" t="s">
        <v>313</v>
      </c>
      <c r="B8" s="87" t="s">
        <v>319</v>
      </c>
      <c r="C8" s="87" t="s">
        <v>315</v>
      </c>
      <c r="D8" s="87" t="s">
        <v>335</v>
      </c>
      <c r="E8" s="88">
        <v>27</v>
      </c>
      <c r="F8" s="89">
        <v>12</v>
      </c>
      <c r="G8" s="90">
        <f>Table1[[#This Row],[Price]]*Table1[[#This Row],[Units]]</f>
        <v>324</v>
      </c>
      <c r="H8" s="85">
        <f>0.05*Table1[[#This Row],[Amount]]</f>
        <v>16.2</v>
      </c>
    </row>
    <row r="9" spans="1:11" x14ac:dyDescent="0.35">
      <c r="A9" s="86" t="s">
        <v>336</v>
      </c>
      <c r="B9" s="87" t="s">
        <v>319</v>
      </c>
      <c r="C9" s="87" t="s">
        <v>412</v>
      </c>
      <c r="D9" s="87" t="s">
        <v>337</v>
      </c>
      <c r="E9" s="88">
        <v>25</v>
      </c>
      <c r="F9" s="89">
        <v>14</v>
      </c>
      <c r="G9" s="90">
        <f>Table1[[#This Row],[Price]]*Table1[[#This Row],[Units]]</f>
        <v>350</v>
      </c>
      <c r="H9" s="85">
        <f>0.05*Table1[[#This Row],[Amount]]</f>
        <v>17.5</v>
      </c>
    </row>
    <row r="10" spans="1:11" x14ac:dyDescent="0.35">
      <c r="A10" s="86" t="s">
        <v>318</v>
      </c>
      <c r="B10" s="87" t="s">
        <v>314</v>
      </c>
      <c r="C10" s="87" t="s">
        <v>338</v>
      </c>
      <c r="D10" s="87" t="s">
        <v>339</v>
      </c>
      <c r="E10" s="88">
        <v>60</v>
      </c>
      <c r="F10" s="89">
        <v>9</v>
      </c>
      <c r="G10" s="90">
        <f>Table1[[#This Row],[Price]]*Table1[[#This Row],[Units]]</f>
        <v>540</v>
      </c>
      <c r="H10" s="85">
        <f>0.05*Table1[[#This Row],[Amount]]</f>
        <v>27</v>
      </c>
    </row>
    <row r="11" spans="1:11" x14ac:dyDescent="0.35">
      <c r="A11" s="86" t="s">
        <v>313</v>
      </c>
      <c r="B11" s="87" t="s">
        <v>332</v>
      </c>
      <c r="C11" s="87" t="s">
        <v>324</v>
      </c>
      <c r="D11" s="87" t="s">
        <v>340</v>
      </c>
      <c r="E11" s="88">
        <v>14</v>
      </c>
      <c r="F11" s="89">
        <v>9</v>
      </c>
      <c r="G11" s="90">
        <f>Table1[[#This Row],[Price]]*Table1[[#This Row],[Units]]</f>
        <v>126</v>
      </c>
      <c r="H11" s="85">
        <f>0.05*Table1[[#This Row],[Amount]]</f>
        <v>6.3000000000000007</v>
      </c>
    </row>
    <row r="12" spans="1:11" x14ac:dyDescent="0.35">
      <c r="A12" s="86" t="s">
        <v>327</v>
      </c>
      <c r="B12" s="87" t="s">
        <v>314</v>
      </c>
      <c r="C12" s="87" t="s">
        <v>333</v>
      </c>
      <c r="D12" s="87" t="s">
        <v>341</v>
      </c>
      <c r="E12" s="88">
        <v>18</v>
      </c>
      <c r="F12" s="89">
        <v>12</v>
      </c>
      <c r="G12" s="90">
        <f>Table1[[#This Row],[Price]]*Table1[[#This Row],[Units]]</f>
        <v>216</v>
      </c>
      <c r="H12" s="85">
        <f>0.05*Table1[[#This Row],[Amount]]</f>
        <v>10.8</v>
      </c>
    </row>
    <row r="13" spans="1:11" x14ac:dyDescent="0.35">
      <c r="A13" s="86" t="s">
        <v>318</v>
      </c>
      <c r="B13" s="87" t="s">
        <v>319</v>
      </c>
      <c r="C13" s="87" t="s">
        <v>320</v>
      </c>
      <c r="D13" s="87" t="s">
        <v>316</v>
      </c>
      <c r="E13" s="88">
        <v>53</v>
      </c>
      <c r="F13" s="89">
        <v>10</v>
      </c>
      <c r="G13" s="90">
        <f>Table1[[#This Row],[Price]]*Table1[[#This Row],[Units]]</f>
        <v>530</v>
      </c>
      <c r="H13" s="85">
        <f>0.05*Table1[[#This Row],[Amount]]</f>
        <v>26.5</v>
      </c>
    </row>
    <row r="14" spans="1:11" x14ac:dyDescent="0.35">
      <c r="A14" s="86" t="s">
        <v>322</v>
      </c>
      <c r="B14" s="87" t="s">
        <v>314</v>
      </c>
      <c r="C14" s="87" t="s">
        <v>320</v>
      </c>
      <c r="D14" s="87" t="s">
        <v>342</v>
      </c>
      <c r="E14" s="88">
        <v>60</v>
      </c>
      <c r="F14" s="89">
        <v>14</v>
      </c>
      <c r="G14" s="90">
        <f>Table1[[#This Row],[Price]]*Table1[[#This Row],[Units]]</f>
        <v>840</v>
      </c>
      <c r="H14" s="85">
        <f>0.05*Table1[[#This Row],[Amount]]</f>
        <v>42</v>
      </c>
    </row>
    <row r="15" spans="1:11" x14ac:dyDescent="0.35">
      <c r="A15" s="86" t="s">
        <v>327</v>
      </c>
      <c r="B15" s="87" t="s">
        <v>319</v>
      </c>
      <c r="C15" s="87" t="s">
        <v>412</v>
      </c>
      <c r="D15" s="87" t="s">
        <v>343</v>
      </c>
      <c r="E15" s="88">
        <v>41</v>
      </c>
      <c r="F15" s="89">
        <v>17</v>
      </c>
      <c r="G15" s="90">
        <f>Table1[[#This Row],[Price]]*Table1[[#This Row],[Units]]</f>
        <v>697</v>
      </c>
      <c r="H15" s="85">
        <f>0.05*Table1[[#This Row],[Amount]]</f>
        <v>34.85</v>
      </c>
    </row>
    <row r="16" spans="1:11" x14ac:dyDescent="0.35">
      <c r="A16" s="86" t="s">
        <v>322</v>
      </c>
      <c r="B16" s="87" t="s">
        <v>314</v>
      </c>
      <c r="C16" s="87" t="s">
        <v>333</v>
      </c>
      <c r="D16" s="87" t="s">
        <v>344</v>
      </c>
      <c r="E16" s="88">
        <v>14</v>
      </c>
      <c r="F16" s="89">
        <v>19</v>
      </c>
      <c r="G16" s="90">
        <f>Table1[[#This Row],[Price]]*Table1[[#This Row],[Units]]</f>
        <v>266</v>
      </c>
      <c r="H16" s="85">
        <f>0.05*Table1[[#This Row],[Amount]]</f>
        <v>13.3</v>
      </c>
    </row>
    <row r="17" spans="1:8" x14ac:dyDescent="0.35">
      <c r="A17" s="86" t="s">
        <v>336</v>
      </c>
      <c r="B17" s="87" t="s">
        <v>319</v>
      </c>
      <c r="C17" s="87" t="s">
        <v>320</v>
      </c>
      <c r="D17" s="87" t="s">
        <v>345</v>
      </c>
      <c r="E17" s="88">
        <v>65</v>
      </c>
      <c r="F17" s="89">
        <v>6</v>
      </c>
      <c r="G17" s="90">
        <f>Table1[[#This Row],[Price]]*Table1[[#This Row],[Units]]</f>
        <v>390</v>
      </c>
      <c r="H17" s="85">
        <f>0.05*Table1[[#This Row],[Amount]]</f>
        <v>19.5</v>
      </c>
    </row>
    <row r="18" spans="1:8" x14ac:dyDescent="0.35">
      <c r="A18" s="86" t="s">
        <v>336</v>
      </c>
      <c r="B18" s="87" t="s">
        <v>332</v>
      </c>
      <c r="C18" s="87" t="s">
        <v>315</v>
      </c>
      <c r="D18" s="87" t="s">
        <v>341</v>
      </c>
      <c r="E18" s="88">
        <v>41</v>
      </c>
      <c r="F18" s="89">
        <v>6</v>
      </c>
      <c r="G18" s="90">
        <f>Table1[[#This Row],[Price]]*Table1[[#This Row],[Units]]</f>
        <v>246</v>
      </c>
      <c r="H18" s="85">
        <f>0.05*Table1[[#This Row],[Amount]]</f>
        <v>12.3</v>
      </c>
    </row>
    <row r="19" spans="1:8" x14ac:dyDescent="0.35">
      <c r="A19" s="86" t="s">
        <v>318</v>
      </c>
      <c r="B19" s="87" t="s">
        <v>393</v>
      </c>
      <c r="C19" s="87" t="s">
        <v>333</v>
      </c>
      <c r="D19" s="87" t="s">
        <v>346</v>
      </c>
      <c r="E19" s="88">
        <v>25</v>
      </c>
      <c r="F19" s="89">
        <v>23</v>
      </c>
      <c r="G19" s="90">
        <f>Table1[[#This Row],[Price]]*Table1[[#This Row],[Units]]</f>
        <v>575</v>
      </c>
      <c r="H19" s="85">
        <f>0.05*Table1[[#This Row],[Amount]]</f>
        <v>28.75</v>
      </c>
    </row>
    <row r="20" spans="1:8" x14ac:dyDescent="0.35">
      <c r="A20" s="86" t="s">
        <v>336</v>
      </c>
      <c r="B20" s="87" t="s">
        <v>393</v>
      </c>
      <c r="C20" s="87" t="s">
        <v>315</v>
      </c>
      <c r="D20" s="87" t="s">
        <v>347</v>
      </c>
      <c r="E20" s="88">
        <v>39</v>
      </c>
      <c r="F20" s="89">
        <v>22</v>
      </c>
      <c r="G20" s="90">
        <f>Table1[[#This Row],[Price]]*Table1[[#This Row],[Units]]</f>
        <v>858</v>
      </c>
      <c r="H20" s="85">
        <f>0.05*Table1[[#This Row],[Amount]]</f>
        <v>42.900000000000006</v>
      </c>
    </row>
    <row r="21" spans="1:8" x14ac:dyDescent="0.35">
      <c r="A21" s="86" t="s">
        <v>327</v>
      </c>
      <c r="B21" s="87" t="s">
        <v>332</v>
      </c>
      <c r="C21" s="87" t="s">
        <v>320</v>
      </c>
      <c r="D21" s="87" t="s">
        <v>348</v>
      </c>
      <c r="E21" s="88">
        <v>54</v>
      </c>
      <c r="F21" s="89">
        <v>17</v>
      </c>
      <c r="G21" s="90">
        <f>Table1[[#This Row],[Price]]*Table1[[#This Row],[Units]]</f>
        <v>918</v>
      </c>
      <c r="H21" s="85">
        <f>0.05*Table1[[#This Row],[Amount]]</f>
        <v>45.900000000000006</v>
      </c>
    </row>
    <row r="22" spans="1:8" x14ac:dyDescent="0.35">
      <c r="A22" s="86" t="s">
        <v>322</v>
      </c>
      <c r="B22" s="87" t="s">
        <v>314</v>
      </c>
      <c r="C22" s="87" t="s">
        <v>315</v>
      </c>
      <c r="D22" s="87" t="s">
        <v>341</v>
      </c>
      <c r="E22" s="88">
        <v>45</v>
      </c>
      <c r="F22" s="89">
        <v>13</v>
      </c>
      <c r="G22" s="90">
        <f>Table1[[#This Row],[Price]]*Table1[[#This Row],[Units]]</f>
        <v>585</v>
      </c>
      <c r="H22" s="85">
        <f>0.05*Table1[[#This Row],[Amount]]</f>
        <v>29.25</v>
      </c>
    </row>
    <row r="23" spans="1:8" x14ac:dyDescent="0.35">
      <c r="A23" s="86" t="s">
        <v>318</v>
      </c>
      <c r="B23" s="87" t="s">
        <v>314</v>
      </c>
      <c r="C23" s="87" t="s">
        <v>338</v>
      </c>
      <c r="D23" s="87" t="s">
        <v>341</v>
      </c>
      <c r="E23" s="88">
        <v>22</v>
      </c>
      <c r="F23" s="89">
        <v>12</v>
      </c>
      <c r="G23" s="90">
        <f>Table1[[#This Row],[Price]]*Table1[[#This Row],[Units]]</f>
        <v>264</v>
      </c>
      <c r="H23" s="85">
        <f>0.05*Table1[[#This Row],[Amount]]</f>
        <v>13.200000000000001</v>
      </c>
    </row>
    <row r="24" spans="1:8" x14ac:dyDescent="0.35">
      <c r="A24" s="86" t="s">
        <v>336</v>
      </c>
      <c r="B24" s="87" t="s">
        <v>314</v>
      </c>
      <c r="C24" s="87" t="s">
        <v>333</v>
      </c>
      <c r="D24" s="87" t="s">
        <v>343</v>
      </c>
      <c r="E24" s="88">
        <v>43</v>
      </c>
      <c r="F24" s="89">
        <v>14</v>
      </c>
      <c r="G24" s="90">
        <f>Table1[[#This Row],[Price]]*Table1[[#This Row],[Units]]</f>
        <v>602</v>
      </c>
      <c r="H24" s="85">
        <f>0.05*Table1[[#This Row],[Amount]]</f>
        <v>30.1</v>
      </c>
    </row>
    <row r="25" spans="1:8" x14ac:dyDescent="0.35">
      <c r="A25" s="86" t="s">
        <v>313</v>
      </c>
      <c r="B25" s="87" t="s">
        <v>314</v>
      </c>
      <c r="C25" s="87" t="s">
        <v>315</v>
      </c>
      <c r="D25" s="87" t="s">
        <v>347</v>
      </c>
      <c r="E25" s="88">
        <v>47</v>
      </c>
      <c r="F25" s="89">
        <v>13</v>
      </c>
      <c r="G25" s="90">
        <f>Table1[[#This Row],[Price]]*Table1[[#This Row],[Units]]</f>
        <v>611</v>
      </c>
      <c r="H25" s="85">
        <f>0.05*Table1[[#This Row],[Amount]]</f>
        <v>30.55</v>
      </c>
    </row>
    <row r="26" spans="1:8" x14ac:dyDescent="0.35">
      <c r="A26" s="86" t="s">
        <v>327</v>
      </c>
      <c r="B26" s="87" t="s">
        <v>332</v>
      </c>
      <c r="C26" s="87" t="s">
        <v>333</v>
      </c>
      <c r="D26" s="87" t="s">
        <v>349</v>
      </c>
      <c r="E26" s="88">
        <v>31</v>
      </c>
      <c r="F26" s="89">
        <v>10</v>
      </c>
      <c r="G26" s="90">
        <f>Table1[[#This Row],[Price]]*Table1[[#This Row],[Units]]</f>
        <v>310</v>
      </c>
      <c r="H26" s="85">
        <f>0.05*Table1[[#This Row],[Amount]]</f>
        <v>15.5</v>
      </c>
    </row>
    <row r="27" spans="1:8" x14ac:dyDescent="0.35">
      <c r="A27" s="86" t="s">
        <v>327</v>
      </c>
      <c r="B27" s="87" t="s">
        <v>332</v>
      </c>
      <c r="C27" s="87" t="s">
        <v>412</v>
      </c>
      <c r="D27" s="87" t="s">
        <v>350</v>
      </c>
      <c r="E27" s="88">
        <v>16</v>
      </c>
      <c r="F27" s="89">
        <v>19</v>
      </c>
      <c r="G27" s="90">
        <f>Table1[[#This Row],[Price]]*Table1[[#This Row],[Units]]</f>
        <v>304</v>
      </c>
      <c r="H27" s="85">
        <f>0.05*Table1[[#This Row],[Amount]]</f>
        <v>15.200000000000001</v>
      </c>
    </row>
    <row r="28" spans="1:8" x14ac:dyDescent="0.35">
      <c r="A28" s="86" t="s">
        <v>313</v>
      </c>
      <c r="B28" s="87" t="s">
        <v>314</v>
      </c>
      <c r="C28" s="87" t="s">
        <v>315</v>
      </c>
      <c r="D28" s="87" t="s">
        <v>343</v>
      </c>
      <c r="E28" s="88">
        <v>58</v>
      </c>
      <c r="F28" s="89">
        <v>12</v>
      </c>
      <c r="G28" s="90">
        <f>Table1[[#This Row],[Price]]*Table1[[#This Row],[Units]]</f>
        <v>696</v>
      </c>
      <c r="H28" s="85">
        <f>0.05*Table1[[#This Row],[Amount]]</f>
        <v>34.800000000000004</v>
      </c>
    </row>
    <row r="29" spans="1:8" x14ac:dyDescent="0.35">
      <c r="A29" s="86" t="s">
        <v>327</v>
      </c>
      <c r="B29" s="87" t="s">
        <v>319</v>
      </c>
      <c r="C29" s="87" t="s">
        <v>333</v>
      </c>
      <c r="D29" s="87" t="s">
        <v>416</v>
      </c>
      <c r="E29" s="88">
        <v>63</v>
      </c>
      <c r="F29" s="89">
        <v>13</v>
      </c>
      <c r="G29" s="90">
        <f>Table1[[#This Row],[Price]]*Table1[[#This Row],[Units]]</f>
        <v>819</v>
      </c>
      <c r="H29" s="85">
        <f>0.05*Table1[[#This Row],[Amount]]</f>
        <v>40.950000000000003</v>
      </c>
    </row>
    <row r="30" spans="1:8" x14ac:dyDescent="0.35">
      <c r="A30" s="86" t="s">
        <v>336</v>
      </c>
      <c r="B30" s="87" t="s">
        <v>314</v>
      </c>
      <c r="C30" s="87" t="s">
        <v>412</v>
      </c>
      <c r="D30" s="87" t="s">
        <v>394</v>
      </c>
      <c r="E30" s="88">
        <v>28</v>
      </c>
      <c r="F30" s="89">
        <v>10</v>
      </c>
      <c r="G30" s="90">
        <f>Table1[[#This Row],[Price]]*Table1[[#This Row],[Units]]</f>
        <v>280</v>
      </c>
      <c r="H30" s="85">
        <f>0.05*Table1[[#This Row],[Amount]]</f>
        <v>14</v>
      </c>
    </row>
    <row r="31" spans="1:8" x14ac:dyDescent="0.35">
      <c r="A31" s="86" t="s">
        <v>336</v>
      </c>
      <c r="B31" s="87" t="s">
        <v>393</v>
      </c>
      <c r="C31" s="87" t="s">
        <v>412</v>
      </c>
      <c r="D31" s="87" t="s">
        <v>407</v>
      </c>
      <c r="E31" s="88">
        <v>11</v>
      </c>
      <c r="F31" s="89">
        <v>16</v>
      </c>
      <c r="G31" s="90">
        <f>Table1[[#This Row],[Price]]*Table1[[#This Row],[Units]]</f>
        <v>176</v>
      </c>
      <c r="H31" s="85">
        <f>0.05*Table1[[#This Row],[Amount]]</f>
        <v>8.8000000000000007</v>
      </c>
    </row>
    <row r="32" spans="1:8" x14ac:dyDescent="0.35">
      <c r="A32" s="86" t="s">
        <v>327</v>
      </c>
      <c r="B32" s="87" t="s">
        <v>332</v>
      </c>
      <c r="C32" s="87" t="s">
        <v>412</v>
      </c>
      <c r="D32" s="87" t="s">
        <v>339</v>
      </c>
      <c r="E32" s="88">
        <v>14</v>
      </c>
      <c r="F32" s="89">
        <v>18</v>
      </c>
      <c r="G32" s="90">
        <f>Table1[[#This Row],[Price]]*Table1[[#This Row],[Units]]</f>
        <v>252</v>
      </c>
      <c r="H32" s="85">
        <f>0.05*Table1[[#This Row],[Amount]]</f>
        <v>12.600000000000001</v>
      </c>
    </row>
    <row r="33" spans="1:8" x14ac:dyDescent="0.35">
      <c r="A33" s="86" t="s">
        <v>313</v>
      </c>
      <c r="B33" s="87" t="s">
        <v>332</v>
      </c>
      <c r="C33" s="87" t="s">
        <v>412</v>
      </c>
      <c r="D33" s="87" t="s">
        <v>348</v>
      </c>
      <c r="E33" s="88">
        <v>35</v>
      </c>
      <c r="F33" s="89">
        <v>24</v>
      </c>
      <c r="G33" s="90">
        <f>Table1[[#This Row],[Price]]*Table1[[#This Row],[Units]]</f>
        <v>840</v>
      </c>
      <c r="H33" s="85">
        <f>0.05*Table1[[#This Row],[Amount]]</f>
        <v>42</v>
      </c>
    </row>
    <row r="34" spans="1:8" x14ac:dyDescent="0.35">
      <c r="A34" s="86" t="s">
        <v>322</v>
      </c>
      <c r="B34" s="87" t="s">
        <v>332</v>
      </c>
      <c r="C34" s="87" t="s">
        <v>324</v>
      </c>
      <c r="D34" s="87" t="s">
        <v>329</v>
      </c>
      <c r="E34" s="88">
        <v>33</v>
      </c>
      <c r="F34" s="89">
        <v>9</v>
      </c>
      <c r="G34" s="90">
        <f>Table1[[#This Row],[Price]]*Table1[[#This Row],[Units]]</f>
        <v>297</v>
      </c>
      <c r="H34" s="85">
        <f>0.05*Table1[[#This Row],[Amount]]</f>
        <v>14.850000000000001</v>
      </c>
    </row>
    <row r="35" spans="1:8" x14ac:dyDescent="0.35">
      <c r="A35" s="86" t="s">
        <v>322</v>
      </c>
      <c r="B35" s="87" t="s">
        <v>314</v>
      </c>
      <c r="C35" s="87" t="s">
        <v>390</v>
      </c>
      <c r="D35" s="87" t="s">
        <v>407</v>
      </c>
      <c r="E35" s="88">
        <v>33</v>
      </c>
      <c r="F35" s="89">
        <v>9</v>
      </c>
      <c r="G35" s="90">
        <f>Table1[[#This Row],[Price]]*Table1[[#This Row],[Units]]</f>
        <v>297</v>
      </c>
      <c r="H35" s="85">
        <f>0.05*Table1[[#This Row],[Amount]]</f>
        <v>14.850000000000001</v>
      </c>
    </row>
    <row r="36" spans="1:8" x14ac:dyDescent="0.35">
      <c r="A36" s="86" t="s">
        <v>336</v>
      </c>
      <c r="B36" s="87" t="s">
        <v>314</v>
      </c>
      <c r="C36" s="87" t="s">
        <v>412</v>
      </c>
      <c r="D36" s="87" t="s">
        <v>347</v>
      </c>
      <c r="E36" s="88">
        <v>10</v>
      </c>
      <c r="F36" s="89">
        <v>12</v>
      </c>
      <c r="G36" s="90">
        <f>Table1[[#This Row],[Price]]*Table1[[#This Row],[Units]]</f>
        <v>120</v>
      </c>
      <c r="H36" s="85">
        <f>0.05*Table1[[#This Row],[Amount]]</f>
        <v>6</v>
      </c>
    </row>
    <row r="37" spans="1:8" x14ac:dyDescent="0.35">
      <c r="A37" s="86" t="s">
        <v>322</v>
      </c>
      <c r="B37" s="87" t="s">
        <v>319</v>
      </c>
      <c r="C37" s="87" t="s">
        <v>315</v>
      </c>
      <c r="D37" s="87" t="s">
        <v>406</v>
      </c>
      <c r="E37" s="88">
        <v>56</v>
      </c>
      <c r="F37" s="89">
        <v>23</v>
      </c>
      <c r="G37" s="90">
        <f>Table1[[#This Row],[Price]]*Table1[[#This Row],[Units]]</f>
        <v>1288</v>
      </c>
      <c r="H37" s="85">
        <f>0.05*Table1[[#This Row],[Amount]]</f>
        <v>64.400000000000006</v>
      </c>
    </row>
    <row r="38" spans="1:8" x14ac:dyDescent="0.35">
      <c r="A38" s="86" t="s">
        <v>313</v>
      </c>
      <c r="B38" s="87" t="s">
        <v>393</v>
      </c>
      <c r="C38" s="87" t="s">
        <v>333</v>
      </c>
      <c r="D38" s="87" t="s">
        <v>405</v>
      </c>
      <c r="E38" s="88">
        <v>30</v>
      </c>
      <c r="F38" s="89">
        <v>14</v>
      </c>
      <c r="G38" s="90">
        <f>Table1[[#This Row],[Price]]*Table1[[#This Row],[Units]]</f>
        <v>420</v>
      </c>
      <c r="H38" s="85">
        <f>0.05*Table1[[#This Row],[Amount]]</f>
        <v>21</v>
      </c>
    </row>
    <row r="39" spans="1:8" x14ac:dyDescent="0.35">
      <c r="A39" s="86" t="s">
        <v>336</v>
      </c>
      <c r="B39" s="87" t="s">
        <v>393</v>
      </c>
      <c r="C39" s="87" t="s">
        <v>320</v>
      </c>
      <c r="D39" s="87" t="s">
        <v>391</v>
      </c>
      <c r="E39" s="88">
        <v>38</v>
      </c>
      <c r="F39" s="89">
        <v>10</v>
      </c>
      <c r="G39" s="90">
        <f>Table1[[#This Row],[Price]]*Table1[[#This Row],[Units]]</f>
        <v>380</v>
      </c>
      <c r="H39" s="85">
        <f>0.05*Table1[[#This Row],[Amount]]</f>
        <v>19</v>
      </c>
    </row>
    <row r="40" spans="1:8" x14ac:dyDescent="0.35">
      <c r="A40" s="86" t="s">
        <v>327</v>
      </c>
      <c r="B40" s="87" t="s">
        <v>393</v>
      </c>
      <c r="C40" s="87" t="s">
        <v>412</v>
      </c>
      <c r="D40" s="87" t="s">
        <v>400</v>
      </c>
      <c r="E40" s="88">
        <v>55</v>
      </c>
      <c r="F40" s="89">
        <v>14</v>
      </c>
      <c r="G40" s="90">
        <f>Table1[[#This Row],[Price]]*Table1[[#This Row],[Units]]</f>
        <v>770</v>
      </c>
      <c r="H40" s="85">
        <f>0.05*Table1[[#This Row],[Amount]]</f>
        <v>38.5</v>
      </c>
    </row>
    <row r="41" spans="1:8" x14ac:dyDescent="0.35">
      <c r="A41" s="86" t="s">
        <v>336</v>
      </c>
      <c r="B41" s="87" t="s">
        <v>393</v>
      </c>
      <c r="C41" s="87" t="s">
        <v>333</v>
      </c>
      <c r="D41" s="87" t="s">
        <v>417</v>
      </c>
      <c r="E41" s="88">
        <v>36</v>
      </c>
      <c r="F41" s="89">
        <v>19</v>
      </c>
      <c r="G41" s="90">
        <f>Table1[[#This Row],[Price]]*Table1[[#This Row],[Units]]</f>
        <v>684</v>
      </c>
      <c r="H41" s="85">
        <f>0.05*Table1[[#This Row],[Amount]]</f>
        <v>34.200000000000003</v>
      </c>
    </row>
    <row r="42" spans="1:8" x14ac:dyDescent="0.35">
      <c r="A42" s="86" t="s">
        <v>318</v>
      </c>
      <c r="B42" s="87" t="s">
        <v>393</v>
      </c>
      <c r="C42" s="87" t="s">
        <v>412</v>
      </c>
      <c r="D42" s="87" t="s">
        <v>334</v>
      </c>
      <c r="E42" s="88">
        <v>41</v>
      </c>
      <c r="F42" s="89">
        <v>11</v>
      </c>
      <c r="G42" s="90">
        <f>Table1[[#This Row],[Price]]*Table1[[#This Row],[Units]]</f>
        <v>451</v>
      </c>
      <c r="H42" s="85">
        <f>0.05*Table1[[#This Row],[Amount]]</f>
        <v>22.55</v>
      </c>
    </row>
    <row r="43" spans="1:8" x14ac:dyDescent="0.35">
      <c r="A43" s="86" t="s">
        <v>318</v>
      </c>
      <c r="B43" s="87" t="s">
        <v>319</v>
      </c>
      <c r="C43" s="87" t="s">
        <v>324</v>
      </c>
      <c r="D43" s="87" t="s">
        <v>406</v>
      </c>
      <c r="E43" s="88">
        <v>19</v>
      </c>
      <c r="F43" s="89">
        <v>15</v>
      </c>
      <c r="G43" s="90">
        <f>Table1[[#This Row],[Price]]*Table1[[#This Row],[Units]]</f>
        <v>285</v>
      </c>
      <c r="H43" s="85">
        <f>0.05*Table1[[#This Row],[Amount]]</f>
        <v>14.25</v>
      </c>
    </row>
    <row r="44" spans="1:8" x14ac:dyDescent="0.35">
      <c r="A44" s="86" t="s">
        <v>336</v>
      </c>
      <c r="B44" s="87" t="s">
        <v>319</v>
      </c>
      <c r="C44" s="87" t="s">
        <v>412</v>
      </c>
      <c r="D44" s="87" t="s">
        <v>334</v>
      </c>
      <c r="E44" s="88">
        <v>48</v>
      </c>
      <c r="F44" s="89">
        <v>9</v>
      </c>
      <c r="G44" s="90">
        <f>Table1[[#This Row],[Price]]*Table1[[#This Row],[Units]]</f>
        <v>432</v>
      </c>
      <c r="H44" s="85">
        <f>0.05*Table1[[#This Row],[Amount]]</f>
        <v>21.6</v>
      </c>
    </row>
    <row r="45" spans="1:8" x14ac:dyDescent="0.35">
      <c r="A45" s="86" t="s">
        <v>327</v>
      </c>
      <c r="B45" s="87" t="s">
        <v>332</v>
      </c>
      <c r="C45" s="87" t="s">
        <v>390</v>
      </c>
      <c r="D45" s="87" t="s">
        <v>406</v>
      </c>
      <c r="E45" s="88">
        <v>16</v>
      </c>
      <c r="F45" s="89">
        <v>17</v>
      </c>
      <c r="G45" s="90">
        <f>Table1[[#This Row],[Price]]*Table1[[#This Row],[Units]]</f>
        <v>272</v>
      </c>
      <c r="H45" s="85">
        <f>0.05*Table1[[#This Row],[Amount]]</f>
        <v>13.600000000000001</v>
      </c>
    </row>
    <row r="46" spans="1:8" x14ac:dyDescent="0.35">
      <c r="A46" s="86" t="s">
        <v>336</v>
      </c>
      <c r="B46" s="87" t="s">
        <v>332</v>
      </c>
      <c r="C46" s="87" t="s">
        <v>338</v>
      </c>
      <c r="D46" s="87" t="s">
        <v>340</v>
      </c>
      <c r="E46" s="88">
        <v>51</v>
      </c>
      <c r="F46" s="89">
        <v>14</v>
      </c>
      <c r="G46" s="90">
        <f>Table1[[#This Row],[Price]]*Table1[[#This Row],[Units]]</f>
        <v>714</v>
      </c>
      <c r="H46" s="85">
        <f>0.05*Table1[[#This Row],[Amount]]</f>
        <v>35.700000000000003</v>
      </c>
    </row>
    <row r="47" spans="1:8" x14ac:dyDescent="0.35">
      <c r="A47" s="86" t="s">
        <v>327</v>
      </c>
      <c r="B47" s="87" t="s">
        <v>314</v>
      </c>
      <c r="C47" s="87" t="s">
        <v>338</v>
      </c>
      <c r="D47" s="87" t="s">
        <v>335</v>
      </c>
      <c r="E47" s="88">
        <v>21</v>
      </c>
      <c r="F47" s="89">
        <v>22</v>
      </c>
      <c r="G47" s="90">
        <f>Table1[[#This Row],[Price]]*Table1[[#This Row],[Units]]</f>
        <v>462</v>
      </c>
      <c r="H47" s="85">
        <f>0.05*Table1[[#This Row],[Amount]]</f>
        <v>23.1</v>
      </c>
    </row>
    <row r="48" spans="1:8" x14ac:dyDescent="0.35">
      <c r="A48" s="86" t="s">
        <v>318</v>
      </c>
      <c r="B48" s="87" t="s">
        <v>332</v>
      </c>
      <c r="C48" s="87" t="s">
        <v>412</v>
      </c>
      <c r="D48" s="87" t="s">
        <v>346</v>
      </c>
      <c r="E48" s="88">
        <v>47</v>
      </c>
      <c r="F48" s="89">
        <v>13</v>
      </c>
      <c r="G48" s="90">
        <f>Table1[[#This Row],[Price]]*Table1[[#This Row],[Units]]</f>
        <v>611</v>
      </c>
      <c r="H48" s="85">
        <f>0.05*Table1[[#This Row],[Amount]]</f>
        <v>30.55</v>
      </c>
    </row>
    <row r="49" spans="1:8" x14ac:dyDescent="0.35">
      <c r="A49" s="86" t="s">
        <v>318</v>
      </c>
      <c r="B49" s="87" t="s">
        <v>319</v>
      </c>
      <c r="C49" s="87" t="s">
        <v>338</v>
      </c>
      <c r="D49" s="87" t="s">
        <v>407</v>
      </c>
      <c r="E49" s="88">
        <v>37</v>
      </c>
      <c r="F49" s="89">
        <v>22</v>
      </c>
      <c r="G49" s="90">
        <f>Table1[[#This Row],[Price]]*Table1[[#This Row],[Units]]</f>
        <v>814</v>
      </c>
      <c r="H49" s="85">
        <f>0.05*Table1[[#This Row],[Amount]]</f>
        <v>40.700000000000003</v>
      </c>
    </row>
    <row r="50" spans="1:8" x14ac:dyDescent="0.35">
      <c r="A50" s="86" t="s">
        <v>313</v>
      </c>
      <c r="B50" s="87" t="s">
        <v>319</v>
      </c>
      <c r="C50" s="87" t="s">
        <v>315</v>
      </c>
      <c r="D50" s="87" t="s">
        <v>348</v>
      </c>
      <c r="E50" s="88">
        <v>47</v>
      </c>
      <c r="F50" s="89">
        <v>20</v>
      </c>
      <c r="G50" s="90">
        <f>Table1[[#This Row],[Price]]*Table1[[#This Row],[Units]]</f>
        <v>940</v>
      </c>
      <c r="H50" s="85">
        <f>0.05*Table1[[#This Row],[Amount]]</f>
        <v>47</v>
      </c>
    </row>
    <row r="51" spans="1:8" x14ac:dyDescent="0.35">
      <c r="A51" s="93" t="s">
        <v>336</v>
      </c>
      <c r="B51" s="94" t="s">
        <v>319</v>
      </c>
      <c r="C51" s="94" t="s">
        <v>338</v>
      </c>
      <c r="D51" s="94" t="s">
        <v>341</v>
      </c>
      <c r="E51" s="95">
        <v>26</v>
      </c>
      <c r="F51" s="89">
        <v>12</v>
      </c>
      <c r="G51" s="90">
        <f>Table1[[#This Row],[Price]]*Table1[[#This Row],[Units]]</f>
        <v>312</v>
      </c>
      <c r="H51" s="85">
        <f>0.05*Table1[[#This Row],[Amount]]</f>
        <v>15.600000000000001</v>
      </c>
    </row>
    <row r="52" spans="1:8" x14ac:dyDescent="0.35">
      <c r="A52" s="85" t="s">
        <v>418</v>
      </c>
      <c r="B52" s="90"/>
      <c r="C52" s="90"/>
      <c r="D52" s="90"/>
      <c r="E52" s="96"/>
      <c r="F52" s="97">
        <f>SUBTOTAL(101,Table1[Price])</f>
        <v>14.18</v>
      </c>
      <c r="G52" s="90">
        <f>SUBTOTAL(109,Table1[Amount])</f>
        <v>24848</v>
      </c>
      <c r="H52" s="90"/>
    </row>
    <row r="61" spans="1:8" x14ac:dyDescent="0.35">
      <c r="A61" s="98"/>
      <c r="B61" s="98"/>
      <c r="C61" s="98"/>
      <c r="D61" s="98"/>
      <c r="F61" s="98"/>
    </row>
    <row r="62" spans="1:8" x14ac:dyDescent="0.35">
      <c r="A62" s="98"/>
      <c r="B62" s="98"/>
      <c r="C62" s="98"/>
      <c r="D62" s="98"/>
      <c r="F62" s="98"/>
    </row>
    <row r="63" spans="1:8" x14ac:dyDescent="0.35">
      <c r="A63" s="98"/>
      <c r="B63" s="98"/>
      <c r="C63" s="98"/>
      <c r="D63" s="98"/>
      <c r="F63" s="98"/>
    </row>
    <row r="64" spans="1:8" x14ac:dyDescent="0.35">
      <c r="A64" s="98"/>
      <c r="B64" s="98"/>
      <c r="C64" s="98"/>
      <c r="D64" s="98"/>
      <c r="F64" s="98"/>
    </row>
    <row r="65" spans="1:6" x14ac:dyDescent="0.35">
      <c r="A65" s="98"/>
      <c r="B65" s="98"/>
      <c r="C65" s="98"/>
      <c r="D65" s="98"/>
      <c r="F65" s="98"/>
    </row>
    <row r="66" spans="1:6" x14ac:dyDescent="0.35">
      <c r="A66" s="98"/>
      <c r="B66" s="98"/>
      <c r="C66" s="98"/>
      <c r="D66" s="98"/>
      <c r="F66" s="98"/>
    </row>
    <row r="67" spans="1:6" x14ac:dyDescent="0.35">
      <c r="A67" s="98"/>
      <c r="B67" s="98"/>
      <c r="C67" s="98"/>
      <c r="D67" s="98"/>
      <c r="F67" s="98"/>
    </row>
    <row r="68" spans="1:6" x14ac:dyDescent="0.35">
      <c r="A68" s="98"/>
      <c r="B68" s="98"/>
      <c r="C68" s="98"/>
      <c r="D68" s="98"/>
      <c r="F68" s="98"/>
    </row>
    <row r="69" spans="1:6" x14ac:dyDescent="0.35">
      <c r="A69" s="98"/>
      <c r="B69" s="98"/>
      <c r="C69" s="98"/>
      <c r="D69" s="98"/>
      <c r="F69" s="98"/>
    </row>
    <row r="70" spans="1:6" x14ac:dyDescent="0.35">
      <c r="A70" s="98"/>
      <c r="B70" s="98"/>
      <c r="C70" s="98"/>
      <c r="D70" s="98"/>
      <c r="F70" s="98"/>
    </row>
    <row r="71" spans="1:6" x14ac:dyDescent="0.35">
      <c r="A71" s="98"/>
      <c r="B71" s="98"/>
      <c r="C71" s="98"/>
      <c r="D71" s="98"/>
      <c r="F71" s="98"/>
    </row>
    <row r="72" spans="1:6" x14ac:dyDescent="0.35">
      <c r="A72" s="98"/>
      <c r="B72" s="98"/>
      <c r="C72" s="98"/>
      <c r="D72" s="98"/>
      <c r="F72" s="98"/>
    </row>
    <row r="73" spans="1:6" x14ac:dyDescent="0.35">
      <c r="A73" s="98"/>
      <c r="B73" s="98"/>
      <c r="C73" s="98"/>
      <c r="D73" s="98"/>
      <c r="F73" s="98"/>
    </row>
    <row r="74" spans="1:6" x14ac:dyDescent="0.35">
      <c r="A74" s="98"/>
      <c r="B74" s="98"/>
      <c r="C74" s="98"/>
      <c r="D74" s="98"/>
      <c r="F74" s="98"/>
    </row>
    <row r="75" spans="1:6" x14ac:dyDescent="0.35">
      <c r="A75" s="98"/>
      <c r="B75" s="98"/>
      <c r="C75" s="98"/>
      <c r="D75" s="98"/>
      <c r="F75" s="98"/>
    </row>
    <row r="76" spans="1:6" x14ac:dyDescent="0.35">
      <c r="A76" s="98"/>
      <c r="B76" s="98"/>
      <c r="C76" s="98"/>
      <c r="D76" s="98"/>
      <c r="F76" s="98"/>
    </row>
    <row r="77" spans="1:6" x14ac:dyDescent="0.35">
      <c r="A77" s="98"/>
      <c r="B77" s="98"/>
      <c r="C77" s="98"/>
      <c r="D77" s="98"/>
      <c r="F77" s="98"/>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E4C2C-68C0-4954-AB92-6E7E6870F998}">
  <sheetPr codeName="Sheet8"/>
  <dimension ref="A1:P1253"/>
  <sheetViews>
    <sheetView topLeftCell="L1" workbookViewId="0">
      <selection activeCell="X15" sqref="X15"/>
    </sheetView>
  </sheetViews>
  <sheetFormatPr defaultColWidth="8.83203125" defaultRowHeight="15.5" x14ac:dyDescent="0.35"/>
  <cols>
    <col min="1" max="1" width="11.58203125" style="121" customWidth="1"/>
    <col min="2" max="2" width="9.33203125" style="103" customWidth="1"/>
    <col min="3" max="3" width="8.58203125" style="103" customWidth="1"/>
    <col min="4" max="4" width="10.1640625" style="103" customWidth="1"/>
    <col min="5" max="5" width="8.33203125" style="103" customWidth="1"/>
    <col min="6" max="6" width="7.25" style="121" customWidth="1"/>
    <col min="7" max="7" width="8.33203125" style="103" customWidth="1"/>
    <col min="8" max="8" width="10.9140625" style="103" customWidth="1"/>
    <col min="9" max="9" width="12.4140625" style="103" bestFit="1" customWidth="1"/>
    <col min="10" max="10" width="9.5" style="103" customWidth="1"/>
    <col min="11" max="11" width="13.9140625" style="104" customWidth="1"/>
    <col min="12" max="12" width="15.6640625" style="104" customWidth="1"/>
    <col min="13" max="13" width="15.5" style="104" customWidth="1"/>
    <col min="14" max="15" width="15.5" style="104" bestFit="1" customWidth="1"/>
    <col min="16" max="257" width="15.5" style="103" bestFit="1" customWidth="1"/>
    <col min="258" max="258" width="11.08203125" style="103" bestFit="1" customWidth="1"/>
    <col min="259" max="16384" width="8.83203125" style="103"/>
  </cols>
  <sheetData>
    <row r="1" spans="1:16" x14ac:dyDescent="0.35">
      <c r="A1" s="99" t="s">
        <v>303</v>
      </c>
      <c r="B1" s="100" t="s">
        <v>304</v>
      </c>
      <c r="C1" s="100" t="s">
        <v>305</v>
      </c>
      <c r="D1" s="100" t="s">
        <v>306</v>
      </c>
      <c r="E1" s="100" t="s">
        <v>307</v>
      </c>
      <c r="F1" s="100" t="s">
        <v>308</v>
      </c>
      <c r="G1" s="100" t="s">
        <v>262</v>
      </c>
      <c r="H1" s="101" t="s">
        <v>419</v>
      </c>
      <c r="I1" s="102" t="s">
        <v>420</v>
      </c>
      <c r="M1" s="105" t="s">
        <v>421</v>
      </c>
    </row>
    <row r="2" spans="1:16" x14ac:dyDescent="0.35">
      <c r="A2" s="106">
        <v>45471</v>
      </c>
      <c r="B2" s="107" t="s">
        <v>422</v>
      </c>
      <c r="C2" s="107" t="s">
        <v>393</v>
      </c>
      <c r="D2" s="107" t="s">
        <v>423</v>
      </c>
      <c r="E2" s="107" t="s">
        <v>316</v>
      </c>
      <c r="F2" s="108">
        <v>45</v>
      </c>
      <c r="G2" s="109">
        <v>24</v>
      </c>
      <c r="H2" s="110">
        <f>(F2*G2)+VLOOKUP(C2,$K$11:$L$14,2,FALSE)*F2</f>
        <v>1170</v>
      </c>
      <c r="I2" s="111">
        <f t="shared" ref="I2:I65" si="0">H2*VLOOKUP(D2,$O$4:$P$10,2,TRUE)</f>
        <v>70.2</v>
      </c>
      <c r="K2" s="104" t="s">
        <v>424</v>
      </c>
    </row>
    <row r="3" spans="1:16" x14ac:dyDescent="0.35">
      <c r="A3" s="106">
        <v>45471</v>
      </c>
      <c r="B3" s="107" t="s">
        <v>327</v>
      </c>
      <c r="C3" s="107" t="s">
        <v>393</v>
      </c>
      <c r="D3" s="107" t="s">
        <v>423</v>
      </c>
      <c r="E3" s="107" t="s">
        <v>329</v>
      </c>
      <c r="F3" s="108">
        <v>60</v>
      </c>
      <c r="G3" s="109">
        <v>6</v>
      </c>
      <c r="H3" s="110">
        <f t="shared" ref="H3:H66" si="1">(F3*G3)+VLOOKUP(C3,$K$11:$L$14,2,FALSE)*F3</f>
        <v>480</v>
      </c>
      <c r="I3" s="111">
        <f t="shared" si="0"/>
        <v>28.799999999999997</v>
      </c>
      <c r="M3" s="104" t="s">
        <v>425</v>
      </c>
    </row>
    <row r="4" spans="1:16" x14ac:dyDescent="0.35">
      <c r="A4" s="106">
        <v>45471</v>
      </c>
      <c r="B4" s="107" t="s">
        <v>313</v>
      </c>
      <c r="C4" s="107" t="s">
        <v>332</v>
      </c>
      <c r="D4" s="107" t="s">
        <v>333</v>
      </c>
      <c r="E4" s="107" t="s">
        <v>394</v>
      </c>
      <c r="F4" s="108">
        <v>11</v>
      </c>
      <c r="G4" s="109">
        <v>13</v>
      </c>
      <c r="H4" s="110">
        <f t="shared" si="1"/>
        <v>187</v>
      </c>
      <c r="I4" s="111">
        <f t="shared" si="0"/>
        <v>9.35</v>
      </c>
      <c r="K4" s="104" t="s">
        <v>426</v>
      </c>
      <c r="M4" s="112" t="s">
        <v>427</v>
      </c>
      <c r="O4" s="111" t="s">
        <v>428</v>
      </c>
      <c r="P4" s="113">
        <v>0.06</v>
      </c>
    </row>
    <row r="5" spans="1:16" x14ac:dyDescent="0.35">
      <c r="A5" s="106">
        <v>45471</v>
      </c>
      <c r="B5" s="107" t="s">
        <v>322</v>
      </c>
      <c r="C5" s="107" t="s">
        <v>393</v>
      </c>
      <c r="D5" s="107" t="s">
        <v>324</v>
      </c>
      <c r="E5" s="107" t="s">
        <v>343</v>
      </c>
      <c r="F5" s="108">
        <v>15</v>
      </c>
      <c r="G5" s="109">
        <v>17</v>
      </c>
      <c r="H5" s="110">
        <f t="shared" si="1"/>
        <v>285</v>
      </c>
      <c r="I5" s="111">
        <f t="shared" si="0"/>
        <v>14.25</v>
      </c>
      <c r="K5" s="112" t="s">
        <v>429</v>
      </c>
      <c r="M5" s="112" t="s">
        <v>430</v>
      </c>
      <c r="O5" s="111" t="s">
        <v>333</v>
      </c>
      <c r="P5" s="113">
        <v>0.05</v>
      </c>
    </row>
    <row r="6" spans="1:16" x14ac:dyDescent="0.35">
      <c r="A6" s="106">
        <v>45471</v>
      </c>
      <c r="B6" s="107" t="s">
        <v>318</v>
      </c>
      <c r="C6" s="107" t="s">
        <v>319</v>
      </c>
      <c r="D6" s="107" t="s">
        <v>320</v>
      </c>
      <c r="E6" s="107" t="s">
        <v>405</v>
      </c>
      <c r="F6" s="108">
        <v>39</v>
      </c>
      <c r="G6" s="109">
        <v>4</v>
      </c>
      <c r="H6" s="110">
        <f t="shared" si="1"/>
        <v>195</v>
      </c>
      <c r="I6" s="111">
        <f t="shared" si="0"/>
        <v>11.7</v>
      </c>
      <c r="K6" s="112" t="s">
        <v>431</v>
      </c>
      <c r="M6" s="112" t="s">
        <v>432</v>
      </c>
      <c r="O6" s="111" t="s">
        <v>433</v>
      </c>
      <c r="P6" s="113">
        <v>7.0000000000000007E-2</v>
      </c>
    </row>
    <row r="7" spans="1:16" x14ac:dyDescent="0.35">
      <c r="A7" s="106">
        <v>45471</v>
      </c>
      <c r="B7" s="107" t="s">
        <v>313</v>
      </c>
      <c r="C7" s="107" t="s">
        <v>314</v>
      </c>
      <c r="D7" s="107" t="s">
        <v>315</v>
      </c>
      <c r="E7" s="107" t="s">
        <v>316</v>
      </c>
      <c r="F7" s="108">
        <v>19</v>
      </c>
      <c r="G7" s="109">
        <v>13</v>
      </c>
      <c r="H7" s="110">
        <f t="shared" si="1"/>
        <v>304</v>
      </c>
      <c r="I7" s="111">
        <f t="shared" si="0"/>
        <v>15.200000000000001</v>
      </c>
      <c r="K7" s="112" t="s">
        <v>434</v>
      </c>
      <c r="M7" s="112" t="s">
        <v>435</v>
      </c>
      <c r="O7" s="111" t="s">
        <v>436</v>
      </c>
      <c r="P7" s="113">
        <v>0.05</v>
      </c>
    </row>
    <row r="8" spans="1:16" x14ac:dyDescent="0.35">
      <c r="A8" s="106">
        <v>45472</v>
      </c>
      <c r="B8" s="107" t="s">
        <v>327</v>
      </c>
      <c r="C8" s="107" t="s">
        <v>314</v>
      </c>
      <c r="D8" s="107" t="s">
        <v>333</v>
      </c>
      <c r="E8" s="107" t="s">
        <v>341</v>
      </c>
      <c r="F8" s="108">
        <v>18</v>
      </c>
      <c r="G8" s="109">
        <v>6</v>
      </c>
      <c r="H8" s="110">
        <f t="shared" si="1"/>
        <v>162</v>
      </c>
      <c r="I8" s="111">
        <f t="shared" si="0"/>
        <v>8.1</v>
      </c>
      <c r="K8" s="112" t="s">
        <v>437</v>
      </c>
      <c r="M8" s="112" t="s">
        <v>438</v>
      </c>
      <c r="O8" s="111" t="s">
        <v>439</v>
      </c>
      <c r="P8" s="113">
        <v>0.06</v>
      </c>
    </row>
    <row r="9" spans="1:16" x14ac:dyDescent="0.35">
      <c r="A9" s="106">
        <v>45472</v>
      </c>
      <c r="B9" s="107" t="s">
        <v>313</v>
      </c>
      <c r="C9" s="107" t="s">
        <v>332</v>
      </c>
      <c r="D9" s="107" t="s">
        <v>324</v>
      </c>
      <c r="E9" s="107" t="s">
        <v>340</v>
      </c>
      <c r="F9" s="108">
        <v>14</v>
      </c>
      <c r="G9" s="109">
        <v>13</v>
      </c>
      <c r="H9" s="110">
        <f t="shared" si="1"/>
        <v>238</v>
      </c>
      <c r="I9" s="111">
        <f t="shared" si="0"/>
        <v>11.9</v>
      </c>
      <c r="M9" s="112" t="s">
        <v>440</v>
      </c>
      <c r="O9" s="111" t="s">
        <v>441</v>
      </c>
      <c r="P9" s="113">
        <v>7.0000000000000007E-2</v>
      </c>
    </row>
    <row r="10" spans="1:16" x14ac:dyDescent="0.35">
      <c r="A10" s="106">
        <v>45472</v>
      </c>
      <c r="B10" s="107" t="s">
        <v>318</v>
      </c>
      <c r="C10" s="107" t="s">
        <v>314</v>
      </c>
      <c r="D10" s="107" t="s">
        <v>338</v>
      </c>
      <c r="E10" s="107" t="s">
        <v>339</v>
      </c>
      <c r="F10" s="108">
        <v>60</v>
      </c>
      <c r="G10" s="109">
        <v>4</v>
      </c>
      <c r="H10" s="110">
        <f t="shared" si="1"/>
        <v>420</v>
      </c>
      <c r="I10" s="111">
        <f t="shared" si="0"/>
        <v>25.2</v>
      </c>
      <c r="M10" s="112" t="s">
        <v>442</v>
      </c>
      <c r="O10" s="111" t="s">
        <v>443</v>
      </c>
      <c r="P10" s="113">
        <v>0.05</v>
      </c>
    </row>
    <row r="11" spans="1:16" x14ac:dyDescent="0.35">
      <c r="A11" s="106">
        <v>45472</v>
      </c>
      <c r="B11" s="107" t="s">
        <v>422</v>
      </c>
      <c r="C11" s="107" t="s">
        <v>319</v>
      </c>
      <c r="D11" s="107" t="s">
        <v>423</v>
      </c>
      <c r="E11" s="107" t="s">
        <v>337</v>
      </c>
      <c r="F11" s="108">
        <v>25</v>
      </c>
      <c r="G11" s="109">
        <v>24</v>
      </c>
      <c r="H11" s="110">
        <f t="shared" si="1"/>
        <v>625</v>
      </c>
      <c r="I11" s="111">
        <f t="shared" si="0"/>
        <v>37.5</v>
      </c>
      <c r="K11" s="111" t="s">
        <v>393</v>
      </c>
      <c r="L11" s="114">
        <v>2</v>
      </c>
    </row>
    <row r="12" spans="1:16" x14ac:dyDescent="0.35">
      <c r="A12" s="106">
        <v>45472</v>
      </c>
      <c r="B12" s="107" t="s">
        <v>313</v>
      </c>
      <c r="C12" s="107" t="s">
        <v>319</v>
      </c>
      <c r="D12" s="107" t="s">
        <v>315</v>
      </c>
      <c r="E12" s="107" t="s">
        <v>335</v>
      </c>
      <c r="F12" s="108">
        <v>27</v>
      </c>
      <c r="G12" s="109">
        <v>13</v>
      </c>
      <c r="H12" s="110">
        <f t="shared" si="1"/>
        <v>378</v>
      </c>
      <c r="I12" s="111">
        <f t="shared" si="0"/>
        <v>18.900000000000002</v>
      </c>
      <c r="K12" s="111" t="s">
        <v>314</v>
      </c>
      <c r="L12" s="114">
        <v>3</v>
      </c>
    </row>
    <row r="13" spans="1:16" x14ac:dyDescent="0.35">
      <c r="A13" s="106">
        <v>45473</v>
      </c>
      <c r="B13" s="107" t="s">
        <v>322</v>
      </c>
      <c r="C13" s="107" t="s">
        <v>314</v>
      </c>
      <c r="D13" s="107" t="s">
        <v>320</v>
      </c>
      <c r="E13" s="107" t="s">
        <v>342</v>
      </c>
      <c r="F13" s="108">
        <v>60</v>
      </c>
      <c r="G13" s="109">
        <v>17</v>
      </c>
      <c r="H13" s="110">
        <f t="shared" si="1"/>
        <v>1200</v>
      </c>
      <c r="I13" s="111">
        <f t="shared" si="0"/>
        <v>72</v>
      </c>
      <c r="K13" s="111" t="s">
        <v>319</v>
      </c>
      <c r="L13" s="114">
        <v>1</v>
      </c>
    </row>
    <row r="14" spans="1:16" x14ac:dyDescent="0.35">
      <c r="A14" s="106">
        <v>45473</v>
      </c>
      <c r="B14" s="107" t="s">
        <v>318</v>
      </c>
      <c r="C14" s="107" t="s">
        <v>319</v>
      </c>
      <c r="D14" s="107" t="s">
        <v>320</v>
      </c>
      <c r="E14" s="107" t="s">
        <v>316</v>
      </c>
      <c r="F14" s="108">
        <v>53</v>
      </c>
      <c r="G14" s="109">
        <v>4</v>
      </c>
      <c r="H14" s="110">
        <f t="shared" si="1"/>
        <v>265</v>
      </c>
      <c r="I14" s="111">
        <f t="shared" si="0"/>
        <v>15.899999999999999</v>
      </c>
      <c r="K14" s="111" t="s">
        <v>332</v>
      </c>
      <c r="L14" s="114">
        <v>4</v>
      </c>
    </row>
    <row r="15" spans="1:16" x14ac:dyDescent="0.35">
      <c r="A15" s="106">
        <v>45474</v>
      </c>
      <c r="B15" s="107" t="s">
        <v>422</v>
      </c>
      <c r="C15" s="107" t="s">
        <v>332</v>
      </c>
      <c r="D15" s="107" t="s">
        <v>315</v>
      </c>
      <c r="E15" s="107" t="s">
        <v>341</v>
      </c>
      <c r="F15" s="108">
        <v>41</v>
      </c>
      <c r="G15" s="109">
        <v>24</v>
      </c>
      <c r="H15" s="110">
        <f t="shared" si="1"/>
        <v>1148</v>
      </c>
      <c r="I15" s="111">
        <f t="shared" si="0"/>
        <v>57.400000000000006</v>
      </c>
    </row>
    <row r="16" spans="1:16" x14ac:dyDescent="0.35">
      <c r="A16" s="106">
        <v>45474</v>
      </c>
      <c r="B16" s="107" t="s">
        <v>422</v>
      </c>
      <c r="C16" s="107" t="s">
        <v>319</v>
      </c>
      <c r="D16" s="107" t="s">
        <v>320</v>
      </c>
      <c r="E16" s="107" t="s">
        <v>345</v>
      </c>
      <c r="F16" s="108">
        <v>65</v>
      </c>
      <c r="G16" s="109">
        <v>24</v>
      </c>
      <c r="H16" s="110">
        <f t="shared" si="1"/>
        <v>1625</v>
      </c>
      <c r="I16" s="111">
        <f t="shared" si="0"/>
        <v>97.5</v>
      </c>
      <c r="N16" s="115">
        <f>EOMONTH(A16,-1)</f>
        <v>45473</v>
      </c>
    </row>
    <row r="17" spans="1:12" ht="16" thickBot="1" x14ac:dyDescent="0.4">
      <c r="A17" s="106">
        <v>45474</v>
      </c>
      <c r="B17" s="107" t="s">
        <v>322</v>
      </c>
      <c r="C17" s="107" t="s">
        <v>314</v>
      </c>
      <c r="D17" s="107" t="s">
        <v>333</v>
      </c>
      <c r="E17" s="107" t="s">
        <v>344</v>
      </c>
      <c r="F17" s="108">
        <v>14</v>
      </c>
      <c r="G17" s="109">
        <v>17</v>
      </c>
      <c r="H17" s="110">
        <f t="shared" si="1"/>
        <v>280</v>
      </c>
      <c r="I17" s="111">
        <f t="shared" si="0"/>
        <v>14</v>
      </c>
      <c r="K17" s="104" t="s">
        <v>444</v>
      </c>
    </row>
    <row r="18" spans="1:12" ht="16" thickBot="1" x14ac:dyDescent="0.4">
      <c r="A18" s="106">
        <v>45474</v>
      </c>
      <c r="B18" s="107" t="s">
        <v>327</v>
      </c>
      <c r="C18" s="107" t="s">
        <v>319</v>
      </c>
      <c r="D18" s="107" t="s">
        <v>423</v>
      </c>
      <c r="E18" s="107" t="s">
        <v>343</v>
      </c>
      <c r="F18" s="108">
        <v>41</v>
      </c>
      <c r="G18" s="109">
        <v>6</v>
      </c>
      <c r="H18" s="110">
        <f t="shared" si="1"/>
        <v>287</v>
      </c>
      <c r="I18" s="111">
        <f t="shared" si="0"/>
        <v>17.22</v>
      </c>
      <c r="K18" s="116">
        <f>SUMIF(D2:D1227,D11,I2:I1227)</f>
        <v>6914.7000000000035</v>
      </c>
      <c r="L18" s="104" t="s">
        <v>445</v>
      </c>
    </row>
    <row r="19" spans="1:12" ht="16" thickBot="1" x14ac:dyDescent="0.4">
      <c r="A19" s="106">
        <v>45475</v>
      </c>
      <c r="B19" s="107" t="s">
        <v>322</v>
      </c>
      <c r="C19" s="107" t="s">
        <v>314</v>
      </c>
      <c r="D19" s="107" t="s">
        <v>315</v>
      </c>
      <c r="E19" s="107" t="s">
        <v>341</v>
      </c>
      <c r="F19" s="108">
        <v>45</v>
      </c>
      <c r="G19" s="109">
        <v>17</v>
      </c>
      <c r="H19" s="110">
        <f t="shared" si="1"/>
        <v>900</v>
      </c>
      <c r="I19" s="111">
        <f t="shared" si="0"/>
        <v>45</v>
      </c>
      <c r="K19" s="116">
        <f>SUMIFS(H2:H1227,Products,B19,Employee,D19)</f>
        <v>33094</v>
      </c>
      <c r="L19" s="104" t="s">
        <v>446</v>
      </c>
    </row>
    <row r="20" spans="1:12" ht="16" thickBot="1" x14ac:dyDescent="0.4">
      <c r="A20" s="106">
        <v>45475</v>
      </c>
      <c r="B20" s="107" t="s">
        <v>318</v>
      </c>
      <c r="C20" s="107" t="s">
        <v>314</v>
      </c>
      <c r="D20" s="107" t="s">
        <v>338</v>
      </c>
      <c r="E20" s="107" t="s">
        <v>341</v>
      </c>
      <c r="F20" s="108">
        <v>22</v>
      </c>
      <c r="G20" s="109">
        <v>4</v>
      </c>
      <c r="H20" s="110">
        <f t="shared" si="1"/>
        <v>154</v>
      </c>
      <c r="I20" s="111">
        <f t="shared" si="0"/>
        <v>9.24</v>
      </c>
      <c r="K20" s="116">
        <f>COUNTIF(C2:C1227,C20)+COUNTIF(C2:C1227,C2)</f>
        <v>627</v>
      </c>
      <c r="L20" s="104" t="s">
        <v>447</v>
      </c>
    </row>
    <row r="21" spans="1:12" ht="16" thickBot="1" x14ac:dyDescent="0.4">
      <c r="A21" s="106">
        <v>45475</v>
      </c>
      <c r="B21" s="107" t="s">
        <v>327</v>
      </c>
      <c r="C21" s="107" t="s">
        <v>332</v>
      </c>
      <c r="D21" s="107" t="s">
        <v>320</v>
      </c>
      <c r="E21" s="107" t="s">
        <v>348</v>
      </c>
      <c r="F21" s="108">
        <v>54</v>
      </c>
      <c r="G21" s="109">
        <v>6</v>
      </c>
      <c r="H21" s="110">
        <f t="shared" si="1"/>
        <v>540</v>
      </c>
      <c r="I21" s="111">
        <f t="shared" si="0"/>
        <v>32.4</v>
      </c>
      <c r="K21" s="117">
        <f>SUMIFS(Units,Employee,D20,Products,B25)+SUMIFS(Units,Employee,D20,Products,B22)</f>
        <v>1485</v>
      </c>
      <c r="L21" s="104" t="s">
        <v>448</v>
      </c>
    </row>
    <row r="22" spans="1:12" ht="16" thickBot="1" x14ac:dyDescent="0.4">
      <c r="A22" s="106">
        <v>45475</v>
      </c>
      <c r="B22" s="107" t="s">
        <v>422</v>
      </c>
      <c r="C22" s="107" t="s">
        <v>393</v>
      </c>
      <c r="D22" s="107" t="s">
        <v>315</v>
      </c>
      <c r="E22" s="107" t="s">
        <v>347</v>
      </c>
      <c r="F22" s="108">
        <v>39</v>
      </c>
      <c r="G22" s="109">
        <v>24</v>
      </c>
      <c r="H22" s="110">
        <f t="shared" si="1"/>
        <v>1014</v>
      </c>
      <c r="I22" s="111">
        <f t="shared" si="0"/>
        <v>50.7</v>
      </c>
      <c r="K22" s="117">
        <f>SUMIFS(H2:H1227,Period,"&gt;=01-12-2024",Period,"&lt;=31-12-2024")</f>
        <v>63582</v>
      </c>
      <c r="L22" s="104" t="s">
        <v>449</v>
      </c>
    </row>
    <row r="23" spans="1:12" ht="16" thickBot="1" x14ac:dyDescent="0.4">
      <c r="A23" s="106">
        <v>45475</v>
      </c>
      <c r="B23" s="107" t="s">
        <v>318</v>
      </c>
      <c r="C23" s="107" t="s">
        <v>393</v>
      </c>
      <c r="D23" s="107" t="s">
        <v>333</v>
      </c>
      <c r="E23" s="107" t="s">
        <v>346</v>
      </c>
      <c r="F23" s="108">
        <v>25</v>
      </c>
      <c r="G23" s="109">
        <v>4</v>
      </c>
      <c r="H23" s="110">
        <f t="shared" si="1"/>
        <v>150</v>
      </c>
      <c r="I23" s="111">
        <f t="shared" si="0"/>
        <v>7.5</v>
      </c>
      <c r="K23" s="117">
        <f>SUMIFS(Units,Products,B26,Period,"&gt;=01-01-2025",Period,"&lt;=31-12-2025")</f>
        <v>4477</v>
      </c>
      <c r="L23" s="104" t="s">
        <v>450</v>
      </c>
    </row>
    <row r="24" spans="1:12" x14ac:dyDescent="0.35">
      <c r="A24" s="106">
        <v>45476</v>
      </c>
      <c r="B24" s="107" t="s">
        <v>327</v>
      </c>
      <c r="C24" s="107" t="s">
        <v>332</v>
      </c>
      <c r="D24" s="107" t="s">
        <v>333</v>
      </c>
      <c r="E24" s="107" t="s">
        <v>349</v>
      </c>
      <c r="F24" s="108">
        <v>31</v>
      </c>
      <c r="G24" s="109">
        <v>6</v>
      </c>
      <c r="H24" s="110">
        <f t="shared" si="1"/>
        <v>310</v>
      </c>
      <c r="I24" s="111">
        <f t="shared" si="0"/>
        <v>15.5</v>
      </c>
    </row>
    <row r="25" spans="1:12" x14ac:dyDescent="0.35">
      <c r="A25" s="106">
        <v>45476</v>
      </c>
      <c r="B25" s="107" t="s">
        <v>313</v>
      </c>
      <c r="C25" s="107" t="s">
        <v>314</v>
      </c>
      <c r="D25" s="107" t="s">
        <v>315</v>
      </c>
      <c r="E25" s="107" t="s">
        <v>347</v>
      </c>
      <c r="F25" s="108">
        <v>47</v>
      </c>
      <c r="G25" s="109">
        <v>13</v>
      </c>
      <c r="H25" s="110">
        <f t="shared" si="1"/>
        <v>752</v>
      </c>
      <c r="I25" s="111">
        <f t="shared" si="0"/>
        <v>37.6</v>
      </c>
      <c r="K25" s="104" t="s">
        <v>451</v>
      </c>
    </row>
    <row r="26" spans="1:12" x14ac:dyDescent="0.35">
      <c r="A26" s="106">
        <v>45476</v>
      </c>
      <c r="B26" s="107" t="s">
        <v>422</v>
      </c>
      <c r="C26" s="107" t="s">
        <v>314</v>
      </c>
      <c r="D26" s="107" t="s">
        <v>333</v>
      </c>
      <c r="E26" s="107" t="s">
        <v>343</v>
      </c>
      <c r="F26" s="108">
        <v>43</v>
      </c>
      <c r="G26" s="109">
        <v>24</v>
      </c>
      <c r="H26" s="110">
        <f t="shared" si="1"/>
        <v>1161</v>
      </c>
      <c r="I26" s="111">
        <f t="shared" si="0"/>
        <v>58.050000000000004</v>
      </c>
      <c r="L26" s="104" t="s">
        <v>452</v>
      </c>
    </row>
    <row r="27" spans="1:12" x14ac:dyDescent="0.35">
      <c r="A27" s="106">
        <v>45477</v>
      </c>
      <c r="B27" s="107" t="s">
        <v>327</v>
      </c>
      <c r="C27" s="107" t="s">
        <v>332</v>
      </c>
      <c r="D27" s="107" t="s">
        <v>423</v>
      </c>
      <c r="E27" s="107" t="s">
        <v>339</v>
      </c>
      <c r="F27" s="108">
        <v>14</v>
      </c>
      <c r="G27" s="109">
        <v>6</v>
      </c>
      <c r="H27" s="110">
        <f t="shared" si="1"/>
        <v>140</v>
      </c>
      <c r="I27" s="111">
        <f t="shared" si="0"/>
        <v>8.4</v>
      </c>
      <c r="L27" s="104" t="s">
        <v>453</v>
      </c>
    </row>
    <row r="28" spans="1:12" x14ac:dyDescent="0.35">
      <c r="A28" s="106">
        <v>45477</v>
      </c>
      <c r="B28" s="107" t="s">
        <v>422</v>
      </c>
      <c r="C28" s="107" t="s">
        <v>393</v>
      </c>
      <c r="D28" s="107" t="s">
        <v>423</v>
      </c>
      <c r="E28" s="107" t="s">
        <v>454</v>
      </c>
      <c r="F28" s="108">
        <v>11</v>
      </c>
      <c r="G28" s="109">
        <v>24</v>
      </c>
      <c r="H28" s="110">
        <f t="shared" si="1"/>
        <v>286</v>
      </c>
      <c r="I28" s="111">
        <f t="shared" si="0"/>
        <v>17.16</v>
      </c>
    </row>
    <row r="29" spans="1:12" x14ac:dyDescent="0.35">
      <c r="A29" s="106">
        <v>45477</v>
      </c>
      <c r="B29" s="107" t="s">
        <v>422</v>
      </c>
      <c r="C29" s="107" t="s">
        <v>314</v>
      </c>
      <c r="D29" s="107" t="s">
        <v>423</v>
      </c>
      <c r="E29" s="107" t="s">
        <v>394</v>
      </c>
      <c r="F29" s="108">
        <v>28</v>
      </c>
      <c r="G29" s="109">
        <v>24</v>
      </c>
      <c r="H29" s="110">
        <f t="shared" si="1"/>
        <v>756</v>
      </c>
      <c r="I29" s="111">
        <f t="shared" si="0"/>
        <v>45.36</v>
      </c>
    </row>
    <row r="30" spans="1:12" x14ac:dyDescent="0.35">
      <c r="A30" s="106">
        <v>45477</v>
      </c>
      <c r="B30" s="107" t="s">
        <v>327</v>
      </c>
      <c r="C30" s="107" t="s">
        <v>319</v>
      </c>
      <c r="D30" s="107" t="s">
        <v>333</v>
      </c>
      <c r="E30" s="107" t="s">
        <v>416</v>
      </c>
      <c r="F30" s="108">
        <v>63</v>
      </c>
      <c r="G30" s="109">
        <v>6</v>
      </c>
      <c r="H30" s="110">
        <f t="shared" si="1"/>
        <v>441</v>
      </c>
      <c r="I30" s="111">
        <f t="shared" si="0"/>
        <v>22.05</v>
      </c>
    </row>
    <row r="31" spans="1:12" x14ac:dyDescent="0.35">
      <c r="A31" s="106">
        <v>45477</v>
      </c>
      <c r="B31" s="107" t="s">
        <v>313</v>
      </c>
      <c r="C31" s="107" t="s">
        <v>314</v>
      </c>
      <c r="D31" s="107" t="s">
        <v>315</v>
      </c>
      <c r="E31" s="107" t="s">
        <v>343</v>
      </c>
      <c r="F31" s="108">
        <v>58</v>
      </c>
      <c r="G31" s="109">
        <v>13</v>
      </c>
      <c r="H31" s="110">
        <f t="shared" si="1"/>
        <v>928</v>
      </c>
      <c r="I31" s="111">
        <f t="shared" si="0"/>
        <v>46.400000000000006</v>
      </c>
    </row>
    <row r="32" spans="1:12" x14ac:dyDescent="0.35">
      <c r="A32" s="106">
        <v>45477</v>
      </c>
      <c r="B32" s="107" t="s">
        <v>327</v>
      </c>
      <c r="C32" s="107" t="s">
        <v>332</v>
      </c>
      <c r="D32" s="107" t="s">
        <v>423</v>
      </c>
      <c r="E32" s="107" t="s">
        <v>350</v>
      </c>
      <c r="F32" s="108">
        <v>16</v>
      </c>
      <c r="G32" s="109">
        <v>6</v>
      </c>
      <c r="H32" s="110">
        <f t="shared" si="1"/>
        <v>160</v>
      </c>
      <c r="I32" s="111">
        <f t="shared" si="0"/>
        <v>9.6</v>
      </c>
    </row>
    <row r="33" spans="1:9" x14ac:dyDescent="0.35">
      <c r="A33" s="106">
        <v>45479</v>
      </c>
      <c r="B33" s="107" t="s">
        <v>313</v>
      </c>
      <c r="C33" s="107" t="s">
        <v>332</v>
      </c>
      <c r="D33" s="107" t="s">
        <v>423</v>
      </c>
      <c r="E33" s="107" t="s">
        <v>348</v>
      </c>
      <c r="F33" s="108">
        <v>35</v>
      </c>
      <c r="G33" s="109">
        <v>13</v>
      </c>
      <c r="H33" s="110">
        <f t="shared" si="1"/>
        <v>595</v>
      </c>
      <c r="I33" s="111">
        <f t="shared" si="0"/>
        <v>35.699999999999996</v>
      </c>
    </row>
    <row r="34" spans="1:9" x14ac:dyDescent="0.35">
      <c r="A34" s="106">
        <v>45480</v>
      </c>
      <c r="B34" s="107" t="s">
        <v>322</v>
      </c>
      <c r="C34" s="107" t="s">
        <v>319</v>
      </c>
      <c r="D34" s="107" t="s">
        <v>315</v>
      </c>
      <c r="E34" s="107" t="s">
        <v>406</v>
      </c>
      <c r="F34" s="108">
        <v>56</v>
      </c>
      <c r="G34" s="109">
        <v>17</v>
      </c>
      <c r="H34" s="110">
        <f t="shared" si="1"/>
        <v>1008</v>
      </c>
      <c r="I34" s="111">
        <f t="shared" si="0"/>
        <v>50.400000000000006</v>
      </c>
    </row>
    <row r="35" spans="1:9" x14ac:dyDescent="0.35">
      <c r="A35" s="106">
        <v>45480</v>
      </c>
      <c r="B35" s="107" t="s">
        <v>422</v>
      </c>
      <c r="C35" s="107" t="s">
        <v>314</v>
      </c>
      <c r="D35" s="107" t="s">
        <v>423</v>
      </c>
      <c r="E35" s="107" t="s">
        <v>347</v>
      </c>
      <c r="F35" s="108">
        <v>10</v>
      </c>
      <c r="G35" s="109">
        <v>24</v>
      </c>
      <c r="H35" s="110">
        <f t="shared" si="1"/>
        <v>270</v>
      </c>
      <c r="I35" s="111">
        <f t="shared" si="0"/>
        <v>16.2</v>
      </c>
    </row>
    <row r="36" spans="1:9" x14ac:dyDescent="0.35">
      <c r="A36" s="106">
        <v>45480</v>
      </c>
      <c r="B36" s="107" t="s">
        <v>322</v>
      </c>
      <c r="C36" s="107" t="s">
        <v>314</v>
      </c>
      <c r="D36" s="107" t="s">
        <v>390</v>
      </c>
      <c r="E36" s="107" t="s">
        <v>454</v>
      </c>
      <c r="F36" s="108">
        <v>33</v>
      </c>
      <c r="G36" s="109">
        <v>17</v>
      </c>
      <c r="H36" s="110">
        <f t="shared" si="1"/>
        <v>660</v>
      </c>
      <c r="I36" s="111">
        <f t="shared" si="0"/>
        <v>33</v>
      </c>
    </row>
    <row r="37" spans="1:9" x14ac:dyDescent="0.35">
      <c r="A37" s="106">
        <v>45480</v>
      </c>
      <c r="B37" s="107" t="s">
        <v>322</v>
      </c>
      <c r="C37" s="107" t="s">
        <v>332</v>
      </c>
      <c r="D37" s="107" t="s">
        <v>324</v>
      </c>
      <c r="E37" s="107" t="s">
        <v>329</v>
      </c>
      <c r="F37" s="108">
        <v>33</v>
      </c>
      <c r="G37" s="109">
        <v>17</v>
      </c>
      <c r="H37" s="110">
        <f t="shared" si="1"/>
        <v>693</v>
      </c>
      <c r="I37" s="111">
        <f t="shared" si="0"/>
        <v>34.65</v>
      </c>
    </row>
    <row r="38" spans="1:9" x14ac:dyDescent="0.35">
      <c r="A38" s="106">
        <v>45481</v>
      </c>
      <c r="B38" s="107" t="s">
        <v>318</v>
      </c>
      <c r="C38" s="107" t="s">
        <v>319</v>
      </c>
      <c r="D38" s="107" t="s">
        <v>324</v>
      </c>
      <c r="E38" s="107" t="s">
        <v>406</v>
      </c>
      <c r="F38" s="108">
        <v>19</v>
      </c>
      <c r="G38" s="109">
        <v>4</v>
      </c>
      <c r="H38" s="110">
        <f t="shared" si="1"/>
        <v>95</v>
      </c>
      <c r="I38" s="111">
        <f t="shared" si="0"/>
        <v>4.75</v>
      </c>
    </row>
    <row r="39" spans="1:9" x14ac:dyDescent="0.35">
      <c r="A39" s="106">
        <v>45481</v>
      </c>
      <c r="B39" s="107" t="s">
        <v>422</v>
      </c>
      <c r="C39" s="107" t="s">
        <v>393</v>
      </c>
      <c r="D39" s="107" t="s">
        <v>320</v>
      </c>
      <c r="E39" s="107" t="s">
        <v>340</v>
      </c>
      <c r="F39" s="108">
        <v>38</v>
      </c>
      <c r="G39" s="109">
        <v>24</v>
      </c>
      <c r="H39" s="110">
        <f t="shared" si="1"/>
        <v>988</v>
      </c>
      <c r="I39" s="111">
        <f t="shared" si="0"/>
        <v>59.28</v>
      </c>
    </row>
    <row r="40" spans="1:9" x14ac:dyDescent="0.35">
      <c r="A40" s="106">
        <v>45481</v>
      </c>
      <c r="B40" s="107" t="s">
        <v>327</v>
      </c>
      <c r="C40" s="107" t="s">
        <v>393</v>
      </c>
      <c r="D40" s="107" t="s">
        <v>423</v>
      </c>
      <c r="E40" s="107" t="s">
        <v>400</v>
      </c>
      <c r="F40" s="108">
        <v>55</v>
      </c>
      <c r="G40" s="109">
        <v>6</v>
      </c>
      <c r="H40" s="110">
        <f t="shared" si="1"/>
        <v>440</v>
      </c>
      <c r="I40" s="111">
        <f t="shared" si="0"/>
        <v>26.4</v>
      </c>
    </row>
    <row r="41" spans="1:9" x14ac:dyDescent="0.35">
      <c r="A41" s="106">
        <v>45481</v>
      </c>
      <c r="B41" s="107" t="s">
        <v>422</v>
      </c>
      <c r="C41" s="107" t="s">
        <v>393</v>
      </c>
      <c r="D41" s="107" t="s">
        <v>333</v>
      </c>
      <c r="E41" s="107" t="s">
        <v>394</v>
      </c>
      <c r="F41" s="108">
        <v>36</v>
      </c>
      <c r="G41" s="109">
        <v>24</v>
      </c>
      <c r="H41" s="110">
        <f t="shared" si="1"/>
        <v>936</v>
      </c>
      <c r="I41" s="111">
        <f t="shared" si="0"/>
        <v>46.800000000000004</v>
      </c>
    </row>
    <row r="42" spans="1:9" x14ac:dyDescent="0.35">
      <c r="A42" s="106">
        <v>45481</v>
      </c>
      <c r="B42" s="107" t="s">
        <v>318</v>
      </c>
      <c r="C42" s="107" t="s">
        <v>393</v>
      </c>
      <c r="D42" s="107" t="s">
        <v>423</v>
      </c>
      <c r="E42" s="107" t="s">
        <v>394</v>
      </c>
      <c r="F42" s="108">
        <v>41</v>
      </c>
      <c r="G42" s="109">
        <v>4</v>
      </c>
      <c r="H42" s="110">
        <f t="shared" si="1"/>
        <v>246</v>
      </c>
      <c r="I42" s="111">
        <f t="shared" si="0"/>
        <v>14.76</v>
      </c>
    </row>
    <row r="43" spans="1:9" x14ac:dyDescent="0.35">
      <c r="A43" s="106">
        <v>45481</v>
      </c>
      <c r="B43" s="107" t="s">
        <v>313</v>
      </c>
      <c r="C43" s="107" t="s">
        <v>393</v>
      </c>
      <c r="D43" s="107" t="s">
        <v>333</v>
      </c>
      <c r="E43" s="107" t="s">
        <v>405</v>
      </c>
      <c r="F43" s="108">
        <v>30</v>
      </c>
      <c r="G43" s="109">
        <v>13</v>
      </c>
      <c r="H43" s="110">
        <f t="shared" si="1"/>
        <v>450</v>
      </c>
      <c r="I43" s="111">
        <f t="shared" si="0"/>
        <v>22.5</v>
      </c>
    </row>
    <row r="44" spans="1:9" x14ac:dyDescent="0.35">
      <c r="A44" s="106">
        <v>45482</v>
      </c>
      <c r="B44" s="107" t="s">
        <v>327</v>
      </c>
      <c r="C44" s="107" t="s">
        <v>332</v>
      </c>
      <c r="D44" s="107" t="s">
        <v>390</v>
      </c>
      <c r="E44" s="107" t="s">
        <v>406</v>
      </c>
      <c r="F44" s="108">
        <v>16</v>
      </c>
      <c r="G44" s="109">
        <v>6</v>
      </c>
      <c r="H44" s="110">
        <f t="shared" si="1"/>
        <v>160</v>
      </c>
      <c r="I44" s="111">
        <f t="shared" si="0"/>
        <v>8</v>
      </c>
    </row>
    <row r="45" spans="1:9" x14ac:dyDescent="0.35">
      <c r="A45" s="106">
        <v>45482</v>
      </c>
      <c r="B45" s="107" t="s">
        <v>422</v>
      </c>
      <c r="C45" s="107" t="s">
        <v>319</v>
      </c>
      <c r="D45" s="107" t="s">
        <v>423</v>
      </c>
      <c r="E45" s="107" t="s">
        <v>394</v>
      </c>
      <c r="F45" s="108">
        <v>48</v>
      </c>
      <c r="G45" s="109">
        <v>24</v>
      </c>
      <c r="H45" s="110">
        <f t="shared" si="1"/>
        <v>1200</v>
      </c>
      <c r="I45" s="111">
        <f t="shared" si="0"/>
        <v>72</v>
      </c>
    </row>
    <row r="46" spans="1:9" x14ac:dyDescent="0.35">
      <c r="A46" s="106">
        <v>45483</v>
      </c>
      <c r="B46" s="107" t="s">
        <v>422</v>
      </c>
      <c r="C46" s="107" t="s">
        <v>332</v>
      </c>
      <c r="D46" s="107" t="s">
        <v>338</v>
      </c>
      <c r="E46" s="107" t="s">
        <v>340</v>
      </c>
      <c r="F46" s="108">
        <v>51</v>
      </c>
      <c r="G46" s="109">
        <v>24</v>
      </c>
      <c r="H46" s="110">
        <f t="shared" si="1"/>
        <v>1428</v>
      </c>
      <c r="I46" s="111">
        <f t="shared" si="0"/>
        <v>85.679999999999993</v>
      </c>
    </row>
    <row r="47" spans="1:9" x14ac:dyDescent="0.35">
      <c r="A47" s="106">
        <v>45484</v>
      </c>
      <c r="B47" s="107" t="s">
        <v>318</v>
      </c>
      <c r="C47" s="107" t="s">
        <v>332</v>
      </c>
      <c r="D47" s="107" t="s">
        <v>423</v>
      </c>
      <c r="E47" s="107" t="s">
        <v>346</v>
      </c>
      <c r="F47" s="108">
        <v>47</v>
      </c>
      <c r="G47" s="109">
        <v>4</v>
      </c>
      <c r="H47" s="110">
        <f t="shared" si="1"/>
        <v>376</v>
      </c>
      <c r="I47" s="111">
        <f t="shared" si="0"/>
        <v>22.56</v>
      </c>
    </row>
    <row r="48" spans="1:9" x14ac:dyDescent="0.35">
      <c r="A48" s="106">
        <v>45484</v>
      </c>
      <c r="B48" s="107" t="s">
        <v>327</v>
      </c>
      <c r="C48" s="107" t="s">
        <v>314</v>
      </c>
      <c r="D48" s="107" t="s">
        <v>338</v>
      </c>
      <c r="E48" s="107" t="s">
        <v>335</v>
      </c>
      <c r="F48" s="108">
        <v>21</v>
      </c>
      <c r="G48" s="109">
        <v>6</v>
      </c>
      <c r="H48" s="110">
        <f t="shared" si="1"/>
        <v>189</v>
      </c>
      <c r="I48" s="111">
        <f t="shared" si="0"/>
        <v>11.34</v>
      </c>
    </row>
    <row r="49" spans="1:9" x14ac:dyDescent="0.35">
      <c r="A49" s="106">
        <v>45485</v>
      </c>
      <c r="B49" s="107" t="s">
        <v>422</v>
      </c>
      <c r="C49" s="107" t="s">
        <v>319</v>
      </c>
      <c r="D49" s="107" t="s">
        <v>338</v>
      </c>
      <c r="E49" s="107" t="s">
        <v>341</v>
      </c>
      <c r="F49" s="108">
        <v>26</v>
      </c>
      <c r="G49" s="109">
        <v>24</v>
      </c>
      <c r="H49" s="110">
        <f t="shared" si="1"/>
        <v>650</v>
      </c>
      <c r="I49" s="111">
        <f t="shared" si="0"/>
        <v>39</v>
      </c>
    </row>
    <row r="50" spans="1:9" x14ac:dyDescent="0.35">
      <c r="A50" s="106">
        <v>45485</v>
      </c>
      <c r="B50" s="107" t="s">
        <v>313</v>
      </c>
      <c r="C50" s="107" t="s">
        <v>319</v>
      </c>
      <c r="D50" s="107" t="s">
        <v>315</v>
      </c>
      <c r="E50" s="107" t="s">
        <v>348</v>
      </c>
      <c r="F50" s="108">
        <v>47</v>
      </c>
      <c r="G50" s="109">
        <v>13</v>
      </c>
      <c r="H50" s="110">
        <f t="shared" si="1"/>
        <v>658</v>
      </c>
      <c r="I50" s="111">
        <f t="shared" si="0"/>
        <v>32.9</v>
      </c>
    </row>
    <row r="51" spans="1:9" x14ac:dyDescent="0.35">
      <c r="A51" s="106">
        <v>45485</v>
      </c>
      <c r="B51" s="107" t="s">
        <v>318</v>
      </c>
      <c r="C51" s="107" t="s">
        <v>319</v>
      </c>
      <c r="D51" s="107" t="s">
        <v>338</v>
      </c>
      <c r="E51" s="107" t="s">
        <v>454</v>
      </c>
      <c r="F51" s="108">
        <v>37</v>
      </c>
      <c r="G51" s="109">
        <v>4</v>
      </c>
      <c r="H51" s="110">
        <f t="shared" si="1"/>
        <v>185</v>
      </c>
      <c r="I51" s="111">
        <f t="shared" si="0"/>
        <v>11.1</v>
      </c>
    </row>
    <row r="52" spans="1:9" x14ac:dyDescent="0.35">
      <c r="A52" s="106">
        <v>45486</v>
      </c>
      <c r="B52" s="107" t="s">
        <v>313</v>
      </c>
      <c r="C52" s="107" t="s">
        <v>393</v>
      </c>
      <c r="D52" s="107" t="s">
        <v>315</v>
      </c>
      <c r="E52" s="107" t="s">
        <v>339</v>
      </c>
      <c r="F52" s="108">
        <v>51</v>
      </c>
      <c r="G52" s="109">
        <v>13</v>
      </c>
      <c r="H52" s="110">
        <f t="shared" si="1"/>
        <v>765</v>
      </c>
      <c r="I52" s="111">
        <f t="shared" si="0"/>
        <v>38.25</v>
      </c>
    </row>
    <row r="53" spans="1:9" x14ac:dyDescent="0.35">
      <c r="A53" s="106">
        <v>45486</v>
      </c>
      <c r="B53" s="107" t="s">
        <v>318</v>
      </c>
      <c r="C53" s="107" t="s">
        <v>332</v>
      </c>
      <c r="D53" s="107" t="s">
        <v>390</v>
      </c>
      <c r="E53" s="107" t="s">
        <v>454</v>
      </c>
      <c r="F53" s="108">
        <v>23</v>
      </c>
      <c r="G53" s="109">
        <v>4</v>
      </c>
      <c r="H53" s="110">
        <f t="shared" si="1"/>
        <v>184</v>
      </c>
      <c r="I53" s="111">
        <f t="shared" si="0"/>
        <v>9.2000000000000011</v>
      </c>
    </row>
    <row r="54" spans="1:9" x14ac:dyDescent="0.35">
      <c r="A54" s="106">
        <v>45486</v>
      </c>
      <c r="B54" s="107" t="s">
        <v>327</v>
      </c>
      <c r="C54" s="107" t="s">
        <v>393</v>
      </c>
      <c r="D54" s="107" t="s">
        <v>423</v>
      </c>
      <c r="E54" s="107" t="s">
        <v>344</v>
      </c>
      <c r="F54" s="108">
        <v>64</v>
      </c>
      <c r="G54" s="109">
        <v>6</v>
      </c>
      <c r="H54" s="110">
        <f t="shared" si="1"/>
        <v>512</v>
      </c>
      <c r="I54" s="111">
        <f t="shared" si="0"/>
        <v>30.72</v>
      </c>
    </row>
    <row r="55" spans="1:9" x14ac:dyDescent="0.35">
      <c r="A55" s="106">
        <v>45486</v>
      </c>
      <c r="B55" s="107" t="s">
        <v>313</v>
      </c>
      <c r="C55" s="107" t="s">
        <v>393</v>
      </c>
      <c r="D55" s="107" t="s">
        <v>333</v>
      </c>
      <c r="E55" s="107" t="s">
        <v>350</v>
      </c>
      <c r="F55" s="108">
        <v>38</v>
      </c>
      <c r="G55" s="109">
        <v>13</v>
      </c>
      <c r="H55" s="110">
        <f t="shared" si="1"/>
        <v>570</v>
      </c>
      <c r="I55" s="111">
        <f t="shared" si="0"/>
        <v>28.5</v>
      </c>
    </row>
    <row r="56" spans="1:9" x14ac:dyDescent="0.35">
      <c r="A56" s="106">
        <v>45486</v>
      </c>
      <c r="B56" s="107" t="s">
        <v>318</v>
      </c>
      <c r="C56" s="107" t="s">
        <v>393</v>
      </c>
      <c r="D56" s="107" t="s">
        <v>324</v>
      </c>
      <c r="E56" s="107" t="s">
        <v>316</v>
      </c>
      <c r="F56" s="108">
        <v>22</v>
      </c>
      <c r="G56" s="109">
        <v>4</v>
      </c>
      <c r="H56" s="110">
        <f t="shared" si="1"/>
        <v>132</v>
      </c>
      <c r="I56" s="111">
        <f t="shared" si="0"/>
        <v>6.6000000000000005</v>
      </c>
    </row>
    <row r="57" spans="1:9" x14ac:dyDescent="0.35">
      <c r="A57" s="106">
        <v>45487</v>
      </c>
      <c r="B57" s="107" t="s">
        <v>313</v>
      </c>
      <c r="C57" s="107" t="s">
        <v>332</v>
      </c>
      <c r="D57" s="107" t="s">
        <v>333</v>
      </c>
      <c r="E57" s="107" t="s">
        <v>455</v>
      </c>
      <c r="F57" s="108">
        <v>19</v>
      </c>
      <c r="G57" s="109">
        <v>13</v>
      </c>
      <c r="H57" s="110">
        <f t="shared" si="1"/>
        <v>323</v>
      </c>
      <c r="I57" s="111">
        <f t="shared" si="0"/>
        <v>16.150000000000002</v>
      </c>
    </row>
    <row r="58" spans="1:9" x14ac:dyDescent="0.35">
      <c r="A58" s="106">
        <v>45487</v>
      </c>
      <c r="B58" s="107" t="s">
        <v>318</v>
      </c>
      <c r="C58" s="107" t="s">
        <v>393</v>
      </c>
      <c r="D58" s="107" t="s">
        <v>390</v>
      </c>
      <c r="E58" s="107" t="s">
        <v>347</v>
      </c>
      <c r="F58" s="108">
        <v>60</v>
      </c>
      <c r="G58" s="109">
        <v>4</v>
      </c>
      <c r="H58" s="110">
        <f t="shared" si="1"/>
        <v>360</v>
      </c>
      <c r="I58" s="111">
        <f t="shared" si="0"/>
        <v>18</v>
      </c>
    </row>
    <row r="59" spans="1:9" x14ac:dyDescent="0.35">
      <c r="A59" s="106">
        <v>45487</v>
      </c>
      <c r="B59" s="107" t="s">
        <v>313</v>
      </c>
      <c r="C59" s="107" t="s">
        <v>314</v>
      </c>
      <c r="D59" s="107" t="s">
        <v>333</v>
      </c>
      <c r="E59" s="107" t="s">
        <v>343</v>
      </c>
      <c r="F59" s="108">
        <v>6</v>
      </c>
      <c r="G59" s="109">
        <v>13</v>
      </c>
      <c r="H59" s="110">
        <f t="shared" si="1"/>
        <v>96</v>
      </c>
      <c r="I59" s="111">
        <f t="shared" si="0"/>
        <v>4.8000000000000007</v>
      </c>
    </row>
    <row r="60" spans="1:9" x14ac:dyDescent="0.35">
      <c r="A60" s="106">
        <v>45488</v>
      </c>
      <c r="B60" s="107" t="s">
        <v>322</v>
      </c>
      <c r="C60" s="107" t="s">
        <v>393</v>
      </c>
      <c r="D60" s="107" t="s">
        <v>423</v>
      </c>
      <c r="E60" s="107" t="s">
        <v>348</v>
      </c>
      <c r="F60" s="108">
        <v>10</v>
      </c>
      <c r="G60" s="109">
        <v>17</v>
      </c>
      <c r="H60" s="110">
        <f t="shared" si="1"/>
        <v>190</v>
      </c>
      <c r="I60" s="111">
        <f t="shared" si="0"/>
        <v>11.4</v>
      </c>
    </row>
    <row r="61" spans="1:9" x14ac:dyDescent="0.35">
      <c r="A61" s="106">
        <v>45488</v>
      </c>
      <c r="B61" s="107" t="s">
        <v>327</v>
      </c>
      <c r="C61" s="107" t="s">
        <v>314</v>
      </c>
      <c r="D61" s="107" t="s">
        <v>315</v>
      </c>
      <c r="E61" s="107" t="s">
        <v>347</v>
      </c>
      <c r="F61" s="108">
        <v>62</v>
      </c>
      <c r="G61" s="109">
        <v>6</v>
      </c>
      <c r="H61" s="110">
        <f t="shared" si="1"/>
        <v>558</v>
      </c>
      <c r="I61" s="111">
        <f t="shared" si="0"/>
        <v>27.900000000000002</v>
      </c>
    </row>
    <row r="62" spans="1:9" x14ac:dyDescent="0.35">
      <c r="A62" s="106">
        <v>45488</v>
      </c>
      <c r="B62" s="107" t="s">
        <v>318</v>
      </c>
      <c r="C62" s="107" t="s">
        <v>319</v>
      </c>
      <c r="D62" s="107" t="s">
        <v>390</v>
      </c>
      <c r="E62" s="107" t="s">
        <v>329</v>
      </c>
      <c r="F62" s="108">
        <v>35</v>
      </c>
      <c r="G62" s="109">
        <v>4</v>
      </c>
      <c r="H62" s="110">
        <f t="shared" si="1"/>
        <v>175</v>
      </c>
      <c r="I62" s="111">
        <f t="shared" si="0"/>
        <v>8.75</v>
      </c>
    </row>
    <row r="63" spans="1:9" x14ac:dyDescent="0.35">
      <c r="A63" s="106">
        <v>45489</v>
      </c>
      <c r="B63" s="107" t="s">
        <v>313</v>
      </c>
      <c r="C63" s="107" t="s">
        <v>319</v>
      </c>
      <c r="D63" s="107" t="s">
        <v>333</v>
      </c>
      <c r="E63" s="107" t="s">
        <v>388</v>
      </c>
      <c r="F63" s="108">
        <v>8</v>
      </c>
      <c r="G63" s="109">
        <v>13</v>
      </c>
      <c r="H63" s="110">
        <f t="shared" si="1"/>
        <v>112</v>
      </c>
      <c r="I63" s="111">
        <f t="shared" si="0"/>
        <v>5.6000000000000005</v>
      </c>
    </row>
    <row r="64" spans="1:9" x14ac:dyDescent="0.35">
      <c r="A64" s="106">
        <v>45489</v>
      </c>
      <c r="B64" s="107" t="s">
        <v>318</v>
      </c>
      <c r="C64" s="107" t="s">
        <v>393</v>
      </c>
      <c r="D64" s="107" t="s">
        <v>315</v>
      </c>
      <c r="E64" s="107" t="s">
        <v>395</v>
      </c>
      <c r="F64" s="108">
        <v>10</v>
      </c>
      <c r="G64" s="109">
        <v>4</v>
      </c>
      <c r="H64" s="110">
        <f t="shared" si="1"/>
        <v>60</v>
      </c>
      <c r="I64" s="111">
        <f t="shared" si="0"/>
        <v>3</v>
      </c>
    </row>
    <row r="65" spans="1:9" x14ac:dyDescent="0.35">
      <c r="A65" s="106">
        <v>45489</v>
      </c>
      <c r="B65" s="107" t="s">
        <v>322</v>
      </c>
      <c r="C65" s="107" t="s">
        <v>319</v>
      </c>
      <c r="D65" s="107" t="s">
        <v>320</v>
      </c>
      <c r="E65" s="107" t="s">
        <v>347</v>
      </c>
      <c r="F65" s="108">
        <v>10</v>
      </c>
      <c r="G65" s="109">
        <v>17</v>
      </c>
      <c r="H65" s="110">
        <f t="shared" si="1"/>
        <v>180</v>
      </c>
      <c r="I65" s="111">
        <f t="shared" si="0"/>
        <v>10.799999999999999</v>
      </c>
    </row>
    <row r="66" spans="1:9" x14ac:dyDescent="0.35">
      <c r="A66" s="106">
        <v>45489</v>
      </c>
      <c r="B66" s="107" t="s">
        <v>318</v>
      </c>
      <c r="C66" s="107" t="s">
        <v>314</v>
      </c>
      <c r="D66" s="107" t="s">
        <v>390</v>
      </c>
      <c r="E66" s="107" t="s">
        <v>344</v>
      </c>
      <c r="F66" s="108">
        <v>27</v>
      </c>
      <c r="G66" s="109">
        <v>4</v>
      </c>
      <c r="H66" s="110">
        <f t="shared" si="1"/>
        <v>189</v>
      </c>
      <c r="I66" s="111">
        <f t="shared" ref="I66:I129" si="2">H66*VLOOKUP(D66,$O$4:$P$10,2,TRUE)</f>
        <v>9.4500000000000011</v>
      </c>
    </row>
    <row r="67" spans="1:9" x14ac:dyDescent="0.35">
      <c r="A67" s="106">
        <v>45490</v>
      </c>
      <c r="B67" s="107" t="s">
        <v>327</v>
      </c>
      <c r="C67" s="107" t="s">
        <v>332</v>
      </c>
      <c r="D67" s="107" t="s">
        <v>423</v>
      </c>
      <c r="E67" s="107" t="s">
        <v>341</v>
      </c>
      <c r="F67" s="108">
        <v>63</v>
      </c>
      <c r="G67" s="109">
        <v>6</v>
      </c>
      <c r="H67" s="110">
        <f t="shared" ref="H67:H130" si="3">(F67*G67)+VLOOKUP(C67,$K$11:$L$14,2,FALSE)*F67</f>
        <v>630</v>
      </c>
      <c r="I67" s="111">
        <f t="shared" si="2"/>
        <v>37.799999999999997</v>
      </c>
    </row>
    <row r="68" spans="1:9" x14ac:dyDescent="0.35">
      <c r="A68" s="106">
        <v>45490</v>
      </c>
      <c r="B68" s="107" t="s">
        <v>318</v>
      </c>
      <c r="C68" s="107" t="s">
        <v>332</v>
      </c>
      <c r="D68" s="107" t="s">
        <v>324</v>
      </c>
      <c r="E68" s="107" t="s">
        <v>340</v>
      </c>
      <c r="F68" s="108">
        <v>16</v>
      </c>
      <c r="G68" s="109">
        <v>4</v>
      </c>
      <c r="H68" s="110">
        <f t="shared" si="3"/>
        <v>128</v>
      </c>
      <c r="I68" s="111">
        <f t="shared" si="2"/>
        <v>6.4</v>
      </c>
    </row>
    <row r="69" spans="1:9" x14ac:dyDescent="0.35">
      <c r="A69" s="106">
        <v>45490</v>
      </c>
      <c r="B69" s="107" t="s">
        <v>313</v>
      </c>
      <c r="C69" s="107" t="s">
        <v>393</v>
      </c>
      <c r="D69" s="107" t="s">
        <v>320</v>
      </c>
      <c r="E69" s="107" t="s">
        <v>346</v>
      </c>
      <c r="F69" s="108">
        <v>51</v>
      </c>
      <c r="G69" s="109">
        <v>13</v>
      </c>
      <c r="H69" s="110">
        <f t="shared" si="3"/>
        <v>765</v>
      </c>
      <c r="I69" s="111">
        <f t="shared" si="2"/>
        <v>45.9</v>
      </c>
    </row>
    <row r="70" spans="1:9" x14ac:dyDescent="0.35">
      <c r="A70" s="106">
        <v>45490</v>
      </c>
      <c r="B70" s="107" t="s">
        <v>322</v>
      </c>
      <c r="C70" s="107" t="s">
        <v>332</v>
      </c>
      <c r="D70" s="107" t="s">
        <v>315</v>
      </c>
      <c r="E70" s="107" t="s">
        <v>316</v>
      </c>
      <c r="F70" s="108">
        <v>6</v>
      </c>
      <c r="G70" s="109">
        <v>17</v>
      </c>
      <c r="H70" s="110">
        <f t="shared" si="3"/>
        <v>126</v>
      </c>
      <c r="I70" s="111">
        <f t="shared" si="2"/>
        <v>6.3000000000000007</v>
      </c>
    </row>
    <row r="71" spans="1:9" x14ac:dyDescent="0.35">
      <c r="A71" s="106">
        <v>45491</v>
      </c>
      <c r="B71" s="107" t="s">
        <v>313</v>
      </c>
      <c r="C71" s="107" t="s">
        <v>314</v>
      </c>
      <c r="D71" s="107" t="s">
        <v>390</v>
      </c>
      <c r="E71" s="107" t="s">
        <v>395</v>
      </c>
      <c r="F71" s="108">
        <v>8</v>
      </c>
      <c r="G71" s="109">
        <v>13</v>
      </c>
      <c r="H71" s="110">
        <f t="shared" si="3"/>
        <v>128</v>
      </c>
      <c r="I71" s="111">
        <f t="shared" si="2"/>
        <v>6.4</v>
      </c>
    </row>
    <row r="72" spans="1:9" x14ac:dyDescent="0.35">
      <c r="A72" s="106">
        <v>45492</v>
      </c>
      <c r="B72" s="107" t="s">
        <v>318</v>
      </c>
      <c r="C72" s="107" t="s">
        <v>332</v>
      </c>
      <c r="D72" s="107" t="s">
        <v>324</v>
      </c>
      <c r="E72" s="107" t="s">
        <v>406</v>
      </c>
      <c r="F72" s="108">
        <v>9</v>
      </c>
      <c r="G72" s="109">
        <v>4</v>
      </c>
      <c r="H72" s="110">
        <f t="shared" si="3"/>
        <v>72</v>
      </c>
      <c r="I72" s="111">
        <f t="shared" si="2"/>
        <v>3.6</v>
      </c>
    </row>
    <row r="73" spans="1:9" x14ac:dyDescent="0.35">
      <c r="A73" s="106">
        <v>45492</v>
      </c>
      <c r="B73" s="107" t="s">
        <v>313</v>
      </c>
      <c r="C73" s="107" t="s">
        <v>319</v>
      </c>
      <c r="D73" s="107" t="s">
        <v>333</v>
      </c>
      <c r="E73" s="107" t="s">
        <v>345</v>
      </c>
      <c r="F73" s="108">
        <v>46</v>
      </c>
      <c r="G73" s="109">
        <v>13</v>
      </c>
      <c r="H73" s="110">
        <f t="shared" si="3"/>
        <v>644</v>
      </c>
      <c r="I73" s="111">
        <f t="shared" si="2"/>
        <v>32.200000000000003</v>
      </c>
    </row>
    <row r="74" spans="1:9" x14ac:dyDescent="0.35">
      <c r="A74" s="106">
        <v>45492</v>
      </c>
      <c r="B74" s="107" t="s">
        <v>327</v>
      </c>
      <c r="C74" s="107" t="s">
        <v>332</v>
      </c>
      <c r="D74" s="107" t="s">
        <v>324</v>
      </c>
      <c r="E74" s="107" t="s">
        <v>337</v>
      </c>
      <c r="F74" s="108">
        <v>7</v>
      </c>
      <c r="G74" s="109">
        <v>6</v>
      </c>
      <c r="H74" s="110">
        <f t="shared" si="3"/>
        <v>70</v>
      </c>
      <c r="I74" s="111">
        <f t="shared" si="2"/>
        <v>3.5</v>
      </c>
    </row>
    <row r="75" spans="1:9" x14ac:dyDescent="0.35">
      <c r="A75" s="106">
        <v>45492</v>
      </c>
      <c r="B75" s="107" t="s">
        <v>422</v>
      </c>
      <c r="C75" s="107" t="s">
        <v>393</v>
      </c>
      <c r="D75" s="107" t="s">
        <v>320</v>
      </c>
      <c r="E75" s="107" t="s">
        <v>394</v>
      </c>
      <c r="F75" s="108">
        <v>48</v>
      </c>
      <c r="G75" s="109">
        <v>24</v>
      </c>
      <c r="H75" s="110">
        <f t="shared" si="3"/>
        <v>1248</v>
      </c>
      <c r="I75" s="111">
        <f t="shared" si="2"/>
        <v>74.88</v>
      </c>
    </row>
    <row r="76" spans="1:9" x14ac:dyDescent="0.35">
      <c r="A76" s="106">
        <v>45492</v>
      </c>
      <c r="B76" s="107" t="s">
        <v>327</v>
      </c>
      <c r="C76" s="107" t="s">
        <v>393</v>
      </c>
      <c r="D76" s="107" t="s">
        <v>324</v>
      </c>
      <c r="E76" s="107" t="s">
        <v>416</v>
      </c>
      <c r="F76" s="108">
        <v>55</v>
      </c>
      <c r="G76" s="109">
        <v>6</v>
      </c>
      <c r="H76" s="110">
        <f t="shared" si="3"/>
        <v>440</v>
      </c>
      <c r="I76" s="111">
        <f t="shared" si="2"/>
        <v>22</v>
      </c>
    </row>
    <row r="77" spans="1:9" x14ac:dyDescent="0.35">
      <c r="A77" s="106">
        <v>45492</v>
      </c>
      <c r="B77" s="107" t="s">
        <v>318</v>
      </c>
      <c r="C77" s="107" t="s">
        <v>393</v>
      </c>
      <c r="D77" s="107" t="s">
        <v>333</v>
      </c>
      <c r="E77" s="107" t="s">
        <v>344</v>
      </c>
      <c r="F77" s="108">
        <v>17</v>
      </c>
      <c r="G77" s="109">
        <v>4</v>
      </c>
      <c r="H77" s="110">
        <f t="shared" si="3"/>
        <v>102</v>
      </c>
      <c r="I77" s="111">
        <f t="shared" si="2"/>
        <v>5.1000000000000005</v>
      </c>
    </row>
    <row r="78" spans="1:9" x14ac:dyDescent="0.35">
      <c r="A78" s="106">
        <v>45493</v>
      </c>
      <c r="B78" s="107" t="s">
        <v>322</v>
      </c>
      <c r="C78" s="107" t="s">
        <v>314</v>
      </c>
      <c r="D78" s="107" t="s">
        <v>333</v>
      </c>
      <c r="E78" s="107" t="s">
        <v>406</v>
      </c>
      <c r="F78" s="108">
        <v>60</v>
      </c>
      <c r="G78" s="109">
        <v>17</v>
      </c>
      <c r="H78" s="110">
        <f t="shared" si="3"/>
        <v>1200</v>
      </c>
      <c r="I78" s="111">
        <f t="shared" si="2"/>
        <v>60</v>
      </c>
    </row>
    <row r="79" spans="1:9" x14ac:dyDescent="0.35">
      <c r="A79" s="106">
        <v>45493</v>
      </c>
      <c r="B79" s="107" t="s">
        <v>327</v>
      </c>
      <c r="C79" s="107" t="s">
        <v>314</v>
      </c>
      <c r="D79" s="107" t="s">
        <v>320</v>
      </c>
      <c r="E79" s="107" t="s">
        <v>341</v>
      </c>
      <c r="F79" s="108">
        <v>56</v>
      </c>
      <c r="G79" s="109">
        <v>6</v>
      </c>
      <c r="H79" s="110">
        <f t="shared" si="3"/>
        <v>504</v>
      </c>
      <c r="I79" s="111">
        <f t="shared" si="2"/>
        <v>30.24</v>
      </c>
    </row>
    <row r="80" spans="1:9" x14ac:dyDescent="0.35">
      <c r="A80" s="106">
        <v>45493</v>
      </c>
      <c r="B80" s="107" t="s">
        <v>318</v>
      </c>
      <c r="C80" s="107" t="s">
        <v>314</v>
      </c>
      <c r="D80" s="107" t="s">
        <v>423</v>
      </c>
      <c r="E80" s="107" t="s">
        <v>346</v>
      </c>
      <c r="F80" s="108">
        <v>42</v>
      </c>
      <c r="G80" s="109">
        <v>4</v>
      </c>
      <c r="H80" s="110">
        <f t="shared" si="3"/>
        <v>294</v>
      </c>
      <c r="I80" s="111">
        <f t="shared" si="2"/>
        <v>17.64</v>
      </c>
    </row>
    <row r="81" spans="1:9" x14ac:dyDescent="0.35">
      <c r="A81" s="106">
        <v>45493</v>
      </c>
      <c r="B81" s="107" t="s">
        <v>318</v>
      </c>
      <c r="C81" s="107" t="s">
        <v>393</v>
      </c>
      <c r="D81" s="107" t="s">
        <v>423</v>
      </c>
      <c r="E81" s="107" t="s">
        <v>344</v>
      </c>
      <c r="F81" s="108">
        <v>6</v>
      </c>
      <c r="G81" s="109">
        <v>4</v>
      </c>
      <c r="H81" s="110">
        <f t="shared" si="3"/>
        <v>36</v>
      </c>
      <c r="I81" s="111">
        <f t="shared" si="2"/>
        <v>2.16</v>
      </c>
    </row>
    <row r="82" spans="1:9" x14ac:dyDescent="0.35">
      <c r="A82" s="106">
        <v>45493</v>
      </c>
      <c r="B82" s="107" t="s">
        <v>422</v>
      </c>
      <c r="C82" s="107" t="s">
        <v>319</v>
      </c>
      <c r="D82" s="107" t="s">
        <v>324</v>
      </c>
      <c r="E82" s="107" t="s">
        <v>405</v>
      </c>
      <c r="F82" s="108">
        <v>39</v>
      </c>
      <c r="G82" s="109">
        <v>24</v>
      </c>
      <c r="H82" s="110">
        <f t="shared" si="3"/>
        <v>975</v>
      </c>
      <c r="I82" s="111">
        <f t="shared" si="2"/>
        <v>48.75</v>
      </c>
    </row>
    <row r="83" spans="1:9" x14ac:dyDescent="0.35">
      <c r="A83" s="106">
        <v>45494</v>
      </c>
      <c r="B83" s="107" t="s">
        <v>327</v>
      </c>
      <c r="C83" s="107" t="s">
        <v>314</v>
      </c>
      <c r="D83" s="107" t="s">
        <v>315</v>
      </c>
      <c r="E83" s="107" t="s">
        <v>340</v>
      </c>
      <c r="F83" s="108">
        <v>12</v>
      </c>
      <c r="G83" s="109">
        <v>6</v>
      </c>
      <c r="H83" s="110">
        <f t="shared" si="3"/>
        <v>108</v>
      </c>
      <c r="I83" s="111">
        <f t="shared" si="2"/>
        <v>5.4</v>
      </c>
    </row>
    <row r="84" spans="1:9" x14ac:dyDescent="0.35">
      <c r="A84" s="106">
        <v>45494</v>
      </c>
      <c r="B84" s="107" t="s">
        <v>322</v>
      </c>
      <c r="C84" s="107" t="s">
        <v>314</v>
      </c>
      <c r="D84" s="107" t="s">
        <v>333</v>
      </c>
      <c r="E84" s="107" t="s">
        <v>339</v>
      </c>
      <c r="F84" s="108">
        <v>63</v>
      </c>
      <c r="G84" s="109">
        <v>17</v>
      </c>
      <c r="H84" s="110">
        <f t="shared" si="3"/>
        <v>1260</v>
      </c>
      <c r="I84" s="111">
        <f t="shared" si="2"/>
        <v>63</v>
      </c>
    </row>
    <row r="85" spans="1:9" x14ac:dyDescent="0.35">
      <c r="A85" s="106">
        <v>45494</v>
      </c>
      <c r="B85" s="107" t="s">
        <v>318</v>
      </c>
      <c r="C85" s="107" t="s">
        <v>332</v>
      </c>
      <c r="D85" s="107" t="s">
        <v>423</v>
      </c>
      <c r="E85" s="107" t="s">
        <v>454</v>
      </c>
      <c r="F85" s="108">
        <v>60</v>
      </c>
      <c r="G85" s="109">
        <v>4</v>
      </c>
      <c r="H85" s="110">
        <f t="shared" si="3"/>
        <v>480</v>
      </c>
      <c r="I85" s="111">
        <f t="shared" si="2"/>
        <v>28.799999999999997</v>
      </c>
    </row>
    <row r="86" spans="1:9" x14ac:dyDescent="0.35">
      <c r="A86" s="106">
        <v>45494</v>
      </c>
      <c r="B86" s="107" t="s">
        <v>422</v>
      </c>
      <c r="C86" s="107" t="s">
        <v>314</v>
      </c>
      <c r="D86" s="107" t="s">
        <v>390</v>
      </c>
      <c r="E86" s="107" t="s">
        <v>337</v>
      </c>
      <c r="F86" s="108">
        <v>58</v>
      </c>
      <c r="G86" s="109">
        <v>24</v>
      </c>
      <c r="H86" s="110">
        <f t="shared" si="3"/>
        <v>1566</v>
      </c>
      <c r="I86" s="111">
        <f t="shared" si="2"/>
        <v>78.300000000000011</v>
      </c>
    </row>
    <row r="87" spans="1:9" x14ac:dyDescent="0.35">
      <c r="A87" s="106">
        <v>45494</v>
      </c>
      <c r="B87" s="107" t="s">
        <v>318</v>
      </c>
      <c r="C87" s="107" t="s">
        <v>393</v>
      </c>
      <c r="D87" s="107" t="s">
        <v>423</v>
      </c>
      <c r="E87" s="107" t="s">
        <v>394</v>
      </c>
      <c r="F87" s="108">
        <v>54</v>
      </c>
      <c r="G87" s="109">
        <v>4</v>
      </c>
      <c r="H87" s="110">
        <f t="shared" si="3"/>
        <v>324</v>
      </c>
      <c r="I87" s="111">
        <f t="shared" si="2"/>
        <v>19.439999999999998</v>
      </c>
    </row>
    <row r="88" spans="1:9" x14ac:dyDescent="0.35">
      <c r="A88" s="106">
        <v>45494</v>
      </c>
      <c r="B88" s="107" t="s">
        <v>318</v>
      </c>
      <c r="C88" s="107" t="s">
        <v>319</v>
      </c>
      <c r="D88" s="107" t="s">
        <v>315</v>
      </c>
      <c r="E88" s="107" t="s">
        <v>344</v>
      </c>
      <c r="F88" s="108">
        <v>41</v>
      </c>
      <c r="G88" s="109">
        <v>4</v>
      </c>
      <c r="H88" s="110">
        <f t="shared" si="3"/>
        <v>205</v>
      </c>
      <c r="I88" s="111">
        <f t="shared" si="2"/>
        <v>10.25</v>
      </c>
    </row>
    <row r="89" spans="1:9" x14ac:dyDescent="0.35">
      <c r="A89" s="106">
        <v>45494</v>
      </c>
      <c r="B89" s="107" t="s">
        <v>422</v>
      </c>
      <c r="C89" s="107" t="s">
        <v>314</v>
      </c>
      <c r="D89" s="107" t="s">
        <v>315</v>
      </c>
      <c r="E89" s="107" t="s">
        <v>343</v>
      </c>
      <c r="F89" s="108">
        <v>28</v>
      </c>
      <c r="G89" s="109">
        <v>24</v>
      </c>
      <c r="H89" s="110">
        <f t="shared" si="3"/>
        <v>756</v>
      </c>
      <c r="I89" s="111">
        <f t="shared" si="2"/>
        <v>37.800000000000004</v>
      </c>
    </row>
    <row r="90" spans="1:9" x14ac:dyDescent="0.35">
      <c r="A90" s="106">
        <v>45494</v>
      </c>
      <c r="B90" s="107" t="s">
        <v>422</v>
      </c>
      <c r="C90" s="107" t="s">
        <v>393</v>
      </c>
      <c r="D90" s="107" t="s">
        <v>320</v>
      </c>
      <c r="E90" s="107" t="s">
        <v>350</v>
      </c>
      <c r="F90" s="108">
        <v>14</v>
      </c>
      <c r="G90" s="109">
        <v>24</v>
      </c>
      <c r="H90" s="110">
        <f t="shared" si="3"/>
        <v>364</v>
      </c>
      <c r="I90" s="111">
        <f t="shared" si="2"/>
        <v>21.84</v>
      </c>
    </row>
    <row r="91" spans="1:9" x14ac:dyDescent="0.35">
      <c r="A91" s="106">
        <v>45494</v>
      </c>
      <c r="B91" s="107" t="s">
        <v>318</v>
      </c>
      <c r="C91" s="107" t="s">
        <v>314</v>
      </c>
      <c r="D91" s="107" t="s">
        <v>423</v>
      </c>
      <c r="E91" s="107" t="s">
        <v>350</v>
      </c>
      <c r="F91" s="108">
        <v>48</v>
      </c>
      <c r="G91" s="109">
        <v>4</v>
      </c>
      <c r="H91" s="110">
        <f t="shared" si="3"/>
        <v>336</v>
      </c>
      <c r="I91" s="111">
        <f t="shared" si="2"/>
        <v>20.16</v>
      </c>
    </row>
    <row r="92" spans="1:9" x14ac:dyDescent="0.35">
      <c r="A92" s="106">
        <v>45494</v>
      </c>
      <c r="B92" s="107" t="s">
        <v>322</v>
      </c>
      <c r="C92" s="107" t="s">
        <v>332</v>
      </c>
      <c r="D92" s="107" t="s">
        <v>423</v>
      </c>
      <c r="E92" s="107" t="s">
        <v>335</v>
      </c>
      <c r="F92" s="108">
        <v>65</v>
      </c>
      <c r="G92" s="109">
        <v>17</v>
      </c>
      <c r="H92" s="110">
        <f t="shared" si="3"/>
        <v>1365</v>
      </c>
      <c r="I92" s="111">
        <f t="shared" si="2"/>
        <v>81.899999999999991</v>
      </c>
    </row>
    <row r="93" spans="1:9" x14ac:dyDescent="0.35">
      <c r="A93" s="106">
        <v>45495</v>
      </c>
      <c r="B93" s="107" t="s">
        <v>327</v>
      </c>
      <c r="C93" s="107" t="s">
        <v>319</v>
      </c>
      <c r="D93" s="107" t="s">
        <v>315</v>
      </c>
      <c r="E93" s="107" t="s">
        <v>342</v>
      </c>
      <c r="F93" s="108">
        <v>16</v>
      </c>
      <c r="G93" s="109">
        <v>6</v>
      </c>
      <c r="H93" s="110">
        <f t="shared" si="3"/>
        <v>112</v>
      </c>
      <c r="I93" s="111">
        <f t="shared" si="2"/>
        <v>5.6000000000000005</v>
      </c>
    </row>
    <row r="94" spans="1:9" x14ac:dyDescent="0.35">
      <c r="A94" s="106">
        <v>45495</v>
      </c>
      <c r="B94" s="107" t="s">
        <v>313</v>
      </c>
      <c r="C94" s="107" t="s">
        <v>393</v>
      </c>
      <c r="D94" s="107" t="s">
        <v>315</v>
      </c>
      <c r="E94" s="107" t="s">
        <v>345</v>
      </c>
      <c r="F94" s="108">
        <v>18</v>
      </c>
      <c r="G94" s="109">
        <v>13</v>
      </c>
      <c r="H94" s="110">
        <f t="shared" si="3"/>
        <v>270</v>
      </c>
      <c r="I94" s="111">
        <f t="shared" si="2"/>
        <v>13.5</v>
      </c>
    </row>
    <row r="95" spans="1:9" x14ac:dyDescent="0.35">
      <c r="A95" s="106">
        <v>45495</v>
      </c>
      <c r="B95" s="107" t="s">
        <v>313</v>
      </c>
      <c r="C95" s="107" t="s">
        <v>319</v>
      </c>
      <c r="D95" s="107" t="s">
        <v>315</v>
      </c>
      <c r="E95" s="107" t="s">
        <v>343</v>
      </c>
      <c r="F95" s="108">
        <v>53</v>
      </c>
      <c r="G95" s="109">
        <v>13</v>
      </c>
      <c r="H95" s="110">
        <f t="shared" si="3"/>
        <v>742</v>
      </c>
      <c r="I95" s="111">
        <f t="shared" si="2"/>
        <v>37.1</v>
      </c>
    </row>
    <row r="96" spans="1:9" x14ac:dyDescent="0.35">
      <c r="A96" s="106">
        <v>45496</v>
      </c>
      <c r="B96" s="107" t="s">
        <v>327</v>
      </c>
      <c r="C96" s="107" t="s">
        <v>393</v>
      </c>
      <c r="D96" s="107" t="s">
        <v>315</v>
      </c>
      <c r="E96" s="107" t="s">
        <v>455</v>
      </c>
      <c r="F96" s="108">
        <v>30</v>
      </c>
      <c r="G96" s="109">
        <v>6</v>
      </c>
      <c r="H96" s="110">
        <f t="shared" si="3"/>
        <v>240</v>
      </c>
      <c r="I96" s="111">
        <f t="shared" si="2"/>
        <v>12</v>
      </c>
    </row>
    <row r="97" spans="1:9" x14ac:dyDescent="0.35">
      <c r="A97" s="106">
        <v>45496</v>
      </c>
      <c r="B97" s="107" t="s">
        <v>422</v>
      </c>
      <c r="C97" s="107" t="s">
        <v>319</v>
      </c>
      <c r="D97" s="107" t="s">
        <v>320</v>
      </c>
      <c r="E97" s="107" t="s">
        <v>340</v>
      </c>
      <c r="F97" s="108">
        <v>57</v>
      </c>
      <c r="G97" s="109">
        <v>24</v>
      </c>
      <c r="H97" s="110">
        <f t="shared" si="3"/>
        <v>1425</v>
      </c>
      <c r="I97" s="111">
        <f t="shared" si="2"/>
        <v>85.5</v>
      </c>
    </row>
    <row r="98" spans="1:9" x14ac:dyDescent="0.35">
      <c r="A98" s="106">
        <v>45496</v>
      </c>
      <c r="B98" s="107" t="s">
        <v>318</v>
      </c>
      <c r="C98" s="107" t="s">
        <v>319</v>
      </c>
      <c r="D98" s="107" t="s">
        <v>390</v>
      </c>
      <c r="E98" s="107" t="s">
        <v>343</v>
      </c>
      <c r="F98" s="108">
        <v>64</v>
      </c>
      <c r="G98" s="109">
        <v>4</v>
      </c>
      <c r="H98" s="110">
        <f t="shared" si="3"/>
        <v>320</v>
      </c>
      <c r="I98" s="111">
        <f t="shared" si="2"/>
        <v>16</v>
      </c>
    </row>
    <row r="99" spans="1:9" x14ac:dyDescent="0.35">
      <c r="A99" s="106">
        <v>45497</v>
      </c>
      <c r="B99" s="107" t="s">
        <v>318</v>
      </c>
      <c r="C99" s="107" t="s">
        <v>314</v>
      </c>
      <c r="D99" s="107" t="s">
        <v>338</v>
      </c>
      <c r="E99" s="107" t="s">
        <v>394</v>
      </c>
      <c r="F99" s="108">
        <v>27</v>
      </c>
      <c r="G99" s="109">
        <v>4</v>
      </c>
      <c r="H99" s="110">
        <f t="shared" si="3"/>
        <v>189</v>
      </c>
      <c r="I99" s="111">
        <f t="shared" si="2"/>
        <v>11.34</v>
      </c>
    </row>
    <row r="100" spans="1:9" x14ac:dyDescent="0.35">
      <c r="A100" s="106">
        <v>45498</v>
      </c>
      <c r="B100" s="107" t="s">
        <v>327</v>
      </c>
      <c r="C100" s="107" t="s">
        <v>332</v>
      </c>
      <c r="D100" s="107" t="s">
        <v>333</v>
      </c>
      <c r="E100" s="107" t="s">
        <v>341</v>
      </c>
      <c r="F100" s="108">
        <v>35</v>
      </c>
      <c r="G100" s="109">
        <v>6</v>
      </c>
      <c r="H100" s="110">
        <f t="shared" si="3"/>
        <v>350</v>
      </c>
      <c r="I100" s="111">
        <f t="shared" si="2"/>
        <v>17.5</v>
      </c>
    </row>
    <row r="101" spans="1:9" x14ac:dyDescent="0.35">
      <c r="A101" s="106">
        <v>45498</v>
      </c>
      <c r="B101" s="107" t="s">
        <v>318</v>
      </c>
      <c r="C101" s="107" t="s">
        <v>393</v>
      </c>
      <c r="D101" s="107" t="s">
        <v>324</v>
      </c>
      <c r="E101" s="107" t="s">
        <v>388</v>
      </c>
      <c r="F101" s="108">
        <v>24</v>
      </c>
      <c r="G101" s="109">
        <v>4</v>
      </c>
      <c r="H101" s="110">
        <f t="shared" si="3"/>
        <v>144</v>
      </c>
      <c r="I101" s="111">
        <f t="shared" si="2"/>
        <v>7.2</v>
      </c>
    </row>
    <row r="102" spans="1:9" x14ac:dyDescent="0.35">
      <c r="A102" s="106">
        <v>45498</v>
      </c>
      <c r="B102" s="107" t="s">
        <v>322</v>
      </c>
      <c r="C102" s="107" t="s">
        <v>332</v>
      </c>
      <c r="D102" s="107" t="s">
        <v>324</v>
      </c>
      <c r="E102" s="107" t="s">
        <v>337</v>
      </c>
      <c r="F102" s="108">
        <v>54</v>
      </c>
      <c r="G102" s="109">
        <v>17</v>
      </c>
      <c r="H102" s="110">
        <f t="shared" si="3"/>
        <v>1134</v>
      </c>
      <c r="I102" s="111">
        <f t="shared" si="2"/>
        <v>56.7</v>
      </c>
    </row>
    <row r="103" spans="1:9" x14ac:dyDescent="0.35">
      <c r="A103" s="106">
        <v>45498</v>
      </c>
      <c r="B103" s="107" t="s">
        <v>322</v>
      </c>
      <c r="C103" s="107" t="s">
        <v>332</v>
      </c>
      <c r="D103" s="107" t="s">
        <v>338</v>
      </c>
      <c r="E103" s="107" t="s">
        <v>394</v>
      </c>
      <c r="F103" s="108">
        <v>11</v>
      </c>
      <c r="G103" s="109">
        <v>17</v>
      </c>
      <c r="H103" s="110">
        <f t="shared" si="3"/>
        <v>231</v>
      </c>
      <c r="I103" s="111">
        <f t="shared" si="2"/>
        <v>13.86</v>
      </c>
    </row>
    <row r="104" spans="1:9" x14ac:dyDescent="0.35">
      <c r="A104" s="106">
        <v>45498</v>
      </c>
      <c r="B104" s="107" t="s">
        <v>313</v>
      </c>
      <c r="C104" s="107" t="s">
        <v>332</v>
      </c>
      <c r="D104" s="107" t="s">
        <v>423</v>
      </c>
      <c r="E104" s="107" t="s">
        <v>344</v>
      </c>
      <c r="F104" s="108">
        <v>43</v>
      </c>
      <c r="G104" s="109">
        <v>13</v>
      </c>
      <c r="H104" s="110">
        <f t="shared" si="3"/>
        <v>731</v>
      </c>
      <c r="I104" s="111">
        <f t="shared" si="2"/>
        <v>43.86</v>
      </c>
    </row>
    <row r="105" spans="1:9" x14ac:dyDescent="0.35">
      <c r="A105" s="106">
        <v>45499</v>
      </c>
      <c r="B105" s="107" t="s">
        <v>327</v>
      </c>
      <c r="C105" s="107" t="s">
        <v>332</v>
      </c>
      <c r="D105" s="107" t="s">
        <v>315</v>
      </c>
      <c r="E105" s="107" t="s">
        <v>345</v>
      </c>
      <c r="F105" s="108">
        <v>15</v>
      </c>
      <c r="G105" s="109">
        <v>6</v>
      </c>
      <c r="H105" s="110">
        <f t="shared" si="3"/>
        <v>150</v>
      </c>
      <c r="I105" s="111">
        <f t="shared" si="2"/>
        <v>7.5</v>
      </c>
    </row>
    <row r="106" spans="1:9" x14ac:dyDescent="0.35">
      <c r="A106" s="106">
        <v>45499</v>
      </c>
      <c r="B106" s="107" t="s">
        <v>313</v>
      </c>
      <c r="C106" s="107" t="s">
        <v>314</v>
      </c>
      <c r="D106" s="107" t="s">
        <v>333</v>
      </c>
      <c r="E106" s="107" t="s">
        <v>416</v>
      </c>
      <c r="F106" s="108">
        <v>11</v>
      </c>
      <c r="G106" s="109">
        <v>13</v>
      </c>
      <c r="H106" s="110">
        <f t="shared" si="3"/>
        <v>176</v>
      </c>
      <c r="I106" s="111">
        <f t="shared" si="2"/>
        <v>8.8000000000000007</v>
      </c>
    </row>
    <row r="107" spans="1:9" x14ac:dyDescent="0.35">
      <c r="A107" s="106">
        <v>45500</v>
      </c>
      <c r="B107" s="107" t="s">
        <v>318</v>
      </c>
      <c r="C107" s="107" t="s">
        <v>319</v>
      </c>
      <c r="D107" s="107" t="s">
        <v>390</v>
      </c>
      <c r="E107" s="107" t="s">
        <v>340</v>
      </c>
      <c r="F107" s="108">
        <v>8</v>
      </c>
      <c r="G107" s="109">
        <v>4</v>
      </c>
      <c r="H107" s="110">
        <f t="shared" si="3"/>
        <v>40</v>
      </c>
      <c r="I107" s="111">
        <f t="shared" si="2"/>
        <v>2</v>
      </c>
    </row>
    <row r="108" spans="1:9" x14ac:dyDescent="0.35">
      <c r="A108" s="106">
        <v>45500</v>
      </c>
      <c r="B108" s="107" t="s">
        <v>327</v>
      </c>
      <c r="C108" s="107" t="s">
        <v>332</v>
      </c>
      <c r="D108" s="107" t="s">
        <v>423</v>
      </c>
      <c r="E108" s="107" t="s">
        <v>340</v>
      </c>
      <c r="F108" s="108">
        <v>27</v>
      </c>
      <c r="G108" s="109">
        <v>6</v>
      </c>
      <c r="H108" s="110">
        <f t="shared" si="3"/>
        <v>270</v>
      </c>
      <c r="I108" s="111">
        <f t="shared" si="2"/>
        <v>16.2</v>
      </c>
    </row>
    <row r="109" spans="1:9" x14ac:dyDescent="0.35">
      <c r="A109" s="106">
        <v>45501</v>
      </c>
      <c r="B109" s="107" t="s">
        <v>322</v>
      </c>
      <c r="C109" s="107" t="s">
        <v>332</v>
      </c>
      <c r="D109" s="107" t="s">
        <v>423</v>
      </c>
      <c r="E109" s="107" t="s">
        <v>406</v>
      </c>
      <c r="F109" s="108">
        <v>46</v>
      </c>
      <c r="G109" s="109">
        <v>17</v>
      </c>
      <c r="H109" s="110">
        <f t="shared" si="3"/>
        <v>966</v>
      </c>
      <c r="I109" s="111">
        <f t="shared" si="2"/>
        <v>57.96</v>
      </c>
    </row>
    <row r="110" spans="1:9" x14ac:dyDescent="0.35">
      <c r="A110" s="106">
        <v>45501</v>
      </c>
      <c r="B110" s="107" t="s">
        <v>422</v>
      </c>
      <c r="C110" s="107" t="s">
        <v>319</v>
      </c>
      <c r="D110" s="107" t="s">
        <v>320</v>
      </c>
      <c r="E110" s="107" t="s">
        <v>341</v>
      </c>
      <c r="F110" s="108">
        <v>6</v>
      </c>
      <c r="G110" s="109">
        <v>24</v>
      </c>
      <c r="H110" s="110">
        <f t="shared" si="3"/>
        <v>150</v>
      </c>
      <c r="I110" s="111">
        <f t="shared" si="2"/>
        <v>9</v>
      </c>
    </row>
    <row r="111" spans="1:9" x14ac:dyDescent="0.35">
      <c r="A111" s="106">
        <v>45501</v>
      </c>
      <c r="B111" s="107" t="s">
        <v>318</v>
      </c>
      <c r="C111" s="107" t="s">
        <v>319</v>
      </c>
      <c r="D111" s="107" t="s">
        <v>320</v>
      </c>
      <c r="E111" s="107" t="s">
        <v>337</v>
      </c>
      <c r="F111" s="108">
        <v>15</v>
      </c>
      <c r="G111" s="109">
        <v>4</v>
      </c>
      <c r="H111" s="110">
        <f t="shared" si="3"/>
        <v>75</v>
      </c>
      <c r="I111" s="111">
        <f t="shared" si="2"/>
        <v>4.5</v>
      </c>
    </row>
    <row r="112" spans="1:9" x14ac:dyDescent="0.35">
      <c r="A112" s="106">
        <v>45501</v>
      </c>
      <c r="B112" s="107" t="s">
        <v>318</v>
      </c>
      <c r="C112" s="107" t="s">
        <v>314</v>
      </c>
      <c r="D112" s="107" t="s">
        <v>390</v>
      </c>
      <c r="E112" s="107" t="s">
        <v>400</v>
      </c>
      <c r="F112" s="108">
        <v>33</v>
      </c>
      <c r="G112" s="109">
        <v>4</v>
      </c>
      <c r="H112" s="110">
        <f t="shared" si="3"/>
        <v>231</v>
      </c>
      <c r="I112" s="111">
        <f t="shared" si="2"/>
        <v>11.55</v>
      </c>
    </row>
    <row r="113" spans="1:9" x14ac:dyDescent="0.35">
      <c r="A113" s="106">
        <v>45501</v>
      </c>
      <c r="B113" s="107" t="s">
        <v>313</v>
      </c>
      <c r="C113" s="107" t="s">
        <v>319</v>
      </c>
      <c r="D113" s="107" t="s">
        <v>320</v>
      </c>
      <c r="E113" s="107" t="s">
        <v>329</v>
      </c>
      <c r="F113" s="108">
        <v>34</v>
      </c>
      <c r="G113" s="109">
        <v>13</v>
      </c>
      <c r="H113" s="110">
        <f t="shared" si="3"/>
        <v>476</v>
      </c>
      <c r="I113" s="111">
        <f t="shared" si="2"/>
        <v>28.56</v>
      </c>
    </row>
    <row r="114" spans="1:9" x14ac:dyDescent="0.35">
      <c r="A114" s="106">
        <v>45501</v>
      </c>
      <c r="B114" s="107" t="s">
        <v>318</v>
      </c>
      <c r="C114" s="107" t="s">
        <v>393</v>
      </c>
      <c r="D114" s="107" t="s">
        <v>390</v>
      </c>
      <c r="E114" s="107" t="s">
        <v>344</v>
      </c>
      <c r="F114" s="108">
        <v>11</v>
      </c>
      <c r="G114" s="109">
        <v>4</v>
      </c>
      <c r="H114" s="110">
        <f t="shared" si="3"/>
        <v>66</v>
      </c>
      <c r="I114" s="111">
        <f t="shared" si="2"/>
        <v>3.3000000000000003</v>
      </c>
    </row>
    <row r="115" spans="1:9" x14ac:dyDescent="0.35">
      <c r="A115" s="106">
        <v>45501</v>
      </c>
      <c r="B115" s="107" t="s">
        <v>322</v>
      </c>
      <c r="C115" s="107" t="s">
        <v>319</v>
      </c>
      <c r="D115" s="107" t="s">
        <v>333</v>
      </c>
      <c r="E115" s="107" t="s">
        <v>344</v>
      </c>
      <c r="F115" s="108">
        <v>8</v>
      </c>
      <c r="G115" s="109">
        <v>17</v>
      </c>
      <c r="H115" s="110">
        <f t="shared" si="3"/>
        <v>144</v>
      </c>
      <c r="I115" s="111">
        <f t="shared" si="2"/>
        <v>7.2</v>
      </c>
    </row>
    <row r="116" spans="1:9" x14ac:dyDescent="0.35">
      <c r="A116" s="106">
        <v>45502</v>
      </c>
      <c r="B116" s="107" t="s">
        <v>327</v>
      </c>
      <c r="C116" s="107" t="s">
        <v>314</v>
      </c>
      <c r="D116" s="107" t="s">
        <v>315</v>
      </c>
      <c r="E116" s="107" t="s">
        <v>345</v>
      </c>
      <c r="F116" s="108">
        <v>28</v>
      </c>
      <c r="G116" s="109">
        <v>6</v>
      </c>
      <c r="H116" s="110">
        <f t="shared" si="3"/>
        <v>252</v>
      </c>
      <c r="I116" s="111">
        <f t="shared" si="2"/>
        <v>12.600000000000001</v>
      </c>
    </row>
    <row r="117" spans="1:9" x14ac:dyDescent="0.35">
      <c r="A117" s="106">
        <v>45502</v>
      </c>
      <c r="B117" s="107" t="s">
        <v>422</v>
      </c>
      <c r="C117" s="107" t="s">
        <v>314</v>
      </c>
      <c r="D117" s="107" t="s">
        <v>324</v>
      </c>
      <c r="E117" s="107" t="s">
        <v>335</v>
      </c>
      <c r="F117" s="108">
        <v>19</v>
      </c>
      <c r="G117" s="109">
        <v>24</v>
      </c>
      <c r="H117" s="110">
        <f t="shared" si="3"/>
        <v>513</v>
      </c>
      <c r="I117" s="111">
        <f t="shared" si="2"/>
        <v>25.650000000000002</v>
      </c>
    </row>
    <row r="118" spans="1:9" x14ac:dyDescent="0.35">
      <c r="A118" s="106">
        <v>45503</v>
      </c>
      <c r="B118" s="107" t="s">
        <v>322</v>
      </c>
      <c r="C118" s="107" t="s">
        <v>314</v>
      </c>
      <c r="D118" s="107" t="s">
        <v>338</v>
      </c>
      <c r="E118" s="107" t="s">
        <v>340</v>
      </c>
      <c r="F118" s="108">
        <v>16</v>
      </c>
      <c r="G118" s="109">
        <v>17</v>
      </c>
      <c r="H118" s="110">
        <f t="shared" si="3"/>
        <v>320</v>
      </c>
      <c r="I118" s="111">
        <f t="shared" si="2"/>
        <v>19.2</v>
      </c>
    </row>
    <row r="119" spans="1:9" x14ac:dyDescent="0.35">
      <c r="A119" s="106">
        <v>45503</v>
      </c>
      <c r="B119" s="107" t="s">
        <v>327</v>
      </c>
      <c r="C119" s="107" t="s">
        <v>393</v>
      </c>
      <c r="D119" s="107" t="s">
        <v>320</v>
      </c>
      <c r="E119" s="107" t="s">
        <v>339</v>
      </c>
      <c r="F119" s="108">
        <v>23</v>
      </c>
      <c r="G119" s="109">
        <v>6</v>
      </c>
      <c r="H119" s="110">
        <f t="shared" si="3"/>
        <v>184</v>
      </c>
      <c r="I119" s="111">
        <f t="shared" si="2"/>
        <v>11.04</v>
      </c>
    </row>
    <row r="120" spans="1:9" x14ac:dyDescent="0.35">
      <c r="A120" s="106">
        <v>45503</v>
      </c>
      <c r="B120" s="107" t="s">
        <v>327</v>
      </c>
      <c r="C120" s="107" t="s">
        <v>314</v>
      </c>
      <c r="D120" s="107" t="s">
        <v>320</v>
      </c>
      <c r="E120" s="107" t="s">
        <v>339</v>
      </c>
      <c r="F120" s="108">
        <v>27</v>
      </c>
      <c r="G120" s="109">
        <v>6</v>
      </c>
      <c r="H120" s="110">
        <f t="shared" si="3"/>
        <v>243</v>
      </c>
      <c r="I120" s="111">
        <f t="shared" si="2"/>
        <v>14.58</v>
      </c>
    </row>
    <row r="121" spans="1:9" x14ac:dyDescent="0.35">
      <c r="A121" s="106">
        <v>45503</v>
      </c>
      <c r="B121" s="107" t="s">
        <v>422</v>
      </c>
      <c r="C121" s="107" t="s">
        <v>319</v>
      </c>
      <c r="D121" s="107" t="s">
        <v>320</v>
      </c>
      <c r="E121" s="107" t="s">
        <v>405</v>
      </c>
      <c r="F121" s="108">
        <v>31</v>
      </c>
      <c r="G121" s="109">
        <v>24</v>
      </c>
      <c r="H121" s="110">
        <f t="shared" si="3"/>
        <v>775</v>
      </c>
      <c r="I121" s="111">
        <f t="shared" si="2"/>
        <v>46.5</v>
      </c>
    </row>
    <row r="122" spans="1:9" x14ac:dyDescent="0.35">
      <c r="A122" s="106">
        <v>45504</v>
      </c>
      <c r="B122" s="107" t="s">
        <v>322</v>
      </c>
      <c r="C122" s="107" t="s">
        <v>319</v>
      </c>
      <c r="D122" s="107" t="s">
        <v>315</v>
      </c>
      <c r="E122" s="107" t="s">
        <v>340</v>
      </c>
      <c r="F122" s="108">
        <v>24</v>
      </c>
      <c r="G122" s="109">
        <v>17</v>
      </c>
      <c r="H122" s="110">
        <f t="shared" si="3"/>
        <v>432</v>
      </c>
      <c r="I122" s="111">
        <f t="shared" si="2"/>
        <v>21.6</v>
      </c>
    </row>
    <row r="123" spans="1:9" x14ac:dyDescent="0.35">
      <c r="A123" s="106">
        <v>45504</v>
      </c>
      <c r="B123" s="107" t="s">
        <v>322</v>
      </c>
      <c r="C123" s="107" t="s">
        <v>319</v>
      </c>
      <c r="D123" s="107" t="s">
        <v>315</v>
      </c>
      <c r="E123" s="107" t="s">
        <v>345</v>
      </c>
      <c r="F123" s="108">
        <v>64</v>
      </c>
      <c r="G123" s="109">
        <v>17</v>
      </c>
      <c r="H123" s="110">
        <f t="shared" si="3"/>
        <v>1152</v>
      </c>
      <c r="I123" s="111">
        <f t="shared" si="2"/>
        <v>57.6</v>
      </c>
    </row>
    <row r="124" spans="1:9" x14ac:dyDescent="0.35">
      <c r="A124" s="106">
        <v>45504</v>
      </c>
      <c r="B124" s="107" t="s">
        <v>318</v>
      </c>
      <c r="C124" s="107" t="s">
        <v>319</v>
      </c>
      <c r="D124" s="107" t="s">
        <v>320</v>
      </c>
      <c r="E124" s="107" t="s">
        <v>329</v>
      </c>
      <c r="F124" s="108">
        <v>46</v>
      </c>
      <c r="G124" s="109">
        <v>4</v>
      </c>
      <c r="H124" s="110">
        <f t="shared" si="3"/>
        <v>230</v>
      </c>
      <c r="I124" s="111">
        <f t="shared" si="2"/>
        <v>13.799999999999999</v>
      </c>
    </row>
    <row r="125" spans="1:9" x14ac:dyDescent="0.35">
      <c r="A125" s="106">
        <v>45504</v>
      </c>
      <c r="B125" s="107" t="s">
        <v>422</v>
      </c>
      <c r="C125" s="107" t="s">
        <v>332</v>
      </c>
      <c r="D125" s="107" t="s">
        <v>324</v>
      </c>
      <c r="E125" s="107" t="s">
        <v>343</v>
      </c>
      <c r="F125" s="108">
        <v>42</v>
      </c>
      <c r="G125" s="109">
        <v>24</v>
      </c>
      <c r="H125" s="110">
        <f t="shared" si="3"/>
        <v>1176</v>
      </c>
      <c r="I125" s="111">
        <f t="shared" si="2"/>
        <v>58.800000000000004</v>
      </c>
    </row>
    <row r="126" spans="1:9" x14ac:dyDescent="0.35">
      <c r="A126" s="106">
        <v>45505</v>
      </c>
      <c r="B126" s="107" t="s">
        <v>422</v>
      </c>
      <c r="C126" s="107" t="s">
        <v>332</v>
      </c>
      <c r="D126" s="107" t="s">
        <v>338</v>
      </c>
      <c r="E126" s="107" t="s">
        <v>347</v>
      </c>
      <c r="F126" s="108">
        <v>61</v>
      </c>
      <c r="G126" s="109">
        <v>24</v>
      </c>
      <c r="H126" s="110">
        <f t="shared" si="3"/>
        <v>1708</v>
      </c>
      <c r="I126" s="111">
        <f t="shared" si="2"/>
        <v>102.47999999999999</v>
      </c>
    </row>
    <row r="127" spans="1:9" x14ac:dyDescent="0.35">
      <c r="A127" s="106">
        <v>45505</v>
      </c>
      <c r="B127" s="107" t="s">
        <v>327</v>
      </c>
      <c r="C127" s="107" t="s">
        <v>314</v>
      </c>
      <c r="D127" s="107" t="s">
        <v>333</v>
      </c>
      <c r="E127" s="107" t="s">
        <v>394</v>
      </c>
      <c r="F127" s="108">
        <v>39</v>
      </c>
      <c r="G127" s="109">
        <v>6</v>
      </c>
      <c r="H127" s="110">
        <f t="shared" si="3"/>
        <v>351</v>
      </c>
      <c r="I127" s="111">
        <f t="shared" si="2"/>
        <v>17.55</v>
      </c>
    </row>
    <row r="128" spans="1:9" x14ac:dyDescent="0.35">
      <c r="A128" s="106">
        <v>45505</v>
      </c>
      <c r="B128" s="107" t="s">
        <v>322</v>
      </c>
      <c r="C128" s="107" t="s">
        <v>393</v>
      </c>
      <c r="D128" s="107" t="s">
        <v>390</v>
      </c>
      <c r="E128" s="107" t="s">
        <v>344</v>
      </c>
      <c r="F128" s="108">
        <v>22</v>
      </c>
      <c r="G128" s="109">
        <v>17</v>
      </c>
      <c r="H128" s="110">
        <f t="shared" si="3"/>
        <v>418</v>
      </c>
      <c r="I128" s="111">
        <f t="shared" si="2"/>
        <v>20.900000000000002</v>
      </c>
    </row>
    <row r="129" spans="1:9" x14ac:dyDescent="0.35">
      <c r="A129" s="106">
        <v>45506</v>
      </c>
      <c r="B129" s="107" t="s">
        <v>313</v>
      </c>
      <c r="C129" s="107" t="s">
        <v>332</v>
      </c>
      <c r="D129" s="107" t="s">
        <v>338</v>
      </c>
      <c r="E129" s="107" t="s">
        <v>339</v>
      </c>
      <c r="F129" s="108">
        <v>31</v>
      </c>
      <c r="G129" s="109">
        <v>13</v>
      </c>
      <c r="H129" s="110">
        <f t="shared" si="3"/>
        <v>527</v>
      </c>
      <c r="I129" s="111">
        <f t="shared" si="2"/>
        <v>31.619999999999997</v>
      </c>
    </row>
    <row r="130" spans="1:9" x14ac:dyDescent="0.35">
      <c r="A130" s="106">
        <v>45506</v>
      </c>
      <c r="B130" s="107" t="s">
        <v>318</v>
      </c>
      <c r="C130" s="107" t="s">
        <v>332</v>
      </c>
      <c r="D130" s="107" t="s">
        <v>390</v>
      </c>
      <c r="E130" s="107" t="s">
        <v>400</v>
      </c>
      <c r="F130" s="108">
        <v>17</v>
      </c>
      <c r="G130" s="109">
        <v>4</v>
      </c>
      <c r="H130" s="110">
        <f t="shared" si="3"/>
        <v>136</v>
      </c>
      <c r="I130" s="111">
        <f t="shared" ref="I130:I193" si="4">H130*VLOOKUP(D130,$O$4:$P$10,2,TRUE)</f>
        <v>6.8000000000000007</v>
      </c>
    </row>
    <row r="131" spans="1:9" x14ac:dyDescent="0.35">
      <c r="A131" s="106">
        <v>45506</v>
      </c>
      <c r="B131" s="107" t="s">
        <v>318</v>
      </c>
      <c r="C131" s="107" t="s">
        <v>319</v>
      </c>
      <c r="D131" s="107" t="s">
        <v>390</v>
      </c>
      <c r="E131" s="107" t="s">
        <v>329</v>
      </c>
      <c r="F131" s="108">
        <v>20</v>
      </c>
      <c r="G131" s="109">
        <v>4</v>
      </c>
      <c r="H131" s="110">
        <f t="shared" ref="H131:H194" si="5">(F131*G131)+VLOOKUP(C131,$K$11:$L$14,2,FALSE)*F131</f>
        <v>100</v>
      </c>
      <c r="I131" s="111">
        <f t="shared" si="4"/>
        <v>5</v>
      </c>
    </row>
    <row r="132" spans="1:9" x14ac:dyDescent="0.35">
      <c r="A132" s="106">
        <v>45507</v>
      </c>
      <c r="B132" s="107" t="s">
        <v>313</v>
      </c>
      <c r="C132" s="107" t="s">
        <v>314</v>
      </c>
      <c r="D132" s="107" t="s">
        <v>423</v>
      </c>
      <c r="E132" s="107" t="s">
        <v>388</v>
      </c>
      <c r="F132" s="108">
        <v>17</v>
      </c>
      <c r="G132" s="109">
        <v>13</v>
      </c>
      <c r="H132" s="110">
        <f t="shared" si="5"/>
        <v>272</v>
      </c>
      <c r="I132" s="111">
        <f t="shared" si="4"/>
        <v>16.32</v>
      </c>
    </row>
    <row r="133" spans="1:9" x14ac:dyDescent="0.35">
      <c r="A133" s="106">
        <v>45507</v>
      </c>
      <c r="B133" s="107" t="s">
        <v>322</v>
      </c>
      <c r="C133" s="107" t="s">
        <v>332</v>
      </c>
      <c r="D133" s="107" t="s">
        <v>338</v>
      </c>
      <c r="E133" s="107" t="s">
        <v>344</v>
      </c>
      <c r="F133" s="108">
        <v>36</v>
      </c>
      <c r="G133" s="109">
        <v>17</v>
      </c>
      <c r="H133" s="110">
        <f t="shared" si="5"/>
        <v>756</v>
      </c>
      <c r="I133" s="111">
        <f t="shared" si="4"/>
        <v>45.36</v>
      </c>
    </row>
    <row r="134" spans="1:9" x14ac:dyDescent="0.35">
      <c r="A134" s="106">
        <v>45507</v>
      </c>
      <c r="B134" s="107" t="s">
        <v>322</v>
      </c>
      <c r="C134" s="107" t="s">
        <v>393</v>
      </c>
      <c r="D134" s="107" t="s">
        <v>423</v>
      </c>
      <c r="E134" s="107" t="s">
        <v>343</v>
      </c>
      <c r="F134" s="108">
        <v>8</v>
      </c>
      <c r="G134" s="109">
        <v>17</v>
      </c>
      <c r="H134" s="110">
        <f t="shared" si="5"/>
        <v>152</v>
      </c>
      <c r="I134" s="111">
        <f t="shared" si="4"/>
        <v>9.1199999999999992</v>
      </c>
    </row>
    <row r="135" spans="1:9" x14ac:dyDescent="0.35">
      <c r="A135" s="106">
        <v>45508</v>
      </c>
      <c r="B135" s="107" t="s">
        <v>327</v>
      </c>
      <c r="C135" s="107" t="s">
        <v>332</v>
      </c>
      <c r="D135" s="107" t="s">
        <v>423</v>
      </c>
      <c r="E135" s="107" t="s">
        <v>455</v>
      </c>
      <c r="F135" s="108">
        <v>12</v>
      </c>
      <c r="G135" s="109">
        <v>6</v>
      </c>
      <c r="H135" s="110">
        <f t="shared" si="5"/>
        <v>120</v>
      </c>
      <c r="I135" s="111">
        <f t="shared" si="4"/>
        <v>7.1999999999999993</v>
      </c>
    </row>
    <row r="136" spans="1:9" x14ac:dyDescent="0.35">
      <c r="A136" s="106">
        <v>45508</v>
      </c>
      <c r="B136" s="107" t="s">
        <v>318</v>
      </c>
      <c r="C136" s="107" t="s">
        <v>332</v>
      </c>
      <c r="D136" s="107" t="s">
        <v>324</v>
      </c>
      <c r="E136" s="107" t="s">
        <v>395</v>
      </c>
      <c r="F136" s="108">
        <v>38</v>
      </c>
      <c r="G136" s="109">
        <v>4</v>
      </c>
      <c r="H136" s="110">
        <f t="shared" si="5"/>
        <v>304</v>
      </c>
      <c r="I136" s="111">
        <f t="shared" si="4"/>
        <v>15.200000000000001</v>
      </c>
    </row>
    <row r="137" spans="1:9" x14ac:dyDescent="0.35">
      <c r="A137" s="106">
        <v>45508</v>
      </c>
      <c r="B137" s="107" t="s">
        <v>318</v>
      </c>
      <c r="C137" s="107" t="s">
        <v>314</v>
      </c>
      <c r="D137" s="107" t="s">
        <v>390</v>
      </c>
      <c r="E137" s="107" t="s">
        <v>343</v>
      </c>
      <c r="F137" s="108">
        <v>56</v>
      </c>
      <c r="G137" s="109">
        <v>4</v>
      </c>
      <c r="H137" s="110">
        <f t="shared" si="5"/>
        <v>392</v>
      </c>
      <c r="I137" s="111">
        <f t="shared" si="4"/>
        <v>19.600000000000001</v>
      </c>
    </row>
    <row r="138" spans="1:9" x14ac:dyDescent="0.35">
      <c r="A138" s="106">
        <v>45509</v>
      </c>
      <c r="B138" s="107" t="s">
        <v>313</v>
      </c>
      <c r="C138" s="107" t="s">
        <v>319</v>
      </c>
      <c r="D138" s="107" t="s">
        <v>320</v>
      </c>
      <c r="E138" s="107" t="s">
        <v>340</v>
      </c>
      <c r="F138" s="108">
        <v>57</v>
      </c>
      <c r="G138" s="109">
        <v>13</v>
      </c>
      <c r="H138" s="110">
        <f t="shared" si="5"/>
        <v>798</v>
      </c>
      <c r="I138" s="111">
        <f t="shared" si="4"/>
        <v>47.879999999999995</v>
      </c>
    </row>
    <row r="139" spans="1:9" x14ac:dyDescent="0.35">
      <c r="A139" s="106">
        <v>45509</v>
      </c>
      <c r="B139" s="107" t="s">
        <v>422</v>
      </c>
      <c r="C139" s="107" t="s">
        <v>314</v>
      </c>
      <c r="D139" s="107" t="s">
        <v>324</v>
      </c>
      <c r="E139" s="107" t="s">
        <v>346</v>
      </c>
      <c r="F139" s="108">
        <v>19</v>
      </c>
      <c r="G139" s="109">
        <v>24</v>
      </c>
      <c r="H139" s="110">
        <f t="shared" si="5"/>
        <v>513</v>
      </c>
      <c r="I139" s="111">
        <f t="shared" si="4"/>
        <v>25.650000000000002</v>
      </c>
    </row>
    <row r="140" spans="1:9" x14ac:dyDescent="0.35">
      <c r="A140" s="106">
        <v>45509</v>
      </c>
      <c r="B140" s="107" t="s">
        <v>318</v>
      </c>
      <c r="C140" s="107" t="s">
        <v>319</v>
      </c>
      <c r="D140" s="107" t="s">
        <v>423</v>
      </c>
      <c r="E140" s="107" t="s">
        <v>331</v>
      </c>
      <c r="F140" s="108">
        <v>41</v>
      </c>
      <c r="G140" s="109">
        <v>4</v>
      </c>
      <c r="H140" s="110">
        <f t="shared" si="5"/>
        <v>205</v>
      </c>
      <c r="I140" s="111">
        <f t="shared" si="4"/>
        <v>12.299999999999999</v>
      </c>
    </row>
    <row r="141" spans="1:9" x14ac:dyDescent="0.35">
      <c r="A141" s="106">
        <v>45510</v>
      </c>
      <c r="B141" s="107" t="s">
        <v>327</v>
      </c>
      <c r="C141" s="107" t="s">
        <v>319</v>
      </c>
      <c r="D141" s="107" t="s">
        <v>333</v>
      </c>
      <c r="E141" s="107" t="s">
        <v>340</v>
      </c>
      <c r="F141" s="108">
        <v>65</v>
      </c>
      <c r="G141" s="109">
        <v>6</v>
      </c>
      <c r="H141" s="110">
        <f t="shared" si="5"/>
        <v>455</v>
      </c>
      <c r="I141" s="111">
        <f t="shared" si="4"/>
        <v>22.75</v>
      </c>
    </row>
    <row r="142" spans="1:9" x14ac:dyDescent="0.35">
      <c r="A142" s="106">
        <v>45510</v>
      </c>
      <c r="B142" s="107" t="s">
        <v>318</v>
      </c>
      <c r="C142" s="107" t="s">
        <v>332</v>
      </c>
      <c r="D142" s="107" t="s">
        <v>315</v>
      </c>
      <c r="E142" s="107" t="s">
        <v>339</v>
      </c>
      <c r="F142" s="108">
        <v>48</v>
      </c>
      <c r="G142" s="109">
        <v>4</v>
      </c>
      <c r="H142" s="110">
        <f t="shared" si="5"/>
        <v>384</v>
      </c>
      <c r="I142" s="111">
        <f t="shared" si="4"/>
        <v>19.200000000000003</v>
      </c>
    </row>
    <row r="143" spans="1:9" x14ac:dyDescent="0.35">
      <c r="A143" s="106">
        <v>45510</v>
      </c>
      <c r="B143" s="107" t="s">
        <v>322</v>
      </c>
      <c r="C143" s="107" t="s">
        <v>393</v>
      </c>
      <c r="D143" s="107" t="s">
        <v>320</v>
      </c>
      <c r="E143" s="107" t="s">
        <v>337</v>
      </c>
      <c r="F143" s="108">
        <v>37</v>
      </c>
      <c r="G143" s="109">
        <v>17</v>
      </c>
      <c r="H143" s="110">
        <f t="shared" si="5"/>
        <v>703</v>
      </c>
      <c r="I143" s="111">
        <f t="shared" si="4"/>
        <v>42.18</v>
      </c>
    </row>
    <row r="144" spans="1:9" x14ac:dyDescent="0.35">
      <c r="A144" s="106">
        <v>45510</v>
      </c>
      <c r="B144" s="107" t="s">
        <v>322</v>
      </c>
      <c r="C144" s="107" t="s">
        <v>319</v>
      </c>
      <c r="D144" s="107" t="s">
        <v>324</v>
      </c>
      <c r="E144" s="107" t="s">
        <v>346</v>
      </c>
      <c r="F144" s="108">
        <v>62</v>
      </c>
      <c r="G144" s="109">
        <v>17</v>
      </c>
      <c r="H144" s="110">
        <f t="shared" si="5"/>
        <v>1116</v>
      </c>
      <c r="I144" s="111">
        <f t="shared" si="4"/>
        <v>55.800000000000004</v>
      </c>
    </row>
    <row r="145" spans="1:9" x14ac:dyDescent="0.35">
      <c r="A145" s="106">
        <v>45510</v>
      </c>
      <c r="B145" s="107" t="s">
        <v>313</v>
      </c>
      <c r="C145" s="107" t="s">
        <v>314</v>
      </c>
      <c r="D145" s="107" t="s">
        <v>315</v>
      </c>
      <c r="E145" s="107" t="s">
        <v>331</v>
      </c>
      <c r="F145" s="108">
        <v>12</v>
      </c>
      <c r="G145" s="109">
        <v>13</v>
      </c>
      <c r="H145" s="110">
        <f t="shared" si="5"/>
        <v>192</v>
      </c>
      <c r="I145" s="111">
        <f t="shared" si="4"/>
        <v>9.6000000000000014</v>
      </c>
    </row>
    <row r="146" spans="1:9" x14ac:dyDescent="0.35">
      <c r="A146" s="106">
        <v>45510</v>
      </c>
      <c r="B146" s="107" t="s">
        <v>327</v>
      </c>
      <c r="C146" s="107" t="s">
        <v>314</v>
      </c>
      <c r="D146" s="107" t="s">
        <v>333</v>
      </c>
      <c r="E146" s="107" t="s">
        <v>343</v>
      </c>
      <c r="F146" s="108">
        <v>10</v>
      </c>
      <c r="G146" s="109">
        <v>6</v>
      </c>
      <c r="H146" s="110">
        <f t="shared" si="5"/>
        <v>90</v>
      </c>
      <c r="I146" s="111">
        <f t="shared" si="4"/>
        <v>4.5</v>
      </c>
    </row>
    <row r="147" spans="1:9" x14ac:dyDescent="0.35">
      <c r="A147" s="106">
        <v>45512</v>
      </c>
      <c r="B147" s="107" t="s">
        <v>318</v>
      </c>
      <c r="C147" s="107" t="s">
        <v>393</v>
      </c>
      <c r="D147" s="107" t="s">
        <v>338</v>
      </c>
      <c r="E147" s="107" t="s">
        <v>340</v>
      </c>
      <c r="F147" s="108">
        <v>18</v>
      </c>
      <c r="G147" s="109">
        <v>4</v>
      </c>
      <c r="H147" s="110">
        <f t="shared" si="5"/>
        <v>108</v>
      </c>
      <c r="I147" s="111">
        <f t="shared" si="4"/>
        <v>6.4799999999999995</v>
      </c>
    </row>
    <row r="148" spans="1:9" x14ac:dyDescent="0.35">
      <c r="A148" s="106">
        <v>45512</v>
      </c>
      <c r="B148" s="107" t="s">
        <v>327</v>
      </c>
      <c r="C148" s="107" t="s">
        <v>393</v>
      </c>
      <c r="D148" s="107" t="s">
        <v>423</v>
      </c>
      <c r="E148" s="107" t="s">
        <v>329</v>
      </c>
      <c r="F148" s="108">
        <v>57</v>
      </c>
      <c r="G148" s="109">
        <v>6</v>
      </c>
      <c r="H148" s="110">
        <f t="shared" si="5"/>
        <v>456</v>
      </c>
      <c r="I148" s="111">
        <f t="shared" si="4"/>
        <v>27.36</v>
      </c>
    </row>
    <row r="149" spans="1:9" x14ac:dyDescent="0.35">
      <c r="A149" s="106">
        <v>45512</v>
      </c>
      <c r="B149" s="107" t="s">
        <v>318</v>
      </c>
      <c r="C149" s="107" t="s">
        <v>319</v>
      </c>
      <c r="D149" s="107" t="s">
        <v>423</v>
      </c>
      <c r="E149" s="107" t="s">
        <v>394</v>
      </c>
      <c r="F149" s="108">
        <v>40</v>
      </c>
      <c r="G149" s="109">
        <v>4</v>
      </c>
      <c r="H149" s="110">
        <f t="shared" si="5"/>
        <v>200</v>
      </c>
      <c r="I149" s="111">
        <f t="shared" si="4"/>
        <v>12</v>
      </c>
    </row>
    <row r="150" spans="1:9" x14ac:dyDescent="0.35">
      <c r="A150" s="106">
        <v>45513</v>
      </c>
      <c r="B150" s="107" t="s">
        <v>322</v>
      </c>
      <c r="C150" s="107" t="s">
        <v>314</v>
      </c>
      <c r="D150" s="107" t="s">
        <v>333</v>
      </c>
      <c r="E150" s="107" t="s">
        <v>406</v>
      </c>
      <c r="F150" s="108">
        <v>58</v>
      </c>
      <c r="G150" s="109">
        <v>17</v>
      </c>
      <c r="H150" s="110">
        <f t="shared" si="5"/>
        <v>1160</v>
      </c>
      <c r="I150" s="111">
        <f t="shared" si="4"/>
        <v>58</v>
      </c>
    </row>
    <row r="151" spans="1:9" x14ac:dyDescent="0.35">
      <c r="A151" s="106">
        <v>45513</v>
      </c>
      <c r="B151" s="107" t="s">
        <v>318</v>
      </c>
      <c r="C151" s="107" t="s">
        <v>319</v>
      </c>
      <c r="D151" s="107" t="s">
        <v>320</v>
      </c>
      <c r="E151" s="107" t="s">
        <v>455</v>
      </c>
      <c r="F151" s="108">
        <v>45</v>
      </c>
      <c r="G151" s="109">
        <v>4</v>
      </c>
      <c r="H151" s="110">
        <f t="shared" si="5"/>
        <v>225</v>
      </c>
      <c r="I151" s="111">
        <f t="shared" si="4"/>
        <v>13.5</v>
      </c>
    </row>
    <row r="152" spans="1:9" x14ac:dyDescent="0.35">
      <c r="A152" s="106">
        <v>45513</v>
      </c>
      <c r="B152" s="107" t="s">
        <v>313</v>
      </c>
      <c r="C152" s="107" t="s">
        <v>319</v>
      </c>
      <c r="D152" s="107" t="s">
        <v>333</v>
      </c>
      <c r="E152" s="107" t="s">
        <v>341</v>
      </c>
      <c r="F152" s="108">
        <v>26</v>
      </c>
      <c r="G152" s="109">
        <v>13</v>
      </c>
      <c r="H152" s="110">
        <f t="shared" si="5"/>
        <v>364</v>
      </c>
      <c r="I152" s="111">
        <f t="shared" si="4"/>
        <v>18.2</v>
      </c>
    </row>
    <row r="153" spans="1:9" x14ac:dyDescent="0.35">
      <c r="A153" s="106">
        <v>45513</v>
      </c>
      <c r="B153" s="107" t="s">
        <v>422</v>
      </c>
      <c r="C153" s="107" t="s">
        <v>319</v>
      </c>
      <c r="D153" s="107" t="s">
        <v>324</v>
      </c>
      <c r="E153" s="107" t="s">
        <v>340</v>
      </c>
      <c r="F153" s="108">
        <v>61</v>
      </c>
      <c r="G153" s="109">
        <v>24</v>
      </c>
      <c r="H153" s="110">
        <f t="shared" si="5"/>
        <v>1525</v>
      </c>
      <c r="I153" s="111">
        <f t="shared" si="4"/>
        <v>76.25</v>
      </c>
    </row>
    <row r="154" spans="1:9" x14ac:dyDescent="0.35">
      <c r="A154" s="106">
        <v>45513</v>
      </c>
      <c r="B154" s="107" t="s">
        <v>322</v>
      </c>
      <c r="C154" s="107" t="s">
        <v>393</v>
      </c>
      <c r="D154" s="107" t="s">
        <v>320</v>
      </c>
      <c r="E154" s="107" t="s">
        <v>394</v>
      </c>
      <c r="F154" s="108">
        <v>44</v>
      </c>
      <c r="G154" s="109">
        <v>17</v>
      </c>
      <c r="H154" s="110">
        <f t="shared" si="5"/>
        <v>836</v>
      </c>
      <c r="I154" s="111">
        <f t="shared" si="4"/>
        <v>50.16</v>
      </c>
    </row>
    <row r="155" spans="1:9" x14ac:dyDescent="0.35">
      <c r="A155" s="106">
        <v>45513</v>
      </c>
      <c r="B155" s="107" t="s">
        <v>422</v>
      </c>
      <c r="C155" s="107" t="s">
        <v>393</v>
      </c>
      <c r="D155" s="107" t="s">
        <v>423</v>
      </c>
      <c r="E155" s="107" t="s">
        <v>416</v>
      </c>
      <c r="F155" s="108">
        <v>27</v>
      </c>
      <c r="G155" s="109">
        <v>24</v>
      </c>
      <c r="H155" s="110">
        <f t="shared" si="5"/>
        <v>702</v>
      </c>
      <c r="I155" s="111">
        <f t="shared" si="4"/>
        <v>42.12</v>
      </c>
    </row>
    <row r="156" spans="1:9" x14ac:dyDescent="0.35">
      <c r="A156" s="106">
        <v>45513</v>
      </c>
      <c r="B156" s="107" t="s">
        <v>322</v>
      </c>
      <c r="C156" s="107" t="s">
        <v>332</v>
      </c>
      <c r="D156" s="107" t="s">
        <v>324</v>
      </c>
      <c r="E156" s="107" t="s">
        <v>405</v>
      </c>
      <c r="F156" s="108">
        <v>28</v>
      </c>
      <c r="G156" s="109">
        <v>17</v>
      </c>
      <c r="H156" s="110">
        <f t="shared" si="5"/>
        <v>588</v>
      </c>
      <c r="I156" s="111">
        <f t="shared" si="4"/>
        <v>29.400000000000002</v>
      </c>
    </row>
    <row r="157" spans="1:9" x14ac:dyDescent="0.35">
      <c r="A157" s="106">
        <v>45513</v>
      </c>
      <c r="B157" s="107" t="s">
        <v>313</v>
      </c>
      <c r="C157" s="107" t="s">
        <v>393</v>
      </c>
      <c r="D157" s="107" t="s">
        <v>423</v>
      </c>
      <c r="E157" s="107" t="s">
        <v>405</v>
      </c>
      <c r="F157" s="108">
        <v>32</v>
      </c>
      <c r="G157" s="109">
        <v>13</v>
      </c>
      <c r="H157" s="110">
        <f t="shared" si="5"/>
        <v>480</v>
      </c>
      <c r="I157" s="111">
        <f t="shared" si="4"/>
        <v>28.799999999999997</v>
      </c>
    </row>
    <row r="158" spans="1:9" x14ac:dyDescent="0.35">
      <c r="A158" s="106">
        <v>45514</v>
      </c>
      <c r="B158" s="107" t="s">
        <v>422</v>
      </c>
      <c r="C158" s="107" t="s">
        <v>332</v>
      </c>
      <c r="D158" s="107" t="s">
        <v>324</v>
      </c>
      <c r="E158" s="107" t="s">
        <v>455</v>
      </c>
      <c r="F158" s="108">
        <v>24</v>
      </c>
      <c r="G158" s="109">
        <v>24</v>
      </c>
      <c r="H158" s="110">
        <f t="shared" si="5"/>
        <v>672</v>
      </c>
      <c r="I158" s="111">
        <f t="shared" si="4"/>
        <v>33.6</v>
      </c>
    </row>
    <row r="159" spans="1:9" x14ac:dyDescent="0.35">
      <c r="A159" s="106">
        <v>45514</v>
      </c>
      <c r="B159" s="107" t="s">
        <v>318</v>
      </c>
      <c r="C159" s="107" t="s">
        <v>332</v>
      </c>
      <c r="D159" s="107" t="s">
        <v>390</v>
      </c>
      <c r="E159" s="107" t="s">
        <v>341</v>
      </c>
      <c r="F159" s="108">
        <v>8</v>
      </c>
      <c r="G159" s="109">
        <v>4</v>
      </c>
      <c r="H159" s="110">
        <f t="shared" si="5"/>
        <v>64</v>
      </c>
      <c r="I159" s="111">
        <f t="shared" si="4"/>
        <v>3.2</v>
      </c>
    </row>
    <row r="160" spans="1:9" x14ac:dyDescent="0.35">
      <c r="A160" s="106">
        <v>45514</v>
      </c>
      <c r="B160" s="107" t="s">
        <v>327</v>
      </c>
      <c r="C160" s="107" t="s">
        <v>332</v>
      </c>
      <c r="D160" s="107" t="s">
        <v>390</v>
      </c>
      <c r="E160" s="107" t="s">
        <v>394</v>
      </c>
      <c r="F160" s="108">
        <v>19</v>
      </c>
      <c r="G160" s="109">
        <v>6</v>
      </c>
      <c r="H160" s="110">
        <f t="shared" si="5"/>
        <v>190</v>
      </c>
      <c r="I160" s="111">
        <f t="shared" si="4"/>
        <v>9.5</v>
      </c>
    </row>
    <row r="161" spans="1:9" x14ac:dyDescent="0.35">
      <c r="A161" s="106">
        <v>45514</v>
      </c>
      <c r="B161" s="107" t="s">
        <v>322</v>
      </c>
      <c r="C161" s="107" t="s">
        <v>319</v>
      </c>
      <c r="D161" s="107" t="s">
        <v>324</v>
      </c>
      <c r="E161" s="107" t="s">
        <v>394</v>
      </c>
      <c r="F161" s="108">
        <v>14</v>
      </c>
      <c r="G161" s="109">
        <v>17</v>
      </c>
      <c r="H161" s="110">
        <f t="shared" si="5"/>
        <v>252</v>
      </c>
      <c r="I161" s="111">
        <f t="shared" si="4"/>
        <v>12.600000000000001</v>
      </c>
    </row>
    <row r="162" spans="1:9" x14ac:dyDescent="0.35">
      <c r="A162" s="106">
        <v>45515</v>
      </c>
      <c r="B162" s="107" t="s">
        <v>318</v>
      </c>
      <c r="C162" s="107" t="s">
        <v>319</v>
      </c>
      <c r="D162" s="107" t="s">
        <v>338</v>
      </c>
      <c r="E162" s="107" t="s">
        <v>405</v>
      </c>
      <c r="F162" s="108">
        <v>10</v>
      </c>
      <c r="G162" s="109">
        <v>4</v>
      </c>
      <c r="H162" s="110">
        <f t="shared" si="5"/>
        <v>50</v>
      </c>
      <c r="I162" s="111">
        <f t="shared" si="4"/>
        <v>3</v>
      </c>
    </row>
    <row r="163" spans="1:9" x14ac:dyDescent="0.35">
      <c r="A163" s="106">
        <v>45516</v>
      </c>
      <c r="B163" s="107" t="s">
        <v>322</v>
      </c>
      <c r="C163" s="107" t="s">
        <v>314</v>
      </c>
      <c r="D163" s="107" t="s">
        <v>324</v>
      </c>
      <c r="E163" s="107" t="s">
        <v>337</v>
      </c>
      <c r="F163" s="108">
        <v>7</v>
      </c>
      <c r="G163" s="109">
        <v>17</v>
      </c>
      <c r="H163" s="110">
        <f t="shared" si="5"/>
        <v>140</v>
      </c>
      <c r="I163" s="111">
        <f t="shared" si="4"/>
        <v>7</v>
      </c>
    </row>
    <row r="164" spans="1:9" x14ac:dyDescent="0.35">
      <c r="A164" s="106">
        <v>45516</v>
      </c>
      <c r="B164" s="107" t="s">
        <v>422</v>
      </c>
      <c r="C164" s="107" t="s">
        <v>393</v>
      </c>
      <c r="D164" s="107" t="s">
        <v>320</v>
      </c>
      <c r="E164" s="107" t="s">
        <v>394</v>
      </c>
      <c r="F164" s="108">
        <v>42</v>
      </c>
      <c r="G164" s="109">
        <v>24</v>
      </c>
      <c r="H164" s="110">
        <f t="shared" si="5"/>
        <v>1092</v>
      </c>
      <c r="I164" s="111">
        <f t="shared" si="4"/>
        <v>65.52</v>
      </c>
    </row>
    <row r="165" spans="1:9" x14ac:dyDescent="0.35">
      <c r="A165" s="106">
        <v>45516</v>
      </c>
      <c r="B165" s="107" t="s">
        <v>313</v>
      </c>
      <c r="C165" s="107" t="s">
        <v>319</v>
      </c>
      <c r="D165" s="107" t="s">
        <v>333</v>
      </c>
      <c r="E165" s="107" t="s">
        <v>316</v>
      </c>
      <c r="F165" s="108">
        <v>27</v>
      </c>
      <c r="G165" s="109">
        <v>13</v>
      </c>
      <c r="H165" s="110">
        <f t="shared" si="5"/>
        <v>378</v>
      </c>
      <c r="I165" s="111">
        <f t="shared" si="4"/>
        <v>18.900000000000002</v>
      </c>
    </row>
    <row r="166" spans="1:9" x14ac:dyDescent="0.35">
      <c r="A166" s="106">
        <v>45517</v>
      </c>
      <c r="B166" s="107" t="s">
        <v>322</v>
      </c>
      <c r="C166" s="107" t="s">
        <v>393</v>
      </c>
      <c r="D166" s="107" t="s">
        <v>320</v>
      </c>
      <c r="E166" s="107" t="s">
        <v>406</v>
      </c>
      <c r="F166" s="108">
        <v>42</v>
      </c>
      <c r="G166" s="109">
        <v>17</v>
      </c>
      <c r="H166" s="110">
        <f t="shared" si="5"/>
        <v>798</v>
      </c>
      <c r="I166" s="111">
        <f t="shared" si="4"/>
        <v>47.879999999999995</v>
      </c>
    </row>
    <row r="167" spans="1:9" x14ac:dyDescent="0.35">
      <c r="A167" s="106">
        <v>45517</v>
      </c>
      <c r="B167" s="107" t="s">
        <v>313</v>
      </c>
      <c r="C167" s="107" t="s">
        <v>393</v>
      </c>
      <c r="D167" s="107" t="s">
        <v>333</v>
      </c>
      <c r="E167" s="107" t="s">
        <v>337</v>
      </c>
      <c r="F167" s="108">
        <v>58</v>
      </c>
      <c r="G167" s="109">
        <v>13</v>
      </c>
      <c r="H167" s="110">
        <f t="shared" si="5"/>
        <v>870</v>
      </c>
      <c r="I167" s="111">
        <f t="shared" si="4"/>
        <v>43.5</v>
      </c>
    </row>
    <row r="168" spans="1:9" x14ac:dyDescent="0.35">
      <c r="A168" s="106">
        <v>45517</v>
      </c>
      <c r="B168" s="107" t="s">
        <v>422</v>
      </c>
      <c r="C168" s="107" t="s">
        <v>314</v>
      </c>
      <c r="D168" s="107" t="s">
        <v>320</v>
      </c>
      <c r="E168" s="107" t="s">
        <v>400</v>
      </c>
      <c r="F168" s="108">
        <v>28</v>
      </c>
      <c r="G168" s="109">
        <v>24</v>
      </c>
      <c r="H168" s="110">
        <f t="shared" si="5"/>
        <v>756</v>
      </c>
      <c r="I168" s="111">
        <f t="shared" si="4"/>
        <v>45.36</v>
      </c>
    </row>
    <row r="169" spans="1:9" x14ac:dyDescent="0.35">
      <c r="A169" s="106">
        <v>45517</v>
      </c>
      <c r="B169" s="107" t="s">
        <v>318</v>
      </c>
      <c r="C169" s="107" t="s">
        <v>319</v>
      </c>
      <c r="D169" s="107" t="s">
        <v>333</v>
      </c>
      <c r="E169" s="107" t="s">
        <v>331</v>
      </c>
      <c r="F169" s="108">
        <v>55</v>
      </c>
      <c r="G169" s="109">
        <v>4</v>
      </c>
      <c r="H169" s="110">
        <f t="shared" si="5"/>
        <v>275</v>
      </c>
      <c r="I169" s="111">
        <f t="shared" si="4"/>
        <v>13.75</v>
      </c>
    </row>
    <row r="170" spans="1:9" x14ac:dyDescent="0.35">
      <c r="A170" s="106">
        <v>45517</v>
      </c>
      <c r="B170" s="107" t="s">
        <v>313</v>
      </c>
      <c r="C170" s="107" t="s">
        <v>319</v>
      </c>
      <c r="D170" s="107" t="s">
        <v>315</v>
      </c>
      <c r="E170" s="107" t="s">
        <v>394</v>
      </c>
      <c r="F170" s="108">
        <v>57</v>
      </c>
      <c r="G170" s="109">
        <v>13</v>
      </c>
      <c r="H170" s="110">
        <f t="shared" si="5"/>
        <v>798</v>
      </c>
      <c r="I170" s="111">
        <f t="shared" si="4"/>
        <v>39.900000000000006</v>
      </c>
    </row>
    <row r="171" spans="1:9" x14ac:dyDescent="0.35">
      <c r="A171" s="106">
        <v>45517</v>
      </c>
      <c r="B171" s="107" t="s">
        <v>327</v>
      </c>
      <c r="C171" s="107" t="s">
        <v>332</v>
      </c>
      <c r="D171" s="107" t="s">
        <v>423</v>
      </c>
      <c r="E171" s="107" t="s">
        <v>350</v>
      </c>
      <c r="F171" s="108">
        <v>32</v>
      </c>
      <c r="G171" s="109">
        <v>6</v>
      </c>
      <c r="H171" s="110">
        <f t="shared" si="5"/>
        <v>320</v>
      </c>
      <c r="I171" s="111">
        <f t="shared" si="4"/>
        <v>19.2</v>
      </c>
    </row>
    <row r="172" spans="1:9" x14ac:dyDescent="0.35">
      <c r="A172" s="106">
        <v>45518</v>
      </c>
      <c r="B172" s="107" t="s">
        <v>318</v>
      </c>
      <c r="C172" s="107" t="s">
        <v>332</v>
      </c>
      <c r="D172" s="107" t="s">
        <v>315</v>
      </c>
      <c r="E172" s="107" t="s">
        <v>345</v>
      </c>
      <c r="F172" s="108">
        <v>11</v>
      </c>
      <c r="G172" s="109">
        <v>4</v>
      </c>
      <c r="H172" s="110">
        <f t="shared" si="5"/>
        <v>88</v>
      </c>
      <c r="I172" s="111">
        <f t="shared" si="4"/>
        <v>4.4000000000000004</v>
      </c>
    </row>
    <row r="173" spans="1:9" x14ac:dyDescent="0.35">
      <c r="A173" s="106">
        <v>45518</v>
      </c>
      <c r="B173" s="107" t="s">
        <v>313</v>
      </c>
      <c r="C173" s="107" t="s">
        <v>393</v>
      </c>
      <c r="D173" s="107" t="s">
        <v>315</v>
      </c>
      <c r="E173" s="107" t="s">
        <v>394</v>
      </c>
      <c r="F173" s="108">
        <v>31</v>
      </c>
      <c r="G173" s="109">
        <v>13</v>
      </c>
      <c r="H173" s="110">
        <f t="shared" si="5"/>
        <v>465</v>
      </c>
      <c r="I173" s="111">
        <f t="shared" si="4"/>
        <v>23.25</v>
      </c>
    </row>
    <row r="174" spans="1:9" x14ac:dyDescent="0.35">
      <c r="A174" s="106">
        <v>45518</v>
      </c>
      <c r="B174" s="107" t="s">
        <v>327</v>
      </c>
      <c r="C174" s="107" t="s">
        <v>393</v>
      </c>
      <c r="D174" s="107" t="s">
        <v>320</v>
      </c>
      <c r="E174" s="107" t="s">
        <v>350</v>
      </c>
      <c r="F174" s="108">
        <v>65</v>
      </c>
      <c r="G174" s="109">
        <v>6</v>
      </c>
      <c r="H174" s="110">
        <f t="shared" si="5"/>
        <v>520</v>
      </c>
      <c r="I174" s="111">
        <f t="shared" si="4"/>
        <v>31.2</v>
      </c>
    </row>
    <row r="175" spans="1:9" x14ac:dyDescent="0.35">
      <c r="A175" s="106">
        <v>45519</v>
      </c>
      <c r="B175" s="107" t="s">
        <v>422</v>
      </c>
      <c r="C175" s="107" t="s">
        <v>314</v>
      </c>
      <c r="D175" s="107" t="s">
        <v>338</v>
      </c>
      <c r="E175" s="107" t="s">
        <v>406</v>
      </c>
      <c r="F175" s="108">
        <v>20</v>
      </c>
      <c r="G175" s="109">
        <v>24</v>
      </c>
      <c r="H175" s="110">
        <f t="shared" si="5"/>
        <v>540</v>
      </c>
      <c r="I175" s="111">
        <f t="shared" si="4"/>
        <v>32.4</v>
      </c>
    </row>
    <row r="176" spans="1:9" x14ac:dyDescent="0.35">
      <c r="A176" s="106">
        <v>45519</v>
      </c>
      <c r="B176" s="107" t="s">
        <v>327</v>
      </c>
      <c r="C176" s="107" t="s">
        <v>393</v>
      </c>
      <c r="D176" s="107" t="s">
        <v>423</v>
      </c>
      <c r="E176" s="107" t="s">
        <v>400</v>
      </c>
      <c r="F176" s="108">
        <v>30</v>
      </c>
      <c r="G176" s="109">
        <v>6</v>
      </c>
      <c r="H176" s="110">
        <f t="shared" si="5"/>
        <v>240</v>
      </c>
      <c r="I176" s="111">
        <f t="shared" si="4"/>
        <v>14.399999999999999</v>
      </c>
    </row>
    <row r="177" spans="1:9" x14ac:dyDescent="0.35">
      <c r="A177" s="106">
        <v>45519</v>
      </c>
      <c r="B177" s="107" t="s">
        <v>422</v>
      </c>
      <c r="C177" s="107" t="s">
        <v>314</v>
      </c>
      <c r="D177" s="107" t="s">
        <v>324</v>
      </c>
      <c r="E177" s="107" t="s">
        <v>416</v>
      </c>
      <c r="F177" s="108">
        <v>64</v>
      </c>
      <c r="G177" s="109">
        <v>24</v>
      </c>
      <c r="H177" s="110">
        <f t="shared" si="5"/>
        <v>1728</v>
      </c>
      <c r="I177" s="111">
        <f t="shared" si="4"/>
        <v>86.4</v>
      </c>
    </row>
    <row r="178" spans="1:9" x14ac:dyDescent="0.35">
      <c r="A178" s="106">
        <v>45520</v>
      </c>
      <c r="B178" s="107" t="s">
        <v>313</v>
      </c>
      <c r="C178" s="107" t="s">
        <v>314</v>
      </c>
      <c r="D178" s="107" t="s">
        <v>315</v>
      </c>
      <c r="E178" s="107" t="s">
        <v>349</v>
      </c>
      <c r="F178" s="108">
        <v>16</v>
      </c>
      <c r="G178" s="109">
        <v>13</v>
      </c>
      <c r="H178" s="110">
        <f t="shared" si="5"/>
        <v>256</v>
      </c>
      <c r="I178" s="111">
        <f t="shared" si="4"/>
        <v>12.8</v>
      </c>
    </row>
    <row r="179" spans="1:9" x14ac:dyDescent="0.35">
      <c r="A179" s="106">
        <v>45520</v>
      </c>
      <c r="B179" s="107" t="s">
        <v>322</v>
      </c>
      <c r="C179" s="107" t="s">
        <v>393</v>
      </c>
      <c r="D179" s="107" t="s">
        <v>333</v>
      </c>
      <c r="E179" s="107" t="s">
        <v>405</v>
      </c>
      <c r="F179" s="108">
        <v>58</v>
      </c>
      <c r="G179" s="109">
        <v>17</v>
      </c>
      <c r="H179" s="110">
        <f t="shared" si="5"/>
        <v>1102</v>
      </c>
      <c r="I179" s="111">
        <f t="shared" si="4"/>
        <v>55.1</v>
      </c>
    </row>
    <row r="180" spans="1:9" x14ac:dyDescent="0.35">
      <c r="A180" s="106">
        <v>45521</v>
      </c>
      <c r="B180" s="107" t="s">
        <v>322</v>
      </c>
      <c r="C180" s="107" t="s">
        <v>319</v>
      </c>
      <c r="D180" s="107" t="s">
        <v>338</v>
      </c>
      <c r="E180" s="107" t="s">
        <v>342</v>
      </c>
      <c r="F180" s="108">
        <v>8</v>
      </c>
      <c r="G180" s="109">
        <v>17</v>
      </c>
      <c r="H180" s="110">
        <f t="shared" si="5"/>
        <v>144</v>
      </c>
      <c r="I180" s="111">
        <f t="shared" si="4"/>
        <v>8.64</v>
      </c>
    </row>
    <row r="181" spans="1:9" x14ac:dyDescent="0.35">
      <c r="A181" s="106">
        <v>45521</v>
      </c>
      <c r="B181" s="107" t="s">
        <v>322</v>
      </c>
      <c r="C181" s="107" t="s">
        <v>314</v>
      </c>
      <c r="D181" s="107" t="s">
        <v>320</v>
      </c>
      <c r="E181" s="107" t="s">
        <v>340</v>
      </c>
      <c r="F181" s="108">
        <v>54</v>
      </c>
      <c r="G181" s="109">
        <v>17</v>
      </c>
      <c r="H181" s="110">
        <f t="shared" si="5"/>
        <v>1080</v>
      </c>
      <c r="I181" s="111">
        <f t="shared" si="4"/>
        <v>64.8</v>
      </c>
    </row>
    <row r="182" spans="1:9" x14ac:dyDescent="0.35">
      <c r="A182" s="106">
        <v>45522</v>
      </c>
      <c r="B182" s="107" t="s">
        <v>322</v>
      </c>
      <c r="C182" s="107" t="s">
        <v>393</v>
      </c>
      <c r="D182" s="107" t="s">
        <v>324</v>
      </c>
      <c r="E182" s="107" t="s">
        <v>395</v>
      </c>
      <c r="F182" s="108">
        <v>35</v>
      </c>
      <c r="G182" s="109">
        <v>17</v>
      </c>
      <c r="H182" s="110">
        <f t="shared" si="5"/>
        <v>665</v>
      </c>
      <c r="I182" s="111">
        <f t="shared" si="4"/>
        <v>33.25</v>
      </c>
    </row>
    <row r="183" spans="1:9" x14ac:dyDescent="0.35">
      <c r="A183" s="106">
        <v>45522</v>
      </c>
      <c r="B183" s="107" t="s">
        <v>318</v>
      </c>
      <c r="C183" s="107" t="s">
        <v>393</v>
      </c>
      <c r="D183" s="107" t="s">
        <v>333</v>
      </c>
      <c r="E183" s="107" t="s">
        <v>329</v>
      </c>
      <c r="F183" s="108">
        <v>62</v>
      </c>
      <c r="G183" s="109">
        <v>4</v>
      </c>
      <c r="H183" s="110">
        <f t="shared" si="5"/>
        <v>372</v>
      </c>
      <c r="I183" s="111">
        <f t="shared" si="4"/>
        <v>18.600000000000001</v>
      </c>
    </row>
    <row r="184" spans="1:9" x14ac:dyDescent="0.35">
      <c r="A184" s="106">
        <v>45522</v>
      </c>
      <c r="B184" s="107" t="s">
        <v>313</v>
      </c>
      <c r="C184" s="107" t="s">
        <v>393</v>
      </c>
      <c r="D184" s="107" t="s">
        <v>390</v>
      </c>
      <c r="E184" s="107" t="s">
        <v>394</v>
      </c>
      <c r="F184" s="108">
        <v>31</v>
      </c>
      <c r="G184" s="109">
        <v>13</v>
      </c>
      <c r="H184" s="110">
        <f t="shared" si="5"/>
        <v>465</v>
      </c>
      <c r="I184" s="111">
        <f t="shared" si="4"/>
        <v>23.25</v>
      </c>
    </row>
    <row r="185" spans="1:9" x14ac:dyDescent="0.35">
      <c r="A185" s="106">
        <v>45522</v>
      </c>
      <c r="B185" s="107" t="s">
        <v>422</v>
      </c>
      <c r="C185" s="107" t="s">
        <v>319</v>
      </c>
      <c r="D185" s="107" t="s">
        <v>324</v>
      </c>
      <c r="E185" s="107" t="s">
        <v>394</v>
      </c>
      <c r="F185" s="108">
        <v>22</v>
      </c>
      <c r="G185" s="109">
        <v>24</v>
      </c>
      <c r="H185" s="110">
        <f t="shared" si="5"/>
        <v>550</v>
      </c>
      <c r="I185" s="111">
        <f t="shared" si="4"/>
        <v>27.5</v>
      </c>
    </row>
    <row r="186" spans="1:9" x14ac:dyDescent="0.35">
      <c r="A186" s="106">
        <v>45523</v>
      </c>
      <c r="B186" s="107" t="s">
        <v>422</v>
      </c>
      <c r="C186" s="107" t="s">
        <v>314</v>
      </c>
      <c r="D186" s="107" t="s">
        <v>320</v>
      </c>
      <c r="E186" s="107" t="s">
        <v>316</v>
      </c>
      <c r="F186" s="108">
        <v>41</v>
      </c>
      <c r="G186" s="109">
        <v>24</v>
      </c>
      <c r="H186" s="110">
        <f t="shared" si="5"/>
        <v>1107</v>
      </c>
      <c r="I186" s="111">
        <f t="shared" si="4"/>
        <v>66.42</v>
      </c>
    </row>
    <row r="187" spans="1:9" x14ac:dyDescent="0.35">
      <c r="A187" s="106">
        <v>45524</v>
      </c>
      <c r="B187" s="107" t="s">
        <v>318</v>
      </c>
      <c r="C187" s="107" t="s">
        <v>319</v>
      </c>
      <c r="D187" s="107" t="s">
        <v>315</v>
      </c>
      <c r="E187" s="107" t="s">
        <v>341</v>
      </c>
      <c r="F187" s="108">
        <v>51</v>
      </c>
      <c r="G187" s="109">
        <v>4</v>
      </c>
      <c r="H187" s="110">
        <f t="shared" si="5"/>
        <v>255</v>
      </c>
      <c r="I187" s="111">
        <f t="shared" si="4"/>
        <v>12.75</v>
      </c>
    </row>
    <row r="188" spans="1:9" x14ac:dyDescent="0.35">
      <c r="A188" s="106">
        <v>45525</v>
      </c>
      <c r="B188" s="107" t="s">
        <v>327</v>
      </c>
      <c r="C188" s="107" t="s">
        <v>332</v>
      </c>
      <c r="D188" s="107" t="s">
        <v>338</v>
      </c>
      <c r="E188" s="107" t="s">
        <v>337</v>
      </c>
      <c r="F188" s="108">
        <v>63</v>
      </c>
      <c r="G188" s="109">
        <v>6</v>
      </c>
      <c r="H188" s="110">
        <f t="shared" si="5"/>
        <v>630</v>
      </c>
      <c r="I188" s="111">
        <f t="shared" si="4"/>
        <v>37.799999999999997</v>
      </c>
    </row>
    <row r="189" spans="1:9" x14ac:dyDescent="0.35">
      <c r="A189" s="106">
        <v>45525</v>
      </c>
      <c r="B189" s="107" t="s">
        <v>422</v>
      </c>
      <c r="C189" s="107" t="s">
        <v>393</v>
      </c>
      <c r="D189" s="107" t="s">
        <v>423</v>
      </c>
      <c r="E189" s="107" t="s">
        <v>343</v>
      </c>
      <c r="F189" s="108">
        <v>27</v>
      </c>
      <c r="G189" s="109">
        <v>24</v>
      </c>
      <c r="H189" s="110">
        <f t="shared" si="5"/>
        <v>702</v>
      </c>
      <c r="I189" s="111">
        <f t="shared" si="4"/>
        <v>42.12</v>
      </c>
    </row>
    <row r="190" spans="1:9" x14ac:dyDescent="0.35">
      <c r="A190" s="106">
        <v>45526</v>
      </c>
      <c r="B190" s="107" t="s">
        <v>327</v>
      </c>
      <c r="C190" s="107" t="s">
        <v>393</v>
      </c>
      <c r="D190" s="107" t="s">
        <v>315</v>
      </c>
      <c r="E190" s="107" t="s">
        <v>340</v>
      </c>
      <c r="F190" s="108">
        <v>65</v>
      </c>
      <c r="G190" s="109">
        <v>6</v>
      </c>
      <c r="H190" s="110">
        <f t="shared" si="5"/>
        <v>520</v>
      </c>
      <c r="I190" s="111">
        <f t="shared" si="4"/>
        <v>26</v>
      </c>
    </row>
    <row r="191" spans="1:9" x14ac:dyDescent="0.35">
      <c r="A191" s="106">
        <v>45526</v>
      </c>
      <c r="B191" s="107" t="s">
        <v>313</v>
      </c>
      <c r="C191" s="107" t="s">
        <v>319</v>
      </c>
      <c r="D191" s="107" t="s">
        <v>324</v>
      </c>
      <c r="E191" s="107" t="s">
        <v>345</v>
      </c>
      <c r="F191" s="108">
        <v>46</v>
      </c>
      <c r="G191" s="109">
        <v>13</v>
      </c>
      <c r="H191" s="110">
        <f t="shared" si="5"/>
        <v>644</v>
      </c>
      <c r="I191" s="111">
        <f t="shared" si="4"/>
        <v>32.200000000000003</v>
      </c>
    </row>
    <row r="192" spans="1:9" x14ac:dyDescent="0.35">
      <c r="A192" s="106">
        <v>45526</v>
      </c>
      <c r="B192" s="107" t="s">
        <v>322</v>
      </c>
      <c r="C192" s="107" t="s">
        <v>332</v>
      </c>
      <c r="D192" s="107" t="s">
        <v>423</v>
      </c>
      <c r="E192" s="107" t="s">
        <v>454</v>
      </c>
      <c r="F192" s="108">
        <v>36</v>
      </c>
      <c r="G192" s="109">
        <v>17</v>
      </c>
      <c r="H192" s="110">
        <f t="shared" si="5"/>
        <v>756</v>
      </c>
      <c r="I192" s="111">
        <f t="shared" si="4"/>
        <v>45.36</v>
      </c>
    </row>
    <row r="193" spans="1:9" x14ac:dyDescent="0.35">
      <c r="A193" s="106">
        <v>45526</v>
      </c>
      <c r="B193" s="107" t="s">
        <v>327</v>
      </c>
      <c r="C193" s="107" t="s">
        <v>319</v>
      </c>
      <c r="D193" s="107" t="s">
        <v>390</v>
      </c>
      <c r="E193" s="107" t="s">
        <v>400</v>
      </c>
      <c r="F193" s="108">
        <v>56</v>
      </c>
      <c r="G193" s="109">
        <v>6</v>
      </c>
      <c r="H193" s="110">
        <f t="shared" si="5"/>
        <v>392</v>
      </c>
      <c r="I193" s="111">
        <f t="shared" si="4"/>
        <v>19.600000000000001</v>
      </c>
    </row>
    <row r="194" spans="1:9" x14ac:dyDescent="0.35">
      <c r="A194" s="106">
        <v>45526</v>
      </c>
      <c r="B194" s="107" t="s">
        <v>313</v>
      </c>
      <c r="C194" s="107" t="s">
        <v>319</v>
      </c>
      <c r="D194" s="107" t="s">
        <v>315</v>
      </c>
      <c r="E194" s="107" t="s">
        <v>394</v>
      </c>
      <c r="F194" s="108">
        <v>7</v>
      </c>
      <c r="G194" s="109">
        <v>13</v>
      </c>
      <c r="H194" s="110">
        <f t="shared" si="5"/>
        <v>98</v>
      </c>
      <c r="I194" s="111">
        <f t="shared" ref="I194:I257" si="6">H194*VLOOKUP(D194,$O$4:$P$10,2,TRUE)</f>
        <v>4.9000000000000004</v>
      </c>
    </row>
    <row r="195" spans="1:9" x14ac:dyDescent="0.35">
      <c r="A195" s="106">
        <v>45526</v>
      </c>
      <c r="B195" s="107" t="s">
        <v>322</v>
      </c>
      <c r="C195" s="107" t="s">
        <v>319</v>
      </c>
      <c r="D195" s="107" t="s">
        <v>324</v>
      </c>
      <c r="E195" s="107" t="s">
        <v>343</v>
      </c>
      <c r="F195" s="108">
        <v>57</v>
      </c>
      <c r="G195" s="109">
        <v>17</v>
      </c>
      <c r="H195" s="110">
        <f t="shared" ref="H195:H258" si="7">(F195*G195)+VLOOKUP(C195,$K$11:$L$14,2,FALSE)*F195</f>
        <v>1026</v>
      </c>
      <c r="I195" s="111">
        <f t="shared" si="6"/>
        <v>51.300000000000004</v>
      </c>
    </row>
    <row r="196" spans="1:9" x14ac:dyDescent="0.35">
      <c r="A196" s="106">
        <v>45527</v>
      </c>
      <c r="B196" s="107" t="s">
        <v>422</v>
      </c>
      <c r="C196" s="107" t="s">
        <v>314</v>
      </c>
      <c r="D196" s="107" t="s">
        <v>315</v>
      </c>
      <c r="E196" s="107" t="s">
        <v>388</v>
      </c>
      <c r="F196" s="108">
        <v>48</v>
      </c>
      <c r="G196" s="109">
        <v>24</v>
      </c>
      <c r="H196" s="110">
        <f t="shared" si="7"/>
        <v>1296</v>
      </c>
      <c r="I196" s="111">
        <f t="shared" si="6"/>
        <v>64.8</v>
      </c>
    </row>
    <row r="197" spans="1:9" x14ac:dyDescent="0.35">
      <c r="A197" s="106">
        <v>45527</v>
      </c>
      <c r="B197" s="107" t="s">
        <v>322</v>
      </c>
      <c r="C197" s="107" t="s">
        <v>314</v>
      </c>
      <c r="D197" s="107" t="s">
        <v>324</v>
      </c>
      <c r="E197" s="107" t="s">
        <v>329</v>
      </c>
      <c r="F197" s="108">
        <v>17</v>
      </c>
      <c r="G197" s="109">
        <v>17</v>
      </c>
      <c r="H197" s="110">
        <f t="shared" si="7"/>
        <v>340</v>
      </c>
      <c r="I197" s="111">
        <f t="shared" si="6"/>
        <v>17</v>
      </c>
    </row>
    <row r="198" spans="1:9" x14ac:dyDescent="0.35">
      <c r="A198" s="106">
        <v>45528</v>
      </c>
      <c r="B198" s="107" t="s">
        <v>422</v>
      </c>
      <c r="C198" s="107" t="s">
        <v>332</v>
      </c>
      <c r="D198" s="107" t="s">
        <v>423</v>
      </c>
      <c r="E198" s="107" t="s">
        <v>455</v>
      </c>
      <c r="F198" s="108">
        <v>19</v>
      </c>
      <c r="G198" s="109">
        <v>24</v>
      </c>
      <c r="H198" s="110">
        <f t="shared" si="7"/>
        <v>532</v>
      </c>
      <c r="I198" s="111">
        <f t="shared" si="6"/>
        <v>31.919999999999998</v>
      </c>
    </row>
    <row r="199" spans="1:9" x14ac:dyDescent="0.35">
      <c r="A199" s="106">
        <v>45528</v>
      </c>
      <c r="B199" s="107" t="s">
        <v>422</v>
      </c>
      <c r="C199" s="107" t="s">
        <v>319</v>
      </c>
      <c r="D199" s="107" t="s">
        <v>338</v>
      </c>
      <c r="E199" s="107" t="s">
        <v>339</v>
      </c>
      <c r="F199" s="108">
        <v>26</v>
      </c>
      <c r="G199" s="109">
        <v>24</v>
      </c>
      <c r="H199" s="110">
        <f t="shared" si="7"/>
        <v>650</v>
      </c>
      <c r="I199" s="111">
        <f t="shared" si="6"/>
        <v>39</v>
      </c>
    </row>
    <row r="200" spans="1:9" x14ac:dyDescent="0.35">
      <c r="A200" s="106">
        <v>45528</v>
      </c>
      <c r="B200" s="107" t="s">
        <v>327</v>
      </c>
      <c r="C200" s="107" t="s">
        <v>314</v>
      </c>
      <c r="D200" s="107" t="s">
        <v>333</v>
      </c>
      <c r="E200" s="107" t="s">
        <v>416</v>
      </c>
      <c r="F200" s="108">
        <v>48</v>
      </c>
      <c r="G200" s="109">
        <v>6</v>
      </c>
      <c r="H200" s="110">
        <f t="shared" si="7"/>
        <v>432</v>
      </c>
      <c r="I200" s="111">
        <f t="shared" si="6"/>
        <v>21.6</v>
      </c>
    </row>
    <row r="201" spans="1:9" x14ac:dyDescent="0.35">
      <c r="A201" s="106">
        <v>45528</v>
      </c>
      <c r="B201" s="107" t="s">
        <v>313</v>
      </c>
      <c r="C201" s="107" t="s">
        <v>314</v>
      </c>
      <c r="D201" s="107" t="s">
        <v>320</v>
      </c>
      <c r="E201" s="107" t="s">
        <v>344</v>
      </c>
      <c r="F201" s="108">
        <v>15</v>
      </c>
      <c r="G201" s="109">
        <v>13</v>
      </c>
      <c r="H201" s="110">
        <f t="shared" si="7"/>
        <v>240</v>
      </c>
      <c r="I201" s="111">
        <f t="shared" si="6"/>
        <v>14.399999999999999</v>
      </c>
    </row>
    <row r="202" spans="1:9" x14ac:dyDescent="0.35">
      <c r="A202" s="106">
        <v>45530</v>
      </c>
      <c r="B202" s="107" t="s">
        <v>422</v>
      </c>
      <c r="C202" s="107" t="s">
        <v>319</v>
      </c>
      <c r="D202" s="107" t="s">
        <v>333</v>
      </c>
      <c r="E202" s="107" t="s">
        <v>341</v>
      </c>
      <c r="F202" s="108">
        <v>12</v>
      </c>
      <c r="G202" s="109">
        <v>24</v>
      </c>
      <c r="H202" s="110">
        <f t="shared" si="7"/>
        <v>300</v>
      </c>
      <c r="I202" s="111">
        <f t="shared" si="6"/>
        <v>15</v>
      </c>
    </row>
    <row r="203" spans="1:9" x14ac:dyDescent="0.35">
      <c r="A203" s="106">
        <v>45530</v>
      </c>
      <c r="B203" s="107" t="s">
        <v>327</v>
      </c>
      <c r="C203" s="107" t="s">
        <v>332</v>
      </c>
      <c r="D203" s="107" t="s">
        <v>320</v>
      </c>
      <c r="E203" s="107" t="s">
        <v>335</v>
      </c>
      <c r="F203" s="108">
        <v>65</v>
      </c>
      <c r="G203" s="109">
        <v>6</v>
      </c>
      <c r="H203" s="110">
        <f t="shared" si="7"/>
        <v>650</v>
      </c>
      <c r="I203" s="111">
        <f t="shared" si="6"/>
        <v>39</v>
      </c>
    </row>
    <row r="204" spans="1:9" x14ac:dyDescent="0.35">
      <c r="A204" s="106">
        <v>45530</v>
      </c>
      <c r="B204" s="107" t="s">
        <v>313</v>
      </c>
      <c r="C204" s="107" t="s">
        <v>332</v>
      </c>
      <c r="D204" s="107" t="s">
        <v>423</v>
      </c>
      <c r="E204" s="107" t="s">
        <v>316</v>
      </c>
      <c r="F204" s="108">
        <v>30</v>
      </c>
      <c r="G204" s="109">
        <v>13</v>
      </c>
      <c r="H204" s="110">
        <f t="shared" si="7"/>
        <v>510</v>
      </c>
      <c r="I204" s="111">
        <f t="shared" si="6"/>
        <v>30.599999999999998</v>
      </c>
    </row>
    <row r="205" spans="1:9" x14ac:dyDescent="0.35">
      <c r="A205" s="106">
        <v>45531</v>
      </c>
      <c r="B205" s="107" t="s">
        <v>318</v>
      </c>
      <c r="C205" s="107" t="s">
        <v>314</v>
      </c>
      <c r="D205" s="107" t="s">
        <v>320</v>
      </c>
      <c r="E205" s="107" t="s">
        <v>341</v>
      </c>
      <c r="F205" s="108">
        <v>19</v>
      </c>
      <c r="G205" s="109">
        <v>4</v>
      </c>
      <c r="H205" s="110">
        <f t="shared" si="7"/>
        <v>133</v>
      </c>
      <c r="I205" s="111">
        <f t="shared" si="6"/>
        <v>7.9799999999999995</v>
      </c>
    </row>
    <row r="206" spans="1:9" x14ac:dyDescent="0.35">
      <c r="A206" s="106">
        <v>45531</v>
      </c>
      <c r="B206" s="107" t="s">
        <v>327</v>
      </c>
      <c r="C206" s="107" t="s">
        <v>332</v>
      </c>
      <c r="D206" s="107" t="s">
        <v>315</v>
      </c>
      <c r="E206" s="107" t="s">
        <v>346</v>
      </c>
      <c r="F206" s="108">
        <v>18</v>
      </c>
      <c r="G206" s="109">
        <v>6</v>
      </c>
      <c r="H206" s="110">
        <f t="shared" si="7"/>
        <v>180</v>
      </c>
      <c r="I206" s="111">
        <f t="shared" si="6"/>
        <v>9</v>
      </c>
    </row>
    <row r="207" spans="1:9" x14ac:dyDescent="0.35">
      <c r="A207" s="106">
        <v>45531</v>
      </c>
      <c r="B207" s="107" t="s">
        <v>313</v>
      </c>
      <c r="C207" s="107" t="s">
        <v>393</v>
      </c>
      <c r="D207" s="107" t="s">
        <v>320</v>
      </c>
      <c r="E207" s="107" t="s">
        <v>344</v>
      </c>
      <c r="F207" s="108">
        <v>32</v>
      </c>
      <c r="G207" s="109">
        <v>13</v>
      </c>
      <c r="H207" s="110">
        <f t="shared" si="7"/>
        <v>480</v>
      </c>
      <c r="I207" s="111">
        <f t="shared" si="6"/>
        <v>28.799999999999997</v>
      </c>
    </row>
    <row r="208" spans="1:9" x14ac:dyDescent="0.35">
      <c r="A208" s="106">
        <v>45532</v>
      </c>
      <c r="B208" s="107" t="s">
        <v>318</v>
      </c>
      <c r="C208" s="107" t="s">
        <v>319</v>
      </c>
      <c r="D208" s="107" t="s">
        <v>333</v>
      </c>
      <c r="E208" s="107" t="s">
        <v>406</v>
      </c>
      <c r="F208" s="108">
        <v>45</v>
      </c>
      <c r="G208" s="109">
        <v>4</v>
      </c>
      <c r="H208" s="110">
        <f t="shared" si="7"/>
        <v>225</v>
      </c>
      <c r="I208" s="111">
        <f t="shared" si="6"/>
        <v>11.25</v>
      </c>
    </row>
    <row r="209" spans="1:9" x14ac:dyDescent="0.35">
      <c r="A209" s="106">
        <v>45533</v>
      </c>
      <c r="B209" s="107" t="s">
        <v>313</v>
      </c>
      <c r="C209" s="107" t="s">
        <v>393</v>
      </c>
      <c r="D209" s="107" t="s">
        <v>324</v>
      </c>
      <c r="E209" s="107" t="s">
        <v>406</v>
      </c>
      <c r="F209" s="108">
        <v>36</v>
      </c>
      <c r="G209" s="109">
        <v>13</v>
      </c>
      <c r="H209" s="110">
        <f t="shared" si="7"/>
        <v>540</v>
      </c>
      <c r="I209" s="111">
        <f t="shared" si="6"/>
        <v>27</v>
      </c>
    </row>
    <row r="210" spans="1:9" x14ac:dyDescent="0.35">
      <c r="A210" s="106">
        <v>45533</v>
      </c>
      <c r="B210" s="107" t="s">
        <v>313</v>
      </c>
      <c r="C210" s="107" t="s">
        <v>332</v>
      </c>
      <c r="D210" s="107" t="s">
        <v>315</v>
      </c>
      <c r="E210" s="107" t="s">
        <v>340</v>
      </c>
      <c r="F210" s="108">
        <v>23</v>
      </c>
      <c r="G210" s="109">
        <v>13</v>
      </c>
      <c r="H210" s="110">
        <f t="shared" si="7"/>
        <v>391</v>
      </c>
      <c r="I210" s="111">
        <f t="shared" si="6"/>
        <v>19.55</v>
      </c>
    </row>
    <row r="211" spans="1:9" x14ac:dyDescent="0.35">
      <c r="A211" s="106">
        <v>45534</v>
      </c>
      <c r="B211" s="107" t="s">
        <v>422</v>
      </c>
      <c r="C211" s="107" t="s">
        <v>332</v>
      </c>
      <c r="D211" s="107" t="s">
        <v>423</v>
      </c>
      <c r="E211" s="107" t="s">
        <v>394</v>
      </c>
      <c r="F211" s="108">
        <v>59</v>
      </c>
      <c r="G211" s="109">
        <v>24</v>
      </c>
      <c r="H211" s="110">
        <f t="shared" si="7"/>
        <v>1652</v>
      </c>
      <c r="I211" s="111">
        <f t="shared" si="6"/>
        <v>99.11999999999999</v>
      </c>
    </row>
    <row r="212" spans="1:9" x14ac:dyDescent="0.35">
      <c r="A212" s="106">
        <v>45535</v>
      </c>
      <c r="B212" s="107" t="s">
        <v>313</v>
      </c>
      <c r="C212" s="107" t="s">
        <v>319</v>
      </c>
      <c r="D212" s="107" t="s">
        <v>320</v>
      </c>
      <c r="E212" s="107" t="s">
        <v>406</v>
      </c>
      <c r="F212" s="108">
        <v>19</v>
      </c>
      <c r="G212" s="109">
        <v>13</v>
      </c>
      <c r="H212" s="110">
        <f t="shared" si="7"/>
        <v>266</v>
      </c>
      <c r="I212" s="111">
        <f t="shared" si="6"/>
        <v>15.959999999999999</v>
      </c>
    </row>
    <row r="213" spans="1:9" x14ac:dyDescent="0.35">
      <c r="A213" s="106">
        <v>45535</v>
      </c>
      <c r="B213" s="107" t="s">
        <v>422</v>
      </c>
      <c r="C213" s="107" t="s">
        <v>319</v>
      </c>
      <c r="D213" s="107" t="s">
        <v>320</v>
      </c>
      <c r="E213" s="107" t="s">
        <v>388</v>
      </c>
      <c r="F213" s="108">
        <v>51</v>
      </c>
      <c r="G213" s="109">
        <v>24</v>
      </c>
      <c r="H213" s="110">
        <f t="shared" si="7"/>
        <v>1275</v>
      </c>
      <c r="I213" s="111">
        <f t="shared" si="6"/>
        <v>76.5</v>
      </c>
    </row>
    <row r="214" spans="1:9" x14ac:dyDescent="0.35">
      <c r="A214" s="106">
        <v>45535</v>
      </c>
      <c r="B214" s="107" t="s">
        <v>322</v>
      </c>
      <c r="C214" s="107" t="s">
        <v>319</v>
      </c>
      <c r="D214" s="107" t="s">
        <v>315</v>
      </c>
      <c r="E214" s="107" t="s">
        <v>331</v>
      </c>
      <c r="F214" s="108">
        <v>19</v>
      </c>
      <c r="G214" s="109">
        <v>17</v>
      </c>
      <c r="H214" s="110">
        <f t="shared" si="7"/>
        <v>342</v>
      </c>
      <c r="I214" s="111">
        <f t="shared" si="6"/>
        <v>17.100000000000001</v>
      </c>
    </row>
    <row r="215" spans="1:9" x14ac:dyDescent="0.35">
      <c r="A215" s="106">
        <v>45535</v>
      </c>
      <c r="B215" s="107" t="s">
        <v>327</v>
      </c>
      <c r="C215" s="107" t="s">
        <v>319</v>
      </c>
      <c r="D215" s="107" t="s">
        <v>324</v>
      </c>
      <c r="E215" s="107" t="s">
        <v>329</v>
      </c>
      <c r="F215" s="108">
        <v>55</v>
      </c>
      <c r="G215" s="109">
        <v>6</v>
      </c>
      <c r="H215" s="110">
        <f t="shared" si="7"/>
        <v>385</v>
      </c>
      <c r="I215" s="111">
        <f t="shared" si="6"/>
        <v>19.25</v>
      </c>
    </row>
    <row r="216" spans="1:9" x14ac:dyDescent="0.35">
      <c r="A216" s="106">
        <v>45535</v>
      </c>
      <c r="B216" s="107" t="s">
        <v>322</v>
      </c>
      <c r="C216" s="107" t="s">
        <v>332</v>
      </c>
      <c r="D216" s="107" t="s">
        <v>333</v>
      </c>
      <c r="E216" s="107" t="s">
        <v>344</v>
      </c>
      <c r="F216" s="108">
        <v>44</v>
      </c>
      <c r="G216" s="109">
        <v>17</v>
      </c>
      <c r="H216" s="110">
        <f t="shared" si="7"/>
        <v>924</v>
      </c>
      <c r="I216" s="111">
        <f t="shared" si="6"/>
        <v>46.2</v>
      </c>
    </row>
    <row r="217" spans="1:9" x14ac:dyDescent="0.35">
      <c r="A217" s="106">
        <v>45535</v>
      </c>
      <c r="B217" s="107" t="s">
        <v>318</v>
      </c>
      <c r="C217" s="107" t="s">
        <v>314</v>
      </c>
      <c r="D217" s="107" t="s">
        <v>320</v>
      </c>
      <c r="E217" s="107" t="s">
        <v>343</v>
      </c>
      <c r="F217" s="108">
        <v>42</v>
      </c>
      <c r="G217" s="109">
        <v>4</v>
      </c>
      <c r="H217" s="110">
        <f t="shared" si="7"/>
        <v>294</v>
      </c>
      <c r="I217" s="111">
        <f t="shared" si="6"/>
        <v>17.64</v>
      </c>
    </row>
    <row r="218" spans="1:9" x14ac:dyDescent="0.35">
      <c r="A218" s="106">
        <v>45535</v>
      </c>
      <c r="B218" s="107" t="s">
        <v>313</v>
      </c>
      <c r="C218" s="107" t="s">
        <v>314</v>
      </c>
      <c r="D218" s="107" t="s">
        <v>324</v>
      </c>
      <c r="E218" s="107" t="s">
        <v>350</v>
      </c>
      <c r="F218" s="108">
        <v>45</v>
      </c>
      <c r="G218" s="109">
        <v>13</v>
      </c>
      <c r="H218" s="110">
        <f t="shared" si="7"/>
        <v>720</v>
      </c>
      <c r="I218" s="111">
        <f t="shared" si="6"/>
        <v>36</v>
      </c>
    </row>
    <row r="219" spans="1:9" x14ac:dyDescent="0.35">
      <c r="A219" s="106">
        <v>45536</v>
      </c>
      <c r="B219" s="107" t="s">
        <v>313</v>
      </c>
      <c r="C219" s="107" t="s">
        <v>314</v>
      </c>
      <c r="D219" s="107" t="s">
        <v>390</v>
      </c>
      <c r="E219" s="107" t="s">
        <v>455</v>
      </c>
      <c r="F219" s="108">
        <v>31</v>
      </c>
      <c r="G219" s="109">
        <v>13</v>
      </c>
      <c r="H219" s="110">
        <f t="shared" si="7"/>
        <v>496</v>
      </c>
      <c r="I219" s="111">
        <f t="shared" si="6"/>
        <v>24.8</v>
      </c>
    </row>
    <row r="220" spans="1:9" x14ac:dyDescent="0.35">
      <c r="A220" s="106">
        <v>45536</v>
      </c>
      <c r="B220" s="107" t="s">
        <v>327</v>
      </c>
      <c r="C220" s="107" t="s">
        <v>332</v>
      </c>
      <c r="D220" s="107" t="s">
        <v>324</v>
      </c>
      <c r="E220" s="107" t="s">
        <v>341</v>
      </c>
      <c r="F220" s="108">
        <v>58</v>
      </c>
      <c r="G220" s="109">
        <v>6</v>
      </c>
      <c r="H220" s="110">
        <f t="shared" si="7"/>
        <v>580</v>
      </c>
      <c r="I220" s="111">
        <f t="shared" si="6"/>
        <v>29</v>
      </c>
    </row>
    <row r="221" spans="1:9" x14ac:dyDescent="0.35">
      <c r="A221" s="106">
        <v>45536</v>
      </c>
      <c r="B221" s="107" t="s">
        <v>327</v>
      </c>
      <c r="C221" s="107" t="s">
        <v>314</v>
      </c>
      <c r="D221" s="107" t="s">
        <v>423</v>
      </c>
      <c r="E221" s="107" t="s">
        <v>346</v>
      </c>
      <c r="F221" s="108">
        <v>36</v>
      </c>
      <c r="G221" s="109">
        <v>6</v>
      </c>
      <c r="H221" s="110">
        <f t="shared" si="7"/>
        <v>324</v>
      </c>
      <c r="I221" s="111">
        <f t="shared" si="6"/>
        <v>19.439999999999998</v>
      </c>
    </row>
    <row r="222" spans="1:9" x14ac:dyDescent="0.35">
      <c r="A222" s="106">
        <v>45536</v>
      </c>
      <c r="B222" s="107" t="s">
        <v>327</v>
      </c>
      <c r="C222" s="107" t="s">
        <v>332</v>
      </c>
      <c r="D222" s="107" t="s">
        <v>320</v>
      </c>
      <c r="E222" s="107" t="s">
        <v>343</v>
      </c>
      <c r="F222" s="108">
        <v>50</v>
      </c>
      <c r="G222" s="109">
        <v>6</v>
      </c>
      <c r="H222" s="110">
        <f t="shared" si="7"/>
        <v>500</v>
      </c>
      <c r="I222" s="111">
        <f t="shared" si="6"/>
        <v>30</v>
      </c>
    </row>
    <row r="223" spans="1:9" x14ac:dyDescent="0.35">
      <c r="A223" s="106">
        <v>45537</v>
      </c>
      <c r="B223" s="107" t="s">
        <v>422</v>
      </c>
      <c r="C223" s="107" t="s">
        <v>332</v>
      </c>
      <c r="D223" s="107" t="s">
        <v>315</v>
      </c>
      <c r="E223" s="107" t="s">
        <v>455</v>
      </c>
      <c r="F223" s="108">
        <v>10</v>
      </c>
      <c r="G223" s="109">
        <v>24</v>
      </c>
      <c r="H223" s="110">
        <f t="shared" si="7"/>
        <v>280</v>
      </c>
      <c r="I223" s="111">
        <f t="shared" si="6"/>
        <v>14</v>
      </c>
    </row>
    <row r="224" spans="1:9" x14ac:dyDescent="0.35">
      <c r="A224" s="106">
        <v>45537</v>
      </c>
      <c r="B224" s="107" t="s">
        <v>313</v>
      </c>
      <c r="C224" s="107" t="s">
        <v>319</v>
      </c>
      <c r="D224" s="107" t="s">
        <v>320</v>
      </c>
      <c r="E224" s="107" t="s">
        <v>395</v>
      </c>
      <c r="F224" s="108">
        <v>45</v>
      </c>
      <c r="G224" s="109">
        <v>13</v>
      </c>
      <c r="H224" s="110">
        <f t="shared" si="7"/>
        <v>630</v>
      </c>
      <c r="I224" s="111">
        <f t="shared" si="6"/>
        <v>37.799999999999997</v>
      </c>
    </row>
    <row r="225" spans="1:9" x14ac:dyDescent="0.35">
      <c r="A225" s="106">
        <v>45537</v>
      </c>
      <c r="B225" s="107" t="s">
        <v>322</v>
      </c>
      <c r="C225" s="107" t="s">
        <v>332</v>
      </c>
      <c r="D225" s="107" t="s">
        <v>423</v>
      </c>
      <c r="E225" s="107" t="s">
        <v>339</v>
      </c>
      <c r="F225" s="108">
        <v>12</v>
      </c>
      <c r="G225" s="109">
        <v>17</v>
      </c>
      <c r="H225" s="110">
        <f t="shared" si="7"/>
        <v>252</v>
      </c>
      <c r="I225" s="111">
        <f t="shared" si="6"/>
        <v>15.12</v>
      </c>
    </row>
    <row r="226" spans="1:9" x14ac:dyDescent="0.35">
      <c r="A226" s="106">
        <v>45537</v>
      </c>
      <c r="B226" s="107" t="s">
        <v>313</v>
      </c>
      <c r="C226" s="107" t="s">
        <v>314</v>
      </c>
      <c r="D226" s="107" t="s">
        <v>324</v>
      </c>
      <c r="E226" s="107" t="s">
        <v>350</v>
      </c>
      <c r="F226" s="108">
        <v>23</v>
      </c>
      <c r="G226" s="109">
        <v>13</v>
      </c>
      <c r="H226" s="110">
        <f t="shared" si="7"/>
        <v>368</v>
      </c>
      <c r="I226" s="111">
        <f t="shared" si="6"/>
        <v>18.400000000000002</v>
      </c>
    </row>
    <row r="227" spans="1:9" x14ac:dyDescent="0.35">
      <c r="A227" s="106">
        <v>45537</v>
      </c>
      <c r="B227" s="107" t="s">
        <v>313</v>
      </c>
      <c r="C227" s="107" t="s">
        <v>332</v>
      </c>
      <c r="D227" s="107" t="s">
        <v>390</v>
      </c>
      <c r="E227" s="107" t="s">
        <v>316</v>
      </c>
      <c r="F227" s="108">
        <v>7</v>
      </c>
      <c r="G227" s="109">
        <v>13</v>
      </c>
      <c r="H227" s="110">
        <f t="shared" si="7"/>
        <v>119</v>
      </c>
      <c r="I227" s="111">
        <f t="shared" si="6"/>
        <v>5.95</v>
      </c>
    </row>
    <row r="228" spans="1:9" x14ac:dyDescent="0.35">
      <c r="A228" s="106">
        <v>45538</v>
      </c>
      <c r="B228" s="107" t="s">
        <v>322</v>
      </c>
      <c r="C228" s="107" t="s">
        <v>332</v>
      </c>
      <c r="D228" s="107" t="s">
        <v>423</v>
      </c>
      <c r="E228" s="107" t="s">
        <v>337</v>
      </c>
      <c r="F228" s="108">
        <v>23</v>
      </c>
      <c r="G228" s="109">
        <v>17</v>
      </c>
      <c r="H228" s="110">
        <f t="shared" si="7"/>
        <v>483</v>
      </c>
      <c r="I228" s="111">
        <f t="shared" si="6"/>
        <v>28.98</v>
      </c>
    </row>
    <row r="229" spans="1:9" x14ac:dyDescent="0.35">
      <c r="A229" s="106">
        <v>45538</v>
      </c>
      <c r="B229" s="107" t="s">
        <v>422</v>
      </c>
      <c r="C229" s="107" t="s">
        <v>319</v>
      </c>
      <c r="D229" s="107" t="s">
        <v>423</v>
      </c>
      <c r="E229" s="107" t="s">
        <v>346</v>
      </c>
      <c r="F229" s="108">
        <v>59</v>
      </c>
      <c r="G229" s="109">
        <v>24</v>
      </c>
      <c r="H229" s="110">
        <f t="shared" si="7"/>
        <v>1475</v>
      </c>
      <c r="I229" s="111">
        <f t="shared" si="6"/>
        <v>88.5</v>
      </c>
    </row>
    <row r="230" spans="1:9" x14ac:dyDescent="0.35">
      <c r="A230" s="106">
        <v>45539</v>
      </c>
      <c r="B230" s="107" t="s">
        <v>318</v>
      </c>
      <c r="C230" s="107" t="s">
        <v>314</v>
      </c>
      <c r="D230" s="107" t="s">
        <v>333</v>
      </c>
      <c r="E230" s="107" t="s">
        <v>340</v>
      </c>
      <c r="F230" s="108">
        <v>23</v>
      </c>
      <c r="G230" s="109">
        <v>4</v>
      </c>
      <c r="H230" s="110">
        <f t="shared" si="7"/>
        <v>161</v>
      </c>
      <c r="I230" s="111">
        <f t="shared" si="6"/>
        <v>8.0500000000000007</v>
      </c>
    </row>
    <row r="231" spans="1:9" x14ac:dyDescent="0.35">
      <c r="A231" s="106">
        <v>45539</v>
      </c>
      <c r="B231" s="107" t="s">
        <v>313</v>
      </c>
      <c r="C231" s="107" t="s">
        <v>332</v>
      </c>
      <c r="D231" s="107" t="s">
        <v>333</v>
      </c>
      <c r="E231" s="107" t="s">
        <v>454</v>
      </c>
      <c r="F231" s="108">
        <v>62</v>
      </c>
      <c r="G231" s="109">
        <v>13</v>
      </c>
      <c r="H231" s="110">
        <f t="shared" si="7"/>
        <v>1054</v>
      </c>
      <c r="I231" s="111">
        <f t="shared" si="6"/>
        <v>52.7</v>
      </c>
    </row>
    <row r="232" spans="1:9" x14ac:dyDescent="0.35">
      <c r="A232" s="106">
        <v>45539</v>
      </c>
      <c r="B232" s="107" t="s">
        <v>318</v>
      </c>
      <c r="C232" s="107" t="s">
        <v>393</v>
      </c>
      <c r="D232" s="107" t="s">
        <v>390</v>
      </c>
      <c r="E232" s="107" t="s">
        <v>337</v>
      </c>
      <c r="F232" s="108">
        <v>31</v>
      </c>
      <c r="G232" s="109">
        <v>4</v>
      </c>
      <c r="H232" s="110">
        <f t="shared" si="7"/>
        <v>186</v>
      </c>
      <c r="I232" s="111">
        <f t="shared" si="6"/>
        <v>9.3000000000000007</v>
      </c>
    </row>
    <row r="233" spans="1:9" x14ac:dyDescent="0.35">
      <c r="A233" s="106">
        <v>45539</v>
      </c>
      <c r="B233" s="107" t="s">
        <v>322</v>
      </c>
      <c r="C233" s="107" t="s">
        <v>332</v>
      </c>
      <c r="D233" s="107" t="s">
        <v>315</v>
      </c>
      <c r="E233" s="107" t="s">
        <v>394</v>
      </c>
      <c r="F233" s="108">
        <v>27</v>
      </c>
      <c r="G233" s="109">
        <v>17</v>
      </c>
      <c r="H233" s="110">
        <f t="shared" si="7"/>
        <v>567</v>
      </c>
      <c r="I233" s="111">
        <f t="shared" si="6"/>
        <v>28.35</v>
      </c>
    </row>
    <row r="234" spans="1:9" x14ac:dyDescent="0.35">
      <c r="A234" s="106">
        <v>45539</v>
      </c>
      <c r="B234" s="107" t="s">
        <v>422</v>
      </c>
      <c r="C234" s="107" t="s">
        <v>319</v>
      </c>
      <c r="D234" s="107" t="s">
        <v>324</v>
      </c>
      <c r="E234" s="107" t="s">
        <v>416</v>
      </c>
      <c r="F234" s="108">
        <v>41</v>
      </c>
      <c r="G234" s="109">
        <v>24</v>
      </c>
      <c r="H234" s="110">
        <f t="shared" si="7"/>
        <v>1025</v>
      </c>
      <c r="I234" s="111">
        <f t="shared" si="6"/>
        <v>51.25</v>
      </c>
    </row>
    <row r="235" spans="1:9" x14ac:dyDescent="0.35">
      <c r="A235" s="106">
        <v>45540</v>
      </c>
      <c r="B235" s="107" t="s">
        <v>322</v>
      </c>
      <c r="C235" s="107" t="s">
        <v>332</v>
      </c>
      <c r="D235" s="107" t="s">
        <v>390</v>
      </c>
      <c r="E235" s="107" t="s">
        <v>400</v>
      </c>
      <c r="F235" s="108">
        <v>51</v>
      </c>
      <c r="G235" s="109">
        <v>17</v>
      </c>
      <c r="H235" s="110">
        <f t="shared" si="7"/>
        <v>1071</v>
      </c>
      <c r="I235" s="111">
        <f t="shared" si="6"/>
        <v>53.550000000000004</v>
      </c>
    </row>
    <row r="236" spans="1:9" x14ac:dyDescent="0.35">
      <c r="A236" s="106">
        <v>45540</v>
      </c>
      <c r="B236" s="107" t="s">
        <v>322</v>
      </c>
      <c r="C236" s="107" t="s">
        <v>314</v>
      </c>
      <c r="D236" s="107" t="s">
        <v>324</v>
      </c>
      <c r="E236" s="107" t="s">
        <v>331</v>
      </c>
      <c r="F236" s="108">
        <v>10</v>
      </c>
      <c r="G236" s="109">
        <v>17</v>
      </c>
      <c r="H236" s="110">
        <f t="shared" si="7"/>
        <v>200</v>
      </c>
      <c r="I236" s="111">
        <f t="shared" si="6"/>
        <v>10</v>
      </c>
    </row>
    <row r="237" spans="1:9" x14ac:dyDescent="0.35">
      <c r="A237" s="106">
        <v>45540</v>
      </c>
      <c r="B237" s="107" t="s">
        <v>322</v>
      </c>
      <c r="C237" s="107" t="s">
        <v>314</v>
      </c>
      <c r="D237" s="107" t="s">
        <v>320</v>
      </c>
      <c r="E237" s="107" t="s">
        <v>405</v>
      </c>
      <c r="F237" s="108">
        <v>29</v>
      </c>
      <c r="G237" s="109">
        <v>17</v>
      </c>
      <c r="H237" s="110">
        <f t="shared" si="7"/>
        <v>580</v>
      </c>
      <c r="I237" s="111">
        <f t="shared" si="6"/>
        <v>34.799999999999997</v>
      </c>
    </row>
    <row r="238" spans="1:9" x14ac:dyDescent="0.35">
      <c r="A238" s="106">
        <v>45540</v>
      </c>
      <c r="B238" s="107" t="s">
        <v>422</v>
      </c>
      <c r="C238" s="107" t="s">
        <v>332</v>
      </c>
      <c r="D238" s="107" t="s">
        <v>324</v>
      </c>
      <c r="E238" s="107" t="s">
        <v>405</v>
      </c>
      <c r="F238" s="108">
        <v>6</v>
      </c>
      <c r="G238" s="109">
        <v>24</v>
      </c>
      <c r="H238" s="110">
        <f t="shared" si="7"/>
        <v>168</v>
      </c>
      <c r="I238" s="111">
        <f t="shared" si="6"/>
        <v>8.4</v>
      </c>
    </row>
    <row r="239" spans="1:9" x14ac:dyDescent="0.35">
      <c r="A239" s="106">
        <v>45541</v>
      </c>
      <c r="B239" s="107" t="s">
        <v>313</v>
      </c>
      <c r="C239" s="107" t="s">
        <v>393</v>
      </c>
      <c r="D239" s="107" t="s">
        <v>324</v>
      </c>
      <c r="E239" s="107" t="s">
        <v>346</v>
      </c>
      <c r="F239" s="108">
        <v>65</v>
      </c>
      <c r="G239" s="109">
        <v>13</v>
      </c>
      <c r="H239" s="110">
        <f t="shared" si="7"/>
        <v>975</v>
      </c>
      <c r="I239" s="111">
        <f t="shared" si="6"/>
        <v>48.75</v>
      </c>
    </row>
    <row r="240" spans="1:9" x14ac:dyDescent="0.35">
      <c r="A240" s="106">
        <v>45542</v>
      </c>
      <c r="B240" s="107" t="s">
        <v>327</v>
      </c>
      <c r="C240" s="107" t="s">
        <v>314</v>
      </c>
      <c r="D240" s="107" t="s">
        <v>423</v>
      </c>
      <c r="E240" s="107" t="s">
        <v>395</v>
      </c>
      <c r="F240" s="108">
        <v>29</v>
      </c>
      <c r="G240" s="109">
        <v>6</v>
      </c>
      <c r="H240" s="110">
        <f t="shared" si="7"/>
        <v>261</v>
      </c>
      <c r="I240" s="111">
        <f t="shared" si="6"/>
        <v>15.66</v>
      </c>
    </row>
    <row r="241" spans="1:9" x14ac:dyDescent="0.35">
      <c r="A241" s="106">
        <v>45543</v>
      </c>
      <c r="B241" s="107" t="s">
        <v>422</v>
      </c>
      <c r="C241" s="107" t="s">
        <v>314</v>
      </c>
      <c r="D241" s="107" t="s">
        <v>320</v>
      </c>
      <c r="E241" s="107" t="s">
        <v>455</v>
      </c>
      <c r="F241" s="108">
        <v>30</v>
      </c>
      <c r="G241" s="109">
        <v>24</v>
      </c>
      <c r="H241" s="110">
        <f t="shared" si="7"/>
        <v>810</v>
      </c>
      <c r="I241" s="111">
        <f t="shared" si="6"/>
        <v>48.6</v>
      </c>
    </row>
    <row r="242" spans="1:9" x14ac:dyDescent="0.35">
      <c r="A242" s="106">
        <v>45543</v>
      </c>
      <c r="B242" s="107" t="s">
        <v>422</v>
      </c>
      <c r="C242" s="107" t="s">
        <v>332</v>
      </c>
      <c r="D242" s="107" t="s">
        <v>315</v>
      </c>
      <c r="E242" s="107" t="s">
        <v>340</v>
      </c>
      <c r="F242" s="108">
        <v>58</v>
      </c>
      <c r="G242" s="109">
        <v>24</v>
      </c>
      <c r="H242" s="110">
        <f t="shared" si="7"/>
        <v>1624</v>
      </c>
      <c r="I242" s="111">
        <f t="shared" si="6"/>
        <v>81.2</v>
      </c>
    </row>
    <row r="243" spans="1:9" x14ac:dyDescent="0.35">
      <c r="A243" s="106">
        <v>45543</v>
      </c>
      <c r="B243" s="107" t="s">
        <v>313</v>
      </c>
      <c r="C243" s="107" t="s">
        <v>319</v>
      </c>
      <c r="D243" s="107" t="s">
        <v>423</v>
      </c>
      <c r="E243" s="107" t="s">
        <v>346</v>
      </c>
      <c r="F243" s="108">
        <v>63</v>
      </c>
      <c r="G243" s="109">
        <v>13</v>
      </c>
      <c r="H243" s="110">
        <f t="shared" si="7"/>
        <v>882</v>
      </c>
      <c r="I243" s="111">
        <f t="shared" si="6"/>
        <v>52.919999999999995</v>
      </c>
    </row>
    <row r="244" spans="1:9" x14ac:dyDescent="0.35">
      <c r="A244" s="106">
        <v>45544</v>
      </c>
      <c r="B244" s="107" t="s">
        <v>318</v>
      </c>
      <c r="C244" s="107" t="s">
        <v>314</v>
      </c>
      <c r="D244" s="107" t="s">
        <v>320</v>
      </c>
      <c r="E244" s="107" t="s">
        <v>344</v>
      </c>
      <c r="F244" s="108">
        <v>30</v>
      </c>
      <c r="G244" s="109">
        <v>4</v>
      </c>
      <c r="H244" s="110">
        <f t="shared" si="7"/>
        <v>210</v>
      </c>
      <c r="I244" s="111">
        <f t="shared" si="6"/>
        <v>12.6</v>
      </c>
    </row>
    <row r="245" spans="1:9" x14ac:dyDescent="0.35">
      <c r="A245" s="106">
        <v>45545</v>
      </c>
      <c r="B245" s="107" t="s">
        <v>313</v>
      </c>
      <c r="C245" s="107" t="s">
        <v>332</v>
      </c>
      <c r="D245" s="107" t="s">
        <v>390</v>
      </c>
      <c r="E245" s="107" t="s">
        <v>455</v>
      </c>
      <c r="F245" s="108">
        <v>12</v>
      </c>
      <c r="G245" s="109">
        <v>13</v>
      </c>
      <c r="H245" s="110">
        <f t="shared" si="7"/>
        <v>204</v>
      </c>
      <c r="I245" s="111">
        <f t="shared" si="6"/>
        <v>10.200000000000001</v>
      </c>
    </row>
    <row r="246" spans="1:9" x14ac:dyDescent="0.35">
      <c r="A246" s="106">
        <v>45545</v>
      </c>
      <c r="B246" s="107" t="s">
        <v>327</v>
      </c>
      <c r="C246" s="107" t="s">
        <v>319</v>
      </c>
      <c r="D246" s="107" t="s">
        <v>333</v>
      </c>
      <c r="E246" s="107" t="s">
        <v>348</v>
      </c>
      <c r="F246" s="108">
        <v>49</v>
      </c>
      <c r="G246" s="109">
        <v>6</v>
      </c>
      <c r="H246" s="110">
        <f t="shared" si="7"/>
        <v>343</v>
      </c>
      <c r="I246" s="111">
        <f t="shared" si="6"/>
        <v>17.150000000000002</v>
      </c>
    </row>
    <row r="247" spans="1:9" x14ac:dyDescent="0.35">
      <c r="A247" s="106">
        <v>45545</v>
      </c>
      <c r="B247" s="107" t="s">
        <v>318</v>
      </c>
      <c r="C247" s="107" t="s">
        <v>332</v>
      </c>
      <c r="D247" s="107" t="s">
        <v>315</v>
      </c>
      <c r="E247" s="107" t="s">
        <v>340</v>
      </c>
      <c r="F247" s="108">
        <v>17</v>
      </c>
      <c r="G247" s="109">
        <v>4</v>
      </c>
      <c r="H247" s="110">
        <f t="shared" si="7"/>
        <v>136</v>
      </c>
      <c r="I247" s="111">
        <f t="shared" si="6"/>
        <v>6.8000000000000007</v>
      </c>
    </row>
    <row r="248" spans="1:9" x14ac:dyDescent="0.35">
      <c r="A248" s="106">
        <v>45545</v>
      </c>
      <c r="B248" s="107" t="s">
        <v>318</v>
      </c>
      <c r="C248" s="107" t="s">
        <v>332</v>
      </c>
      <c r="D248" s="107" t="s">
        <v>324</v>
      </c>
      <c r="E248" s="107" t="s">
        <v>394</v>
      </c>
      <c r="F248" s="108">
        <v>64</v>
      </c>
      <c r="G248" s="109">
        <v>4</v>
      </c>
      <c r="H248" s="110">
        <f t="shared" si="7"/>
        <v>512</v>
      </c>
      <c r="I248" s="111">
        <f t="shared" si="6"/>
        <v>25.6</v>
      </c>
    </row>
    <row r="249" spans="1:9" x14ac:dyDescent="0.35">
      <c r="A249" s="106">
        <v>45545</v>
      </c>
      <c r="B249" s="107" t="s">
        <v>322</v>
      </c>
      <c r="C249" s="107" t="s">
        <v>319</v>
      </c>
      <c r="D249" s="107" t="s">
        <v>423</v>
      </c>
      <c r="E249" s="107" t="s">
        <v>405</v>
      </c>
      <c r="F249" s="108">
        <v>62</v>
      </c>
      <c r="G249" s="109">
        <v>17</v>
      </c>
      <c r="H249" s="110">
        <f t="shared" si="7"/>
        <v>1116</v>
      </c>
      <c r="I249" s="111">
        <f t="shared" si="6"/>
        <v>66.959999999999994</v>
      </c>
    </row>
    <row r="250" spans="1:9" x14ac:dyDescent="0.35">
      <c r="A250" s="106">
        <v>45545</v>
      </c>
      <c r="B250" s="107" t="s">
        <v>327</v>
      </c>
      <c r="C250" s="107" t="s">
        <v>332</v>
      </c>
      <c r="D250" s="107" t="s">
        <v>390</v>
      </c>
      <c r="E250" s="107" t="s">
        <v>335</v>
      </c>
      <c r="F250" s="108">
        <v>10</v>
      </c>
      <c r="G250" s="109">
        <v>6</v>
      </c>
      <c r="H250" s="110">
        <f t="shared" si="7"/>
        <v>100</v>
      </c>
      <c r="I250" s="111">
        <f t="shared" si="6"/>
        <v>5</v>
      </c>
    </row>
    <row r="251" spans="1:9" x14ac:dyDescent="0.35">
      <c r="A251" s="106">
        <v>45546</v>
      </c>
      <c r="B251" s="107" t="s">
        <v>313</v>
      </c>
      <c r="C251" s="107" t="s">
        <v>319</v>
      </c>
      <c r="D251" s="107" t="s">
        <v>390</v>
      </c>
      <c r="E251" s="107" t="s">
        <v>349</v>
      </c>
      <c r="F251" s="108">
        <v>28</v>
      </c>
      <c r="G251" s="109">
        <v>13</v>
      </c>
      <c r="H251" s="110">
        <f t="shared" si="7"/>
        <v>392</v>
      </c>
      <c r="I251" s="111">
        <f t="shared" si="6"/>
        <v>19.600000000000001</v>
      </c>
    </row>
    <row r="252" spans="1:9" x14ac:dyDescent="0.35">
      <c r="A252" s="106">
        <v>45546</v>
      </c>
      <c r="B252" s="107" t="s">
        <v>313</v>
      </c>
      <c r="C252" s="107" t="s">
        <v>314</v>
      </c>
      <c r="D252" s="107" t="s">
        <v>338</v>
      </c>
      <c r="E252" s="107" t="s">
        <v>344</v>
      </c>
      <c r="F252" s="108">
        <v>60</v>
      </c>
      <c r="G252" s="109">
        <v>13</v>
      </c>
      <c r="H252" s="110">
        <f t="shared" si="7"/>
        <v>960</v>
      </c>
      <c r="I252" s="111">
        <f t="shared" si="6"/>
        <v>57.599999999999994</v>
      </c>
    </row>
    <row r="253" spans="1:9" x14ac:dyDescent="0.35">
      <c r="A253" s="106">
        <v>45547</v>
      </c>
      <c r="B253" s="107" t="s">
        <v>322</v>
      </c>
      <c r="C253" s="107" t="s">
        <v>393</v>
      </c>
      <c r="D253" s="107" t="s">
        <v>315</v>
      </c>
      <c r="E253" s="107" t="s">
        <v>340</v>
      </c>
      <c r="F253" s="108">
        <v>11</v>
      </c>
      <c r="G253" s="109">
        <v>17</v>
      </c>
      <c r="H253" s="110">
        <f t="shared" si="7"/>
        <v>209</v>
      </c>
      <c r="I253" s="111">
        <f t="shared" si="6"/>
        <v>10.450000000000001</v>
      </c>
    </row>
    <row r="254" spans="1:9" x14ac:dyDescent="0.35">
      <c r="A254" s="106">
        <v>45547</v>
      </c>
      <c r="B254" s="107" t="s">
        <v>422</v>
      </c>
      <c r="C254" s="107" t="s">
        <v>332</v>
      </c>
      <c r="D254" s="107" t="s">
        <v>333</v>
      </c>
      <c r="E254" s="107" t="s">
        <v>349</v>
      </c>
      <c r="F254" s="108">
        <v>21</v>
      </c>
      <c r="G254" s="109">
        <v>24</v>
      </c>
      <c r="H254" s="110">
        <f t="shared" si="7"/>
        <v>588</v>
      </c>
      <c r="I254" s="111">
        <f t="shared" si="6"/>
        <v>29.400000000000002</v>
      </c>
    </row>
    <row r="255" spans="1:9" x14ac:dyDescent="0.35">
      <c r="A255" s="106">
        <v>45547</v>
      </c>
      <c r="B255" s="107" t="s">
        <v>313</v>
      </c>
      <c r="C255" s="107" t="s">
        <v>314</v>
      </c>
      <c r="D255" s="107" t="s">
        <v>338</v>
      </c>
      <c r="E255" s="107" t="s">
        <v>339</v>
      </c>
      <c r="F255" s="108">
        <v>44</v>
      </c>
      <c r="G255" s="109">
        <v>13</v>
      </c>
      <c r="H255" s="110">
        <f t="shared" si="7"/>
        <v>704</v>
      </c>
      <c r="I255" s="111">
        <f t="shared" si="6"/>
        <v>42.239999999999995</v>
      </c>
    </row>
    <row r="256" spans="1:9" x14ac:dyDescent="0.35">
      <c r="A256" s="106">
        <v>45547</v>
      </c>
      <c r="B256" s="107" t="s">
        <v>322</v>
      </c>
      <c r="C256" s="107" t="s">
        <v>314</v>
      </c>
      <c r="D256" s="107" t="s">
        <v>423</v>
      </c>
      <c r="E256" s="107" t="s">
        <v>405</v>
      </c>
      <c r="F256" s="108">
        <v>55</v>
      </c>
      <c r="G256" s="109">
        <v>17</v>
      </c>
      <c r="H256" s="110">
        <f t="shared" si="7"/>
        <v>1100</v>
      </c>
      <c r="I256" s="111">
        <f t="shared" si="6"/>
        <v>66</v>
      </c>
    </row>
    <row r="257" spans="1:9" x14ac:dyDescent="0.35">
      <c r="A257" s="106">
        <v>45548</v>
      </c>
      <c r="B257" s="107" t="s">
        <v>422</v>
      </c>
      <c r="C257" s="107" t="s">
        <v>393</v>
      </c>
      <c r="D257" s="107" t="s">
        <v>320</v>
      </c>
      <c r="E257" s="107" t="s">
        <v>341</v>
      </c>
      <c r="F257" s="108">
        <v>39</v>
      </c>
      <c r="G257" s="109">
        <v>24</v>
      </c>
      <c r="H257" s="110">
        <f t="shared" si="7"/>
        <v>1014</v>
      </c>
      <c r="I257" s="111">
        <f t="shared" si="6"/>
        <v>60.839999999999996</v>
      </c>
    </row>
    <row r="258" spans="1:9" x14ac:dyDescent="0.35">
      <c r="A258" s="106">
        <v>45548</v>
      </c>
      <c r="B258" s="107" t="s">
        <v>322</v>
      </c>
      <c r="C258" s="107" t="s">
        <v>314</v>
      </c>
      <c r="D258" s="107" t="s">
        <v>324</v>
      </c>
      <c r="E258" s="107" t="s">
        <v>343</v>
      </c>
      <c r="F258" s="108">
        <v>58</v>
      </c>
      <c r="G258" s="109">
        <v>17</v>
      </c>
      <c r="H258" s="110">
        <f t="shared" si="7"/>
        <v>1160</v>
      </c>
      <c r="I258" s="111">
        <f t="shared" ref="I258:I321" si="8">H258*VLOOKUP(D258,$O$4:$P$10,2,TRUE)</f>
        <v>58</v>
      </c>
    </row>
    <row r="259" spans="1:9" x14ac:dyDescent="0.35">
      <c r="A259" s="106">
        <v>45549</v>
      </c>
      <c r="B259" s="107" t="s">
        <v>318</v>
      </c>
      <c r="C259" s="107" t="s">
        <v>319</v>
      </c>
      <c r="D259" s="107" t="s">
        <v>333</v>
      </c>
      <c r="E259" s="107" t="s">
        <v>341</v>
      </c>
      <c r="F259" s="108">
        <v>46</v>
      </c>
      <c r="G259" s="109">
        <v>4</v>
      </c>
      <c r="H259" s="110">
        <f t="shared" ref="H259:H322" si="9">(F259*G259)+VLOOKUP(C259,$K$11:$L$14,2,FALSE)*F259</f>
        <v>230</v>
      </c>
      <c r="I259" s="111">
        <f t="shared" si="8"/>
        <v>11.5</v>
      </c>
    </row>
    <row r="260" spans="1:9" x14ac:dyDescent="0.35">
      <c r="A260" s="106">
        <v>45549</v>
      </c>
      <c r="B260" s="107" t="s">
        <v>318</v>
      </c>
      <c r="C260" s="107" t="s">
        <v>332</v>
      </c>
      <c r="D260" s="107" t="s">
        <v>320</v>
      </c>
      <c r="E260" s="107" t="s">
        <v>340</v>
      </c>
      <c r="F260" s="108">
        <v>21</v>
      </c>
      <c r="G260" s="109">
        <v>4</v>
      </c>
      <c r="H260" s="110">
        <f t="shared" si="9"/>
        <v>168</v>
      </c>
      <c r="I260" s="111">
        <f t="shared" si="8"/>
        <v>10.08</v>
      </c>
    </row>
    <row r="261" spans="1:9" x14ac:dyDescent="0.35">
      <c r="A261" s="106">
        <v>45549</v>
      </c>
      <c r="B261" s="107" t="s">
        <v>327</v>
      </c>
      <c r="C261" s="107" t="s">
        <v>319</v>
      </c>
      <c r="D261" s="107" t="s">
        <v>324</v>
      </c>
      <c r="E261" s="107" t="s">
        <v>346</v>
      </c>
      <c r="F261" s="108">
        <v>8</v>
      </c>
      <c r="G261" s="109">
        <v>6</v>
      </c>
      <c r="H261" s="110">
        <f t="shared" si="9"/>
        <v>56</v>
      </c>
      <c r="I261" s="111">
        <f t="shared" si="8"/>
        <v>2.8000000000000003</v>
      </c>
    </row>
    <row r="262" spans="1:9" x14ac:dyDescent="0.35">
      <c r="A262" s="106">
        <v>45550</v>
      </c>
      <c r="B262" s="107" t="s">
        <v>313</v>
      </c>
      <c r="C262" s="107" t="s">
        <v>314</v>
      </c>
      <c r="D262" s="107" t="s">
        <v>390</v>
      </c>
      <c r="E262" s="107" t="s">
        <v>349</v>
      </c>
      <c r="F262" s="108">
        <v>36</v>
      </c>
      <c r="G262" s="109">
        <v>13</v>
      </c>
      <c r="H262" s="110">
        <f t="shared" si="9"/>
        <v>576</v>
      </c>
      <c r="I262" s="111">
        <f t="shared" si="8"/>
        <v>28.8</v>
      </c>
    </row>
    <row r="263" spans="1:9" x14ac:dyDescent="0.35">
      <c r="A263" s="106">
        <v>45550</v>
      </c>
      <c r="B263" s="107" t="s">
        <v>313</v>
      </c>
      <c r="C263" s="107" t="s">
        <v>332</v>
      </c>
      <c r="D263" s="107" t="s">
        <v>390</v>
      </c>
      <c r="E263" s="107" t="s">
        <v>339</v>
      </c>
      <c r="F263" s="108">
        <v>61</v>
      </c>
      <c r="G263" s="109">
        <v>13</v>
      </c>
      <c r="H263" s="110">
        <f t="shared" si="9"/>
        <v>1037</v>
      </c>
      <c r="I263" s="111">
        <f t="shared" si="8"/>
        <v>51.85</v>
      </c>
    </row>
    <row r="264" spans="1:9" x14ac:dyDescent="0.35">
      <c r="A264" s="106">
        <v>45551</v>
      </c>
      <c r="B264" s="107" t="s">
        <v>313</v>
      </c>
      <c r="C264" s="107" t="s">
        <v>332</v>
      </c>
      <c r="D264" s="107" t="s">
        <v>423</v>
      </c>
      <c r="E264" s="107" t="s">
        <v>394</v>
      </c>
      <c r="F264" s="108">
        <v>45</v>
      </c>
      <c r="G264" s="109">
        <v>13</v>
      </c>
      <c r="H264" s="110">
        <f t="shared" si="9"/>
        <v>765</v>
      </c>
      <c r="I264" s="111">
        <f t="shared" si="8"/>
        <v>45.9</v>
      </c>
    </row>
    <row r="265" spans="1:9" x14ac:dyDescent="0.35">
      <c r="A265" s="106">
        <v>45551</v>
      </c>
      <c r="B265" s="107" t="s">
        <v>313</v>
      </c>
      <c r="C265" s="107" t="s">
        <v>319</v>
      </c>
      <c r="D265" s="107" t="s">
        <v>333</v>
      </c>
      <c r="E265" s="107" t="s">
        <v>405</v>
      </c>
      <c r="F265" s="108">
        <v>55</v>
      </c>
      <c r="G265" s="109">
        <v>13</v>
      </c>
      <c r="H265" s="110">
        <f t="shared" si="9"/>
        <v>770</v>
      </c>
      <c r="I265" s="111">
        <f t="shared" si="8"/>
        <v>38.5</v>
      </c>
    </row>
    <row r="266" spans="1:9" x14ac:dyDescent="0.35">
      <c r="A266" s="106">
        <v>45552</v>
      </c>
      <c r="B266" s="107" t="s">
        <v>318</v>
      </c>
      <c r="C266" s="107" t="s">
        <v>314</v>
      </c>
      <c r="D266" s="107" t="s">
        <v>315</v>
      </c>
      <c r="E266" s="107" t="s">
        <v>388</v>
      </c>
      <c r="F266" s="108">
        <v>60</v>
      </c>
      <c r="G266" s="109">
        <v>4</v>
      </c>
      <c r="H266" s="110">
        <f t="shared" si="9"/>
        <v>420</v>
      </c>
      <c r="I266" s="111">
        <f t="shared" si="8"/>
        <v>21</v>
      </c>
    </row>
    <row r="267" spans="1:9" x14ac:dyDescent="0.35">
      <c r="A267" s="106">
        <v>45552</v>
      </c>
      <c r="B267" s="107" t="s">
        <v>313</v>
      </c>
      <c r="C267" s="107" t="s">
        <v>332</v>
      </c>
      <c r="D267" s="107" t="s">
        <v>320</v>
      </c>
      <c r="E267" s="107" t="s">
        <v>340</v>
      </c>
      <c r="F267" s="108">
        <v>30</v>
      </c>
      <c r="G267" s="109">
        <v>13</v>
      </c>
      <c r="H267" s="110">
        <f t="shared" si="9"/>
        <v>510</v>
      </c>
      <c r="I267" s="111">
        <f t="shared" si="8"/>
        <v>30.599999999999998</v>
      </c>
    </row>
    <row r="268" spans="1:9" x14ac:dyDescent="0.35">
      <c r="A268" s="106">
        <v>45552</v>
      </c>
      <c r="B268" s="107" t="s">
        <v>322</v>
      </c>
      <c r="C268" s="107" t="s">
        <v>332</v>
      </c>
      <c r="D268" s="107" t="s">
        <v>390</v>
      </c>
      <c r="E268" s="107" t="s">
        <v>454</v>
      </c>
      <c r="F268" s="108">
        <v>41</v>
      </c>
      <c r="G268" s="109">
        <v>17</v>
      </c>
      <c r="H268" s="110">
        <f t="shared" si="9"/>
        <v>861</v>
      </c>
      <c r="I268" s="111">
        <f t="shared" si="8"/>
        <v>43.050000000000004</v>
      </c>
    </row>
    <row r="269" spans="1:9" x14ac:dyDescent="0.35">
      <c r="A269" s="106">
        <v>45552</v>
      </c>
      <c r="B269" s="107" t="s">
        <v>313</v>
      </c>
      <c r="C269" s="107" t="s">
        <v>393</v>
      </c>
      <c r="D269" s="107" t="s">
        <v>423</v>
      </c>
      <c r="E269" s="107" t="s">
        <v>394</v>
      </c>
      <c r="F269" s="108">
        <v>51</v>
      </c>
      <c r="G269" s="109">
        <v>13</v>
      </c>
      <c r="H269" s="110">
        <f t="shared" si="9"/>
        <v>765</v>
      </c>
      <c r="I269" s="111">
        <f t="shared" si="8"/>
        <v>45.9</v>
      </c>
    </row>
    <row r="270" spans="1:9" x14ac:dyDescent="0.35">
      <c r="A270" s="106">
        <v>45552</v>
      </c>
      <c r="B270" s="107" t="s">
        <v>322</v>
      </c>
      <c r="C270" s="107" t="s">
        <v>319</v>
      </c>
      <c r="D270" s="107" t="s">
        <v>333</v>
      </c>
      <c r="E270" s="107" t="s">
        <v>343</v>
      </c>
      <c r="F270" s="108">
        <v>18</v>
      </c>
      <c r="G270" s="109">
        <v>17</v>
      </c>
      <c r="H270" s="110">
        <f t="shared" si="9"/>
        <v>324</v>
      </c>
      <c r="I270" s="111">
        <f t="shared" si="8"/>
        <v>16.2</v>
      </c>
    </row>
    <row r="271" spans="1:9" x14ac:dyDescent="0.35">
      <c r="A271" s="106">
        <v>45552</v>
      </c>
      <c r="B271" s="107" t="s">
        <v>327</v>
      </c>
      <c r="C271" s="107" t="s">
        <v>314</v>
      </c>
      <c r="D271" s="107" t="s">
        <v>324</v>
      </c>
      <c r="E271" s="107" t="s">
        <v>405</v>
      </c>
      <c r="F271" s="108">
        <v>23</v>
      </c>
      <c r="G271" s="109">
        <v>6</v>
      </c>
      <c r="H271" s="110">
        <f t="shared" si="9"/>
        <v>207</v>
      </c>
      <c r="I271" s="111">
        <f t="shared" si="8"/>
        <v>10.350000000000001</v>
      </c>
    </row>
    <row r="272" spans="1:9" x14ac:dyDescent="0.35">
      <c r="A272" s="106">
        <v>45553</v>
      </c>
      <c r="B272" s="107" t="s">
        <v>422</v>
      </c>
      <c r="C272" s="107" t="s">
        <v>393</v>
      </c>
      <c r="D272" s="107" t="s">
        <v>320</v>
      </c>
      <c r="E272" s="107" t="s">
        <v>329</v>
      </c>
      <c r="F272" s="108">
        <v>11</v>
      </c>
      <c r="G272" s="109">
        <v>24</v>
      </c>
      <c r="H272" s="110">
        <f t="shared" si="9"/>
        <v>286</v>
      </c>
      <c r="I272" s="111">
        <f t="shared" si="8"/>
        <v>17.16</v>
      </c>
    </row>
    <row r="273" spans="1:9" x14ac:dyDescent="0.35">
      <c r="A273" s="106">
        <v>45554</v>
      </c>
      <c r="B273" s="107" t="s">
        <v>313</v>
      </c>
      <c r="C273" s="107" t="s">
        <v>332</v>
      </c>
      <c r="D273" s="107" t="s">
        <v>333</v>
      </c>
      <c r="E273" s="107" t="s">
        <v>342</v>
      </c>
      <c r="F273" s="108">
        <v>49</v>
      </c>
      <c r="G273" s="109">
        <v>13</v>
      </c>
      <c r="H273" s="110">
        <f t="shared" si="9"/>
        <v>833</v>
      </c>
      <c r="I273" s="111">
        <f t="shared" si="8"/>
        <v>41.650000000000006</v>
      </c>
    </row>
    <row r="274" spans="1:9" x14ac:dyDescent="0.35">
      <c r="A274" s="106">
        <v>45554</v>
      </c>
      <c r="B274" s="107" t="s">
        <v>322</v>
      </c>
      <c r="C274" s="107" t="s">
        <v>393</v>
      </c>
      <c r="D274" s="107" t="s">
        <v>333</v>
      </c>
      <c r="E274" s="107" t="s">
        <v>340</v>
      </c>
      <c r="F274" s="108">
        <v>24</v>
      </c>
      <c r="G274" s="109">
        <v>17</v>
      </c>
      <c r="H274" s="110">
        <f t="shared" si="9"/>
        <v>456</v>
      </c>
      <c r="I274" s="111">
        <f t="shared" si="8"/>
        <v>22.8</v>
      </c>
    </row>
    <row r="275" spans="1:9" x14ac:dyDescent="0.35">
      <c r="A275" s="106">
        <v>45554</v>
      </c>
      <c r="B275" s="107" t="s">
        <v>322</v>
      </c>
      <c r="C275" s="107" t="s">
        <v>393</v>
      </c>
      <c r="D275" s="107" t="s">
        <v>333</v>
      </c>
      <c r="E275" s="107" t="s">
        <v>337</v>
      </c>
      <c r="F275" s="108">
        <v>13</v>
      </c>
      <c r="G275" s="109">
        <v>17</v>
      </c>
      <c r="H275" s="110">
        <f t="shared" si="9"/>
        <v>247</v>
      </c>
      <c r="I275" s="111">
        <f t="shared" si="8"/>
        <v>12.350000000000001</v>
      </c>
    </row>
    <row r="276" spans="1:9" x14ac:dyDescent="0.35">
      <c r="A276" s="106">
        <v>45554</v>
      </c>
      <c r="B276" s="107" t="s">
        <v>422</v>
      </c>
      <c r="C276" s="107" t="s">
        <v>332</v>
      </c>
      <c r="D276" s="107" t="s">
        <v>324</v>
      </c>
      <c r="E276" s="107" t="s">
        <v>331</v>
      </c>
      <c r="F276" s="108">
        <v>25</v>
      </c>
      <c r="G276" s="109">
        <v>24</v>
      </c>
      <c r="H276" s="110">
        <f t="shared" si="9"/>
        <v>700</v>
      </c>
      <c r="I276" s="111">
        <f t="shared" si="8"/>
        <v>35</v>
      </c>
    </row>
    <row r="277" spans="1:9" x14ac:dyDescent="0.35">
      <c r="A277" s="106">
        <v>45554</v>
      </c>
      <c r="B277" s="107" t="s">
        <v>422</v>
      </c>
      <c r="C277" s="107" t="s">
        <v>319</v>
      </c>
      <c r="D277" s="107" t="s">
        <v>333</v>
      </c>
      <c r="E277" s="107" t="s">
        <v>350</v>
      </c>
      <c r="F277" s="108">
        <v>26</v>
      </c>
      <c r="G277" s="109">
        <v>24</v>
      </c>
      <c r="H277" s="110">
        <f t="shared" si="9"/>
        <v>650</v>
      </c>
      <c r="I277" s="111">
        <f t="shared" si="8"/>
        <v>32.5</v>
      </c>
    </row>
    <row r="278" spans="1:9" x14ac:dyDescent="0.35">
      <c r="A278" s="106">
        <v>45555</v>
      </c>
      <c r="B278" s="107" t="s">
        <v>422</v>
      </c>
      <c r="C278" s="107" t="s">
        <v>314</v>
      </c>
      <c r="D278" s="107" t="s">
        <v>324</v>
      </c>
      <c r="E278" s="107" t="s">
        <v>349</v>
      </c>
      <c r="F278" s="108">
        <v>52</v>
      </c>
      <c r="G278" s="109">
        <v>24</v>
      </c>
      <c r="H278" s="110">
        <f t="shared" si="9"/>
        <v>1404</v>
      </c>
      <c r="I278" s="111">
        <f t="shared" si="8"/>
        <v>70.2</v>
      </c>
    </row>
    <row r="279" spans="1:9" x14ac:dyDescent="0.35">
      <c r="A279" s="106">
        <v>45555</v>
      </c>
      <c r="B279" s="107" t="s">
        <v>318</v>
      </c>
      <c r="C279" s="107" t="s">
        <v>393</v>
      </c>
      <c r="D279" s="107" t="s">
        <v>390</v>
      </c>
      <c r="E279" s="107" t="s">
        <v>316</v>
      </c>
      <c r="F279" s="108">
        <v>30</v>
      </c>
      <c r="G279" s="109">
        <v>4</v>
      </c>
      <c r="H279" s="110">
        <f t="shared" si="9"/>
        <v>180</v>
      </c>
      <c r="I279" s="111">
        <f t="shared" si="8"/>
        <v>9</v>
      </c>
    </row>
    <row r="280" spans="1:9" x14ac:dyDescent="0.35">
      <c r="A280" s="106">
        <v>45556</v>
      </c>
      <c r="B280" s="107" t="s">
        <v>322</v>
      </c>
      <c r="C280" s="107" t="s">
        <v>314</v>
      </c>
      <c r="D280" s="107" t="s">
        <v>315</v>
      </c>
      <c r="E280" s="107" t="s">
        <v>395</v>
      </c>
      <c r="F280" s="108">
        <v>41</v>
      </c>
      <c r="G280" s="109">
        <v>17</v>
      </c>
      <c r="H280" s="110">
        <f t="shared" si="9"/>
        <v>820</v>
      </c>
      <c r="I280" s="111">
        <f t="shared" si="8"/>
        <v>41</v>
      </c>
    </row>
    <row r="281" spans="1:9" x14ac:dyDescent="0.35">
      <c r="A281" s="106">
        <v>45556</v>
      </c>
      <c r="B281" s="107" t="s">
        <v>313</v>
      </c>
      <c r="C281" s="107" t="s">
        <v>314</v>
      </c>
      <c r="D281" s="107" t="s">
        <v>320</v>
      </c>
      <c r="E281" s="107" t="s">
        <v>400</v>
      </c>
      <c r="F281" s="108">
        <v>34</v>
      </c>
      <c r="G281" s="109">
        <v>13</v>
      </c>
      <c r="H281" s="110">
        <f t="shared" si="9"/>
        <v>544</v>
      </c>
      <c r="I281" s="111">
        <f t="shared" si="8"/>
        <v>32.64</v>
      </c>
    </row>
    <row r="282" spans="1:9" x14ac:dyDescent="0.35">
      <c r="A282" s="106">
        <v>45556</v>
      </c>
      <c r="B282" s="107" t="s">
        <v>327</v>
      </c>
      <c r="C282" s="107" t="s">
        <v>393</v>
      </c>
      <c r="D282" s="107" t="s">
        <v>315</v>
      </c>
      <c r="E282" s="107" t="s">
        <v>405</v>
      </c>
      <c r="F282" s="108">
        <v>30</v>
      </c>
      <c r="G282" s="109">
        <v>6</v>
      </c>
      <c r="H282" s="110">
        <f t="shared" si="9"/>
        <v>240</v>
      </c>
      <c r="I282" s="111">
        <f t="shared" si="8"/>
        <v>12</v>
      </c>
    </row>
    <row r="283" spans="1:9" x14ac:dyDescent="0.35">
      <c r="A283" s="106">
        <v>45557</v>
      </c>
      <c r="B283" s="107" t="s">
        <v>313</v>
      </c>
      <c r="C283" s="107" t="s">
        <v>314</v>
      </c>
      <c r="D283" s="107" t="s">
        <v>315</v>
      </c>
      <c r="E283" s="107" t="s">
        <v>341</v>
      </c>
      <c r="F283" s="108">
        <v>22</v>
      </c>
      <c r="G283" s="109">
        <v>13</v>
      </c>
      <c r="H283" s="110">
        <f t="shared" si="9"/>
        <v>352</v>
      </c>
      <c r="I283" s="111">
        <f t="shared" si="8"/>
        <v>17.600000000000001</v>
      </c>
    </row>
    <row r="284" spans="1:9" x14ac:dyDescent="0.35">
      <c r="A284" s="106">
        <v>45557</v>
      </c>
      <c r="B284" s="107" t="s">
        <v>422</v>
      </c>
      <c r="C284" s="107" t="s">
        <v>314</v>
      </c>
      <c r="D284" s="107" t="s">
        <v>320</v>
      </c>
      <c r="E284" s="107" t="s">
        <v>395</v>
      </c>
      <c r="F284" s="108">
        <v>29</v>
      </c>
      <c r="G284" s="109">
        <v>24</v>
      </c>
      <c r="H284" s="110">
        <f t="shared" si="9"/>
        <v>783</v>
      </c>
      <c r="I284" s="111">
        <f t="shared" si="8"/>
        <v>46.98</v>
      </c>
    </row>
    <row r="285" spans="1:9" x14ac:dyDescent="0.35">
      <c r="A285" s="106">
        <v>45557</v>
      </c>
      <c r="B285" s="107" t="s">
        <v>327</v>
      </c>
      <c r="C285" s="107" t="s">
        <v>393</v>
      </c>
      <c r="D285" s="107" t="s">
        <v>333</v>
      </c>
      <c r="E285" s="107" t="s">
        <v>329</v>
      </c>
      <c r="F285" s="108">
        <v>39</v>
      </c>
      <c r="G285" s="109">
        <v>6</v>
      </c>
      <c r="H285" s="110">
        <f t="shared" si="9"/>
        <v>312</v>
      </c>
      <c r="I285" s="111">
        <f t="shared" si="8"/>
        <v>15.600000000000001</v>
      </c>
    </row>
    <row r="286" spans="1:9" x14ac:dyDescent="0.35">
      <c r="A286" s="106">
        <v>45557</v>
      </c>
      <c r="B286" s="107" t="s">
        <v>322</v>
      </c>
      <c r="C286" s="107" t="s">
        <v>393</v>
      </c>
      <c r="D286" s="107" t="s">
        <v>324</v>
      </c>
      <c r="E286" s="107" t="s">
        <v>394</v>
      </c>
      <c r="F286" s="108">
        <v>40</v>
      </c>
      <c r="G286" s="109">
        <v>17</v>
      </c>
      <c r="H286" s="110">
        <f t="shared" si="9"/>
        <v>760</v>
      </c>
      <c r="I286" s="111">
        <f t="shared" si="8"/>
        <v>38</v>
      </c>
    </row>
    <row r="287" spans="1:9" x14ac:dyDescent="0.35">
      <c r="A287" s="106">
        <v>45557</v>
      </c>
      <c r="B287" s="107" t="s">
        <v>318</v>
      </c>
      <c r="C287" s="107" t="s">
        <v>332</v>
      </c>
      <c r="D287" s="107" t="s">
        <v>423</v>
      </c>
      <c r="E287" s="107" t="s">
        <v>343</v>
      </c>
      <c r="F287" s="108">
        <v>17</v>
      </c>
      <c r="G287" s="109">
        <v>4</v>
      </c>
      <c r="H287" s="110">
        <f t="shared" si="9"/>
        <v>136</v>
      </c>
      <c r="I287" s="111">
        <f t="shared" si="8"/>
        <v>8.16</v>
      </c>
    </row>
    <row r="288" spans="1:9" x14ac:dyDescent="0.35">
      <c r="A288" s="106">
        <v>45558</v>
      </c>
      <c r="B288" s="107" t="s">
        <v>327</v>
      </c>
      <c r="C288" s="107" t="s">
        <v>314</v>
      </c>
      <c r="D288" s="107" t="s">
        <v>333</v>
      </c>
      <c r="E288" s="107" t="s">
        <v>406</v>
      </c>
      <c r="F288" s="108">
        <v>20</v>
      </c>
      <c r="G288" s="109">
        <v>6</v>
      </c>
      <c r="H288" s="110">
        <f t="shared" si="9"/>
        <v>180</v>
      </c>
      <c r="I288" s="111">
        <f t="shared" si="8"/>
        <v>9</v>
      </c>
    </row>
    <row r="289" spans="1:9" x14ac:dyDescent="0.35">
      <c r="A289" s="106">
        <v>45558</v>
      </c>
      <c r="B289" s="107" t="s">
        <v>327</v>
      </c>
      <c r="C289" s="107" t="s">
        <v>319</v>
      </c>
      <c r="D289" s="107" t="s">
        <v>320</v>
      </c>
      <c r="E289" s="107" t="s">
        <v>341</v>
      </c>
      <c r="F289" s="108">
        <v>12</v>
      </c>
      <c r="G289" s="109">
        <v>6</v>
      </c>
      <c r="H289" s="110">
        <f t="shared" si="9"/>
        <v>84</v>
      </c>
      <c r="I289" s="111">
        <f t="shared" si="8"/>
        <v>5.04</v>
      </c>
    </row>
    <row r="290" spans="1:9" x14ac:dyDescent="0.35">
      <c r="A290" s="106">
        <v>45558</v>
      </c>
      <c r="B290" s="107" t="s">
        <v>422</v>
      </c>
      <c r="C290" s="107" t="s">
        <v>319</v>
      </c>
      <c r="D290" s="107" t="s">
        <v>320</v>
      </c>
      <c r="E290" s="107" t="s">
        <v>400</v>
      </c>
      <c r="F290" s="108">
        <v>26</v>
      </c>
      <c r="G290" s="109">
        <v>24</v>
      </c>
      <c r="H290" s="110">
        <f t="shared" si="9"/>
        <v>650</v>
      </c>
      <c r="I290" s="111">
        <f t="shared" si="8"/>
        <v>39</v>
      </c>
    </row>
    <row r="291" spans="1:9" x14ac:dyDescent="0.35">
      <c r="A291" s="106">
        <v>45559</v>
      </c>
      <c r="B291" s="107" t="s">
        <v>422</v>
      </c>
      <c r="C291" s="107" t="s">
        <v>393</v>
      </c>
      <c r="D291" s="107" t="s">
        <v>315</v>
      </c>
      <c r="E291" s="107" t="s">
        <v>388</v>
      </c>
      <c r="F291" s="108">
        <v>11</v>
      </c>
      <c r="G291" s="109">
        <v>24</v>
      </c>
      <c r="H291" s="110">
        <f t="shared" si="9"/>
        <v>286</v>
      </c>
      <c r="I291" s="111">
        <f t="shared" si="8"/>
        <v>14.3</v>
      </c>
    </row>
    <row r="292" spans="1:9" x14ac:dyDescent="0.35">
      <c r="A292" s="106">
        <v>45559</v>
      </c>
      <c r="B292" s="107" t="s">
        <v>313</v>
      </c>
      <c r="C292" s="107" t="s">
        <v>393</v>
      </c>
      <c r="D292" s="107" t="s">
        <v>333</v>
      </c>
      <c r="E292" s="107" t="s">
        <v>395</v>
      </c>
      <c r="F292" s="108">
        <v>39</v>
      </c>
      <c r="G292" s="109">
        <v>13</v>
      </c>
      <c r="H292" s="110">
        <f t="shared" si="9"/>
        <v>585</v>
      </c>
      <c r="I292" s="111">
        <f t="shared" si="8"/>
        <v>29.25</v>
      </c>
    </row>
    <row r="293" spans="1:9" x14ac:dyDescent="0.35">
      <c r="A293" s="106">
        <v>45559</v>
      </c>
      <c r="B293" s="107" t="s">
        <v>422</v>
      </c>
      <c r="C293" s="107" t="s">
        <v>314</v>
      </c>
      <c r="D293" s="107" t="s">
        <v>320</v>
      </c>
      <c r="E293" s="107" t="s">
        <v>339</v>
      </c>
      <c r="F293" s="108">
        <v>63</v>
      </c>
      <c r="G293" s="109">
        <v>24</v>
      </c>
      <c r="H293" s="110">
        <f t="shared" si="9"/>
        <v>1701</v>
      </c>
      <c r="I293" s="111">
        <f t="shared" si="8"/>
        <v>102.06</v>
      </c>
    </row>
    <row r="294" spans="1:9" x14ac:dyDescent="0.35">
      <c r="A294" s="106">
        <v>45559</v>
      </c>
      <c r="B294" s="107" t="s">
        <v>422</v>
      </c>
      <c r="C294" s="107" t="s">
        <v>393</v>
      </c>
      <c r="D294" s="107" t="s">
        <v>315</v>
      </c>
      <c r="E294" s="107" t="s">
        <v>331</v>
      </c>
      <c r="F294" s="108">
        <v>65</v>
      </c>
      <c r="G294" s="109">
        <v>24</v>
      </c>
      <c r="H294" s="110">
        <f t="shared" si="9"/>
        <v>1690</v>
      </c>
      <c r="I294" s="111">
        <f t="shared" si="8"/>
        <v>84.5</v>
      </c>
    </row>
    <row r="295" spans="1:9" x14ac:dyDescent="0.35">
      <c r="A295" s="106">
        <v>45559</v>
      </c>
      <c r="B295" s="107" t="s">
        <v>318</v>
      </c>
      <c r="C295" s="107" t="s">
        <v>314</v>
      </c>
      <c r="D295" s="107" t="s">
        <v>333</v>
      </c>
      <c r="E295" s="107" t="s">
        <v>394</v>
      </c>
      <c r="F295" s="108">
        <v>34</v>
      </c>
      <c r="G295" s="109">
        <v>4</v>
      </c>
      <c r="H295" s="110">
        <f t="shared" si="9"/>
        <v>238</v>
      </c>
      <c r="I295" s="111">
        <f t="shared" si="8"/>
        <v>11.9</v>
      </c>
    </row>
    <row r="296" spans="1:9" x14ac:dyDescent="0.35">
      <c r="A296" s="106">
        <v>45560</v>
      </c>
      <c r="B296" s="107" t="s">
        <v>322</v>
      </c>
      <c r="C296" s="107" t="s">
        <v>332</v>
      </c>
      <c r="D296" s="107" t="s">
        <v>333</v>
      </c>
      <c r="E296" s="107" t="s">
        <v>350</v>
      </c>
      <c r="F296" s="108">
        <v>23</v>
      </c>
      <c r="G296" s="109">
        <v>17</v>
      </c>
      <c r="H296" s="110">
        <f t="shared" si="9"/>
        <v>483</v>
      </c>
      <c r="I296" s="111">
        <f t="shared" si="8"/>
        <v>24.150000000000002</v>
      </c>
    </row>
    <row r="297" spans="1:9" x14ac:dyDescent="0.35">
      <c r="A297" s="106">
        <v>45561</v>
      </c>
      <c r="B297" s="107" t="s">
        <v>322</v>
      </c>
      <c r="C297" s="107" t="s">
        <v>319</v>
      </c>
      <c r="D297" s="107" t="s">
        <v>315</v>
      </c>
      <c r="E297" s="107" t="s">
        <v>342</v>
      </c>
      <c r="F297" s="108">
        <v>16</v>
      </c>
      <c r="G297" s="109">
        <v>17</v>
      </c>
      <c r="H297" s="110">
        <f t="shared" si="9"/>
        <v>288</v>
      </c>
      <c r="I297" s="111">
        <f t="shared" si="8"/>
        <v>14.4</v>
      </c>
    </row>
    <row r="298" spans="1:9" x14ac:dyDescent="0.35">
      <c r="A298" s="106">
        <v>45561</v>
      </c>
      <c r="B298" s="107" t="s">
        <v>318</v>
      </c>
      <c r="C298" s="107" t="s">
        <v>332</v>
      </c>
      <c r="D298" s="107" t="s">
        <v>333</v>
      </c>
      <c r="E298" s="107" t="s">
        <v>388</v>
      </c>
      <c r="F298" s="108">
        <v>60</v>
      </c>
      <c r="G298" s="109">
        <v>4</v>
      </c>
      <c r="H298" s="110">
        <f t="shared" si="9"/>
        <v>480</v>
      </c>
      <c r="I298" s="111">
        <f t="shared" si="8"/>
        <v>24</v>
      </c>
    </row>
    <row r="299" spans="1:9" x14ac:dyDescent="0.35">
      <c r="A299" s="106">
        <v>45561</v>
      </c>
      <c r="B299" s="107" t="s">
        <v>313</v>
      </c>
      <c r="C299" s="107" t="s">
        <v>332</v>
      </c>
      <c r="D299" s="107" t="s">
        <v>333</v>
      </c>
      <c r="E299" s="107" t="s">
        <v>344</v>
      </c>
      <c r="F299" s="108">
        <v>29</v>
      </c>
      <c r="G299" s="109">
        <v>13</v>
      </c>
      <c r="H299" s="110">
        <f t="shared" si="9"/>
        <v>493</v>
      </c>
      <c r="I299" s="111">
        <f t="shared" si="8"/>
        <v>24.650000000000002</v>
      </c>
    </row>
    <row r="300" spans="1:9" x14ac:dyDescent="0.35">
      <c r="A300" s="106">
        <v>45561</v>
      </c>
      <c r="B300" s="107" t="s">
        <v>327</v>
      </c>
      <c r="C300" s="107" t="s">
        <v>314</v>
      </c>
      <c r="D300" s="107" t="s">
        <v>324</v>
      </c>
      <c r="E300" s="107" t="s">
        <v>343</v>
      </c>
      <c r="F300" s="108">
        <v>15</v>
      </c>
      <c r="G300" s="109">
        <v>6</v>
      </c>
      <c r="H300" s="110">
        <f t="shared" si="9"/>
        <v>135</v>
      </c>
      <c r="I300" s="111">
        <f t="shared" si="8"/>
        <v>6.75</v>
      </c>
    </row>
    <row r="301" spans="1:9" x14ac:dyDescent="0.35">
      <c r="A301" s="106">
        <v>45561</v>
      </c>
      <c r="B301" s="107" t="s">
        <v>327</v>
      </c>
      <c r="C301" s="107" t="s">
        <v>332</v>
      </c>
      <c r="D301" s="107" t="s">
        <v>320</v>
      </c>
      <c r="E301" s="107" t="s">
        <v>335</v>
      </c>
      <c r="F301" s="108">
        <v>49</v>
      </c>
      <c r="G301" s="109">
        <v>6</v>
      </c>
      <c r="H301" s="110">
        <f t="shared" si="9"/>
        <v>490</v>
      </c>
      <c r="I301" s="111">
        <f t="shared" si="8"/>
        <v>29.4</v>
      </c>
    </row>
    <row r="302" spans="1:9" x14ac:dyDescent="0.35">
      <c r="A302" s="106">
        <v>45562</v>
      </c>
      <c r="B302" s="107" t="s">
        <v>422</v>
      </c>
      <c r="C302" s="107" t="s">
        <v>393</v>
      </c>
      <c r="D302" s="107" t="s">
        <v>333</v>
      </c>
      <c r="E302" s="107" t="s">
        <v>406</v>
      </c>
      <c r="F302" s="108">
        <v>44</v>
      </c>
      <c r="G302" s="109">
        <v>24</v>
      </c>
      <c r="H302" s="110">
        <f t="shared" si="9"/>
        <v>1144</v>
      </c>
      <c r="I302" s="111">
        <f t="shared" si="8"/>
        <v>57.2</v>
      </c>
    </row>
    <row r="303" spans="1:9" x14ac:dyDescent="0.35">
      <c r="A303" s="106">
        <v>45562</v>
      </c>
      <c r="B303" s="107" t="s">
        <v>327</v>
      </c>
      <c r="C303" s="107" t="s">
        <v>314</v>
      </c>
      <c r="D303" s="107" t="s">
        <v>423</v>
      </c>
      <c r="E303" s="107" t="s">
        <v>340</v>
      </c>
      <c r="F303" s="108">
        <v>55</v>
      </c>
      <c r="G303" s="109">
        <v>6</v>
      </c>
      <c r="H303" s="110">
        <f t="shared" si="9"/>
        <v>495</v>
      </c>
      <c r="I303" s="111">
        <f t="shared" si="8"/>
        <v>29.7</v>
      </c>
    </row>
    <row r="304" spans="1:9" x14ac:dyDescent="0.35">
      <c r="A304" s="106">
        <v>45562</v>
      </c>
      <c r="B304" s="107" t="s">
        <v>318</v>
      </c>
      <c r="C304" s="107" t="s">
        <v>393</v>
      </c>
      <c r="D304" s="107" t="s">
        <v>423</v>
      </c>
      <c r="E304" s="107" t="s">
        <v>400</v>
      </c>
      <c r="F304" s="108">
        <v>12</v>
      </c>
      <c r="G304" s="109">
        <v>4</v>
      </c>
      <c r="H304" s="110">
        <f t="shared" si="9"/>
        <v>72</v>
      </c>
      <c r="I304" s="111">
        <f t="shared" si="8"/>
        <v>4.32</v>
      </c>
    </row>
    <row r="305" spans="1:9" x14ac:dyDescent="0.35">
      <c r="A305" s="106">
        <v>45562</v>
      </c>
      <c r="B305" s="107" t="s">
        <v>313</v>
      </c>
      <c r="C305" s="107" t="s">
        <v>314</v>
      </c>
      <c r="D305" s="107" t="s">
        <v>390</v>
      </c>
      <c r="E305" s="107" t="s">
        <v>394</v>
      </c>
      <c r="F305" s="108">
        <v>42</v>
      </c>
      <c r="G305" s="109">
        <v>13</v>
      </c>
      <c r="H305" s="110">
        <f t="shared" si="9"/>
        <v>672</v>
      </c>
      <c r="I305" s="111">
        <f t="shared" si="8"/>
        <v>33.6</v>
      </c>
    </row>
    <row r="306" spans="1:9" x14ac:dyDescent="0.35">
      <c r="A306" s="106">
        <v>45562</v>
      </c>
      <c r="B306" s="107" t="s">
        <v>313</v>
      </c>
      <c r="C306" s="107" t="s">
        <v>332</v>
      </c>
      <c r="D306" s="107" t="s">
        <v>315</v>
      </c>
      <c r="E306" s="107" t="s">
        <v>416</v>
      </c>
      <c r="F306" s="108">
        <v>60</v>
      </c>
      <c r="G306" s="109">
        <v>13</v>
      </c>
      <c r="H306" s="110">
        <f t="shared" si="9"/>
        <v>1020</v>
      </c>
      <c r="I306" s="111">
        <f t="shared" si="8"/>
        <v>51</v>
      </c>
    </row>
    <row r="307" spans="1:9" x14ac:dyDescent="0.35">
      <c r="A307" s="106">
        <v>45562</v>
      </c>
      <c r="B307" s="107" t="s">
        <v>318</v>
      </c>
      <c r="C307" s="107" t="s">
        <v>319</v>
      </c>
      <c r="D307" s="107" t="s">
        <v>320</v>
      </c>
      <c r="E307" s="107" t="s">
        <v>416</v>
      </c>
      <c r="F307" s="108">
        <v>40</v>
      </c>
      <c r="G307" s="109">
        <v>4</v>
      </c>
      <c r="H307" s="110">
        <f t="shared" si="9"/>
        <v>200</v>
      </c>
      <c r="I307" s="111">
        <f t="shared" si="8"/>
        <v>12</v>
      </c>
    </row>
    <row r="308" spans="1:9" x14ac:dyDescent="0.35">
      <c r="A308" s="106">
        <v>45562</v>
      </c>
      <c r="B308" s="107" t="s">
        <v>322</v>
      </c>
      <c r="C308" s="107" t="s">
        <v>332</v>
      </c>
      <c r="D308" s="107" t="s">
        <v>315</v>
      </c>
      <c r="E308" s="107" t="s">
        <v>344</v>
      </c>
      <c r="F308" s="108">
        <v>63</v>
      </c>
      <c r="G308" s="109">
        <v>17</v>
      </c>
      <c r="H308" s="110">
        <f t="shared" si="9"/>
        <v>1323</v>
      </c>
      <c r="I308" s="111">
        <f t="shared" si="8"/>
        <v>66.150000000000006</v>
      </c>
    </row>
    <row r="309" spans="1:9" x14ac:dyDescent="0.35">
      <c r="A309" s="106">
        <v>45562</v>
      </c>
      <c r="B309" s="107" t="s">
        <v>327</v>
      </c>
      <c r="C309" s="107" t="s">
        <v>314</v>
      </c>
      <c r="D309" s="107" t="s">
        <v>333</v>
      </c>
      <c r="E309" s="107" t="s">
        <v>335</v>
      </c>
      <c r="F309" s="108">
        <v>6</v>
      </c>
      <c r="G309" s="109">
        <v>6</v>
      </c>
      <c r="H309" s="110">
        <f t="shared" si="9"/>
        <v>54</v>
      </c>
      <c r="I309" s="111">
        <f t="shared" si="8"/>
        <v>2.7</v>
      </c>
    </row>
    <row r="310" spans="1:9" x14ac:dyDescent="0.35">
      <c r="A310" s="106">
        <v>45563</v>
      </c>
      <c r="B310" s="107" t="s">
        <v>318</v>
      </c>
      <c r="C310" s="107" t="s">
        <v>332</v>
      </c>
      <c r="D310" s="107" t="s">
        <v>390</v>
      </c>
      <c r="E310" s="107" t="s">
        <v>344</v>
      </c>
      <c r="F310" s="108">
        <v>60</v>
      </c>
      <c r="G310" s="109">
        <v>4</v>
      </c>
      <c r="H310" s="110">
        <f t="shared" si="9"/>
        <v>480</v>
      </c>
      <c r="I310" s="111">
        <f t="shared" si="8"/>
        <v>24</v>
      </c>
    </row>
    <row r="311" spans="1:9" x14ac:dyDescent="0.35">
      <c r="A311" s="106">
        <v>45564</v>
      </c>
      <c r="B311" s="107" t="s">
        <v>318</v>
      </c>
      <c r="C311" s="107" t="s">
        <v>314</v>
      </c>
      <c r="D311" s="107" t="s">
        <v>333</v>
      </c>
      <c r="E311" s="107" t="s">
        <v>340</v>
      </c>
      <c r="F311" s="108">
        <v>28</v>
      </c>
      <c r="G311" s="109">
        <v>4</v>
      </c>
      <c r="H311" s="110">
        <f t="shared" si="9"/>
        <v>196</v>
      </c>
      <c r="I311" s="111">
        <f t="shared" si="8"/>
        <v>9.8000000000000007</v>
      </c>
    </row>
    <row r="312" spans="1:9" x14ac:dyDescent="0.35">
      <c r="A312" s="106">
        <v>45564</v>
      </c>
      <c r="B312" s="107" t="s">
        <v>313</v>
      </c>
      <c r="C312" s="107" t="s">
        <v>332</v>
      </c>
      <c r="D312" s="107" t="s">
        <v>315</v>
      </c>
      <c r="E312" s="107" t="s">
        <v>340</v>
      </c>
      <c r="F312" s="108">
        <v>59</v>
      </c>
      <c r="G312" s="109">
        <v>13</v>
      </c>
      <c r="H312" s="110">
        <f t="shared" si="9"/>
        <v>1003</v>
      </c>
      <c r="I312" s="111">
        <f t="shared" si="8"/>
        <v>50.150000000000006</v>
      </c>
    </row>
    <row r="313" spans="1:9" x14ac:dyDescent="0.35">
      <c r="A313" s="106">
        <v>45565</v>
      </c>
      <c r="B313" s="107" t="s">
        <v>313</v>
      </c>
      <c r="C313" s="107" t="s">
        <v>393</v>
      </c>
      <c r="D313" s="107" t="s">
        <v>333</v>
      </c>
      <c r="E313" s="107" t="s">
        <v>455</v>
      </c>
      <c r="F313" s="108">
        <v>21</v>
      </c>
      <c r="G313" s="109">
        <v>13</v>
      </c>
      <c r="H313" s="110">
        <f t="shared" si="9"/>
        <v>315</v>
      </c>
      <c r="I313" s="111">
        <f t="shared" si="8"/>
        <v>15.75</v>
      </c>
    </row>
    <row r="314" spans="1:9" x14ac:dyDescent="0.35">
      <c r="A314" s="106">
        <v>45565</v>
      </c>
      <c r="B314" s="107" t="s">
        <v>322</v>
      </c>
      <c r="C314" s="107" t="s">
        <v>314</v>
      </c>
      <c r="D314" s="107" t="s">
        <v>423</v>
      </c>
      <c r="E314" s="107" t="s">
        <v>340</v>
      </c>
      <c r="F314" s="108">
        <v>28</v>
      </c>
      <c r="G314" s="109">
        <v>17</v>
      </c>
      <c r="H314" s="110">
        <f t="shared" si="9"/>
        <v>560</v>
      </c>
      <c r="I314" s="111">
        <f t="shared" si="8"/>
        <v>33.6</v>
      </c>
    </row>
    <row r="315" spans="1:9" x14ac:dyDescent="0.35">
      <c r="A315" s="106">
        <v>45565</v>
      </c>
      <c r="B315" s="107" t="s">
        <v>322</v>
      </c>
      <c r="C315" s="107" t="s">
        <v>314</v>
      </c>
      <c r="D315" s="107" t="s">
        <v>423</v>
      </c>
      <c r="E315" s="107" t="s">
        <v>331</v>
      </c>
      <c r="F315" s="108">
        <v>15</v>
      </c>
      <c r="G315" s="109">
        <v>17</v>
      </c>
      <c r="H315" s="110">
        <f t="shared" si="9"/>
        <v>300</v>
      </c>
      <c r="I315" s="111">
        <f t="shared" si="8"/>
        <v>18</v>
      </c>
    </row>
    <row r="316" spans="1:9" x14ac:dyDescent="0.35">
      <c r="A316" s="106">
        <v>45566</v>
      </c>
      <c r="B316" s="107" t="s">
        <v>422</v>
      </c>
      <c r="C316" s="107" t="s">
        <v>319</v>
      </c>
      <c r="D316" s="107" t="s">
        <v>338</v>
      </c>
      <c r="E316" s="107" t="s">
        <v>329</v>
      </c>
      <c r="F316" s="108">
        <v>42</v>
      </c>
      <c r="G316" s="109">
        <v>24</v>
      </c>
      <c r="H316" s="110">
        <f t="shared" si="9"/>
        <v>1050</v>
      </c>
      <c r="I316" s="111">
        <f t="shared" si="8"/>
        <v>63</v>
      </c>
    </row>
    <row r="317" spans="1:9" x14ac:dyDescent="0.35">
      <c r="A317" s="106">
        <v>45566</v>
      </c>
      <c r="B317" s="107" t="s">
        <v>313</v>
      </c>
      <c r="C317" s="107" t="s">
        <v>314</v>
      </c>
      <c r="D317" s="107" t="s">
        <v>423</v>
      </c>
      <c r="E317" s="107" t="s">
        <v>316</v>
      </c>
      <c r="F317" s="108">
        <v>23</v>
      </c>
      <c r="G317" s="109">
        <v>13</v>
      </c>
      <c r="H317" s="110">
        <f t="shared" si="9"/>
        <v>368</v>
      </c>
      <c r="I317" s="111">
        <f t="shared" si="8"/>
        <v>22.08</v>
      </c>
    </row>
    <row r="318" spans="1:9" x14ac:dyDescent="0.35">
      <c r="A318" s="106">
        <v>45567</v>
      </c>
      <c r="B318" s="107" t="s">
        <v>318</v>
      </c>
      <c r="C318" s="107" t="s">
        <v>319</v>
      </c>
      <c r="D318" s="107" t="s">
        <v>338</v>
      </c>
      <c r="E318" s="107" t="s">
        <v>388</v>
      </c>
      <c r="F318" s="108">
        <v>41</v>
      </c>
      <c r="G318" s="109">
        <v>4</v>
      </c>
      <c r="H318" s="110">
        <f t="shared" si="9"/>
        <v>205</v>
      </c>
      <c r="I318" s="111">
        <f t="shared" si="8"/>
        <v>12.299999999999999</v>
      </c>
    </row>
    <row r="319" spans="1:9" x14ac:dyDescent="0.35">
      <c r="A319" s="106">
        <v>45567</v>
      </c>
      <c r="B319" s="107" t="s">
        <v>422</v>
      </c>
      <c r="C319" s="107" t="s">
        <v>332</v>
      </c>
      <c r="D319" s="107" t="s">
        <v>390</v>
      </c>
      <c r="E319" s="107" t="s">
        <v>344</v>
      </c>
      <c r="F319" s="108">
        <v>63</v>
      </c>
      <c r="G319" s="109">
        <v>24</v>
      </c>
      <c r="H319" s="110">
        <f t="shared" si="9"/>
        <v>1764</v>
      </c>
      <c r="I319" s="111">
        <f t="shared" si="8"/>
        <v>88.2</v>
      </c>
    </row>
    <row r="320" spans="1:9" x14ac:dyDescent="0.35">
      <c r="A320" s="106">
        <v>45567</v>
      </c>
      <c r="B320" s="107" t="s">
        <v>422</v>
      </c>
      <c r="C320" s="107" t="s">
        <v>314</v>
      </c>
      <c r="D320" s="107" t="s">
        <v>338</v>
      </c>
      <c r="E320" s="107" t="s">
        <v>343</v>
      </c>
      <c r="F320" s="108">
        <v>22</v>
      </c>
      <c r="G320" s="109">
        <v>24</v>
      </c>
      <c r="H320" s="110">
        <f t="shared" si="9"/>
        <v>594</v>
      </c>
      <c r="I320" s="111">
        <f t="shared" si="8"/>
        <v>35.64</v>
      </c>
    </row>
    <row r="321" spans="1:9" x14ac:dyDescent="0.35">
      <c r="A321" s="106">
        <v>45567</v>
      </c>
      <c r="B321" s="107" t="s">
        <v>313</v>
      </c>
      <c r="C321" s="107" t="s">
        <v>314</v>
      </c>
      <c r="D321" s="107" t="s">
        <v>423</v>
      </c>
      <c r="E321" s="107" t="s">
        <v>405</v>
      </c>
      <c r="F321" s="108">
        <v>7</v>
      </c>
      <c r="G321" s="109">
        <v>13</v>
      </c>
      <c r="H321" s="110">
        <f t="shared" si="9"/>
        <v>112</v>
      </c>
      <c r="I321" s="111">
        <f t="shared" si="8"/>
        <v>6.72</v>
      </c>
    </row>
    <row r="322" spans="1:9" x14ac:dyDescent="0.35">
      <c r="A322" s="106">
        <v>45568</v>
      </c>
      <c r="B322" s="107" t="s">
        <v>313</v>
      </c>
      <c r="C322" s="107" t="s">
        <v>319</v>
      </c>
      <c r="D322" s="107" t="s">
        <v>333</v>
      </c>
      <c r="E322" s="107" t="s">
        <v>406</v>
      </c>
      <c r="F322" s="108">
        <v>39</v>
      </c>
      <c r="G322" s="109">
        <v>13</v>
      </c>
      <c r="H322" s="110">
        <f t="shared" si="9"/>
        <v>546</v>
      </c>
      <c r="I322" s="111">
        <f t="shared" ref="I322:I385" si="10">H322*VLOOKUP(D322,$O$4:$P$10,2,TRUE)</f>
        <v>27.3</v>
      </c>
    </row>
    <row r="323" spans="1:9" x14ac:dyDescent="0.35">
      <c r="A323" s="106">
        <v>45568</v>
      </c>
      <c r="B323" s="107" t="s">
        <v>422</v>
      </c>
      <c r="C323" s="107" t="s">
        <v>319</v>
      </c>
      <c r="D323" s="107" t="s">
        <v>390</v>
      </c>
      <c r="E323" s="107" t="s">
        <v>339</v>
      </c>
      <c r="F323" s="108">
        <v>58</v>
      </c>
      <c r="G323" s="109">
        <v>24</v>
      </c>
      <c r="H323" s="110">
        <f t="shared" ref="H323:H386" si="11">(F323*G323)+VLOOKUP(C323,$K$11:$L$14,2,FALSE)*F323</f>
        <v>1450</v>
      </c>
      <c r="I323" s="111">
        <f t="shared" si="10"/>
        <v>72.5</v>
      </c>
    </row>
    <row r="324" spans="1:9" x14ac:dyDescent="0.35">
      <c r="A324" s="106">
        <v>45568</v>
      </c>
      <c r="B324" s="107" t="s">
        <v>322</v>
      </c>
      <c r="C324" s="107" t="s">
        <v>314</v>
      </c>
      <c r="D324" s="107" t="s">
        <v>320</v>
      </c>
      <c r="E324" s="107" t="s">
        <v>394</v>
      </c>
      <c r="F324" s="108">
        <v>19</v>
      </c>
      <c r="G324" s="109">
        <v>17</v>
      </c>
      <c r="H324" s="110">
        <f t="shared" si="11"/>
        <v>380</v>
      </c>
      <c r="I324" s="111">
        <f t="shared" si="10"/>
        <v>22.8</v>
      </c>
    </row>
    <row r="325" spans="1:9" x14ac:dyDescent="0.35">
      <c r="A325" s="106">
        <v>45568</v>
      </c>
      <c r="B325" s="107" t="s">
        <v>322</v>
      </c>
      <c r="C325" s="107" t="s">
        <v>332</v>
      </c>
      <c r="D325" s="107" t="s">
        <v>324</v>
      </c>
      <c r="E325" s="107" t="s">
        <v>416</v>
      </c>
      <c r="F325" s="108">
        <v>43</v>
      </c>
      <c r="G325" s="109">
        <v>17</v>
      </c>
      <c r="H325" s="110">
        <f t="shared" si="11"/>
        <v>903</v>
      </c>
      <c r="I325" s="111">
        <f t="shared" si="10"/>
        <v>45.150000000000006</v>
      </c>
    </row>
    <row r="326" spans="1:9" x14ac:dyDescent="0.35">
      <c r="A326" s="106">
        <v>45569</v>
      </c>
      <c r="B326" s="107" t="s">
        <v>422</v>
      </c>
      <c r="C326" s="107" t="s">
        <v>314</v>
      </c>
      <c r="D326" s="107" t="s">
        <v>390</v>
      </c>
      <c r="E326" s="107" t="s">
        <v>341</v>
      </c>
      <c r="F326" s="108">
        <v>15</v>
      </c>
      <c r="G326" s="109">
        <v>24</v>
      </c>
      <c r="H326" s="110">
        <f t="shared" si="11"/>
        <v>405</v>
      </c>
      <c r="I326" s="111">
        <f t="shared" si="10"/>
        <v>20.25</v>
      </c>
    </row>
    <row r="327" spans="1:9" x14ac:dyDescent="0.35">
      <c r="A327" s="106">
        <v>45569</v>
      </c>
      <c r="B327" s="107" t="s">
        <v>313</v>
      </c>
      <c r="C327" s="107" t="s">
        <v>332</v>
      </c>
      <c r="D327" s="107" t="s">
        <v>390</v>
      </c>
      <c r="E327" s="107" t="s">
        <v>341</v>
      </c>
      <c r="F327" s="108">
        <v>16</v>
      </c>
      <c r="G327" s="109">
        <v>13</v>
      </c>
      <c r="H327" s="110">
        <f t="shared" si="11"/>
        <v>272</v>
      </c>
      <c r="I327" s="111">
        <f t="shared" si="10"/>
        <v>13.600000000000001</v>
      </c>
    </row>
    <row r="328" spans="1:9" x14ac:dyDescent="0.35">
      <c r="A328" s="106">
        <v>45569</v>
      </c>
      <c r="B328" s="107" t="s">
        <v>318</v>
      </c>
      <c r="C328" s="107" t="s">
        <v>319</v>
      </c>
      <c r="D328" s="107" t="s">
        <v>324</v>
      </c>
      <c r="E328" s="107" t="s">
        <v>339</v>
      </c>
      <c r="F328" s="108">
        <v>35</v>
      </c>
      <c r="G328" s="109">
        <v>4</v>
      </c>
      <c r="H328" s="110">
        <f t="shared" si="11"/>
        <v>175</v>
      </c>
      <c r="I328" s="111">
        <f t="shared" si="10"/>
        <v>8.75</v>
      </c>
    </row>
    <row r="329" spans="1:9" x14ac:dyDescent="0.35">
      <c r="A329" s="106">
        <v>45569</v>
      </c>
      <c r="B329" s="107" t="s">
        <v>327</v>
      </c>
      <c r="C329" s="107" t="s">
        <v>314</v>
      </c>
      <c r="D329" s="107" t="s">
        <v>320</v>
      </c>
      <c r="E329" s="107" t="s">
        <v>400</v>
      </c>
      <c r="F329" s="108">
        <v>16</v>
      </c>
      <c r="G329" s="109">
        <v>6</v>
      </c>
      <c r="H329" s="110">
        <f t="shared" si="11"/>
        <v>144</v>
      </c>
      <c r="I329" s="111">
        <f t="shared" si="10"/>
        <v>8.64</v>
      </c>
    </row>
    <row r="330" spans="1:9" x14ac:dyDescent="0.35">
      <c r="A330" s="106">
        <v>45569</v>
      </c>
      <c r="B330" s="107" t="s">
        <v>318</v>
      </c>
      <c r="C330" s="107" t="s">
        <v>393</v>
      </c>
      <c r="D330" s="107" t="s">
        <v>315</v>
      </c>
      <c r="E330" s="107" t="s">
        <v>344</v>
      </c>
      <c r="F330" s="108">
        <v>22</v>
      </c>
      <c r="G330" s="109">
        <v>4</v>
      </c>
      <c r="H330" s="110">
        <f t="shared" si="11"/>
        <v>132</v>
      </c>
      <c r="I330" s="111">
        <f t="shared" si="10"/>
        <v>6.6000000000000005</v>
      </c>
    </row>
    <row r="331" spans="1:9" x14ac:dyDescent="0.35">
      <c r="A331" s="106">
        <v>45570</v>
      </c>
      <c r="B331" s="107" t="s">
        <v>322</v>
      </c>
      <c r="C331" s="107" t="s">
        <v>319</v>
      </c>
      <c r="D331" s="107" t="s">
        <v>315</v>
      </c>
      <c r="E331" s="107" t="s">
        <v>347</v>
      </c>
      <c r="F331" s="108">
        <v>19</v>
      </c>
      <c r="G331" s="109">
        <v>17</v>
      </c>
      <c r="H331" s="110">
        <f t="shared" si="11"/>
        <v>342</v>
      </c>
      <c r="I331" s="111">
        <f t="shared" si="10"/>
        <v>17.100000000000001</v>
      </c>
    </row>
    <row r="332" spans="1:9" x14ac:dyDescent="0.35">
      <c r="A332" s="106">
        <v>45570</v>
      </c>
      <c r="B332" s="107" t="s">
        <v>322</v>
      </c>
      <c r="C332" s="107" t="s">
        <v>314</v>
      </c>
      <c r="D332" s="107" t="s">
        <v>320</v>
      </c>
      <c r="E332" s="107" t="s">
        <v>345</v>
      </c>
      <c r="F332" s="108">
        <v>9</v>
      </c>
      <c r="G332" s="109">
        <v>17</v>
      </c>
      <c r="H332" s="110">
        <f t="shared" si="11"/>
        <v>180</v>
      </c>
      <c r="I332" s="111">
        <f t="shared" si="10"/>
        <v>10.799999999999999</v>
      </c>
    </row>
    <row r="333" spans="1:9" x14ac:dyDescent="0.35">
      <c r="A333" s="106">
        <v>45570</v>
      </c>
      <c r="B333" s="107" t="s">
        <v>327</v>
      </c>
      <c r="C333" s="107" t="s">
        <v>319</v>
      </c>
      <c r="D333" s="107" t="s">
        <v>333</v>
      </c>
      <c r="E333" s="107" t="s">
        <v>454</v>
      </c>
      <c r="F333" s="108">
        <v>53</v>
      </c>
      <c r="G333" s="109">
        <v>6</v>
      </c>
      <c r="H333" s="110">
        <f t="shared" si="11"/>
        <v>371</v>
      </c>
      <c r="I333" s="111">
        <f t="shared" si="10"/>
        <v>18.55</v>
      </c>
    </row>
    <row r="334" spans="1:9" x14ac:dyDescent="0.35">
      <c r="A334" s="106">
        <v>45572</v>
      </c>
      <c r="B334" s="107" t="s">
        <v>422</v>
      </c>
      <c r="C334" s="107" t="s">
        <v>332</v>
      </c>
      <c r="D334" s="107" t="s">
        <v>338</v>
      </c>
      <c r="E334" s="107" t="s">
        <v>340</v>
      </c>
      <c r="F334" s="108">
        <v>65</v>
      </c>
      <c r="G334" s="109">
        <v>24</v>
      </c>
      <c r="H334" s="110">
        <f t="shared" si="11"/>
        <v>1820</v>
      </c>
      <c r="I334" s="111">
        <f t="shared" si="10"/>
        <v>109.2</v>
      </c>
    </row>
    <row r="335" spans="1:9" x14ac:dyDescent="0.35">
      <c r="A335" s="106">
        <v>45572</v>
      </c>
      <c r="B335" s="107" t="s">
        <v>313</v>
      </c>
      <c r="C335" s="107" t="s">
        <v>332</v>
      </c>
      <c r="D335" s="107" t="s">
        <v>333</v>
      </c>
      <c r="E335" s="107" t="s">
        <v>454</v>
      </c>
      <c r="F335" s="108">
        <v>11</v>
      </c>
      <c r="G335" s="109">
        <v>13</v>
      </c>
      <c r="H335" s="110">
        <f t="shared" si="11"/>
        <v>187</v>
      </c>
      <c r="I335" s="111">
        <f t="shared" si="10"/>
        <v>9.35</v>
      </c>
    </row>
    <row r="336" spans="1:9" x14ac:dyDescent="0.35">
      <c r="A336" s="106">
        <v>45572</v>
      </c>
      <c r="B336" s="107" t="s">
        <v>318</v>
      </c>
      <c r="C336" s="107" t="s">
        <v>319</v>
      </c>
      <c r="D336" s="107" t="s">
        <v>333</v>
      </c>
      <c r="E336" s="107" t="s">
        <v>405</v>
      </c>
      <c r="F336" s="108">
        <v>24</v>
      </c>
      <c r="G336" s="109">
        <v>4</v>
      </c>
      <c r="H336" s="110">
        <f t="shared" si="11"/>
        <v>120</v>
      </c>
      <c r="I336" s="111">
        <f t="shared" si="10"/>
        <v>6</v>
      </c>
    </row>
    <row r="337" spans="1:9" x14ac:dyDescent="0.35">
      <c r="A337" s="106">
        <v>45572</v>
      </c>
      <c r="B337" s="107" t="s">
        <v>422</v>
      </c>
      <c r="C337" s="107" t="s">
        <v>319</v>
      </c>
      <c r="D337" s="107" t="s">
        <v>320</v>
      </c>
      <c r="E337" s="107" t="s">
        <v>350</v>
      </c>
      <c r="F337" s="108">
        <v>9</v>
      </c>
      <c r="G337" s="109">
        <v>24</v>
      </c>
      <c r="H337" s="110">
        <f t="shared" si="11"/>
        <v>225</v>
      </c>
      <c r="I337" s="111">
        <f t="shared" si="10"/>
        <v>13.5</v>
      </c>
    </row>
    <row r="338" spans="1:9" x14ac:dyDescent="0.35">
      <c r="A338" s="106">
        <v>45573</v>
      </c>
      <c r="B338" s="107" t="s">
        <v>313</v>
      </c>
      <c r="C338" s="107" t="s">
        <v>332</v>
      </c>
      <c r="D338" s="107" t="s">
        <v>390</v>
      </c>
      <c r="E338" s="107" t="s">
        <v>341</v>
      </c>
      <c r="F338" s="108">
        <v>28</v>
      </c>
      <c r="G338" s="109">
        <v>13</v>
      </c>
      <c r="H338" s="110">
        <f t="shared" si="11"/>
        <v>476</v>
      </c>
      <c r="I338" s="111">
        <f t="shared" si="10"/>
        <v>23.8</v>
      </c>
    </row>
    <row r="339" spans="1:9" x14ac:dyDescent="0.35">
      <c r="A339" s="106">
        <v>45573</v>
      </c>
      <c r="B339" s="107" t="s">
        <v>327</v>
      </c>
      <c r="C339" s="107" t="s">
        <v>332</v>
      </c>
      <c r="D339" s="107" t="s">
        <v>423</v>
      </c>
      <c r="E339" s="107" t="s">
        <v>339</v>
      </c>
      <c r="F339" s="108">
        <v>18</v>
      </c>
      <c r="G339" s="109">
        <v>6</v>
      </c>
      <c r="H339" s="110">
        <f t="shared" si="11"/>
        <v>180</v>
      </c>
      <c r="I339" s="111">
        <f t="shared" si="10"/>
        <v>10.799999999999999</v>
      </c>
    </row>
    <row r="340" spans="1:9" x14ac:dyDescent="0.35">
      <c r="A340" s="106">
        <v>45574</v>
      </c>
      <c r="B340" s="107" t="s">
        <v>313</v>
      </c>
      <c r="C340" s="107" t="s">
        <v>314</v>
      </c>
      <c r="D340" s="107" t="s">
        <v>324</v>
      </c>
      <c r="E340" s="107" t="s">
        <v>341</v>
      </c>
      <c r="F340" s="108">
        <v>31</v>
      </c>
      <c r="G340" s="109">
        <v>13</v>
      </c>
      <c r="H340" s="110">
        <f t="shared" si="11"/>
        <v>496</v>
      </c>
      <c r="I340" s="111">
        <f t="shared" si="10"/>
        <v>24.8</v>
      </c>
    </row>
    <row r="341" spans="1:9" x14ac:dyDescent="0.35">
      <c r="A341" s="106">
        <v>45574</v>
      </c>
      <c r="B341" s="107" t="s">
        <v>313</v>
      </c>
      <c r="C341" s="107" t="s">
        <v>332</v>
      </c>
      <c r="D341" s="107" t="s">
        <v>333</v>
      </c>
      <c r="E341" s="107" t="s">
        <v>348</v>
      </c>
      <c r="F341" s="108">
        <v>37</v>
      </c>
      <c r="G341" s="109">
        <v>13</v>
      </c>
      <c r="H341" s="110">
        <f t="shared" si="11"/>
        <v>629</v>
      </c>
      <c r="I341" s="111">
        <f t="shared" si="10"/>
        <v>31.450000000000003</v>
      </c>
    </row>
    <row r="342" spans="1:9" x14ac:dyDescent="0.35">
      <c r="A342" s="106">
        <v>45574</v>
      </c>
      <c r="B342" s="107" t="s">
        <v>318</v>
      </c>
      <c r="C342" s="107" t="s">
        <v>319</v>
      </c>
      <c r="D342" s="107" t="s">
        <v>315</v>
      </c>
      <c r="E342" s="107" t="s">
        <v>340</v>
      </c>
      <c r="F342" s="108">
        <v>65</v>
      </c>
      <c r="G342" s="109">
        <v>4</v>
      </c>
      <c r="H342" s="110">
        <f t="shared" si="11"/>
        <v>325</v>
      </c>
      <c r="I342" s="111">
        <f t="shared" si="10"/>
        <v>16.25</v>
      </c>
    </row>
    <row r="343" spans="1:9" x14ac:dyDescent="0.35">
      <c r="A343" s="106">
        <v>45574</v>
      </c>
      <c r="B343" s="107" t="s">
        <v>422</v>
      </c>
      <c r="C343" s="107" t="s">
        <v>319</v>
      </c>
      <c r="D343" s="107" t="s">
        <v>338</v>
      </c>
      <c r="E343" s="107" t="s">
        <v>395</v>
      </c>
      <c r="F343" s="108">
        <v>47</v>
      </c>
      <c r="G343" s="109">
        <v>24</v>
      </c>
      <c r="H343" s="110">
        <f t="shared" si="11"/>
        <v>1175</v>
      </c>
      <c r="I343" s="111">
        <f t="shared" si="10"/>
        <v>70.5</v>
      </c>
    </row>
    <row r="344" spans="1:9" x14ac:dyDescent="0.35">
      <c r="A344" s="106">
        <v>45574</v>
      </c>
      <c r="B344" s="107" t="s">
        <v>322</v>
      </c>
      <c r="C344" s="107" t="s">
        <v>314</v>
      </c>
      <c r="D344" s="107" t="s">
        <v>320</v>
      </c>
      <c r="E344" s="107" t="s">
        <v>337</v>
      </c>
      <c r="F344" s="108">
        <v>54</v>
      </c>
      <c r="G344" s="109">
        <v>17</v>
      </c>
      <c r="H344" s="110">
        <f t="shared" si="11"/>
        <v>1080</v>
      </c>
      <c r="I344" s="111">
        <f t="shared" si="10"/>
        <v>64.8</v>
      </c>
    </row>
    <row r="345" spans="1:9" x14ac:dyDescent="0.35">
      <c r="A345" s="106">
        <v>45575</v>
      </c>
      <c r="B345" s="107" t="s">
        <v>313</v>
      </c>
      <c r="C345" s="107" t="s">
        <v>332</v>
      </c>
      <c r="D345" s="107" t="s">
        <v>338</v>
      </c>
      <c r="E345" s="107" t="s">
        <v>341</v>
      </c>
      <c r="F345" s="108">
        <v>6</v>
      </c>
      <c r="G345" s="109">
        <v>13</v>
      </c>
      <c r="H345" s="110">
        <f t="shared" si="11"/>
        <v>102</v>
      </c>
      <c r="I345" s="111">
        <f t="shared" si="10"/>
        <v>6.12</v>
      </c>
    </row>
    <row r="346" spans="1:9" x14ac:dyDescent="0.35">
      <c r="A346" s="106">
        <v>45575</v>
      </c>
      <c r="B346" s="107" t="s">
        <v>422</v>
      </c>
      <c r="C346" s="107" t="s">
        <v>393</v>
      </c>
      <c r="D346" s="107" t="s">
        <v>423</v>
      </c>
      <c r="E346" s="107" t="s">
        <v>345</v>
      </c>
      <c r="F346" s="108">
        <v>12</v>
      </c>
      <c r="G346" s="109">
        <v>24</v>
      </c>
      <c r="H346" s="110">
        <f t="shared" si="11"/>
        <v>312</v>
      </c>
      <c r="I346" s="111">
        <f t="shared" si="10"/>
        <v>18.72</v>
      </c>
    </row>
    <row r="347" spans="1:9" x14ac:dyDescent="0.35">
      <c r="A347" s="106">
        <v>45575</v>
      </c>
      <c r="B347" s="107" t="s">
        <v>322</v>
      </c>
      <c r="C347" s="107" t="s">
        <v>393</v>
      </c>
      <c r="D347" s="107" t="s">
        <v>333</v>
      </c>
      <c r="E347" s="107" t="s">
        <v>329</v>
      </c>
      <c r="F347" s="108">
        <v>56</v>
      </c>
      <c r="G347" s="109">
        <v>17</v>
      </c>
      <c r="H347" s="110">
        <f t="shared" si="11"/>
        <v>1064</v>
      </c>
      <c r="I347" s="111">
        <f t="shared" si="10"/>
        <v>53.2</v>
      </c>
    </row>
    <row r="348" spans="1:9" x14ac:dyDescent="0.35">
      <c r="A348" s="106">
        <v>45575</v>
      </c>
      <c r="B348" s="107" t="s">
        <v>322</v>
      </c>
      <c r="C348" s="107" t="s">
        <v>332</v>
      </c>
      <c r="D348" s="107" t="s">
        <v>315</v>
      </c>
      <c r="E348" s="107" t="s">
        <v>344</v>
      </c>
      <c r="F348" s="108">
        <v>62</v>
      </c>
      <c r="G348" s="109">
        <v>17</v>
      </c>
      <c r="H348" s="110">
        <f t="shared" si="11"/>
        <v>1302</v>
      </c>
      <c r="I348" s="111">
        <f t="shared" si="10"/>
        <v>65.100000000000009</v>
      </c>
    </row>
    <row r="349" spans="1:9" x14ac:dyDescent="0.35">
      <c r="A349" s="106">
        <v>45575</v>
      </c>
      <c r="B349" s="107" t="s">
        <v>422</v>
      </c>
      <c r="C349" s="107" t="s">
        <v>319</v>
      </c>
      <c r="D349" s="107" t="s">
        <v>315</v>
      </c>
      <c r="E349" s="107" t="s">
        <v>344</v>
      </c>
      <c r="F349" s="108">
        <v>39</v>
      </c>
      <c r="G349" s="109">
        <v>24</v>
      </c>
      <c r="H349" s="110">
        <f t="shared" si="11"/>
        <v>975</v>
      </c>
      <c r="I349" s="111">
        <f t="shared" si="10"/>
        <v>48.75</v>
      </c>
    </row>
    <row r="350" spans="1:9" x14ac:dyDescent="0.35">
      <c r="A350" s="106">
        <v>45576</v>
      </c>
      <c r="B350" s="107" t="s">
        <v>327</v>
      </c>
      <c r="C350" s="107" t="s">
        <v>332</v>
      </c>
      <c r="D350" s="107" t="s">
        <v>333</v>
      </c>
      <c r="E350" s="107" t="s">
        <v>340</v>
      </c>
      <c r="F350" s="108">
        <v>11</v>
      </c>
      <c r="G350" s="109">
        <v>6</v>
      </c>
      <c r="H350" s="110">
        <f t="shared" si="11"/>
        <v>110</v>
      </c>
      <c r="I350" s="111">
        <f t="shared" si="10"/>
        <v>5.5</v>
      </c>
    </row>
    <row r="351" spans="1:9" x14ac:dyDescent="0.35">
      <c r="A351" s="106">
        <v>45576</v>
      </c>
      <c r="B351" s="107" t="s">
        <v>422</v>
      </c>
      <c r="C351" s="107" t="s">
        <v>332</v>
      </c>
      <c r="D351" s="107" t="s">
        <v>423</v>
      </c>
      <c r="E351" s="107" t="s">
        <v>350</v>
      </c>
      <c r="F351" s="108">
        <v>60</v>
      </c>
      <c r="G351" s="109">
        <v>24</v>
      </c>
      <c r="H351" s="110">
        <f t="shared" si="11"/>
        <v>1680</v>
      </c>
      <c r="I351" s="111">
        <f t="shared" si="10"/>
        <v>100.8</v>
      </c>
    </row>
    <row r="352" spans="1:9" x14ac:dyDescent="0.35">
      <c r="A352" s="106">
        <v>45577</v>
      </c>
      <c r="B352" s="107" t="s">
        <v>313</v>
      </c>
      <c r="C352" s="107" t="s">
        <v>319</v>
      </c>
      <c r="D352" s="107" t="s">
        <v>338</v>
      </c>
      <c r="E352" s="107" t="s">
        <v>406</v>
      </c>
      <c r="F352" s="108">
        <v>65</v>
      </c>
      <c r="G352" s="109">
        <v>13</v>
      </c>
      <c r="H352" s="110">
        <f t="shared" si="11"/>
        <v>910</v>
      </c>
      <c r="I352" s="111">
        <f t="shared" si="10"/>
        <v>54.6</v>
      </c>
    </row>
    <row r="353" spans="1:9" x14ac:dyDescent="0.35">
      <c r="A353" s="106">
        <v>45577</v>
      </c>
      <c r="B353" s="107" t="s">
        <v>322</v>
      </c>
      <c r="C353" s="107" t="s">
        <v>332</v>
      </c>
      <c r="D353" s="107" t="s">
        <v>315</v>
      </c>
      <c r="E353" s="107" t="s">
        <v>349</v>
      </c>
      <c r="F353" s="108">
        <v>63</v>
      </c>
      <c r="G353" s="109">
        <v>17</v>
      </c>
      <c r="H353" s="110">
        <f t="shared" si="11"/>
        <v>1323</v>
      </c>
      <c r="I353" s="111">
        <f t="shared" si="10"/>
        <v>66.150000000000006</v>
      </c>
    </row>
    <row r="354" spans="1:9" x14ac:dyDescent="0.35">
      <c r="A354" s="106">
        <v>45577</v>
      </c>
      <c r="B354" s="107" t="s">
        <v>327</v>
      </c>
      <c r="C354" s="107" t="s">
        <v>393</v>
      </c>
      <c r="D354" s="107" t="s">
        <v>333</v>
      </c>
      <c r="E354" s="107" t="s">
        <v>400</v>
      </c>
      <c r="F354" s="108">
        <v>55</v>
      </c>
      <c r="G354" s="109">
        <v>6</v>
      </c>
      <c r="H354" s="110">
        <f t="shared" si="11"/>
        <v>440</v>
      </c>
      <c r="I354" s="111">
        <f t="shared" si="10"/>
        <v>22</v>
      </c>
    </row>
    <row r="355" spans="1:9" x14ac:dyDescent="0.35">
      <c r="A355" s="106">
        <v>45578</v>
      </c>
      <c r="B355" s="107" t="s">
        <v>313</v>
      </c>
      <c r="C355" s="107" t="s">
        <v>393</v>
      </c>
      <c r="D355" s="107" t="s">
        <v>315</v>
      </c>
      <c r="E355" s="107" t="s">
        <v>339</v>
      </c>
      <c r="F355" s="108">
        <v>22</v>
      </c>
      <c r="G355" s="109">
        <v>13</v>
      </c>
      <c r="H355" s="110">
        <f t="shared" si="11"/>
        <v>330</v>
      </c>
      <c r="I355" s="111">
        <f t="shared" si="10"/>
        <v>16.5</v>
      </c>
    </row>
    <row r="356" spans="1:9" x14ac:dyDescent="0.35">
      <c r="A356" s="106">
        <v>45578</v>
      </c>
      <c r="B356" s="107" t="s">
        <v>422</v>
      </c>
      <c r="C356" s="107" t="s">
        <v>393</v>
      </c>
      <c r="D356" s="107" t="s">
        <v>390</v>
      </c>
      <c r="E356" s="107" t="s">
        <v>345</v>
      </c>
      <c r="F356" s="108">
        <v>52</v>
      </c>
      <c r="G356" s="109">
        <v>24</v>
      </c>
      <c r="H356" s="110">
        <f t="shared" si="11"/>
        <v>1352</v>
      </c>
      <c r="I356" s="111">
        <f t="shared" si="10"/>
        <v>67.600000000000009</v>
      </c>
    </row>
    <row r="357" spans="1:9" x14ac:dyDescent="0.35">
      <c r="A357" s="106">
        <v>45578</v>
      </c>
      <c r="B357" s="107" t="s">
        <v>313</v>
      </c>
      <c r="C357" s="107" t="s">
        <v>393</v>
      </c>
      <c r="D357" s="107" t="s">
        <v>423</v>
      </c>
      <c r="E357" s="107" t="s">
        <v>416</v>
      </c>
      <c r="F357" s="108">
        <v>18</v>
      </c>
      <c r="G357" s="109">
        <v>13</v>
      </c>
      <c r="H357" s="110">
        <f t="shared" si="11"/>
        <v>270</v>
      </c>
      <c r="I357" s="111">
        <f t="shared" si="10"/>
        <v>16.2</v>
      </c>
    </row>
    <row r="358" spans="1:9" x14ac:dyDescent="0.35">
      <c r="A358" s="106">
        <v>45578</v>
      </c>
      <c r="B358" s="107" t="s">
        <v>313</v>
      </c>
      <c r="C358" s="107" t="s">
        <v>319</v>
      </c>
      <c r="D358" s="107" t="s">
        <v>324</v>
      </c>
      <c r="E358" s="107" t="s">
        <v>343</v>
      </c>
      <c r="F358" s="108">
        <v>6</v>
      </c>
      <c r="G358" s="109">
        <v>13</v>
      </c>
      <c r="H358" s="110">
        <f t="shared" si="11"/>
        <v>84</v>
      </c>
      <c r="I358" s="111">
        <f t="shared" si="10"/>
        <v>4.2</v>
      </c>
    </row>
    <row r="359" spans="1:9" x14ac:dyDescent="0.35">
      <c r="A359" s="106">
        <v>45579</v>
      </c>
      <c r="B359" s="107" t="s">
        <v>327</v>
      </c>
      <c r="C359" s="107" t="s">
        <v>314</v>
      </c>
      <c r="D359" s="107" t="s">
        <v>390</v>
      </c>
      <c r="E359" s="107" t="s">
        <v>348</v>
      </c>
      <c r="F359" s="108">
        <v>63</v>
      </c>
      <c r="G359" s="109">
        <v>6</v>
      </c>
      <c r="H359" s="110">
        <f t="shared" si="11"/>
        <v>567</v>
      </c>
      <c r="I359" s="111">
        <f t="shared" si="10"/>
        <v>28.35</v>
      </c>
    </row>
    <row r="360" spans="1:9" x14ac:dyDescent="0.35">
      <c r="A360" s="106">
        <v>45579</v>
      </c>
      <c r="B360" s="107" t="s">
        <v>318</v>
      </c>
      <c r="C360" s="107" t="s">
        <v>314</v>
      </c>
      <c r="D360" s="107" t="s">
        <v>324</v>
      </c>
      <c r="E360" s="107" t="s">
        <v>388</v>
      </c>
      <c r="F360" s="108">
        <v>42</v>
      </c>
      <c r="G360" s="109">
        <v>4</v>
      </c>
      <c r="H360" s="110">
        <f t="shared" si="11"/>
        <v>294</v>
      </c>
      <c r="I360" s="111">
        <f t="shared" si="10"/>
        <v>14.700000000000001</v>
      </c>
    </row>
    <row r="361" spans="1:9" x14ac:dyDescent="0.35">
      <c r="A361" s="106">
        <v>45579</v>
      </c>
      <c r="B361" s="107" t="s">
        <v>318</v>
      </c>
      <c r="C361" s="107" t="s">
        <v>332</v>
      </c>
      <c r="D361" s="107" t="s">
        <v>390</v>
      </c>
      <c r="E361" s="107" t="s">
        <v>400</v>
      </c>
      <c r="F361" s="108">
        <v>26</v>
      </c>
      <c r="G361" s="109">
        <v>4</v>
      </c>
      <c r="H361" s="110">
        <f t="shared" si="11"/>
        <v>208</v>
      </c>
      <c r="I361" s="111">
        <f t="shared" si="10"/>
        <v>10.4</v>
      </c>
    </row>
    <row r="362" spans="1:9" x14ac:dyDescent="0.35">
      <c r="A362" s="106">
        <v>45579</v>
      </c>
      <c r="B362" s="107" t="s">
        <v>313</v>
      </c>
      <c r="C362" s="107" t="s">
        <v>314</v>
      </c>
      <c r="D362" s="107" t="s">
        <v>423</v>
      </c>
      <c r="E362" s="107" t="s">
        <v>394</v>
      </c>
      <c r="F362" s="108">
        <v>40</v>
      </c>
      <c r="G362" s="109">
        <v>13</v>
      </c>
      <c r="H362" s="110">
        <f t="shared" si="11"/>
        <v>640</v>
      </c>
      <c r="I362" s="111">
        <f t="shared" si="10"/>
        <v>38.4</v>
      </c>
    </row>
    <row r="363" spans="1:9" x14ac:dyDescent="0.35">
      <c r="A363" s="106">
        <v>45580</v>
      </c>
      <c r="B363" s="107" t="s">
        <v>318</v>
      </c>
      <c r="C363" s="107" t="s">
        <v>332</v>
      </c>
      <c r="D363" s="107" t="s">
        <v>333</v>
      </c>
      <c r="E363" s="107" t="s">
        <v>344</v>
      </c>
      <c r="F363" s="108">
        <v>57</v>
      </c>
      <c r="G363" s="109">
        <v>4</v>
      </c>
      <c r="H363" s="110">
        <f t="shared" si="11"/>
        <v>456</v>
      </c>
      <c r="I363" s="111">
        <f t="shared" si="10"/>
        <v>22.8</v>
      </c>
    </row>
    <row r="364" spans="1:9" x14ac:dyDescent="0.35">
      <c r="A364" s="106">
        <v>45580</v>
      </c>
      <c r="B364" s="107" t="s">
        <v>313</v>
      </c>
      <c r="C364" s="107" t="s">
        <v>393</v>
      </c>
      <c r="D364" s="107" t="s">
        <v>320</v>
      </c>
      <c r="E364" s="107" t="s">
        <v>316</v>
      </c>
      <c r="F364" s="108">
        <v>25</v>
      </c>
      <c r="G364" s="109">
        <v>13</v>
      </c>
      <c r="H364" s="110">
        <f t="shared" si="11"/>
        <v>375</v>
      </c>
      <c r="I364" s="111">
        <f t="shared" si="10"/>
        <v>22.5</v>
      </c>
    </row>
    <row r="365" spans="1:9" x14ac:dyDescent="0.35">
      <c r="A365" s="106">
        <v>45581</v>
      </c>
      <c r="B365" s="107" t="s">
        <v>318</v>
      </c>
      <c r="C365" s="107" t="s">
        <v>332</v>
      </c>
      <c r="D365" s="107" t="s">
        <v>324</v>
      </c>
      <c r="E365" s="107" t="s">
        <v>394</v>
      </c>
      <c r="F365" s="108">
        <v>35</v>
      </c>
      <c r="G365" s="109">
        <v>4</v>
      </c>
      <c r="H365" s="110">
        <f t="shared" si="11"/>
        <v>280</v>
      </c>
      <c r="I365" s="111">
        <f t="shared" si="10"/>
        <v>14</v>
      </c>
    </row>
    <row r="366" spans="1:9" x14ac:dyDescent="0.35">
      <c r="A366" s="106">
        <v>45581</v>
      </c>
      <c r="B366" s="107" t="s">
        <v>422</v>
      </c>
      <c r="C366" s="107" t="s">
        <v>332</v>
      </c>
      <c r="D366" s="107" t="s">
        <v>315</v>
      </c>
      <c r="E366" s="107" t="s">
        <v>316</v>
      </c>
      <c r="F366" s="108">
        <v>18</v>
      </c>
      <c r="G366" s="109">
        <v>24</v>
      </c>
      <c r="H366" s="110">
        <f t="shared" si="11"/>
        <v>504</v>
      </c>
      <c r="I366" s="111">
        <f t="shared" si="10"/>
        <v>25.200000000000003</v>
      </c>
    </row>
    <row r="367" spans="1:9" x14ac:dyDescent="0.35">
      <c r="A367" s="106">
        <v>45582</v>
      </c>
      <c r="B367" s="107" t="s">
        <v>327</v>
      </c>
      <c r="C367" s="107" t="s">
        <v>319</v>
      </c>
      <c r="D367" s="107" t="s">
        <v>320</v>
      </c>
      <c r="E367" s="107" t="s">
        <v>455</v>
      </c>
      <c r="F367" s="108">
        <v>54</v>
      </c>
      <c r="G367" s="109">
        <v>6</v>
      </c>
      <c r="H367" s="110">
        <f t="shared" si="11"/>
        <v>378</v>
      </c>
      <c r="I367" s="111">
        <f t="shared" si="10"/>
        <v>22.68</v>
      </c>
    </row>
    <row r="368" spans="1:9" x14ac:dyDescent="0.35">
      <c r="A368" s="106">
        <v>45582</v>
      </c>
      <c r="B368" s="107" t="s">
        <v>318</v>
      </c>
      <c r="C368" s="107" t="s">
        <v>393</v>
      </c>
      <c r="D368" s="107" t="s">
        <v>390</v>
      </c>
      <c r="E368" s="107" t="s">
        <v>349</v>
      </c>
      <c r="F368" s="108">
        <v>63</v>
      </c>
      <c r="G368" s="109">
        <v>4</v>
      </c>
      <c r="H368" s="110">
        <f t="shared" si="11"/>
        <v>378</v>
      </c>
      <c r="I368" s="111">
        <f t="shared" si="10"/>
        <v>18.900000000000002</v>
      </c>
    </row>
    <row r="369" spans="1:9" x14ac:dyDescent="0.35">
      <c r="A369" s="106">
        <v>45582</v>
      </c>
      <c r="B369" s="107" t="s">
        <v>322</v>
      </c>
      <c r="C369" s="107" t="s">
        <v>314</v>
      </c>
      <c r="D369" s="107" t="s">
        <v>315</v>
      </c>
      <c r="E369" s="107" t="s">
        <v>400</v>
      </c>
      <c r="F369" s="108">
        <v>45</v>
      </c>
      <c r="G369" s="109">
        <v>17</v>
      </c>
      <c r="H369" s="110">
        <f t="shared" si="11"/>
        <v>900</v>
      </c>
      <c r="I369" s="111">
        <f t="shared" si="10"/>
        <v>45</v>
      </c>
    </row>
    <row r="370" spans="1:9" x14ac:dyDescent="0.35">
      <c r="A370" s="106">
        <v>45582</v>
      </c>
      <c r="B370" s="107" t="s">
        <v>313</v>
      </c>
      <c r="C370" s="107" t="s">
        <v>319</v>
      </c>
      <c r="D370" s="107" t="s">
        <v>423</v>
      </c>
      <c r="E370" s="107" t="s">
        <v>394</v>
      </c>
      <c r="F370" s="108">
        <v>11</v>
      </c>
      <c r="G370" s="109">
        <v>13</v>
      </c>
      <c r="H370" s="110">
        <f t="shared" si="11"/>
        <v>154</v>
      </c>
      <c r="I370" s="111">
        <f t="shared" si="10"/>
        <v>9.24</v>
      </c>
    </row>
    <row r="371" spans="1:9" x14ac:dyDescent="0.35">
      <c r="A371" s="106">
        <v>45583</v>
      </c>
      <c r="B371" s="107" t="s">
        <v>422</v>
      </c>
      <c r="C371" s="107" t="s">
        <v>393</v>
      </c>
      <c r="D371" s="107" t="s">
        <v>320</v>
      </c>
      <c r="E371" s="107" t="s">
        <v>340</v>
      </c>
      <c r="F371" s="108">
        <v>32</v>
      </c>
      <c r="G371" s="109">
        <v>24</v>
      </c>
      <c r="H371" s="110">
        <f t="shared" si="11"/>
        <v>832</v>
      </c>
      <c r="I371" s="111">
        <f t="shared" si="10"/>
        <v>49.92</v>
      </c>
    </row>
    <row r="372" spans="1:9" x14ac:dyDescent="0.35">
      <c r="A372" s="106">
        <v>45583</v>
      </c>
      <c r="B372" s="107" t="s">
        <v>313</v>
      </c>
      <c r="C372" s="107" t="s">
        <v>314</v>
      </c>
      <c r="D372" s="107" t="s">
        <v>320</v>
      </c>
      <c r="E372" s="107" t="s">
        <v>346</v>
      </c>
      <c r="F372" s="108">
        <v>14</v>
      </c>
      <c r="G372" s="109">
        <v>13</v>
      </c>
      <c r="H372" s="110">
        <f t="shared" si="11"/>
        <v>224</v>
      </c>
      <c r="I372" s="111">
        <f t="shared" si="10"/>
        <v>13.44</v>
      </c>
    </row>
    <row r="373" spans="1:9" x14ac:dyDescent="0.35">
      <c r="A373" s="106">
        <v>45583</v>
      </c>
      <c r="B373" s="107" t="s">
        <v>318</v>
      </c>
      <c r="C373" s="107" t="s">
        <v>319</v>
      </c>
      <c r="D373" s="107" t="s">
        <v>423</v>
      </c>
      <c r="E373" s="107" t="s">
        <v>405</v>
      </c>
      <c r="F373" s="108">
        <v>51</v>
      </c>
      <c r="G373" s="109">
        <v>4</v>
      </c>
      <c r="H373" s="110">
        <f t="shared" si="11"/>
        <v>255</v>
      </c>
      <c r="I373" s="111">
        <f t="shared" si="10"/>
        <v>15.299999999999999</v>
      </c>
    </row>
    <row r="374" spans="1:9" x14ac:dyDescent="0.35">
      <c r="A374" s="106">
        <v>45584</v>
      </c>
      <c r="B374" s="107" t="s">
        <v>422</v>
      </c>
      <c r="C374" s="107" t="s">
        <v>319</v>
      </c>
      <c r="D374" s="107" t="s">
        <v>320</v>
      </c>
      <c r="E374" s="107" t="s">
        <v>342</v>
      </c>
      <c r="F374" s="108">
        <v>31</v>
      </c>
      <c r="G374" s="109">
        <v>24</v>
      </c>
      <c r="H374" s="110">
        <f t="shared" si="11"/>
        <v>775</v>
      </c>
      <c r="I374" s="111">
        <f t="shared" si="10"/>
        <v>46.5</v>
      </c>
    </row>
    <row r="375" spans="1:9" x14ac:dyDescent="0.35">
      <c r="A375" s="106">
        <v>45584</v>
      </c>
      <c r="B375" s="107" t="s">
        <v>322</v>
      </c>
      <c r="C375" s="107" t="s">
        <v>314</v>
      </c>
      <c r="D375" s="107" t="s">
        <v>320</v>
      </c>
      <c r="E375" s="107" t="s">
        <v>343</v>
      </c>
      <c r="F375" s="108">
        <v>25</v>
      </c>
      <c r="G375" s="109">
        <v>17</v>
      </c>
      <c r="H375" s="110">
        <f t="shared" si="11"/>
        <v>500</v>
      </c>
      <c r="I375" s="111">
        <f t="shared" si="10"/>
        <v>30</v>
      </c>
    </row>
    <row r="376" spans="1:9" x14ac:dyDescent="0.35">
      <c r="A376" s="106">
        <v>45585</v>
      </c>
      <c r="B376" s="107" t="s">
        <v>318</v>
      </c>
      <c r="C376" s="107" t="s">
        <v>332</v>
      </c>
      <c r="D376" s="107" t="s">
        <v>320</v>
      </c>
      <c r="E376" s="107" t="s">
        <v>406</v>
      </c>
      <c r="F376" s="108">
        <v>44</v>
      </c>
      <c r="G376" s="109">
        <v>4</v>
      </c>
      <c r="H376" s="110">
        <f t="shared" si="11"/>
        <v>352</v>
      </c>
      <c r="I376" s="111">
        <f t="shared" si="10"/>
        <v>21.119999999999997</v>
      </c>
    </row>
    <row r="377" spans="1:9" x14ac:dyDescent="0.35">
      <c r="A377" s="106">
        <v>45585</v>
      </c>
      <c r="B377" s="107" t="s">
        <v>313</v>
      </c>
      <c r="C377" s="107" t="s">
        <v>393</v>
      </c>
      <c r="D377" s="107" t="s">
        <v>320</v>
      </c>
      <c r="E377" s="107" t="s">
        <v>455</v>
      </c>
      <c r="F377" s="108">
        <v>48</v>
      </c>
      <c r="G377" s="109">
        <v>13</v>
      </c>
      <c r="H377" s="110">
        <f t="shared" si="11"/>
        <v>720</v>
      </c>
      <c r="I377" s="111">
        <f t="shared" si="10"/>
        <v>43.199999999999996</v>
      </c>
    </row>
    <row r="378" spans="1:9" x14ac:dyDescent="0.35">
      <c r="A378" s="106">
        <v>45585</v>
      </c>
      <c r="B378" s="107" t="s">
        <v>327</v>
      </c>
      <c r="C378" s="107" t="s">
        <v>393</v>
      </c>
      <c r="D378" s="107" t="s">
        <v>320</v>
      </c>
      <c r="E378" s="107" t="s">
        <v>348</v>
      </c>
      <c r="F378" s="108">
        <v>22</v>
      </c>
      <c r="G378" s="109">
        <v>6</v>
      </c>
      <c r="H378" s="110">
        <f t="shared" si="11"/>
        <v>176</v>
      </c>
      <c r="I378" s="111">
        <f t="shared" si="10"/>
        <v>10.559999999999999</v>
      </c>
    </row>
    <row r="379" spans="1:9" x14ac:dyDescent="0.35">
      <c r="A379" s="106">
        <v>45585</v>
      </c>
      <c r="B379" s="107" t="s">
        <v>327</v>
      </c>
      <c r="C379" s="107" t="s">
        <v>393</v>
      </c>
      <c r="D379" s="107" t="s">
        <v>423</v>
      </c>
      <c r="E379" s="107" t="s">
        <v>340</v>
      </c>
      <c r="F379" s="108">
        <v>45</v>
      </c>
      <c r="G379" s="109">
        <v>6</v>
      </c>
      <c r="H379" s="110">
        <f t="shared" si="11"/>
        <v>360</v>
      </c>
      <c r="I379" s="111">
        <f t="shared" si="10"/>
        <v>21.599999999999998</v>
      </c>
    </row>
    <row r="380" spans="1:9" x14ac:dyDescent="0.35">
      <c r="A380" s="106">
        <v>45585</v>
      </c>
      <c r="B380" s="107" t="s">
        <v>318</v>
      </c>
      <c r="C380" s="107" t="s">
        <v>319</v>
      </c>
      <c r="D380" s="107" t="s">
        <v>320</v>
      </c>
      <c r="E380" s="107" t="s">
        <v>346</v>
      </c>
      <c r="F380" s="108">
        <v>28</v>
      </c>
      <c r="G380" s="109">
        <v>4</v>
      </c>
      <c r="H380" s="110">
        <f t="shared" si="11"/>
        <v>140</v>
      </c>
      <c r="I380" s="111">
        <f t="shared" si="10"/>
        <v>8.4</v>
      </c>
    </row>
    <row r="381" spans="1:9" x14ac:dyDescent="0.35">
      <c r="A381" s="106">
        <v>45586</v>
      </c>
      <c r="B381" s="107" t="s">
        <v>327</v>
      </c>
      <c r="C381" s="107" t="s">
        <v>393</v>
      </c>
      <c r="D381" s="107" t="s">
        <v>315</v>
      </c>
      <c r="E381" s="107" t="s">
        <v>348</v>
      </c>
      <c r="F381" s="108">
        <v>56</v>
      </c>
      <c r="G381" s="109">
        <v>6</v>
      </c>
      <c r="H381" s="110">
        <f t="shared" si="11"/>
        <v>448</v>
      </c>
      <c r="I381" s="111">
        <f t="shared" si="10"/>
        <v>22.400000000000002</v>
      </c>
    </row>
    <row r="382" spans="1:9" x14ac:dyDescent="0.35">
      <c r="A382" s="106">
        <v>45586</v>
      </c>
      <c r="B382" s="107" t="s">
        <v>322</v>
      </c>
      <c r="C382" s="107" t="s">
        <v>314</v>
      </c>
      <c r="D382" s="107" t="s">
        <v>333</v>
      </c>
      <c r="E382" s="107" t="s">
        <v>349</v>
      </c>
      <c r="F382" s="108">
        <v>58</v>
      </c>
      <c r="G382" s="109">
        <v>17</v>
      </c>
      <c r="H382" s="110">
        <f t="shared" si="11"/>
        <v>1160</v>
      </c>
      <c r="I382" s="111">
        <f t="shared" si="10"/>
        <v>58</v>
      </c>
    </row>
    <row r="383" spans="1:9" x14ac:dyDescent="0.35">
      <c r="A383" s="106">
        <v>45586</v>
      </c>
      <c r="B383" s="107" t="s">
        <v>313</v>
      </c>
      <c r="C383" s="107" t="s">
        <v>332</v>
      </c>
      <c r="D383" s="107" t="s">
        <v>333</v>
      </c>
      <c r="E383" s="107" t="s">
        <v>394</v>
      </c>
      <c r="F383" s="108">
        <v>51</v>
      </c>
      <c r="G383" s="109">
        <v>13</v>
      </c>
      <c r="H383" s="110">
        <f t="shared" si="11"/>
        <v>867</v>
      </c>
      <c r="I383" s="111">
        <f t="shared" si="10"/>
        <v>43.35</v>
      </c>
    </row>
    <row r="384" spans="1:9" x14ac:dyDescent="0.35">
      <c r="A384" s="106">
        <v>45586</v>
      </c>
      <c r="B384" s="107" t="s">
        <v>318</v>
      </c>
      <c r="C384" s="107" t="s">
        <v>319</v>
      </c>
      <c r="D384" s="107" t="s">
        <v>423</v>
      </c>
      <c r="E384" s="107" t="s">
        <v>343</v>
      </c>
      <c r="F384" s="108">
        <v>21</v>
      </c>
      <c r="G384" s="109">
        <v>4</v>
      </c>
      <c r="H384" s="110">
        <f t="shared" si="11"/>
        <v>105</v>
      </c>
      <c r="I384" s="111">
        <f t="shared" si="10"/>
        <v>6.3</v>
      </c>
    </row>
    <row r="385" spans="1:9" x14ac:dyDescent="0.35">
      <c r="A385" s="106">
        <v>45587</v>
      </c>
      <c r="B385" s="107" t="s">
        <v>327</v>
      </c>
      <c r="C385" s="107" t="s">
        <v>393</v>
      </c>
      <c r="D385" s="107" t="s">
        <v>320</v>
      </c>
      <c r="E385" s="107" t="s">
        <v>341</v>
      </c>
      <c r="F385" s="108">
        <v>34</v>
      </c>
      <c r="G385" s="109">
        <v>6</v>
      </c>
      <c r="H385" s="110">
        <f t="shared" si="11"/>
        <v>272</v>
      </c>
      <c r="I385" s="111">
        <f t="shared" si="10"/>
        <v>16.32</v>
      </c>
    </row>
    <row r="386" spans="1:9" x14ac:dyDescent="0.35">
      <c r="A386" s="106">
        <v>45588</v>
      </c>
      <c r="B386" s="107" t="s">
        <v>313</v>
      </c>
      <c r="C386" s="107" t="s">
        <v>314</v>
      </c>
      <c r="D386" s="107" t="s">
        <v>324</v>
      </c>
      <c r="E386" s="107" t="s">
        <v>341</v>
      </c>
      <c r="F386" s="108">
        <v>22</v>
      </c>
      <c r="G386" s="109">
        <v>13</v>
      </c>
      <c r="H386" s="110">
        <f t="shared" si="11"/>
        <v>352</v>
      </c>
      <c r="I386" s="111">
        <f t="shared" ref="I386:I449" si="12">H386*VLOOKUP(D386,$O$4:$P$10,2,TRUE)</f>
        <v>17.600000000000001</v>
      </c>
    </row>
    <row r="387" spans="1:9" x14ac:dyDescent="0.35">
      <c r="A387" s="106">
        <v>45588</v>
      </c>
      <c r="B387" s="107" t="s">
        <v>327</v>
      </c>
      <c r="C387" s="107" t="s">
        <v>314</v>
      </c>
      <c r="D387" s="107" t="s">
        <v>324</v>
      </c>
      <c r="E387" s="107" t="s">
        <v>340</v>
      </c>
      <c r="F387" s="108">
        <v>43</v>
      </c>
      <c r="G387" s="109">
        <v>6</v>
      </c>
      <c r="H387" s="110">
        <f t="shared" ref="H387:H450" si="13">(F387*G387)+VLOOKUP(C387,$K$11:$L$14,2,FALSE)*F387</f>
        <v>387</v>
      </c>
      <c r="I387" s="111">
        <f t="shared" si="12"/>
        <v>19.350000000000001</v>
      </c>
    </row>
    <row r="388" spans="1:9" x14ac:dyDescent="0.35">
      <c r="A388" s="106">
        <v>45588</v>
      </c>
      <c r="B388" s="107" t="s">
        <v>318</v>
      </c>
      <c r="C388" s="107" t="s">
        <v>393</v>
      </c>
      <c r="D388" s="107" t="s">
        <v>315</v>
      </c>
      <c r="E388" s="107" t="s">
        <v>347</v>
      </c>
      <c r="F388" s="108">
        <v>34</v>
      </c>
      <c r="G388" s="109">
        <v>4</v>
      </c>
      <c r="H388" s="110">
        <f t="shared" si="13"/>
        <v>204</v>
      </c>
      <c r="I388" s="111">
        <f t="shared" si="12"/>
        <v>10.200000000000001</v>
      </c>
    </row>
    <row r="389" spans="1:9" x14ac:dyDescent="0.35">
      <c r="A389" s="106">
        <v>45588</v>
      </c>
      <c r="B389" s="107" t="s">
        <v>322</v>
      </c>
      <c r="C389" s="107" t="s">
        <v>314</v>
      </c>
      <c r="D389" s="107" t="s">
        <v>320</v>
      </c>
      <c r="E389" s="107" t="s">
        <v>339</v>
      </c>
      <c r="F389" s="108">
        <v>50</v>
      </c>
      <c r="G389" s="109">
        <v>17</v>
      </c>
      <c r="H389" s="110">
        <f t="shared" si="13"/>
        <v>1000</v>
      </c>
      <c r="I389" s="111">
        <f t="shared" si="12"/>
        <v>60</v>
      </c>
    </row>
    <row r="390" spans="1:9" x14ac:dyDescent="0.35">
      <c r="A390" s="106">
        <v>45588</v>
      </c>
      <c r="B390" s="107" t="s">
        <v>422</v>
      </c>
      <c r="C390" s="107" t="s">
        <v>319</v>
      </c>
      <c r="D390" s="107" t="s">
        <v>423</v>
      </c>
      <c r="E390" s="107" t="s">
        <v>454</v>
      </c>
      <c r="F390" s="108">
        <v>46</v>
      </c>
      <c r="G390" s="109">
        <v>24</v>
      </c>
      <c r="H390" s="110">
        <f t="shared" si="13"/>
        <v>1150</v>
      </c>
      <c r="I390" s="111">
        <f t="shared" si="12"/>
        <v>69</v>
      </c>
    </row>
    <row r="391" spans="1:9" x14ac:dyDescent="0.35">
      <c r="A391" s="106">
        <v>45588</v>
      </c>
      <c r="B391" s="107" t="s">
        <v>318</v>
      </c>
      <c r="C391" s="107" t="s">
        <v>314</v>
      </c>
      <c r="D391" s="107" t="s">
        <v>324</v>
      </c>
      <c r="E391" s="107" t="s">
        <v>335</v>
      </c>
      <c r="F391" s="108">
        <v>43</v>
      </c>
      <c r="G391" s="109">
        <v>4</v>
      </c>
      <c r="H391" s="110">
        <f t="shared" si="13"/>
        <v>301</v>
      </c>
      <c r="I391" s="111">
        <f t="shared" si="12"/>
        <v>15.05</v>
      </c>
    </row>
    <row r="392" spans="1:9" x14ac:dyDescent="0.35">
      <c r="A392" s="106">
        <v>45589</v>
      </c>
      <c r="B392" s="107" t="s">
        <v>327</v>
      </c>
      <c r="C392" s="107" t="s">
        <v>332</v>
      </c>
      <c r="D392" s="107" t="s">
        <v>324</v>
      </c>
      <c r="E392" s="107" t="s">
        <v>395</v>
      </c>
      <c r="F392" s="108">
        <v>48</v>
      </c>
      <c r="G392" s="109">
        <v>6</v>
      </c>
      <c r="H392" s="110">
        <f t="shared" si="13"/>
        <v>480</v>
      </c>
      <c r="I392" s="111">
        <f t="shared" si="12"/>
        <v>24</v>
      </c>
    </row>
    <row r="393" spans="1:9" x14ac:dyDescent="0.35">
      <c r="A393" s="106">
        <v>45589</v>
      </c>
      <c r="B393" s="107" t="s">
        <v>422</v>
      </c>
      <c r="C393" s="107" t="s">
        <v>314</v>
      </c>
      <c r="D393" s="107" t="s">
        <v>338</v>
      </c>
      <c r="E393" s="107" t="s">
        <v>400</v>
      </c>
      <c r="F393" s="108">
        <v>8</v>
      </c>
      <c r="G393" s="109">
        <v>24</v>
      </c>
      <c r="H393" s="110">
        <f t="shared" si="13"/>
        <v>216</v>
      </c>
      <c r="I393" s="111">
        <f t="shared" si="12"/>
        <v>12.959999999999999</v>
      </c>
    </row>
    <row r="394" spans="1:9" x14ac:dyDescent="0.35">
      <c r="A394" s="106">
        <v>45590</v>
      </c>
      <c r="B394" s="107" t="s">
        <v>313</v>
      </c>
      <c r="C394" s="107" t="s">
        <v>332</v>
      </c>
      <c r="D394" s="107" t="s">
        <v>320</v>
      </c>
      <c r="E394" s="107" t="s">
        <v>388</v>
      </c>
      <c r="F394" s="108">
        <v>8</v>
      </c>
      <c r="G394" s="109">
        <v>13</v>
      </c>
      <c r="H394" s="110">
        <f t="shared" si="13"/>
        <v>136</v>
      </c>
      <c r="I394" s="111">
        <f t="shared" si="12"/>
        <v>8.16</v>
      </c>
    </row>
    <row r="395" spans="1:9" x14ac:dyDescent="0.35">
      <c r="A395" s="106">
        <v>45590</v>
      </c>
      <c r="B395" s="107" t="s">
        <v>322</v>
      </c>
      <c r="C395" s="107" t="s">
        <v>319</v>
      </c>
      <c r="D395" s="107" t="s">
        <v>423</v>
      </c>
      <c r="E395" s="107" t="s">
        <v>331</v>
      </c>
      <c r="F395" s="108">
        <v>23</v>
      </c>
      <c r="G395" s="109">
        <v>17</v>
      </c>
      <c r="H395" s="110">
        <f t="shared" si="13"/>
        <v>414</v>
      </c>
      <c r="I395" s="111">
        <f t="shared" si="12"/>
        <v>24.84</v>
      </c>
    </row>
    <row r="396" spans="1:9" x14ac:dyDescent="0.35">
      <c r="A396" s="106">
        <v>45591</v>
      </c>
      <c r="B396" s="107" t="s">
        <v>327</v>
      </c>
      <c r="C396" s="107" t="s">
        <v>393</v>
      </c>
      <c r="D396" s="107" t="s">
        <v>390</v>
      </c>
      <c r="E396" s="107" t="s">
        <v>455</v>
      </c>
      <c r="F396" s="108">
        <v>16</v>
      </c>
      <c r="G396" s="109">
        <v>6</v>
      </c>
      <c r="H396" s="110">
        <f t="shared" si="13"/>
        <v>128</v>
      </c>
      <c r="I396" s="111">
        <f t="shared" si="12"/>
        <v>6.4</v>
      </c>
    </row>
    <row r="397" spans="1:9" x14ac:dyDescent="0.35">
      <c r="A397" s="106">
        <v>45591</v>
      </c>
      <c r="B397" s="107" t="s">
        <v>322</v>
      </c>
      <c r="C397" s="107" t="s">
        <v>393</v>
      </c>
      <c r="D397" s="107" t="s">
        <v>333</v>
      </c>
      <c r="E397" s="107" t="s">
        <v>348</v>
      </c>
      <c r="F397" s="108">
        <v>47</v>
      </c>
      <c r="G397" s="109">
        <v>17</v>
      </c>
      <c r="H397" s="110">
        <f t="shared" si="13"/>
        <v>893</v>
      </c>
      <c r="I397" s="111">
        <f t="shared" si="12"/>
        <v>44.650000000000006</v>
      </c>
    </row>
    <row r="398" spans="1:9" x14ac:dyDescent="0.35">
      <c r="A398" s="106">
        <v>45591</v>
      </c>
      <c r="B398" s="107" t="s">
        <v>327</v>
      </c>
      <c r="C398" s="107" t="s">
        <v>393</v>
      </c>
      <c r="D398" s="107" t="s">
        <v>333</v>
      </c>
      <c r="E398" s="107" t="s">
        <v>400</v>
      </c>
      <c r="F398" s="108">
        <v>16</v>
      </c>
      <c r="G398" s="109">
        <v>6</v>
      </c>
      <c r="H398" s="110">
        <f t="shared" si="13"/>
        <v>128</v>
      </c>
      <c r="I398" s="111">
        <f t="shared" si="12"/>
        <v>6.4</v>
      </c>
    </row>
    <row r="399" spans="1:9" x14ac:dyDescent="0.35">
      <c r="A399" s="106">
        <v>45591</v>
      </c>
      <c r="B399" s="107" t="s">
        <v>322</v>
      </c>
      <c r="C399" s="107" t="s">
        <v>332</v>
      </c>
      <c r="D399" s="107" t="s">
        <v>338</v>
      </c>
      <c r="E399" s="107" t="s">
        <v>329</v>
      </c>
      <c r="F399" s="108">
        <v>28</v>
      </c>
      <c r="G399" s="109">
        <v>17</v>
      </c>
      <c r="H399" s="110">
        <f t="shared" si="13"/>
        <v>588</v>
      </c>
      <c r="I399" s="111">
        <f t="shared" si="12"/>
        <v>35.28</v>
      </c>
    </row>
    <row r="400" spans="1:9" x14ac:dyDescent="0.35">
      <c r="A400" s="106">
        <v>45592</v>
      </c>
      <c r="B400" s="107" t="s">
        <v>322</v>
      </c>
      <c r="C400" s="107" t="s">
        <v>332</v>
      </c>
      <c r="D400" s="107" t="s">
        <v>333</v>
      </c>
      <c r="E400" s="107" t="s">
        <v>395</v>
      </c>
      <c r="F400" s="108">
        <v>22</v>
      </c>
      <c r="G400" s="109">
        <v>17</v>
      </c>
      <c r="H400" s="110">
        <f t="shared" si="13"/>
        <v>462</v>
      </c>
      <c r="I400" s="111">
        <f t="shared" si="12"/>
        <v>23.1</v>
      </c>
    </row>
    <row r="401" spans="1:9" x14ac:dyDescent="0.35">
      <c r="A401" s="106">
        <v>45592</v>
      </c>
      <c r="B401" s="107" t="s">
        <v>318</v>
      </c>
      <c r="C401" s="107" t="s">
        <v>332</v>
      </c>
      <c r="D401" s="107" t="s">
        <v>390</v>
      </c>
      <c r="E401" s="107" t="s">
        <v>400</v>
      </c>
      <c r="F401" s="108">
        <v>11</v>
      </c>
      <c r="G401" s="109">
        <v>4</v>
      </c>
      <c r="H401" s="110">
        <f t="shared" si="13"/>
        <v>88</v>
      </c>
      <c r="I401" s="111">
        <f t="shared" si="12"/>
        <v>4.4000000000000004</v>
      </c>
    </row>
    <row r="402" spans="1:9" x14ac:dyDescent="0.35">
      <c r="A402" s="106">
        <v>45593</v>
      </c>
      <c r="B402" s="107" t="s">
        <v>422</v>
      </c>
      <c r="C402" s="107" t="s">
        <v>314</v>
      </c>
      <c r="D402" s="107" t="s">
        <v>338</v>
      </c>
      <c r="E402" s="107" t="s">
        <v>348</v>
      </c>
      <c r="F402" s="108">
        <v>17</v>
      </c>
      <c r="G402" s="109">
        <v>24</v>
      </c>
      <c r="H402" s="110">
        <f t="shared" si="13"/>
        <v>459</v>
      </c>
      <c r="I402" s="111">
        <f t="shared" si="12"/>
        <v>27.54</v>
      </c>
    </row>
    <row r="403" spans="1:9" x14ac:dyDescent="0.35">
      <c r="A403" s="106">
        <v>45593</v>
      </c>
      <c r="B403" s="107" t="s">
        <v>322</v>
      </c>
      <c r="C403" s="107" t="s">
        <v>332</v>
      </c>
      <c r="D403" s="107" t="s">
        <v>315</v>
      </c>
      <c r="E403" s="107" t="s">
        <v>388</v>
      </c>
      <c r="F403" s="108">
        <v>23</v>
      </c>
      <c r="G403" s="109">
        <v>17</v>
      </c>
      <c r="H403" s="110">
        <f t="shared" si="13"/>
        <v>483</v>
      </c>
      <c r="I403" s="111">
        <f t="shared" si="12"/>
        <v>24.150000000000002</v>
      </c>
    </row>
    <row r="404" spans="1:9" x14ac:dyDescent="0.35">
      <c r="A404" s="106">
        <v>45593</v>
      </c>
      <c r="B404" s="107" t="s">
        <v>313</v>
      </c>
      <c r="C404" s="107" t="s">
        <v>319</v>
      </c>
      <c r="D404" s="107" t="s">
        <v>333</v>
      </c>
      <c r="E404" s="107" t="s">
        <v>339</v>
      </c>
      <c r="F404" s="108">
        <v>48</v>
      </c>
      <c r="G404" s="109">
        <v>13</v>
      </c>
      <c r="H404" s="110">
        <f t="shared" si="13"/>
        <v>672</v>
      </c>
      <c r="I404" s="111">
        <f t="shared" si="12"/>
        <v>33.6</v>
      </c>
    </row>
    <row r="405" spans="1:9" x14ac:dyDescent="0.35">
      <c r="A405" s="106">
        <v>45593</v>
      </c>
      <c r="B405" s="107" t="s">
        <v>422</v>
      </c>
      <c r="C405" s="107" t="s">
        <v>314</v>
      </c>
      <c r="D405" s="107" t="s">
        <v>423</v>
      </c>
      <c r="E405" s="107" t="s">
        <v>350</v>
      </c>
      <c r="F405" s="108">
        <v>33</v>
      </c>
      <c r="G405" s="109">
        <v>24</v>
      </c>
      <c r="H405" s="110">
        <f t="shared" si="13"/>
        <v>891</v>
      </c>
      <c r="I405" s="111">
        <f t="shared" si="12"/>
        <v>53.46</v>
      </c>
    </row>
    <row r="406" spans="1:9" x14ac:dyDescent="0.35">
      <c r="A406" s="106">
        <v>45594</v>
      </c>
      <c r="B406" s="107" t="s">
        <v>422</v>
      </c>
      <c r="C406" s="107" t="s">
        <v>332</v>
      </c>
      <c r="D406" s="107" t="s">
        <v>390</v>
      </c>
      <c r="E406" s="107" t="s">
        <v>388</v>
      </c>
      <c r="F406" s="108">
        <v>52</v>
      </c>
      <c r="G406" s="109">
        <v>24</v>
      </c>
      <c r="H406" s="110">
        <f t="shared" si="13"/>
        <v>1456</v>
      </c>
      <c r="I406" s="111">
        <f t="shared" si="12"/>
        <v>72.8</v>
      </c>
    </row>
    <row r="407" spans="1:9" x14ac:dyDescent="0.35">
      <c r="A407" s="106">
        <v>45594</v>
      </c>
      <c r="B407" s="107" t="s">
        <v>322</v>
      </c>
      <c r="C407" s="107" t="s">
        <v>314</v>
      </c>
      <c r="D407" s="107" t="s">
        <v>320</v>
      </c>
      <c r="E407" s="107" t="s">
        <v>394</v>
      </c>
      <c r="F407" s="108">
        <v>47</v>
      </c>
      <c r="G407" s="109">
        <v>17</v>
      </c>
      <c r="H407" s="110">
        <f t="shared" si="13"/>
        <v>940</v>
      </c>
      <c r="I407" s="111">
        <f t="shared" si="12"/>
        <v>56.4</v>
      </c>
    </row>
    <row r="408" spans="1:9" x14ac:dyDescent="0.35">
      <c r="A408" s="106">
        <v>45595</v>
      </c>
      <c r="B408" s="107" t="s">
        <v>313</v>
      </c>
      <c r="C408" s="107" t="s">
        <v>393</v>
      </c>
      <c r="D408" s="107" t="s">
        <v>315</v>
      </c>
      <c r="E408" s="107" t="s">
        <v>342</v>
      </c>
      <c r="F408" s="108">
        <v>8</v>
      </c>
      <c r="G408" s="109">
        <v>13</v>
      </c>
      <c r="H408" s="110">
        <f t="shared" si="13"/>
        <v>120</v>
      </c>
      <c r="I408" s="111">
        <f t="shared" si="12"/>
        <v>6</v>
      </c>
    </row>
    <row r="409" spans="1:9" x14ac:dyDescent="0.35">
      <c r="A409" s="106">
        <v>45595</v>
      </c>
      <c r="B409" s="107" t="s">
        <v>313</v>
      </c>
      <c r="C409" s="107" t="s">
        <v>314</v>
      </c>
      <c r="D409" s="107" t="s">
        <v>423</v>
      </c>
      <c r="E409" s="107" t="s">
        <v>345</v>
      </c>
      <c r="F409" s="108">
        <v>6</v>
      </c>
      <c r="G409" s="109">
        <v>13</v>
      </c>
      <c r="H409" s="110">
        <f t="shared" si="13"/>
        <v>96</v>
      </c>
      <c r="I409" s="111">
        <f t="shared" si="12"/>
        <v>5.76</v>
      </c>
    </row>
    <row r="410" spans="1:9" x14ac:dyDescent="0.35">
      <c r="A410" s="106">
        <v>45595</v>
      </c>
      <c r="B410" s="107" t="s">
        <v>313</v>
      </c>
      <c r="C410" s="107" t="s">
        <v>332</v>
      </c>
      <c r="D410" s="107" t="s">
        <v>320</v>
      </c>
      <c r="E410" s="107" t="s">
        <v>346</v>
      </c>
      <c r="F410" s="108">
        <v>26</v>
      </c>
      <c r="G410" s="109">
        <v>13</v>
      </c>
      <c r="H410" s="110">
        <f t="shared" si="13"/>
        <v>442</v>
      </c>
      <c r="I410" s="111">
        <f t="shared" si="12"/>
        <v>26.52</v>
      </c>
    </row>
    <row r="411" spans="1:9" x14ac:dyDescent="0.35">
      <c r="A411" s="106">
        <v>45595</v>
      </c>
      <c r="B411" s="107" t="s">
        <v>313</v>
      </c>
      <c r="C411" s="107" t="s">
        <v>393</v>
      </c>
      <c r="D411" s="107" t="s">
        <v>423</v>
      </c>
      <c r="E411" s="107" t="s">
        <v>344</v>
      </c>
      <c r="F411" s="108">
        <v>12</v>
      </c>
      <c r="G411" s="109">
        <v>13</v>
      </c>
      <c r="H411" s="110">
        <f t="shared" si="13"/>
        <v>180</v>
      </c>
      <c r="I411" s="111">
        <f t="shared" si="12"/>
        <v>10.799999999999999</v>
      </c>
    </row>
    <row r="412" spans="1:9" x14ac:dyDescent="0.35">
      <c r="A412" s="106">
        <v>45596</v>
      </c>
      <c r="B412" s="107" t="s">
        <v>327</v>
      </c>
      <c r="C412" s="107" t="s">
        <v>393</v>
      </c>
      <c r="D412" s="107" t="s">
        <v>315</v>
      </c>
      <c r="E412" s="107" t="s">
        <v>340</v>
      </c>
      <c r="F412" s="108">
        <v>16</v>
      </c>
      <c r="G412" s="109">
        <v>6</v>
      </c>
      <c r="H412" s="110">
        <f t="shared" si="13"/>
        <v>128</v>
      </c>
      <c r="I412" s="111">
        <f t="shared" si="12"/>
        <v>6.4</v>
      </c>
    </row>
    <row r="413" spans="1:9" x14ac:dyDescent="0.35">
      <c r="A413" s="106">
        <v>45596</v>
      </c>
      <c r="B413" s="107" t="s">
        <v>318</v>
      </c>
      <c r="C413" s="107" t="s">
        <v>332</v>
      </c>
      <c r="D413" s="107" t="s">
        <v>315</v>
      </c>
      <c r="E413" s="107" t="s">
        <v>340</v>
      </c>
      <c r="F413" s="108">
        <v>37</v>
      </c>
      <c r="G413" s="109">
        <v>4</v>
      </c>
      <c r="H413" s="110">
        <f t="shared" si="13"/>
        <v>296</v>
      </c>
      <c r="I413" s="111">
        <f t="shared" si="12"/>
        <v>14.8</v>
      </c>
    </row>
    <row r="414" spans="1:9" x14ac:dyDescent="0.35">
      <c r="A414" s="106">
        <v>45596</v>
      </c>
      <c r="B414" s="107" t="s">
        <v>327</v>
      </c>
      <c r="C414" s="107" t="s">
        <v>314</v>
      </c>
      <c r="D414" s="107" t="s">
        <v>320</v>
      </c>
      <c r="E414" s="107" t="s">
        <v>337</v>
      </c>
      <c r="F414" s="108">
        <v>56</v>
      </c>
      <c r="G414" s="109">
        <v>6</v>
      </c>
      <c r="H414" s="110">
        <f t="shared" si="13"/>
        <v>504</v>
      </c>
      <c r="I414" s="111">
        <f t="shared" si="12"/>
        <v>30.24</v>
      </c>
    </row>
    <row r="415" spans="1:9" x14ac:dyDescent="0.35">
      <c r="A415" s="106">
        <v>45596</v>
      </c>
      <c r="B415" s="107" t="s">
        <v>422</v>
      </c>
      <c r="C415" s="107" t="s">
        <v>332</v>
      </c>
      <c r="D415" s="107" t="s">
        <v>390</v>
      </c>
      <c r="E415" s="107" t="s">
        <v>416</v>
      </c>
      <c r="F415" s="108">
        <v>32</v>
      </c>
      <c r="G415" s="109">
        <v>24</v>
      </c>
      <c r="H415" s="110">
        <f t="shared" si="13"/>
        <v>896</v>
      </c>
      <c r="I415" s="111">
        <f t="shared" si="12"/>
        <v>44.800000000000004</v>
      </c>
    </row>
    <row r="416" spans="1:9" x14ac:dyDescent="0.35">
      <c r="A416" s="106">
        <v>45597</v>
      </c>
      <c r="B416" s="107" t="s">
        <v>318</v>
      </c>
      <c r="C416" s="107" t="s">
        <v>393</v>
      </c>
      <c r="D416" s="107" t="s">
        <v>315</v>
      </c>
      <c r="E416" s="107" t="s">
        <v>349</v>
      </c>
      <c r="F416" s="108">
        <v>14</v>
      </c>
      <c r="G416" s="109">
        <v>4</v>
      </c>
      <c r="H416" s="110">
        <f t="shared" si="13"/>
        <v>84</v>
      </c>
      <c r="I416" s="111">
        <f t="shared" si="12"/>
        <v>4.2</v>
      </c>
    </row>
    <row r="417" spans="1:9" x14ac:dyDescent="0.35">
      <c r="A417" s="106">
        <v>45597</v>
      </c>
      <c r="B417" s="107" t="s">
        <v>327</v>
      </c>
      <c r="C417" s="107" t="s">
        <v>319</v>
      </c>
      <c r="D417" s="107" t="s">
        <v>324</v>
      </c>
      <c r="E417" s="107" t="s">
        <v>346</v>
      </c>
      <c r="F417" s="108">
        <v>9</v>
      </c>
      <c r="G417" s="109">
        <v>6</v>
      </c>
      <c r="H417" s="110">
        <f t="shared" si="13"/>
        <v>63</v>
      </c>
      <c r="I417" s="111">
        <f t="shared" si="12"/>
        <v>3.1500000000000004</v>
      </c>
    </row>
    <row r="418" spans="1:9" x14ac:dyDescent="0.35">
      <c r="A418" s="106">
        <v>45597</v>
      </c>
      <c r="B418" s="107" t="s">
        <v>327</v>
      </c>
      <c r="C418" s="107" t="s">
        <v>393</v>
      </c>
      <c r="D418" s="107" t="s">
        <v>315</v>
      </c>
      <c r="E418" s="107" t="s">
        <v>344</v>
      </c>
      <c r="F418" s="108">
        <v>57</v>
      </c>
      <c r="G418" s="109">
        <v>6</v>
      </c>
      <c r="H418" s="110">
        <f t="shared" si="13"/>
        <v>456</v>
      </c>
      <c r="I418" s="111">
        <f t="shared" si="12"/>
        <v>22.8</v>
      </c>
    </row>
    <row r="419" spans="1:9" x14ac:dyDescent="0.35">
      <c r="A419" s="106">
        <v>45597</v>
      </c>
      <c r="B419" s="107" t="s">
        <v>318</v>
      </c>
      <c r="C419" s="107" t="s">
        <v>319</v>
      </c>
      <c r="D419" s="107" t="s">
        <v>315</v>
      </c>
      <c r="E419" s="107" t="s">
        <v>343</v>
      </c>
      <c r="F419" s="108">
        <v>41</v>
      </c>
      <c r="G419" s="109">
        <v>4</v>
      </c>
      <c r="H419" s="110">
        <f t="shared" si="13"/>
        <v>205</v>
      </c>
      <c r="I419" s="111">
        <f t="shared" si="12"/>
        <v>10.25</v>
      </c>
    </row>
    <row r="420" spans="1:9" x14ac:dyDescent="0.35">
      <c r="A420" s="106">
        <v>45597</v>
      </c>
      <c r="B420" s="107" t="s">
        <v>327</v>
      </c>
      <c r="C420" s="107" t="s">
        <v>314</v>
      </c>
      <c r="D420" s="107" t="s">
        <v>320</v>
      </c>
      <c r="E420" s="107" t="s">
        <v>335</v>
      </c>
      <c r="F420" s="108">
        <v>61</v>
      </c>
      <c r="G420" s="109">
        <v>6</v>
      </c>
      <c r="H420" s="110">
        <f t="shared" si="13"/>
        <v>549</v>
      </c>
      <c r="I420" s="111">
        <f t="shared" si="12"/>
        <v>32.94</v>
      </c>
    </row>
    <row r="421" spans="1:9" x14ac:dyDescent="0.35">
      <c r="A421" s="106">
        <v>45598</v>
      </c>
      <c r="B421" s="107" t="s">
        <v>327</v>
      </c>
      <c r="C421" s="107" t="s">
        <v>314</v>
      </c>
      <c r="D421" s="107" t="s">
        <v>423</v>
      </c>
      <c r="E421" s="107" t="s">
        <v>455</v>
      </c>
      <c r="F421" s="108">
        <v>7</v>
      </c>
      <c r="G421" s="109">
        <v>6</v>
      </c>
      <c r="H421" s="110">
        <f t="shared" si="13"/>
        <v>63</v>
      </c>
      <c r="I421" s="111">
        <f t="shared" si="12"/>
        <v>3.78</v>
      </c>
    </row>
    <row r="422" spans="1:9" x14ac:dyDescent="0.35">
      <c r="A422" s="106">
        <v>45598</v>
      </c>
      <c r="B422" s="107" t="s">
        <v>327</v>
      </c>
      <c r="C422" s="107" t="s">
        <v>332</v>
      </c>
      <c r="D422" s="107" t="s">
        <v>390</v>
      </c>
      <c r="E422" s="107" t="s">
        <v>346</v>
      </c>
      <c r="F422" s="108">
        <v>10</v>
      </c>
      <c r="G422" s="109">
        <v>6</v>
      </c>
      <c r="H422" s="110">
        <f t="shared" si="13"/>
        <v>100</v>
      </c>
      <c r="I422" s="111">
        <f t="shared" si="12"/>
        <v>5</v>
      </c>
    </row>
    <row r="423" spans="1:9" x14ac:dyDescent="0.35">
      <c r="A423" s="106">
        <v>45598</v>
      </c>
      <c r="B423" s="107" t="s">
        <v>327</v>
      </c>
      <c r="C423" s="107" t="s">
        <v>314</v>
      </c>
      <c r="D423" s="107" t="s">
        <v>320</v>
      </c>
      <c r="E423" s="107" t="s">
        <v>343</v>
      </c>
      <c r="F423" s="108">
        <v>23</v>
      </c>
      <c r="G423" s="109">
        <v>6</v>
      </c>
      <c r="H423" s="110">
        <f t="shared" si="13"/>
        <v>207</v>
      </c>
      <c r="I423" s="111">
        <f t="shared" si="12"/>
        <v>12.42</v>
      </c>
    </row>
    <row r="424" spans="1:9" x14ac:dyDescent="0.35">
      <c r="A424" s="106">
        <v>45599</v>
      </c>
      <c r="B424" s="107" t="s">
        <v>313</v>
      </c>
      <c r="C424" s="107" t="s">
        <v>319</v>
      </c>
      <c r="D424" s="107" t="s">
        <v>333</v>
      </c>
      <c r="E424" s="107" t="s">
        <v>348</v>
      </c>
      <c r="F424" s="108">
        <v>40</v>
      </c>
      <c r="G424" s="109">
        <v>13</v>
      </c>
      <c r="H424" s="110">
        <f t="shared" si="13"/>
        <v>560</v>
      </c>
      <c r="I424" s="111">
        <f t="shared" si="12"/>
        <v>28</v>
      </c>
    </row>
    <row r="425" spans="1:9" x14ac:dyDescent="0.35">
      <c r="A425" s="106">
        <v>45599</v>
      </c>
      <c r="B425" s="107" t="s">
        <v>327</v>
      </c>
      <c r="C425" s="107" t="s">
        <v>314</v>
      </c>
      <c r="D425" s="107" t="s">
        <v>390</v>
      </c>
      <c r="E425" s="107" t="s">
        <v>340</v>
      </c>
      <c r="F425" s="108">
        <v>41</v>
      </c>
      <c r="G425" s="109">
        <v>6</v>
      </c>
      <c r="H425" s="110">
        <f t="shared" si="13"/>
        <v>369</v>
      </c>
      <c r="I425" s="111">
        <f t="shared" si="12"/>
        <v>18.45</v>
      </c>
    </row>
    <row r="426" spans="1:9" x14ac:dyDescent="0.35">
      <c r="A426" s="106">
        <v>45599</v>
      </c>
      <c r="B426" s="107" t="s">
        <v>322</v>
      </c>
      <c r="C426" s="107" t="s">
        <v>393</v>
      </c>
      <c r="D426" s="107" t="s">
        <v>320</v>
      </c>
      <c r="E426" s="107" t="s">
        <v>340</v>
      </c>
      <c r="F426" s="108">
        <v>47</v>
      </c>
      <c r="G426" s="109">
        <v>17</v>
      </c>
      <c r="H426" s="110">
        <f t="shared" si="13"/>
        <v>893</v>
      </c>
      <c r="I426" s="111">
        <f t="shared" si="12"/>
        <v>53.58</v>
      </c>
    </row>
    <row r="427" spans="1:9" x14ac:dyDescent="0.35">
      <c r="A427" s="106">
        <v>45599</v>
      </c>
      <c r="B427" s="107" t="s">
        <v>327</v>
      </c>
      <c r="C427" s="107" t="s">
        <v>393</v>
      </c>
      <c r="D427" s="107" t="s">
        <v>324</v>
      </c>
      <c r="E427" s="107" t="s">
        <v>400</v>
      </c>
      <c r="F427" s="108">
        <v>62</v>
      </c>
      <c r="G427" s="109">
        <v>6</v>
      </c>
      <c r="H427" s="110">
        <f t="shared" si="13"/>
        <v>496</v>
      </c>
      <c r="I427" s="111">
        <f t="shared" si="12"/>
        <v>24.8</v>
      </c>
    </row>
    <row r="428" spans="1:9" x14ac:dyDescent="0.35">
      <c r="A428" s="106">
        <v>45599</v>
      </c>
      <c r="B428" s="107" t="s">
        <v>322</v>
      </c>
      <c r="C428" s="107" t="s">
        <v>319</v>
      </c>
      <c r="D428" s="107" t="s">
        <v>423</v>
      </c>
      <c r="E428" s="107" t="s">
        <v>394</v>
      </c>
      <c r="F428" s="108">
        <v>28</v>
      </c>
      <c r="G428" s="109">
        <v>17</v>
      </c>
      <c r="H428" s="110">
        <f t="shared" si="13"/>
        <v>504</v>
      </c>
      <c r="I428" s="111">
        <f t="shared" si="12"/>
        <v>30.24</v>
      </c>
    </row>
    <row r="429" spans="1:9" x14ac:dyDescent="0.35">
      <c r="A429" s="106">
        <v>45599</v>
      </c>
      <c r="B429" s="107" t="s">
        <v>322</v>
      </c>
      <c r="C429" s="107" t="s">
        <v>319</v>
      </c>
      <c r="D429" s="107" t="s">
        <v>320</v>
      </c>
      <c r="E429" s="107" t="s">
        <v>335</v>
      </c>
      <c r="F429" s="108">
        <v>63</v>
      </c>
      <c r="G429" s="109">
        <v>17</v>
      </c>
      <c r="H429" s="110">
        <f t="shared" si="13"/>
        <v>1134</v>
      </c>
      <c r="I429" s="111">
        <f t="shared" si="12"/>
        <v>68.039999999999992</v>
      </c>
    </row>
    <row r="430" spans="1:9" x14ac:dyDescent="0.35">
      <c r="A430" s="106">
        <v>45600</v>
      </c>
      <c r="B430" s="107" t="s">
        <v>322</v>
      </c>
      <c r="C430" s="107" t="s">
        <v>393</v>
      </c>
      <c r="D430" s="107" t="s">
        <v>324</v>
      </c>
      <c r="E430" s="107" t="s">
        <v>341</v>
      </c>
      <c r="F430" s="108">
        <v>26</v>
      </c>
      <c r="G430" s="109">
        <v>17</v>
      </c>
      <c r="H430" s="110">
        <f t="shared" si="13"/>
        <v>494</v>
      </c>
      <c r="I430" s="111">
        <f t="shared" si="12"/>
        <v>24.700000000000003</v>
      </c>
    </row>
    <row r="431" spans="1:9" x14ac:dyDescent="0.35">
      <c r="A431" s="106">
        <v>45600</v>
      </c>
      <c r="B431" s="107" t="s">
        <v>322</v>
      </c>
      <c r="C431" s="107" t="s">
        <v>332</v>
      </c>
      <c r="D431" s="107" t="s">
        <v>315</v>
      </c>
      <c r="E431" s="107" t="s">
        <v>348</v>
      </c>
      <c r="F431" s="108">
        <v>9</v>
      </c>
      <c r="G431" s="109">
        <v>17</v>
      </c>
      <c r="H431" s="110">
        <f t="shared" si="13"/>
        <v>189</v>
      </c>
      <c r="I431" s="111">
        <f t="shared" si="12"/>
        <v>9.4500000000000011</v>
      </c>
    </row>
    <row r="432" spans="1:9" x14ac:dyDescent="0.35">
      <c r="A432" s="106">
        <v>45600</v>
      </c>
      <c r="B432" s="107" t="s">
        <v>318</v>
      </c>
      <c r="C432" s="107" t="s">
        <v>314</v>
      </c>
      <c r="D432" s="107" t="s">
        <v>423</v>
      </c>
      <c r="E432" s="107" t="s">
        <v>395</v>
      </c>
      <c r="F432" s="108">
        <v>34</v>
      </c>
      <c r="G432" s="109">
        <v>4</v>
      </c>
      <c r="H432" s="110">
        <f t="shared" si="13"/>
        <v>238</v>
      </c>
      <c r="I432" s="111">
        <f t="shared" si="12"/>
        <v>14.28</v>
      </c>
    </row>
    <row r="433" spans="1:9" x14ac:dyDescent="0.35">
      <c r="A433" s="106">
        <v>45600</v>
      </c>
      <c r="B433" s="107" t="s">
        <v>318</v>
      </c>
      <c r="C433" s="107" t="s">
        <v>393</v>
      </c>
      <c r="D433" s="107" t="s">
        <v>333</v>
      </c>
      <c r="E433" s="107" t="s">
        <v>349</v>
      </c>
      <c r="F433" s="108">
        <v>53</v>
      </c>
      <c r="G433" s="109">
        <v>4</v>
      </c>
      <c r="H433" s="110">
        <f t="shared" si="13"/>
        <v>318</v>
      </c>
      <c r="I433" s="111">
        <f t="shared" si="12"/>
        <v>15.9</v>
      </c>
    </row>
    <row r="434" spans="1:9" x14ac:dyDescent="0.35">
      <c r="A434" s="106">
        <v>45600</v>
      </c>
      <c r="B434" s="107" t="s">
        <v>322</v>
      </c>
      <c r="C434" s="107" t="s">
        <v>393</v>
      </c>
      <c r="D434" s="107" t="s">
        <v>320</v>
      </c>
      <c r="E434" s="107" t="s">
        <v>416</v>
      </c>
      <c r="F434" s="108">
        <v>6</v>
      </c>
      <c r="G434" s="109">
        <v>17</v>
      </c>
      <c r="H434" s="110">
        <f t="shared" si="13"/>
        <v>114</v>
      </c>
      <c r="I434" s="111">
        <f t="shared" si="12"/>
        <v>6.84</v>
      </c>
    </row>
    <row r="435" spans="1:9" x14ac:dyDescent="0.35">
      <c r="A435" s="106">
        <v>45600</v>
      </c>
      <c r="B435" s="107" t="s">
        <v>422</v>
      </c>
      <c r="C435" s="107" t="s">
        <v>332</v>
      </c>
      <c r="D435" s="107" t="s">
        <v>333</v>
      </c>
      <c r="E435" s="107" t="s">
        <v>343</v>
      </c>
      <c r="F435" s="108">
        <v>54</v>
      </c>
      <c r="G435" s="109">
        <v>24</v>
      </c>
      <c r="H435" s="110">
        <f t="shared" si="13"/>
        <v>1512</v>
      </c>
      <c r="I435" s="111">
        <f t="shared" si="12"/>
        <v>75.600000000000009</v>
      </c>
    </row>
    <row r="436" spans="1:9" x14ac:dyDescent="0.35">
      <c r="A436" s="106">
        <v>45600</v>
      </c>
      <c r="B436" s="107" t="s">
        <v>327</v>
      </c>
      <c r="C436" s="107" t="s">
        <v>332</v>
      </c>
      <c r="D436" s="107" t="s">
        <v>315</v>
      </c>
      <c r="E436" s="107" t="s">
        <v>405</v>
      </c>
      <c r="F436" s="108">
        <v>52</v>
      </c>
      <c r="G436" s="109">
        <v>6</v>
      </c>
      <c r="H436" s="110">
        <f t="shared" si="13"/>
        <v>520</v>
      </c>
      <c r="I436" s="111">
        <f t="shared" si="12"/>
        <v>26</v>
      </c>
    </row>
    <row r="437" spans="1:9" x14ac:dyDescent="0.35">
      <c r="A437" s="106">
        <v>45601</v>
      </c>
      <c r="B437" s="107" t="s">
        <v>318</v>
      </c>
      <c r="C437" s="107" t="s">
        <v>393</v>
      </c>
      <c r="D437" s="107" t="s">
        <v>320</v>
      </c>
      <c r="E437" s="107" t="s">
        <v>455</v>
      </c>
      <c r="F437" s="108">
        <v>49</v>
      </c>
      <c r="G437" s="109">
        <v>4</v>
      </c>
      <c r="H437" s="110">
        <f t="shared" si="13"/>
        <v>294</v>
      </c>
      <c r="I437" s="111">
        <f t="shared" si="12"/>
        <v>17.64</v>
      </c>
    </row>
    <row r="438" spans="1:9" x14ac:dyDescent="0.35">
      <c r="A438" s="106">
        <v>45601</v>
      </c>
      <c r="B438" s="107" t="s">
        <v>322</v>
      </c>
      <c r="C438" s="107" t="s">
        <v>319</v>
      </c>
      <c r="D438" s="107" t="s">
        <v>338</v>
      </c>
      <c r="E438" s="107" t="s">
        <v>388</v>
      </c>
      <c r="F438" s="108">
        <v>31</v>
      </c>
      <c r="G438" s="109">
        <v>17</v>
      </c>
      <c r="H438" s="110">
        <f t="shared" si="13"/>
        <v>558</v>
      </c>
      <c r="I438" s="111">
        <f t="shared" si="12"/>
        <v>33.479999999999997</v>
      </c>
    </row>
    <row r="439" spans="1:9" x14ac:dyDescent="0.35">
      <c r="A439" s="106">
        <v>45601</v>
      </c>
      <c r="B439" s="107" t="s">
        <v>422</v>
      </c>
      <c r="C439" s="107" t="s">
        <v>332</v>
      </c>
      <c r="D439" s="107" t="s">
        <v>333</v>
      </c>
      <c r="E439" s="107" t="s">
        <v>340</v>
      </c>
      <c r="F439" s="108">
        <v>22</v>
      </c>
      <c r="G439" s="109">
        <v>24</v>
      </c>
      <c r="H439" s="110">
        <f t="shared" si="13"/>
        <v>616</v>
      </c>
      <c r="I439" s="111">
        <f t="shared" si="12"/>
        <v>30.8</v>
      </c>
    </row>
    <row r="440" spans="1:9" x14ac:dyDescent="0.35">
      <c r="A440" s="106">
        <v>45601</v>
      </c>
      <c r="B440" s="107" t="s">
        <v>327</v>
      </c>
      <c r="C440" s="107" t="s">
        <v>319</v>
      </c>
      <c r="D440" s="107" t="s">
        <v>390</v>
      </c>
      <c r="E440" s="107" t="s">
        <v>340</v>
      </c>
      <c r="F440" s="108">
        <v>42</v>
      </c>
      <c r="G440" s="109">
        <v>6</v>
      </c>
      <c r="H440" s="110">
        <f t="shared" si="13"/>
        <v>294</v>
      </c>
      <c r="I440" s="111">
        <f t="shared" si="12"/>
        <v>14.700000000000001</v>
      </c>
    </row>
    <row r="441" spans="1:9" x14ac:dyDescent="0.35">
      <c r="A441" s="106">
        <v>45601</v>
      </c>
      <c r="B441" s="107" t="s">
        <v>327</v>
      </c>
      <c r="C441" s="107" t="s">
        <v>393</v>
      </c>
      <c r="D441" s="107" t="s">
        <v>315</v>
      </c>
      <c r="E441" s="107" t="s">
        <v>416</v>
      </c>
      <c r="F441" s="108">
        <v>65</v>
      </c>
      <c r="G441" s="109">
        <v>6</v>
      </c>
      <c r="H441" s="110">
        <f t="shared" si="13"/>
        <v>520</v>
      </c>
      <c r="I441" s="111">
        <f t="shared" si="12"/>
        <v>26</v>
      </c>
    </row>
    <row r="442" spans="1:9" x14ac:dyDescent="0.35">
      <c r="A442" s="106">
        <v>45602</v>
      </c>
      <c r="B442" s="107" t="s">
        <v>327</v>
      </c>
      <c r="C442" s="107" t="s">
        <v>332</v>
      </c>
      <c r="D442" s="107" t="s">
        <v>315</v>
      </c>
      <c r="E442" s="107" t="s">
        <v>345</v>
      </c>
      <c r="F442" s="108">
        <v>30</v>
      </c>
      <c r="G442" s="109">
        <v>6</v>
      </c>
      <c r="H442" s="110">
        <f t="shared" si="13"/>
        <v>300</v>
      </c>
      <c r="I442" s="111">
        <f t="shared" si="12"/>
        <v>15</v>
      </c>
    </row>
    <row r="443" spans="1:9" x14ac:dyDescent="0.35">
      <c r="A443" s="106">
        <v>45602</v>
      </c>
      <c r="B443" s="107" t="s">
        <v>327</v>
      </c>
      <c r="C443" s="107" t="s">
        <v>319</v>
      </c>
      <c r="D443" s="107" t="s">
        <v>390</v>
      </c>
      <c r="E443" s="107" t="s">
        <v>346</v>
      </c>
      <c r="F443" s="108">
        <v>35</v>
      </c>
      <c r="G443" s="109">
        <v>6</v>
      </c>
      <c r="H443" s="110">
        <f t="shared" si="13"/>
        <v>245</v>
      </c>
      <c r="I443" s="111">
        <f t="shared" si="12"/>
        <v>12.25</v>
      </c>
    </row>
    <row r="444" spans="1:9" x14ac:dyDescent="0.35">
      <c r="A444" s="106">
        <v>45603</v>
      </c>
      <c r="B444" s="107" t="s">
        <v>422</v>
      </c>
      <c r="C444" s="107" t="s">
        <v>319</v>
      </c>
      <c r="D444" s="107" t="s">
        <v>423</v>
      </c>
      <c r="E444" s="107" t="s">
        <v>341</v>
      </c>
      <c r="F444" s="108">
        <v>13</v>
      </c>
      <c r="G444" s="109">
        <v>24</v>
      </c>
      <c r="H444" s="110">
        <f t="shared" si="13"/>
        <v>325</v>
      </c>
      <c r="I444" s="111">
        <f t="shared" si="12"/>
        <v>19.5</v>
      </c>
    </row>
    <row r="445" spans="1:9" x14ac:dyDescent="0.35">
      <c r="A445" s="106">
        <v>45603</v>
      </c>
      <c r="B445" s="107" t="s">
        <v>318</v>
      </c>
      <c r="C445" s="107" t="s">
        <v>319</v>
      </c>
      <c r="D445" s="107" t="s">
        <v>390</v>
      </c>
      <c r="E445" s="107" t="s">
        <v>341</v>
      </c>
      <c r="F445" s="108">
        <v>39</v>
      </c>
      <c r="G445" s="109">
        <v>4</v>
      </c>
      <c r="H445" s="110">
        <f t="shared" si="13"/>
        <v>195</v>
      </c>
      <c r="I445" s="111">
        <f t="shared" si="12"/>
        <v>9.75</v>
      </c>
    </row>
    <row r="446" spans="1:9" x14ac:dyDescent="0.35">
      <c r="A446" s="106">
        <v>45603</v>
      </c>
      <c r="B446" s="107" t="s">
        <v>322</v>
      </c>
      <c r="C446" s="107" t="s">
        <v>319</v>
      </c>
      <c r="D446" s="107" t="s">
        <v>320</v>
      </c>
      <c r="E446" s="107" t="s">
        <v>340</v>
      </c>
      <c r="F446" s="108">
        <v>21</v>
      </c>
      <c r="G446" s="109">
        <v>17</v>
      </c>
      <c r="H446" s="110">
        <f t="shared" si="13"/>
        <v>378</v>
      </c>
      <c r="I446" s="111">
        <f t="shared" si="12"/>
        <v>22.68</v>
      </c>
    </row>
    <row r="447" spans="1:9" x14ac:dyDescent="0.35">
      <c r="A447" s="106">
        <v>45603</v>
      </c>
      <c r="B447" s="107" t="s">
        <v>318</v>
      </c>
      <c r="C447" s="107" t="s">
        <v>393</v>
      </c>
      <c r="D447" s="107" t="s">
        <v>320</v>
      </c>
      <c r="E447" s="107" t="s">
        <v>340</v>
      </c>
      <c r="F447" s="108">
        <v>9</v>
      </c>
      <c r="G447" s="109">
        <v>4</v>
      </c>
      <c r="H447" s="110">
        <f t="shared" si="13"/>
        <v>54</v>
      </c>
      <c r="I447" s="111">
        <f t="shared" si="12"/>
        <v>3.2399999999999998</v>
      </c>
    </row>
    <row r="448" spans="1:9" x14ac:dyDescent="0.35">
      <c r="A448" s="106">
        <v>45603</v>
      </c>
      <c r="B448" s="107" t="s">
        <v>327</v>
      </c>
      <c r="C448" s="107" t="s">
        <v>332</v>
      </c>
      <c r="D448" s="107" t="s">
        <v>338</v>
      </c>
      <c r="E448" s="107" t="s">
        <v>350</v>
      </c>
      <c r="F448" s="108">
        <v>51</v>
      </c>
      <c r="G448" s="109">
        <v>6</v>
      </c>
      <c r="H448" s="110">
        <f t="shared" si="13"/>
        <v>510</v>
      </c>
      <c r="I448" s="111">
        <f t="shared" si="12"/>
        <v>30.599999999999998</v>
      </c>
    </row>
    <row r="449" spans="1:9" x14ac:dyDescent="0.35">
      <c r="A449" s="106">
        <v>45604</v>
      </c>
      <c r="B449" s="107" t="s">
        <v>327</v>
      </c>
      <c r="C449" s="107" t="s">
        <v>332</v>
      </c>
      <c r="D449" s="107" t="s">
        <v>315</v>
      </c>
      <c r="E449" s="107" t="s">
        <v>348</v>
      </c>
      <c r="F449" s="108">
        <v>43</v>
      </c>
      <c r="G449" s="109">
        <v>6</v>
      </c>
      <c r="H449" s="110">
        <f t="shared" si="13"/>
        <v>430</v>
      </c>
      <c r="I449" s="111">
        <f t="shared" si="12"/>
        <v>21.5</v>
      </c>
    </row>
    <row r="450" spans="1:9" x14ac:dyDescent="0.35">
      <c r="A450" s="106">
        <v>45604</v>
      </c>
      <c r="B450" s="107" t="s">
        <v>322</v>
      </c>
      <c r="C450" s="107" t="s">
        <v>332</v>
      </c>
      <c r="D450" s="107" t="s">
        <v>390</v>
      </c>
      <c r="E450" s="107" t="s">
        <v>347</v>
      </c>
      <c r="F450" s="108">
        <v>13</v>
      </c>
      <c r="G450" s="109">
        <v>17</v>
      </c>
      <c r="H450" s="110">
        <f t="shared" si="13"/>
        <v>273</v>
      </c>
      <c r="I450" s="111">
        <f t="shared" ref="I450:I513" si="14">H450*VLOOKUP(D450,$O$4:$P$10,2,TRUE)</f>
        <v>13.65</v>
      </c>
    </row>
    <row r="451" spans="1:9" x14ac:dyDescent="0.35">
      <c r="A451" s="106">
        <v>45606</v>
      </c>
      <c r="B451" s="107" t="s">
        <v>322</v>
      </c>
      <c r="C451" s="107" t="s">
        <v>314</v>
      </c>
      <c r="D451" s="107" t="s">
        <v>315</v>
      </c>
      <c r="E451" s="107" t="s">
        <v>341</v>
      </c>
      <c r="F451" s="108">
        <v>61</v>
      </c>
      <c r="G451" s="109">
        <v>17</v>
      </c>
      <c r="H451" s="110">
        <f t="shared" ref="H451:H514" si="15">(F451*G451)+VLOOKUP(C451,$K$11:$L$14,2,FALSE)*F451</f>
        <v>1220</v>
      </c>
      <c r="I451" s="111">
        <f t="shared" si="14"/>
        <v>61</v>
      </c>
    </row>
    <row r="452" spans="1:9" x14ac:dyDescent="0.35">
      <c r="A452" s="106">
        <v>45606</v>
      </c>
      <c r="B452" s="107" t="s">
        <v>313</v>
      </c>
      <c r="C452" s="107" t="s">
        <v>332</v>
      </c>
      <c r="D452" s="107" t="s">
        <v>324</v>
      </c>
      <c r="E452" s="107" t="s">
        <v>340</v>
      </c>
      <c r="F452" s="108">
        <v>39</v>
      </c>
      <c r="G452" s="109">
        <v>13</v>
      </c>
      <c r="H452" s="110">
        <f t="shared" si="15"/>
        <v>663</v>
      </c>
      <c r="I452" s="111">
        <f t="shared" si="14"/>
        <v>33.15</v>
      </c>
    </row>
    <row r="453" spans="1:9" x14ac:dyDescent="0.35">
      <c r="A453" s="106">
        <v>45606</v>
      </c>
      <c r="B453" s="107" t="s">
        <v>422</v>
      </c>
      <c r="C453" s="107" t="s">
        <v>393</v>
      </c>
      <c r="D453" s="107" t="s">
        <v>324</v>
      </c>
      <c r="E453" s="107" t="s">
        <v>454</v>
      </c>
      <c r="F453" s="108">
        <v>48</v>
      </c>
      <c r="G453" s="109">
        <v>24</v>
      </c>
      <c r="H453" s="110">
        <f t="shared" si="15"/>
        <v>1248</v>
      </c>
      <c r="I453" s="111">
        <f t="shared" si="14"/>
        <v>62.400000000000006</v>
      </c>
    </row>
    <row r="454" spans="1:9" x14ac:dyDescent="0.35">
      <c r="A454" s="106">
        <v>45607</v>
      </c>
      <c r="B454" s="107" t="s">
        <v>422</v>
      </c>
      <c r="C454" s="107" t="s">
        <v>332</v>
      </c>
      <c r="D454" s="107" t="s">
        <v>320</v>
      </c>
      <c r="E454" s="107" t="s">
        <v>455</v>
      </c>
      <c r="F454" s="108">
        <v>53</v>
      </c>
      <c r="G454" s="109">
        <v>24</v>
      </c>
      <c r="H454" s="110">
        <f t="shared" si="15"/>
        <v>1484</v>
      </c>
      <c r="I454" s="111">
        <f t="shared" si="14"/>
        <v>89.039999999999992</v>
      </c>
    </row>
    <row r="455" spans="1:9" x14ac:dyDescent="0.35">
      <c r="A455" s="106">
        <v>45607</v>
      </c>
      <c r="B455" s="107" t="s">
        <v>318</v>
      </c>
      <c r="C455" s="107" t="s">
        <v>314</v>
      </c>
      <c r="D455" s="107" t="s">
        <v>333</v>
      </c>
      <c r="E455" s="107" t="s">
        <v>455</v>
      </c>
      <c r="F455" s="108">
        <v>53</v>
      </c>
      <c r="G455" s="109">
        <v>4</v>
      </c>
      <c r="H455" s="110">
        <f t="shared" si="15"/>
        <v>371</v>
      </c>
      <c r="I455" s="111">
        <f t="shared" si="14"/>
        <v>18.55</v>
      </c>
    </row>
    <row r="456" spans="1:9" x14ac:dyDescent="0.35">
      <c r="A456" s="106">
        <v>45607</v>
      </c>
      <c r="B456" s="107" t="s">
        <v>322</v>
      </c>
      <c r="C456" s="107" t="s">
        <v>393</v>
      </c>
      <c r="D456" s="107" t="s">
        <v>315</v>
      </c>
      <c r="E456" s="107" t="s">
        <v>346</v>
      </c>
      <c r="F456" s="108">
        <v>60</v>
      </c>
      <c r="G456" s="109">
        <v>17</v>
      </c>
      <c r="H456" s="110">
        <f t="shared" si="15"/>
        <v>1140</v>
      </c>
      <c r="I456" s="111">
        <f t="shared" si="14"/>
        <v>57</v>
      </c>
    </row>
    <row r="457" spans="1:9" x14ac:dyDescent="0.35">
      <c r="A457" s="106">
        <v>45607</v>
      </c>
      <c r="B457" s="107" t="s">
        <v>318</v>
      </c>
      <c r="C457" s="107" t="s">
        <v>314</v>
      </c>
      <c r="D457" s="107" t="s">
        <v>333</v>
      </c>
      <c r="E457" s="107" t="s">
        <v>343</v>
      </c>
      <c r="F457" s="108">
        <v>55</v>
      </c>
      <c r="G457" s="109">
        <v>4</v>
      </c>
      <c r="H457" s="110">
        <f t="shared" si="15"/>
        <v>385</v>
      </c>
      <c r="I457" s="111">
        <f t="shared" si="14"/>
        <v>19.25</v>
      </c>
    </row>
    <row r="458" spans="1:9" x14ac:dyDescent="0.35">
      <c r="A458" s="106">
        <v>45607</v>
      </c>
      <c r="B458" s="107" t="s">
        <v>313</v>
      </c>
      <c r="C458" s="107" t="s">
        <v>314</v>
      </c>
      <c r="D458" s="107" t="s">
        <v>423</v>
      </c>
      <c r="E458" s="107" t="s">
        <v>343</v>
      </c>
      <c r="F458" s="108">
        <v>13</v>
      </c>
      <c r="G458" s="109">
        <v>13</v>
      </c>
      <c r="H458" s="110">
        <f t="shared" si="15"/>
        <v>208</v>
      </c>
      <c r="I458" s="111">
        <f t="shared" si="14"/>
        <v>12.48</v>
      </c>
    </row>
    <row r="459" spans="1:9" x14ac:dyDescent="0.35">
      <c r="A459" s="106">
        <v>45607</v>
      </c>
      <c r="B459" s="107" t="s">
        <v>313</v>
      </c>
      <c r="C459" s="107" t="s">
        <v>332</v>
      </c>
      <c r="D459" s="107" t="s">
        <v>390</v>
      </c>
      <c r="E459" s="107" t="s">
        <v>335</v>
      </c>
      <c r="F459" s="108">
        <v>28</v>
      </c>
      <c r="G459" s="109">
        <v>13</v>
      </c>
      <c r="H459" s="110">
        <f t="shared" si="15"/>
        <v>476</v>
      </c>
      <c r="I459" s="111">
        <f t="shared" si="14"/>
        <v>23.8</v>
      </c>
    </row>
    <row r="460" spans="1:9" x14ac:dyDescent="0.35">
      <c r="A460" s="106">
        <v>45608</v>
      </c>
      <c r="B460" s="107" t="s">
        <v>318</v>
      </c>
      <c r="C460" s="107" t="s">
        <v>319</v>
      </c>
      <c r="D460" s="107" t="s">
        <v>324</v>
      </c>
      <c r="E460" s="107" t="s">
        <v>406</v>
      </c>
      <c r="F460" s="108">
        <v>52</v>
      </c>
      <c r="G460" s="109">
        <v>4</v>
      </c>
      <c r="H460" s="110">
        <f t="shared" si="15"/>
        <v>260</v>
      </c>
      <c r="I460" s="111">
        <f t="shared" si="14"/>
        <v>13</v>
      </c>
    </row>
    <row r="461" spans="1:9" x14ac:dyDescent="0.35">
      <c r="A461" s="106">
        <v>45608</v>
      </c>
      <c r="B461" s="107" t="s">
        <v>422</v>
      </c>
      <c r="C461" s="107" t="s">
        <v>393</v>
      </c>
      <c r="D461" s="107" t="s">
        <v>315</v>
      </c>
      <c r="E461" s="107" t="s">
        <v>349</v>
      </c>
      <c r="F461" s="108">
        <v>19</v>
      </c>
      <c r="G461" s="109">
        <v>24</v>
      </c>
      <c r="H461" s="110">
        <f t="shared" si="15"/>
        <v>494</v>
      </c>
      <c r="I461" s="111">
        <f t="shared" si="14"/>
        <v>24.700000000000003</v>
      </c>
    </row>
    <row r="462" spans="1:9" x14ac:dyDescent="0.35">
      <c r="A462" s="106">
        <v>45609</v>
      </c>
      <c r="B462" s="107" t="s">
        <v>322</v>
      </c>
      <c r="C462" s="107" t="s">
        <v>393</v>
      </c>
      <c r="D462" s="107" t="s">
        <v>324</v>
      </c>
      <c r="E462" s="107" t="s">
        <v>341</v>
      </c>
      <c r="F462" s="108">
        <v>7</v>
      </c>
      <c r="G462" s="109">
        <v>17</v>
      </c>
      <c r="H462" s="110">
        <f t="shared" si="15"/>
        <v>133</v>
      </c>
      <c r="I462" s="111">
        <f t="shared" si="14"/>
        <v>6.65</v>
      </c>
    </row>
    <row r="463" spans="1:9" x14ac:dyDescent="0.35">
      <c r="A463" s="106">
        <v>45609</v>
      </c>
      <c r="B463" s="107" t="s">
        <v>322</v>
      </c>
      <c r="C463" s="107" t="s">
        <v>319</v>
      </c>
      <c r="D463" s="107" t="s">
        <v>315</v>
      </c>
      <c r="E463" s="107" t="s">
        <v>395</v>
      </c>
      <c r="F463" s="108">
        <v>64</v>
      </c>
      <c r="G463" s="109">
        <v>17</v>
      </c>
      <c r="H463" s="110">
        <f t="shared" si="15"/>
        <v>1152</v>
      </c>
      <c r="I463" s="111">
        <f t="shared" si="14"/>
        <v>57.6</v>
      </c>
    </row>
    <row r="464" spans="1:9" x14ac:dyDescent="0.35">
      <c r="A464" s="106">
        <v>45609</v>
      </c>
      <c r="B464" s="107" t="s">
        <v>327</v>
      </c>
      <c r="C464" s="107" t="s">
        <v>319</v>
      </c>
      <c r="D464" s="107" t="s">
        <v>390</v>
      </c>
      <c r="E464" s="107" t="s">
        <v>346</v>
      </c>
      <c r="F464" s="108">
        <v>46</v>
      </c>
      <c r="G464" s="109">
        <v>6</v>
      </c>
      <c r="H464" s="110">
        <f t="shared" si="15"/>
        <v>322</v>
      </c>
      <c r="I464" s="111">
        <f t="shared" si="14"/>
        <v>16.100000000000001</v>
      </c>
    </row>
    <row r="465" spans="1:9" x14ac:dyDescent="0.35">
      <c r="A465" s="106">
        <v>45609</v>
      </c>
      <c r="B465" s="107" t="s">
        <v>327</v>
      </c>
      <c r="C465" s="107" t="s">
        <v>319</v>
      </c>
      <c r="D465" s="107" t="s">
        <v>423</v>
      </c>
      <c r="E465" s="107" t="s">
        <v>394</v>
      </c>
      <c r="F465" s="108">
        <v>20</v>
      </c>
      <c r="G465" s="109">
        <v>6</v>
      </c>
      <c r="H465" s="110">
        <f t="shared" si="15"/>
        <v>140</v>
      </c>
      <c r="I465" s="111">
        <f t="shared" si="14"/>
        <v>8.4</v>
      </c>
    </row>
    <row r="466" spans="1:9" x14ac:dyDescent="0.35">
      <c r="A466" s="106">
        <v>45610</v>
      </c>
      <c r="B466" s="107" t="s">
        <v>422</v>
      </c>
      <c r="C466" s="107" t="s">
        <v>314</v>
      </c>
      <c r="D466" s="107" t="s">
        <v>315</v>
      </c>
      <c r="E466" s="107" t="s">
        <v>455</v>
      </c>
      <c r="F466" s="108">
        <v>36</v>
      </c>
      <c r="G466" s="109">
        <v>24</v>
      </c>
      <c r="H466" s="110">
        <f t="shared" si="15"/>
        <v>972</v>
      </c>
      <c r="I466" s="111">
        <f t="shared" si="14"/>
        <v>48.6</v>
      </c>
    </row>
    <row r="467" spans="1:9" x14ac:dyDescent="0.35">
      <c r="A467" s="106">
        <v>45610</v>
      </c>
      <c r="B467" s="107" t="s">
        <v>313</v>
      </c>
      <c r="C467" s="107" t="s">
        <v>314</v>
      </c>
      <c r="D467" s="107" t="s">
        <v>320</v>
      </c>
      <c r="E467" s="107" t="s">
        <v>348</v>
      </c>
      <c r="F467" s="108">
        <v>64</v>
      </c>
      <c r="G467" s="109">
        <v>13</v>
      </c>
      <c r="H467" s="110">
        <f t="shared" si="15"/>
        <v>1024</v>
      </c>
      <c r="I467" s="111">
        <f t="shared" si="14"/>
        <v>61.44</v>
      </c>
    </row>
    <row r="468" spans="1:9" x14ac:dyDescent="0.35">
      <c r="A468" s="106">
        <v>45610</v>
      </c>
      <c r="B468" s="107" t="s">
        <v>318</v>
      </c>
      <c r="C468" s="107" t="s">
        <v>314</v>
      </c>
      <c r="D468" s="107" t="s">
        <v>324</v>
      </c>
      <c r="E468" s="107" t="s">
        <v>395</v>
      </c>
      <c r="F468" s="108">
        <v>43</v>
      </c>
      <c r="G468" s="109">
        <v>4</v>
      </c>
      <c r="H468" s="110">
        <f t="shared" si="15"/>
        <v>301</v>
      </c>
      <c r="I468" s="111">
        <f t="shared" si="14"/>
        <v>15.05</v>
      </c>
    </row>
    <row r="469" spans="1:9" x14ac:dyDescent="0.35">
      <c r="A469" s="106">
        <v>45611</v>
      </c>
      <c r="B469" s="107" t="s">
        <v>318</v>
      </c>
      <c r="C469" s="107" t="s">
        <v>332</v>
      </c>
      <c r="D469" s="107" t="s">
        <v>320</v>
      </c>
      <c r="E469" s="107" t="s">
        <v>406</v>
      </c>
      <c r="F469" s="108">
        <v>39</v>
      </c>
      <c r="G469" s="109">
        <v>4</v>
      </c>
      <c r="H469" s="110">
        <f t="shared" si="15"/>
        <v>312</v>
      </c>
      <c r="I469" s="111">
        <f t="shared" si="14"/>
        <v>18.72</v>
      </c>
    </row>
    <row r="470" spans="1:9" x14ac:dyDescent="0.35">
      <c r="A470" s="106">
        <v>45611</v>
      </c>
      <c r="B470" s="107" t="s">
        <v>313</v>
      </c>
      <c r="C470" s="107" t="s">
        <v>332</v>
      </c>
      <c r="D470" s="107" t="s">
        <v>320</v>
      </c>
      <c r="E470" s="107" t="s">
        <v>340</v>
      </c>
      <c r="F470" s="108">
        <v>56</v>
      </c>
      <c r="G470" s="109">
        <v>13</v>
      </c>
      <c r="H470" s="110">
        <f t="shared" si="15"/>
        <v>952</v>
      </c>
      <c r="I470" s="111">
        <f t="shared" si="14"/>
        <v>57.12</v>
      </c>
    </row>
    <row r="471" spans="1:9" x14ac:dyDescent="0.35">
      <c r="A471" s="106">
        <v>45611</v>
      </c>
      <c r="B471" s="107" t="s">
        <v>422</v>
      </c>
      <c r="C471" s="107" t="s">
        <v>314</v>
      </c>
      <c r="D471" s="107" t="s">
        <v>324</v>
      </c>
      <c r="E471" s="107" t="s">
        <v>339</v>
      </c>
      <c r="F471" s="108">
        <v>39</v>
      </c>
      <c r="G471" s="109">
        <v>24</v>
      </c>
      <c r="H471" s="110">
        <f t="shared" si="15"/>
        <v>1053</v>
      </c>
      <c r="I471" s="111">
        <f t="shared" si="14"/>
        <v>52.650000000000006</v>
      </c>
    </row>
    <row r="472" spans="1:9" x14ac:dyDescent="0.35">
      <c r="A472" s="106">
        <v>45611</v>
      </c>
      <c r="B472" s="107" t="s">
        <v>313</v>
      </c>
      <c r="C472" s="107" t="s">
        <v>314</v>
      </c>
      <c r="D472" s="107" t="s">
        <v>423</v>
      </c>
      <c r="E472" s="107" t="s">
        <v>416</v>
      </c>
      <c r="F472" s="108">
        <v>36</v>
      </c>
      <c r="G472" s="109">
        <v>13</v>
      </c>
      <c r="H472" s="110">
        <f t="shared" si="15"/>
        <v>576</v>
      </c>
      <c r="I472" s="111">
        <f t="shared" si="14"/>
        <v>34.56</v>
      </c>
    </row>
    <row r="473" spans="1:9" x14ac:dyDescent="0.35">
      <c r="A473" s="106">
        <v>45612</v>
      </c>
      <c r="B473" s="107" t="s">
        <v>313</v>
      </c>
      <c r="C473" s="107" t="s">
        <v>319</v>
      </c>
      <c r="D473" s="107" t="s">
        <v>423</v>
      </c>
      <c r="E473" s="107" t="s">
        <v>348</v>
      </c>
      <c r="F473" s="108">
        <v>11</v>
      </c>
      <c r="G473" s="109">
        <v>13</v>
      </c>
      <c r="H473" s="110">
        <f t="shared" si="15"/>
        <v>154</v>
      </c>
      <c r="I473" s="111">
        <f t="shared" si="14"/>
        <v>9.24</v>
      </c>
    </row>
    <row r="474" spans="1:9" x14ac:dyDescent="0.35">
      <c r="A474" s="106">
        <v>45612</v>
      </c>
      <c r="B474" s="107" t="s">
        <v>318</v>
      </c>
      <c r="C474" s="107" t="s">
        <v>393</v>
      </c>
      <c r="D474" s="107" t="s">
        <v>315</v>
      </c>
      <c r="E474" s="107" t="s">
        <v>405</v>
      </c>
      <c r="F474" s="108">
        <v>38</v>
      </c>
      <c r="G474" s="109">
        <v>4</v>
      </c>
      <c r="H474" s="110">
        <f t="shared" si="15"/>
        <v>228</v>
      </c>
      <c r="I474" s="111">
        <f t="shared" si="14"/>
        <v>11.4</v>
      </c>
    </row>
    <row r="475" spans="1:9" x14ac:dyDescent="0.35">
      <c r="A475" s="106">
        <v>45613</v>
      </c>
      <c r="B475" s="107" t="s">
        <v>322</v>
      </c>
      <c r="C475" s="107" t="s">
        <v>393</v>
      </c>
      <c r="D475" s="107" t="s">
        <v>390</v>
      </c>
      <c r="E475" s="107" t="s">
        <v>342</v>
      </c>
      <c r="F475" s="108">
        <v>63</v>
      </c>
      <c r="G475" s="109">
        <v>17</v>
      </c>
      <c r="H475" s="110">
        <f t="shared" si="15"/>
        <v>1197</v>
      </c>
      <c r="I475" s="111">
        <f t="shared" si="14"/>
        <v>59.85</v>
      </c>
    </row>
    <row r="476" spans="1:9" x14ac:dyDescent="0.35">
      <c r="A476" s="106">
        <v>45613</v>
      </c>
      <c r="B476" s="107" t="s">
        <v>313</v>
      </c>
      <c r="C476" s="107" t="s">
        <v>393</v>
      </c>
      <c r="D476" s="107" t="s">
        <v>423</v>
      </c>
      <c r="E476" s="107" t="s">
        <v>416</v>
      </c>
      <c r="F476" s="108">
        <v>20</v>
      </c>
      <c r="G476" s="109">
        <v>13</v>
      </c>
      <c r="H476" s="110">
        <f t="shared" si="15"/>
        <v>300</v>
      </c>
      <c r="I476" s="111">
        <f t="shared" si="14"/>
        <v>18</v>
      </c>
    </row>
    <row r="477" spans="1:9" x14ac:dyDescent="0.35">
      <c r="A477" s="106">
        <v>45613</v>
      </c>
      <c r="B477" s="107" t="s">
        <v>322</v>
      </c>
      <c r="C477" s="107" t="s">
        <v>314</v>
      </c>
      <c r="D477" s="107" t="s">
        <v>390</v>
      </c>
      <c r="E477" s="107" t="s">
        <v>405</v>
      </c>
      <c r="F477" s="108">
        <v>60</v>
      </c>
      <c r="G477" s="109">
        <v>17</v>
      </c>
      <c r="H477" s="110">
        <f t="shared" si="15"/>
        <v>1200</v>
      </c>
      <c r="I477" s="111">
        <f t="shared" si="14"/>
        <v>60</v>
      </c>
    </row>
    <row r="478" spans="1:9" x14ac:dyDescent="0.35">
      <c r="A478" s="106">
        <v>45614</v>
      </c>
      <c r="B478" s="107" t="s">
        <v>422</v>
      </c>
      <c r="C478" s="107" t="s">
        <v>393</v>
      </c>
      <c r="D478" s="107" t="s">
        <v>338</v>
      </c>
      <c r="E478" s="107" t="s">
        <v>388</v>
      </c>
      <c r="F478" s="108">
        <v>22</v>
      </c>
      <c r="G478" s="109">
        <v>24</v>
      </c>
      <c r="H478" s="110">
        <f t="shared" si="15"/>
        <v>572</v>
      </c>
      <c r="I478" s="111">
        <f t="shared" si="14"/>
        <v>34.32</v>
      </c>
    </row>
    <row r="479" spans="1:9" x14ac:dyDescent="0.35">
      <c r="A479" s="106">
        <v>45614</v>
      </c>
      <c r="B479" s="107" t="s">
        <v>422</v>
      </c>
      <c r="C479" s="107" t="s">
        <v>319</v>
      </c>
      <c r="D479" s="107" t="s">
        <v>390</v>
      </c>
      <c r="E479" s="107" t="s">
        <v>344</v>
      </c>
      <c r="F479" s="108">
        <v>37</v>
      </c>
      <c r="G479" s="109">
        <v>24</v>
      </c>
      <c r="H479" s="110">
        <f t="shared" si="15"/>
        <v>925</v>
      </c>
      <c r="I479" s="111">
        <f t="shared" si="14"/>
        <v>46.25</v>
      </c>
    </row>
    <row r="480" spans="1:9" x14ac:dyDescent="0.35">
      <c r="A480" s="106">
        <v>45615</v>
      </c>
      <c r="B480" s="107" t="s">
        <v>422</v>
      </c>
      <c r="C480" s="107" t="s">
        <v>332</v>
      </c>
      <c r="D480" s="107" t="s">
        <v>333</v>
      </c>
      <c r="E480" s="107" t="s">
        <v>337</v>
      </c>
      <c r="F480" s="108">
        <v>13</v>
      </c>
      <c r="G480" s="109">
        <v>24</v>
      </c>
      <c r="H480" s="110">
        <f t="shared" si="15"/>
        <v>364</v>
      </c>
      <c r="I480" s="111">
        <f t="shared" si="14"/>
        <v>18.2</v>
      </c>
    </row>
    <row r="481" spans="1:9" x14ac:dyDescent="0.35">
      <c r="A481" s="106">
        <v>45615</v>
      </c>
      <c r="B481" s="107" t="s">
        <v>327</v>
      </c>
      <c r="C481" s="107" t="s">
        <v>314</v>
      </c>
      <c r="D481" s="107" t="s">
        <v>423</v>
      </c>
      <c r="E481" s="107" t="s">
        <v>344</v>
      </c>
      <c r="F481" s="108">
        <v>6</v>
      </c>
      <c r="G481" s="109">
        <v>6</v>
      </c>
      <c r="H481" s="110">
        <f t="shared" si="15"/>
        <v>54</v>
      </c>
      <c r="I481" s="111">
        <f t="shared" si="14"/>
        <v>3.2399999999999998</v>
      </c>
    </row>
    <row r="482" spans="1:9" x14ac:dyDescent="0.35">
      <c r="A482" s="106">
        <v>45615</v>
      </c>
      <c r="B482" s="107" t="s">
        <v>327</v>
      </c>
      <c r="C482" s="107" t="s">
        <v>314</v>
      </c>
      <c r="D482" s="107" t="s">
        <v>333</v>
      </c>
      <c r="E482" s="107" t="s">
        <v>405</v>
      </c>
      <c r="F482" s="108">
        <v>25</v>
      </c>
      <c r="G482" s="109">
        <v>6</v>
      </c>
      <c r="H482" s="110">
        <f t="shared" si="15"/>
        <v>225</v>
      </c>
      <c r="I482" s="111">
        <f t="shared" si="14"/>
        <v>11.25</v>
      </c>
    </row>
    <row r="483" spans="1:9" x14ac:dyDescent="0.35">
      <c r="A483" s="106">
        <v>45616</v>
      </c>
      <c r="B483" s="107" t="s">
        <v>327</v>
      </c>
      <c r="C483" s="107" t="s">
        <v>393</v>
      </c>
      <c r="D483" s="107" t="s">
        <v>333</v>
      </c>
      <c r="E483" s="107" t="s">
        <v>341</v>
      </c>
      <c r="F483" s="108">
        <v>43</v>
      </c>
      <c r="G483" s="109">
        <v>6</v>
      </c>
      <c r="H483" s="110">
        <f t="shared" si="15"/>
        <v>344</v>
      </c>
      <c r="I483" s="111">
        <f t="shared" si="14"/>
        <v>17.2</v>
      </c>
    </row>
    <row r="484" spans="1:9" x14ac:dyDescent="0.35">
      <c r="A484" s="106">
        <v>45616</v>
      </c>
      <c r="B484" s="107" t="s">
        <v>313</v>
      </c>
      <c r="C484" s="107" t="s">
        <v>314</v>
      </c>
      <c r="D484" s="107" t="s">
        <v>315</v>
      </c>
      <c r="E484" s="107" t="s">
        <v>388</v>
      </c>
      <c r="F484" s="108">
        <v>39</v>
      </c>
      <c r="G484" s="109">
        <v>13</v>
      </c>
      <c r="H484" s="110">
        <f t="shared" si="15"/>
        <v>624</v>
      </c>
      <c r="I484" s="111">
        <f t="shared" si="14"/>
        <v>31.200000000000003</v>
      </c>
    </row>
    <row r="485" spans="1:9" x14ac:dyDescent="0.35">
      <c r="A485" s="106">
        <v>45616</v>
      </c>
      <c r="B485" s="107" t="s">
        <v>313</v>
      </c>
      <c r="C485" s="107" t="s">
        <v>332</v>
      </c>
      <c r="D485" s="107" t="s">
        <v>423</v>
      </c>
      <c r="E485" s="107" t="s">
        <v>400</v>
      </c>
      <c r="F485" s="108">
        <v>19</v>
      </c>
      <c r="G485" s="109">
        <v>13</v>
      </c>
      <c r="H485" s="110">
        <f t="shared" si="15"/>
        <v>323</v>
      </c>
      <c r="I485" s="111">
        <f t="shared" si="14"/>
        <v>19.38</v>
      </c>
    </row>
    <row r="486" spans="1:9" x14ac:dyDescent="0.35">
      <c r="A486" s="106">
        <v>45616</v>
      </c>
      <c r="B486" s="107" t="s">
        <v>327</v>
      </c>
      <c r="C486" s="107" t="s">
        <v>332</v>
      </c>
      <c r="D486" s="107" t="s">
        <v>333</v>
      </c>
      <c r="E486" s="107" t="s">
        <v>400</v>
      </c>
      <c r="F486" s="108">
        <v>62</v>
      </c>
      <c r="G486" s="109">
        <v>6</v>
      </c>
      <c r="H486" s="110">
        <f t="shared" si="15"/>
        <v>620</v>
      </c>
      <c r="I486" s="111">
        <f t="shared" si="14"/>
        <v>31</v>
      </c>
    </row>
    <row r="487" spans="1:9" x14ac:dyDescent="0.35">
      <c r="A487" s="106">
        <v>45616</v>
      </c>
      <c r="B487" s="107" t="s">
        <v>313</v>
      </c>
      <c r="C487" s="107" t="s">
        <v>319</v>
      </c>
      <c r="D487" s="107" t="s">
        <v>320</v>
      </c>
      <c r="E487" s="107" t="s">
        <v>335</v>
      </c>
      <c r="F487" s="108">
        <v>58</v>
      </c>
      <c r="G487" s="109">
        <v>13</v>
      </c>
      <c r="H487" s="110">
        <f t="shared" si="15"/>
        <v>812</v>
      </c>
      <c r="I487" s="111">
        <f t="shared" si="14"/>
        <v>48.72</v>
      </c>
    </row>
    <row r="488" spans="1:9" x14ac:dyDescent="0.35">
      <c r="A488" s="106">
        <v>45617</v>
      </c>
      <c r="B488" s="107" t="s">
        <v>318</v>
      </c>
      <c r="C488" s="107" t="s">
        <v>314</v>
      </c>
      <c r="D488" s="107" t="s">
        <v>324</v>
      </c>
      <c r="E488" s="107" t="s">
        <v>341</v>
      </c>
      <c r="F488" s="108">
        <v>37</v>
      </c>
      <c r="G488" s="109">
        <v>4</v>
      </c>
      <c r="H488" s="110">
        <f t="shared" si="15"/>
        <v>259</v>
      </c>
      <c r="I488" s="111">
        <f t="shared" si="14"/>
        <v>12.950000000000001</v>
      </c>
    </row>
    <row r="489" spans="1:9" x14ac:dyDescent="0.35">
      <c r="A489" s="106">
        <v>45617</v>
      </c>
      <c r="B489" s="107" t="s">
        <v>322</v>
      </c>
      <c r="C489" s="107" t="s">
        <v>314</v>
      </c>
      <c r="D489" s="107" t="s">
        <v>390</v>
      </c>
      <c r="E489" s="107" t="s">
        <v>340</v>
      </c>
      <c r="F489" s="108">
        <v>49</v>
      </c>
      <c r="G489" s="109">
        <v>17</v>
      </c>
      <c r="H489" s="110">
        <f t="shared" si="15"/>
        <v>980</v>
      </c>
      <c r="I489" s="111">
        <f t="shared" si="14"/>
        <v>49</v>
      </c>
    </row>
    <row r="490" spans="1:9" x14ac:dyDescent="0.35">
      <c r="A490" s="106">
        <v>45617</v>
      </c>
      <c r="B490" s="107" t="s">
        <v>313</v>
      </c>
      <c r="C490" s="107" t="s">
        <v>319</v>
      </c>
      <c r="D490" s="107" t="s">
        <v>333</v>
      </c>
      <c r="E490" s="107" t="s">
        <v>340</v>
      </c>
      <c r="F490" s="108">
        <v>47</v>
      </c>
      <c r="G490" s="109">
        <v>13</v>
      </c>
      <c r="H490" s="110">
        <f t="shared" si="15"/>
        <v>658</v>
      </c>
      <c r="I490" s="111">
        <f t="shared" si="14"/>
        <v>32.9</v>
      </c>
    </row>
    <row r="491" spans="1:9" x14ac:dyDescent="0.35">
      <c r="A491" s="106">
        <v>45617</v>
      </c>
      <c r="B491" s="107" t="s">
        <v>422</v>
      </c>
      <c r="C491" s="107" t="s">
        <v>332</v>
      </c>
      <c r="D491" s="107" t="s">
        <v>315</v>
      </c>
      <c r="E491" s="107" t="s">
        <v>331</v>
      </c>
      <c r="F491" s="108">
        <v>58</v>
      </c>
      <c r="G491" s="109">
        <v>24</v>
      </c>
      <c r="H491" s="110">
        <f t="shared" si="15"/>
        <v>1624</v>
      </c>
      <c r="I491" s="111">
        <f t="shared" si="14"/>
        <v>81.2</v>
      </c>
    </row>
    <row r="492" spans="1:9" x14ac:dyDescent="0.35">
      <c r="A492" s="106">
        <v>45617</v>
      </c>
      <c r="B492" s="107" t="s">
        <v>322</v>
      </c>
      <c r="C492" s="107" t="s">
        <v>393</v>
      </c>
      <c r="D492" s="107" t="s">
        <v>320</v>
      </c>
      <c r="E492" s="107" t="s">
        <v>394</v>
      </c>
      <c r="F492" s="108">
        <v>29</v>
      </c>
      <c r="G492" s="109">
        <v>17</v>
      </c>
      <c r="H492" s="110">
        <f t="shared" si="15"/>
        <v>551</v>
      </c>
      <c r="I492" s="111">
        <f t="shared" si="14"/>
        <v>33.06</v>
      </c>
    </row>
    <row r="493" spans="1:9" x14ac:dyDescent="0.35">
      <c r="A493" s="106">
        <v>45618</v>
      </c>
      <c r="B493" s="107" t="s">
        <v>318</v>
      </c>
      <c r="C493" s="107" t="s">
        <v>314</v>
      </c>
      <c r="D493" s="107" t="s">
        <v>333</v>
      </c>
      <c r="E493" s="107" t="s">
        <v>340</v>
      </c>
      <c r="F493" s="108">
        <v>22</v>
      </c>
      <c r="G493" s="109">
        <v>4</v>
      </c>
      <c r="H493" s="110">
        <f t="shared" si="15"/>
        <v>154</v>
      </c>
      <c r="I493" s="111">
        <f t="shared" si="14"/>
        <v>7.7</v>
      </c>
    </row>
    <row r="494" spans="1:9" x14ac:dyDescent="0.35">
      <c r="A494" s="106">
        <v>45618</v>
      </c>
      <c r="B494" s="107" t="s">
        <v>327</v>
      </c>
      <c r="C494" s="107" t="s">
        <v>319</v>
      </c>
      <c r="D494" s="107" t="s">
        <v>320</v>
      </c>
      <c r="E494" s="107" t="s">
        <v>394</v>
      </c>
      <c r="F494" s="108">
        <v>14</v>
      </c>
      <c r="G494" s="109">
        <v>6</v>
      </c>
      <c r="H494" s="110">
        <f t="shared" si="15"/>
        <v>98</v>
      </c>
      <c r="I494" s="111">
        <f t="shared" si="14"/>
        <v>5.88</v>
      </c>
    </row>
    <row r="495" spans="1:9" x14ac:dyDescent="0.35">
      <c r="A495" s="106">
        <v>45619</v>
      </c>
      <c r="B495" s="107" t="s">
        <v>322</v>
      </c>
      <c r="C495" s="107" t="s">
        <v>319</v>
      </c>
      <c r="D495" s="107" t="s">
        <v>333</v>
      </c>
      <c r="E495" s="107" t="s">
        <v>349</v>
      </c>
      <c r="F495" s="108">
        <v>52</v>
      </c>
      <c r="G495" s="109">
        <v>17</v>
      </c>
      <c r="H495" s="110">
        <f t="shared" si="15"/>
        <v>936</v>
      </c>
      <c r="I495" s="111">
        <f t="shared" si="14"/>
        <v>46.800000000000004</v>
      </c>
    </row>
    <row r="496" spans="1:9" x14ac:dyDescent="0.35">
      <c r="A496" s="106">
        <v>45619</v>
      </c>
      <c r="B496" s="107" t="s">
        <v>318</v>
      </c>
      <c r="C496" s="107" t="s">
        <v>319</v>
      </c>
      <c r="D496" s="107" t="s">
        <v>423</v>
      </c>
      <c r="E496" s="107" t="s">
        <v>345</v>
      </c>
      <c r="F496" s="108">
        <v>10</v>
      </c>
      <c r="G496" s="109">
        <v>4</v>
      </c>
      <c r="H496" s="110">
        <f t="shared" si="15"/>
        <v>50</v>
      </c>
      <c r="I496" s="111">
        <f t="shared" si="14"/>
        <v>3</v>
      </c>
    </row>
    <row r="497" spans="1:9" x14ac:dyDescent="0.35">
      <c r="A497" s="106">
        <v>45619</v>
      </c>
      <c r="B497" s="107" t="s">
        <v>327</v>
      </c>
      <c r="C497" s="107" t="s">
        <v>319</v>
      </c>
      <c r="D497" s="107" t="s">
        <v>324</v>
      </c>
      <c r="E497" s="107" t="s">
        <v>346</v>
      </c>
      <c r="F497" s="108">
        <v>14</v>
      </c>
      <c r="G497" s="109">
        <v>6</v>
      </c>
      <c r="H497" s="110">
        <f t="shared" si="15"/>
        <v>98</v>
      </c>
      <c r="I497" s="111">
        <f t="shared" si="14"/>
        <v>4.9000000000000004</v>
      </c>
    </row>
    <row r="498" spans="1:9" x14ac:dyDescent="0.35">
      <c r="A498" s="106">
        <v>45619</v>
      </c>
      <c r="B498" s="107" t="s">
        <v>422</v>
      </c>
      <c r="C498" s="107" t="s">
        <v>314</v>
      </c>
      <c r="D498" s="107" t="s">
        <v>315</v>
      </c>
      <c r="E498" s="107" t="s">
        <v>335</v>
      </c>
      <c r="F498" s="108">
        <v>39</v>
      </c>
      <c r="G498" s="109">
        <v>24</v>
      </c>
      <c r="H498" s="110">
        <f t="shared" si="15"/>
        <v>1053</v>
      </c>
      <c r="I498" s="111">
        <f t="shared" si="14"/>
        <v>52.650000000000006</v>
      </c>
    </row>
    <row r="499" spans="1:9" x14ac:dyDescent="0.35">
      <c r="A499" s="106">
        <v>45620</v>
      </c>
      <c r="B499" s="107" t="s">
        <v>327</v>
      </c>
      <c r="C499" s="107" t="s">
        <v>319</v>
      </c>
      <c r="D499" s="107" t="s">
        <v>333</v>
      </c>
      <c r="E499" s="107" t="s">
        <v>342</v>
      </c>
      <c r="F499" s="108">
        <v>58</v>
      </c>
      <c r="G499" s="109">
        <v>6</v>
      </c>
      <c r="H499" s="110">
        <f t="shared" si="15"/>
        <v>406</v>
      </c>
      <c r="I499" s="111">
        <f t="shared" si="14"/>
        <v>20.3</v>
      </c>
    </row>
    <row r="500" spans="1:9" x14ac:dyDescent="0.35">
      <c r="A500" s="106">
        <v>45620</v>
      </c>
      <c r="B500" s="107" t="s">
        <v>313</v>
      </c>
      <c r="C500" s="107" t="s">
        <v>319</v>
      </c>
      <c r="D500" s="107" t="s">
        <v>338</v>
      </c>
      <c r="E500" s="107" t="s">
        <v>454</v>
      </c>
      <c r="F500" s="108">
        <v>13</v>
      </c>
      <c r="G500" s="109">
        <v>13</v>
      </c>
      <c r="H500" s="110">
        <f t="shared" si="15"/>
        <v>182</v>
      </c>
      <c r="I500" s="111">
        <f t="shared" si="14"/>
        <v>10.92</v>
      </c>
    </row>
    <row r="501" spans="1:9" x14ac:dyDescent="0.35">
      <c r="A501" s="106">
        <v>45620</v>
      </c>
      <c r="B501" s="107" t="s">
        <v>422</v>
      </c>
      <c r="C501" s="107" t="s">
        <v>314</v>
      </c>
      <c r="D501" s="107" t="s">
        <v>333</v>
      </c>
      <c r="E501" s="107" t="s">
        <v>331</v>
      </c>
      <c r="F501" s="108">
        <v>34</v>
      </c>
      <c r="G501" s="109">
        <v>24</v>
      </c>
      <c r="H501" s="110">
        <f t="shared" si="15"/>
        <v>918</v>
      </c>
      <c r="I501" s="111">
        <f t="shared" si="14"/>
        <v>45.900000000000006</v>
      </c>
    </row>
    <row r="502" spans="1:9" x14ac:dyDescent="0.35">
      <c r="A502" s="106">
        <v>45621</v>
      </c>
      <c r="B502" s="107" t="s">
        <v>422</v>
      </c>
      <c r="C502" s="107" t="s">
        <v>319</v>
      </c>
      <c r="D502" s="107" t="s">
        <v>333</v>
      </c>
      <c r="E502" s="107" t="s">
        <v>343</v>
      </c>
      <c r="F502" s="108">
        <v>35</v>
      </c>
      <c r="G502" s="109">
        <v>24</v>
      </c>
      <c r="H502" s="110">
        <f t="shared" si="15"/>
        <v>875</v>
      </c>
      <c r="I502" s="111">
        <f t="shared" si="14"/>
        <v>43.75</v>
      </c>
    </row>
    <row r="503" spans="1:9" x14ac:dyDescent="0.35">
      <c r="A503" s="106">
        <v>45622</v>
      </c>
      <c r="B503" s="107" t="s">
        <v>422</v>
      </c>
      <c r="C503" s="107" t="s">
        <v>393</v>
      </c>
      <c r="D503" s="107" t="s">
        <v>333</v>
      </c>
      <c r="E503" s="107" t="s">
        <v>340</v>
      </c>
      <c r="F503" s="108">
        <v>48</v>
      </c>
      <c r="G503" s="109">
        <v>24</v>
      </c>
      <c r="H503" s="110">
        <f t="shared" si="15"/>
        <v>1248</v>
      </c>
      <c r="I503" s="111">
        <f t="shared" si="14"/>
        <v>62.400000000000006</v>
      </c>
    </row>
    <row r="504" spans="1:9" x14ac:dyDescent="0.35">
      <c r="A504" s="106">
        <v>45622</v>
      </c>
      <c r="B504" s="107" t="s">
        <v>313</v>
      </c>
      <c r="C504" s="107" t="s">
        <v>332</v>
      </c>
      <c r="D504" s="107" t="s">
        <v>324</v>
      </c>
      <c r="E504" s="107" t="s">
        <v>340</v>
      </c>
      <c r="F504" s="108">
        <v>61</v>
      </c>
      <c r="G504" s="109">
        <v>13</v>
      </c>
      <c r="H504" s="110">
        <f t="shared" si="15"/>
        <v>1037</v>
      </c>
      <c r="I504" s="111">
        <f t="shared" si="14"/>
        <v>51.85</v>
      </c>
    </row>
    <row r="505" spans="1:9" x14ac:dyDescent="0.35">
      <c r="A505" s="106">
        <v>45622</v>
      </c>
      <c r="B505" s="107" t="s">
        <v>327</v>
      </c>
      <c r="C505" s="107" t="s">
        <v>314</v>
      </c>
      <c r="D505" s="107" t="s">
        <v>390</v>
      </c>
      <c r="E505" s="107" t="s">
        <v>340</v>
      </c>
      <c r="F505" s="108">
        <v>64</v>
      </c>
      <c r="G505" s="109">
        <v>6</v>
      </c>
      <c r="H505" s="110">
        <f t="shared" si="15"/>
        <v>576</v>
      </c>
      <c r="I505" s="111">
        <f t="shared" si="14"/>
        <v>28.8</v>
      </c>
    </row>
    <row r="506" spans="1:9" x14ac:dyDescent="0.35">
      <c r="A506" s="106">
        <v>45622</v>
      </c>
      <c r="B506" s="107" t="s">
        <v>313</v>
      </c>
      <c r="C506" s="107" t="s">
        <v>314</v>
      </c>
      <c r="D506" s="107" t="s">
        <v>324</v>
      </c>
      <c r="E506" s="107" t="s">
        <v>400</v>
      </c>
      <c r="F506" s="108">
        <v>63</v>
      </c>
      <c r="G506" s="109">
        <v>13</v>
      </c>
      <c r="H506" s="110">
        <f t="shared" si="15"/>
        <v>1008</v>
      </c>
      <c r="I506" s="111">
        <f t="shared" si="14"/>
        <v>50.400000000000006</v>
      </c>
    </row>
    <row r="507" spans="1:9" x14ac:dyDescent="0.35">
      <c r="A507" s="106">
        <v>45622</v>
      </c>
      <c r="B507" s="107" t="s">
        <v>322</v>
      </c>
      <c r="C507" s="107" t="s">
        <v>393</v>
      </c>
      <c r="D507" s="107" t="s">
        <v>320</v>
      </c>
      <c r="E507" s="107" t="s">
        <v>346</v>
      </c>
      <c r="F507" s="108">
        <v>45</v>
      </c>
      <c r="G507" s="109">
        <v>17</v>
      </c>
      <c r="H507" s="110">
        <f t="shared" si="15"/>
        <v>855</v>
      </c>
      <c r="I507" s="111">
        <f t="shared" si="14"/>
        <v>51.3</v>
      </c>
    </row>
    <row r="508" spans="1:9" x14ac:dyDescent="0.35">
      <c r="A508" s="106">
        <v>45622</v>
      </c>
      <c r="B508" s="107" t="s">
        <v>422</v>
      </c>
      <c r="C508" s="107" t="s">
        <v>393</v>
      </c>
      <c r="D508" s="107" t="s">
        <v>333</v>
      </c>
      <c r="E508" s="107" t="s">
        <v>343</v>
      </c>
      <c r="F508" s="108">
        <v>9</v>
      </c>
      <c r="G508" s="109">
        <v>24</v>
      </c>
      <c r="H508" s="110">
        <f t="shared" si="15"/>
        <v>234</v>
      </c>
      <c r="I508" s="111">
        <f t="shared" si="14"/>
        <v>11.700000000000001</v>
      </c>
    </row>
    <row r="509" spans="1:9" x14ac:dyDescent="0.35">
      <c r="A509" s="106">
        <v>45623</v>
      </c>
      <c r="B509" s="107" t="s">
        <v>422</v>
      </c>
      <c r="C509" s="107" t="s">
        <v>393</v>
      </c>
      <c r="D509" s="107" t="s">
        <v>315</v>
      </c>
      <c r="E509" s="107" t="s">
        <v>340</v>
      </c>
      <c r="F509" s="108">
        <v>29</v>
      </c>
      <c r="G509" s="109">
        <v>24</v>
      </c>
      <c r="H509" s="110">
        <f t="shared" si="15"/>
        <v>754</v>
      </c>
      <c r="I509" s="111">
        <f t="shared" si="14"/>
        <v>37.700000000000003</v>
      </c>
    </row>
    <row r="510" spans="1:9" x14ac:dyDescent="0.35">
      <c r="A510" s="106">
        <v>45624</v>
      </c>
      <c r="B510" s="107" t="s">
        <v>322</v>
      </c>
      <c r="C510" s="107" t="s">
        <v>314</v>
      </c>
      <c r="D510" s="107" t="s">
        <v>320</v>
      </c>
      <c r="E510" s="107" t="s">
        <v>341</v>
      </c>
      <c r="F510" s="108">
        <v>31</v>
      </c>
      <c r="G510" s="109">
        <v>17</v>
      </c>
      <c r="H510" s="110">
        <f t="shared" si="15"/>
        <v>620</v>
      </c>
      <c r="I510" s="111">
        <f t="shared" si="14"/>
        <v>37.199999999999996</v>
      </c>
    </row>
    <row r="511" spans="1:9" x14ac:dyDescent="0.35">
      <c r="A511" s="106">
        <v>45624</v>
      </c>
      <c r="B511" s="107" t="s">
        <v>327</v>
      </c>
      <c r="C511" s="107" t="s">
        <v>332</v>
      </c>
      <c r="D511" s="107" t="s">
        <v>315</v>
      </c>
      <c r="E511" s="107" t="s">
        <v>347</v>
      </c>
      <c r="F511" s="108">
        <v>62</v>
      </c>
      <c r="G511" s="109">
        <v>6</v>
      </c>
      <c r="H511" s="110">
        <f t="shared" si="15"/>
        <v>620</v>
      </c>
      <c r="I511" s="111">
        <f t="shared" si="14"/>
        <v>31</v>
      </c>
    </row>
    <row r="512" spans="1:9" x14ac:dyDescent="0.35">
      <c r="A512" s="106">
        <v>45624</v>
      </c>
      <c r="B512" s="107" t="s">
        <v>327</v>
      </c>
      <c r="C512" s="107" t="s">
        <v>314</v>
      </c>
      <c r="D512" s="107" t="s">
        <v>423</v>
      </c>
      <c r="E512" s="107" t="s">
        <v>394</v>
      </c>
      <c r="F512" s="108">
        <v>19</v>
      </c>
      <c r="G512" s="109">
        <v>6</v>
      </c>
      <c r="H512" s="110">
        <f t="shared" si="15"/>
        <v>171</v>
      </c>
      <c r="I512" s="111">
        <f t="shared" si="14"/>
        <v>10.26</v>
      </c>
    </row>
    <row r="513" spans="1:9" x14ac:dyDescent="0.35">
      <c r="A513" s="106">
        <v>45624</v>
      </c>
      <c r="B513" s="107" t="s">
        <v>322</v>
      </c>
      <c r="C513" s="107" t="s">
        <v>393</v>
      </c>
      <c r="D513" s="107" t="s">
        <v>390</v>
      </c>
      <c r="E513" s="107" t="s">
        <v>405</v>
      </c>
      <c r="F513" s="108">
        <v>29</v>
      </c>
      <c r="G513" s="109">
        <v>17</v>
      </c>
      <c r="H513" s="110">
        <f t="shared" si="15"/>
        <v>551</v>
      </c>
      <c r="I513" s="111">
        <f t="shared" si="14"/>
        <v>27.55</v>
      </c>
    </row>
    <row r="514" spans="1:9" x14ac:dyDescent="0.35">
      <c r="A514" s="106">
        <v>45624</v>
      </c>
      <c r="B514" s="107" t="s">
        <v>313</v>
      </c>
      <c r="C514" s="107" t="s">
        <v>314</v>
      </c>
      <c r="D514" s="107" t="s">
        <v>390</v>
      </c>
      <c r="E514" s="107" t="s">
        <v>405</v>
      </c>
      <c r="F514" s="108">
        <v>47</v>
      </c>
      <c r="G514" s="109">
        <v>13</v>
      </c>
      <c r="H514" s="110">
        <f t="shared" si="15"/>
        <v>752</v>
      </c>
      <c r="I514" s="111">
        <f t="shared" ref="I514:I577" si="16">H514*VLOOKUP(D514,$O$4:$P$10,2,TRUE)</f>
        <v>37.6</v>
      </c>
    </row>
    <row r="515" spans="1:9" x14ac:dyDescent="0.35">
      <c r="A515" s="106">
        <v>45625</v>
      </c>
      <c r="B515" s="107" t="s">
        <v>422</v>
      </c>
      <c r="C515" s="107" t="s">
        <v>393</v>
      </c>
      <c r="D515" s="107" t="s">
        <v>320</v>
      </c>
      <c r="E515" s="107" t="s">
        <v>406</v>
      </c>
      <c r="F515" s="108">
        <v>45</v>
      </c>
      <c r="G515" s="109">
        <v>24</v>
      </c>
      <c r="H515" s="110">
        <f t="shared" ref="H515:H578" si="17">(F515*G515)+VLOOKUP(C515,$K$11:$L$14,2,FALSE)*F515</f>
        <v>1170</v>
      </c>
      <c r="I515" s="111">
        <f t="shared" si="16"/>
        <v>70.2</v>
      </c>
    </row>
    <row r="516" spans="1:9" x14ac:dyDescent="0.35">
      <c r="A516" s="106">
        <v>45625</v>
      </c>
      <c r="B516" s="107" t="s">
        <v>313</v>
      </c>
      <c r="C516" s="107" t="s">
        <v>319</v>
      </c>
      <c r="D516" s="107" t="s">
        <v>324</v>
      </c>
      <c r="E516" s="107" t="s">
        <v>342</v>
      </c>
      <c r="F516" s="108">
        <v>22</v>
      </c>
      <c r="G516" s="109">
        <v>13</v>
      </c>
      <c r="H516" s="110">
        <f t="shared" si="17"/>
        <v>308</v>
      </c>
      <c r="I516" s="111">
        <f t="shared" si="16"/>
        <v>15.4</v>
      </c>
    </row>
    <row r="517" spans="1:9" x14ac:dyDescent="0.35">
      <c r="A517" s="106">
        <v>45625</v>
      </c>
      <c r="B517" s="107" t="s">
        <v>313</v>
      </c>
      <c r="C517" s="107" t="s">
        <v>393</v>
      </c>
      <c r="D517" s="107" t="s">
        <v>390</v>
      </c>
      <c r="E517" s="107" t="s">
        <v>346</v>
      </c>
      <c r="F517" s="108">
        <v>44</v>
      </c>
      <c r="G517" s="109">
        <v>13</v>
      </c>
      <c r="H517" s="110">
        <f t="shared" si="17"/>
        <v>660</v>
      </c>
      <c r="I517" s="111">
        <f t="shared" si="16"/>
        <v>33</v>
      </c>
    </row>
    <row r="518" spans="1:9" x14ac:dyDescent="0.35">
      <c r="A518" s="106">
        <v>45625</v>
      </c>
      <c r="B518" s="107" t="s">
        <v>322</v>
      </c>
      <c r="C518" s="107" t="s">
        <v>393</v>
      </c>
      <c r="D518" s="107" t="s">
        <v>324</v>
      </c>
      <c r="E518" s="107" t="s">
        <v>405</v>
      </c>
      <c r="F518" s="108">
        <v>33</v>
      </c>
      <c r="G518" s="109">
        <v>17</v>
      </c>
      <c r="H518" s="110">
        <f t="shared" si="17"/>
        <v>627</v>
      </c>
      <c r="I518" s="111">
        <f t="shared" si="16"/>
        <v>31.35</v>
      </c>
    </row>
    <row r="519" spans="1:9" x14ac:dyDescent="0.35">
      <c r="A519" s="106">
        <v>45626</v>
      </c>
      <c r="B519" s="107" t="s">
        <v>327</v>
      </c>
      <c r="C519" s="107" t="s">
        <v>314</v>
      </c>
      <c r="D519" s="107" t="s">
        <v>338</v>
      </c>
      <c r="E519" s="107" t="s">
        <v>400</v>
      </c>
      <c r="F519" s="108">
        <v>43</v>
      </c>
      <c r="G519" s="109">
        <v>6</v>
      </c>
      <c r="H519" s="110">
        <f t="shared" si="17"/>
        <v>387</v>
      </c>
      <c r="I519" s="111">
        <f t="shared" si="16"/>
        <v>23.22</v>
      </c>
    </row>
    <row r="520" spans="1:9" x14ac:dyDescent="0.35">
      <c r="A520" s="106">
        <v>45626</v>
      </c>
      <c r="B520" s="107" t="s">
        <v>422</v>
      </c>
      <c r="C520" s="107" t="s">
        <v>314</v>
      </c>
      <c r="D520" s="107" t="s">
        <v>423</v>
      </c>
      <c r="E520" s="107" t="s">
        <v>405</v>
      </c>
      <c r="F520" s="108">
        <v>65</v>
      </c>
      <c r="G520" s="109">
        <v>24</v>
      </c>
      <c r="H520" s="110">
        <f t="shared" si="17"/>
        <v>1755</v>
      </c>
      <c r="I520" s="111">
        <f t="shared" si="16"/>
        <v>105.3</v>
      </c>
    </row>
    <row r="521" spans="1:9" x14ac:dyDescent="0.35">
      <c r="A521" s="106">
        <v>45626</v>
      </c>
      <c r="B521" s="107" t="s">
        <v>318</v>
      </c>
      <c r="C521" s="107" t="s">
        <v>319</v>
      </c>
      <c r="D521" s="107" t="s">
        <v>320</v>
      </c>
      <c r="E521" s="107" t="s">
        <v>316</v>
      </c>
      <c r="F521" s="108">
        <v>58</v>
      </c>
      <c r="G521" s="109">
        <v>4</v>
      </c>
      <c r="H521" s="110">
        <f t="shared" si="17"/>
        <v>290</v>
      </c>
      <c r="I521" s="111">
        <f t="shared" si="16"/>
        <v>17.399999999999999</v>
      </c>
    </row>
    <row r="522" spans="1:9" x14ac:dyDescent="0.35">
      <c r="A522" s="106">
        <v>45627</v>
      </c>
      <c r="B522" s="107" t="s">
        <v>422</v>
      </c>
      <c r="C522" s="107" t="s">
        <v>393</v>
      </c>
      <c r="D522" s="107" t="s">
        <v>324</v>
      </c>
      <c r="E522" s="107" t="s">
        <v>341</v>
      </c>
      <c r="F522" s="108">
        <v>42</v>
      </c>
      <c r="G522" s="109">
        <v>24</v>
      </c>
      <c r="H522" s="110">
        <f t="shared" si="17"/>
        <v>1092</v>
      </c>
      <c r="I522" s="111">
        <f t="shared" si="16"/>
        <v>54.6</v>
      </c>
    </row>
    <row r="523" spans="1:9" x14ac:dyDescent="0.35">
      <c r="A523" s="106">
        <v>45627</v>
      </c>
      <c r="B523" s="107" t="s">
        <v>318</v>
      </c>
      <c r="C523" s="107" t="s">
        <v>319</v>
      </c>
      <c r="D523" s="107" t="s">
        <v>324</v>
      </c>
      <c r="E523" s="107" t="s">
        <v>329</v>
      </c>
      <c r="F523" s="108">
        <v>10</v>
      </c>
      <c r="G523" s="109">
        <v>4</v>
      </c>
      <c r="H523" s="110">
        <f t="shared" si="17"/>
        <v>50</v>
      </c>
      <c r="I523" s="111">
        <f t="shared" si="16"/>
        <v>2.5</v>
      </c>
    </row>
    <row r="524" spans="1:9" x14ac:dyDescent="0.35">
      <c r="A524" s="106">
        <v>45628</v>
      </c>
      <c r="B524" s="107" t="s">
        <v>322</v>
      </c>
      <c r="C524" s="107" t="s">
        <v>314</v>
      </c>
      <c r="D524" s="107" t="s">
        <v>333</v>
      </c>
      <c r="E524" s="107" t="s">
        <v>406</v>
      </c>
      <c r="F524" s="108">
        <v>30</v>
      </c>
      <c r="G524" s="109">
        <v>17</v>
      </c>
      <c r="H524" s="110">
        <f t="shared" si="17"/>
        <v>600</v>
      </c>
      <c r="I524" s="111">
        <f t="shared" si="16"/>
        <v>30</v>
      </c>
    </row>
    <row r="525" spans="1:9" x14ac:dyDescent="0.35">
      <c r="A525" s="106">
        <v>45628</v>
      </c>
      <c r="B525" s="107" t="s">
        <v>322</v>
      </c>
      <c r="C525" s="107" t="s">
        <v>393</v>
      </c>
      <c r="D525" s="107" t="s">
        <v>324</v>
      </c>
      <c r="E525" s="107" t="s">
        <v>345</v>
      </c>
      <c r="F525" s="108">
        <v>58</v>
      </c>
      <c r="G525" s="109">
        <v>17</v>
      </c>
      <c r="H525" s="110">
        <f t="shared" si="17"/>
        <v>1102</v>
      </c>
      <c r="I525" s="111">
        <f t="shared" si="16"/>
        <v>55.1</v>
      </c>
    </row>
    <row r="526" spans="1:9" x14ac:dyDescent="0.35">
      <c r="A526" s="106">
        <v>45628</v>
      </c>
      <c r="B526" s="107" t="s">
        <v>318</v>
      </c>
      <c r="C526" s="107" t="s">
        <v>319</v>
      </c>
      <c r="D526" s="107" t="s">
        <v>324</v>
      </c>
      <c r="E526" s="107" t="s">
        <v>394</v>
      </c>
      <c r="F526" s="108">
        <v>43</v>
      </c>
      <c r="G526" s="109">
        <v>4</v>
      </c>
      <c r="H526" s="110">
        <f t="shared" si="17"/>
        <v>215</v>
      </c>
      <c r="I526" s="111">
        <f t="shared" si="16"/>
        <v>10.75</v>
      </c>
    </row>
    <row r="527" spans="1:9" x14ac:dyDescent="0.35">
      <c r="A527" s="106">
        <v>45628</v>
      </c>
      <c r="B527" s="107" t="s">
        <v>322</v>
      </c>
      <c r="C527" s="107" t="s">
        <v>393</v>
      </c>
      <c r="D527" s="107" t="s">
        <v>324</v>
      </c>
      <c r="E527" s="107" t="s">
        <v>394</v>
      </c>
      <c r="F527" s="108">
        <v>26</v>
      </c>
      <c r="G527" s="109">
        <v>17</v>
      </c>
      <c r="H527" s="110">
        <f t="shared" si="17"/>
        <v>494</v>
      </c>
      <c r="I527" s="111">
        <f t="shared" si="16"/>
        <v>24.700000000000003</v>
      </c>
    </row>
    <row r="528" spans="1:9" x14ac:dyDescent="0.35">
      <c r="A528" s="106">
        <v>45629</v>
      </c>
      <c r="B528" s="107" t="s">
        <v>422</v>
      </c>
      <c r="C528" s="107" t="s">
        <v>332</v>
      </c>
      <c r="D528" s="107" t="s">
        <v>320</v>
      </c>
      <c r="E528" s="107" t="s">
        <v>455</v>
      </c>
      <c r="F528" s="108">
        <v>42</v>
      </c>
      <c r="G528" s="109">
        <v>24</v>
      </c>
      <c r="H528" s="110">
        <f t="shared" si="17"/>
        <v>1176</v>
      </c>
      <c r="I528" s="111">
        <f t="shared" si="16"/>
        <v>70.56</v>
      </c>
    </row>
    <row r="529" spans="1:9" x14ac:dyDescent="0.35">
      <c r="A529" s="106">
        <v>45629</v>
      </c>
      <c r="B529" s="107" t="s">
        <v>327</v>
      </c>
      <c r="C529" s="107" t="s">
        <v>332</v>
      </c>
      <c r="D529" s="107" t="s">
        <v>338</v>
      </c>
      <c r="E529" s="107" t="s">
        <v>341</v>
      </c>
      <c r="F529" s="108">
        <v>10</v>
      </c>
      <c r="G529" s="109">
        <v>6</v>
      </c>
      <c r="H529" s="110">
        <f t="shared" si="17"/>
        <v>100</v>
      </c>
      <c r="I529" s="111">
        <f t="shared" si="16"/>
        <v>6</v>
      </c>
    </row>
    <row r="530" spans="1:9" x14ac:dyDescent="0.35">
      <c r="A530" s="106">
        <v>45629</v>
      </c>
      <c r="B530" s="107" t="s">
        <v>322</v>
      </c>
      <c r="C530" s="107" t="s">
        <v>393</v>
      </c>
      <c r="D530" s="107" t="s">
        <v>320</v>
      </c>
      <c r="E530" s="107" t="s">
        <v>340</v>
      </c>
      <c r="F530" s="108">
        <v>9</v>
      </c>
      <c r="G530" s="109">
        <v>17</v>
      </c>
      <c r="H530" s="110">
        <f t="shared" si="17"/>
        <v>171</v>
      </c>
      <c r="I530" s="111">
        <f t="shared" si="16"/>
        <v>10.26</v>
      </c>
    </row>
    <row r="531" spans="1:9" x14ac:dyDescent="0.35">
      <c r="A531" s="106">
        <v>45629</v>
      </c>
      <c r="B531" s="107" t="s">
        <v>313</v>
      </c>
      <c r="C531" s="107" t="s">
        <v>319</v>
      </c>
      <c r="D531" s="107" t="s">
        <v>324</v>
      </c>
      <c r="E531" s="107" t="s">
        <v>395</v>
      </c>
      <c r="F531" s="108">
        <v>12</v>
      </c>
      <c r="G531" s="109">
        <v>13</v>
      </c>
      <c r="H531" s="110">
        <f t="shared" si="17"/>
        <v>168</v>
      </c>
      <c r="I531" s="111">
        <f t="shared" si="16"/>
        <v>8.4</v>
      </c>
    </row>
    <row r="532" spans="1:9" x14ac:dyDescent="0.35">
      <c r="A532" s="106">
        <v>45629</v>
      </c>
      <c r="B532" s="107" t="s">
        <v>422</v>
      </c>
      <c r="C532" s="107" t="s">
        <v>332</v>
      </c>
      <c r="D532" s="107" t="s">
        <v>324</v>
      </c>
      <c r="E532" s="107" t="s">
        <v>454</v>
      </c>
      <c r="F532" s="108">
        <v>21</v>
      </c>
      <c r="G532" s="109">
        <v>24</v>
      </c>
      <c r="H532" s="110">
        <f t="shared" si="17"/>
        <v>588</v>
      </c>
      <c r="I532" s="111">
        <f t="shared" si="16"/>
        <v>29.400000000000002</v>
      </c>
    </row>
    <row r="533" spans="1:9" x14ac:dyDescent="0.35">
      <c r="A533" s="106">
        <v>45629</v>
      </c>
      <c r="B533" s="107" t="s">
        <v>318</v>
      </c>
      <c r="C533" s="107" t="s">
        <v>332</v>
      </c>
      <c r="D533" s="107" t="s">
        <v>324</v>
      </c>
      <c r="E533" s="107" t="s">
        <v>329</v>
      </c>
      <c r="F533" s="108">
        <v>17</v>
      </c>
      <c r="G533" s="109">
        <v>4</v>
      </c>
      <c r="H533" s="110">
        <f t="shared" si="17"/>
        <v>136</v>
      </c>
      <c r="I533" s="111">
        <f t="shared" si="16"/>
        <v>6.8000000000000007</v>
      </c>
    </row>
    <row r="534" spans="1:9" x14ac:dyDescent="0.35">
      <c r="A534" s="106">
        <v>45629</v>
      </c>
      <c r="B534" s="107" t="s">
        <v>327</v>
      </c>
      <c r="C534" s="107" t="s">
        <v>314</v>
      </c>
      <c r="D534" s="107" t="s">
        <v>324</v>
      </c>
      <c r="E534" s="107" t="s">
        <v>394</v>
      </c>
      <c r="F534" s="108">
        <v>13</v>
      </c>
      <c r="G534" s="109">
        <v>6</v>
      </c>
      <c r="H534" s="110">
        <f t="shared" si="17"/>
        <v>117</v>
      </c>
      <c r="I534" s="111">
        <f t="shared" si="16"/>
        <v>5.8500000000000005</v>
      </c>
    </row>
    <row r="535" spans="1:9" x14ac:dyDescent="0.35">
      <c r="A535" s="106">
        <v>45629</v>
      </c>
      <c r="B535" s="107" t="s">
        <v>422</v>
      </c>
      <c r="C535" s="107" t="s">
        <v>393</v>
      </c>
      <c r="D535" s="107" t="s">
        <v>333</v>
      </c>
      <c r="E535" s="107" t="s">
        <v>335</v>
      </c>
      <c r="F535" s="108">
        <v>27</v>
      </c>
      <c r="G535" s="109">
        <v>24</v>
      </c>
      <c r="H535" s="110">
        <f t="shared" si="17"/>
        <v>702</v>
      </c>
      <c r="I535" s="111">
        <f t="shared" si="16"/>
        <v>35.1</v>
      </c>
    </row>
    <row r="536" spans="1:9" x14ac:dyDescent="0.35">
      <c r="A536" s="106">
        <v>45630</v>
      </c>
      <c r="B536" s="107" t="s">
        <v>318</v>
      </c>
      <c r="C536" s="107" t="s">
        <v>393</v>
      </c>
      <c r="D536" s="107" t="s">
        <v>320</v>
      </c>
      <c r="E536" s="107" t="s">
        <v>341</v>
      </c>
      <c r="F536" s="108">
        <v>48</v>
      </c>
      <c r="G536" s="109">
        <v>4</v>
      </c>
      <c r="H536" s="110">
        <f t="shared" si="17"/>
        <v>288</v>
      </c>
      <c r="I536" s="111">
        <f t="shared" si="16"/>
        <v>17.28</v>
      </c>
    </row>
    <row r="537" spans="1:9" x14ac:dyDescent="0.35">
      <c r="A537" s="106">
        <v>45630</v>
      </c>
      <c r="B537" s="107" t="s">
        <v>313</v>
      </c>
      <c r="C537" s="107" t="s">
        <v>314</v>
      </c>
      <c r="D537" s="107" t="s">
        <v>320</v>
      </c>
      <c r="E537" s="107" t="s">
        <v>395</v>
      </c>
      <c r="F537" s="108">
        <v>46</v>
      </c>
      <c r="G537" s="109">
        <v>13</v>
      </c>
      <c r="H537" s="110">
        <f t="shared" si="17"/>
        <v>736</v>
      </c>
      <c r="I537" s="111">
        <f t="shared" si="16"/>
        <v>44.16</v>
      </c>
    </row>
    <row r="538" spans="1:9" x14ac:dyDescent="0.35">
      <c r="A538" s="106">
        <v>45631</v>
      </c>
      <c r="B538" s="107" t="s">
        <v>327</v>
      </c>
      <c r="C538" s="107" t="s">
        <v>332</v>
      </c>
      <c r="D538" s="107" t="s">
        <v>390</v>
      </c>
      <c r="E538" s="107" t="s">
        <v>340</v>
      </c>
      <c r="F538" s="108">
        <v>52</v>
      </c>
      <c r="G538" s="109">
        <v>6</v>
      </c>
      <c r="H538" s="110">
        <f t="shared" si="17"/>
        <v>520</v>
      </c>
      <c r="I538" s="111">
        <f t="shared" si="16"/>
        <v>26</v>
      </c>
    </row>
    <row r="539" spans="1:9" x14ac:dyDescent="0.35">
      <c r="A539" s="106">
        <v>45631</v>
      </c>
      <c r="B539" s="107" t="s">
        <v>318</v>
      </c>
      <c r="C539" s="107" t="s">
        <v>393</v>
      </c>
      <c r="D539" s="107" t="s">
        <v>315</v>
      </c>
      <c r="E539" s="107" t="s">
        <v>454</v>
      </c>
      <c r="F539" s="108">
        <v>55</v>
      </c>
      <c r="G539" s="109">
        <v>4</v>
      </c>
      <c r="H539" s="110">
        <f t="shared" si="17"/>
        <v>330</v>
      </c>
      <c r="I539" s="111">
        <f t="shared" si="16"/>
        <v>16.5</v>
      </c>
    </row>
    <row r="540" spans="1:9" x14ac:dyDescent="0.35">
      <c r="A540" s="106">
        <v>45631</v>
      </c>
      <c r="B540" s="107" t="s">
        <v>318</v>
      </c>
      <c r="C540" s="107" t="s">
        <v>319</v>
      </c>
      <c r="D540" s="107" t="s">
        <v>390</v>
      </c>
      <c r="E540" s="107" t="s">
        <v>316</v>
      </c>
      <c r="F540" s="108">
        <v>57</v>
      </c>
      <c r="G540" s="109">
        <v>4</v>
      </c>
      <c r="H540" s="110">
        <f t="shared" si="17"/>
        <v>285</v>
      </c>
      <c r="I540" s="111">
        <f t="shared" si="16"/>
        <v>14.25</v>
      </c>
    </row>
    <row r="541" spans="1:9" x14ac:dyDescent="0.35">
      <c r="A541" s="106">
        <v>45632</v>
      </c>
      <c r="B541" s="107" t="s">
        <v>318</v>
      </c>
      <c r="C541" s="107" t="s">
        <v>319</v>
      </c>
      <c r="D541" s="107" t="s">
        <v>333</v>
      </c>
      <c r="E541" s="107" t="s">
        <v>340</v>
      </c>
      <c r="F541" s="108">
        <v>13</v>
      </c>
      <c r="G541" s="109">
        <v>4</v>
      </c>
      <c r="H541" s="110">
        <f t="shared" si="17"/>
        <v>65</v>
      </c>
      <c r="I541" s="111">
        <f t="shared" si="16"/>
        <v>3.25</v>
      </c>
    </row>
    <row r="542" spans="1:9" x14ac:dyDescent="0.35">
      <c r="A542" s="106">
        <v>45632</v>
      </c>
      <c r="B542" s="107" t="s">
        <v>313</v>
      </c>
      <c r="C542" s="107" t="s">
        <v>314</v>
      </c>
      <c r="D542" s="107" t="s">
        <v>333</v>
      </c>
      <c r="E542" s="107" t="s">
        <v>394</v>
      </c>
      <c r="F542" s="108">
        <v>45</v>
      </c>
      <c r="G542" s="109">
        <v>13</v>
      </c>
      <c r="H542" s="110">
        <f t="shared" si="17"/>
        <v>720</v>
      </c>
      <c r="I542" s="111">
        <f t="shared" si="16"/>
        <v>36</v>
      </c>
    </row>
    <row r="543" spans="1:9" x14ac:dyDescent="0.35">
      <c r="A543" s="106">
        <v>45632</v>
      </c>
      <c r="B543" s="107" t="s">
        <v>313</v>
      </c>
      <c r="C543" s="107" t="s">
        <v>319</v>
      </c>
      <c r="D543" s="107" t="s">
        <v>324</v>
      </c>
      <c r="E543" s="107" t="s">
        <v>405</v>
      </c>
      <c r="F543" s="108">
        <v>6</v>
      </c>
      <c r="G543" s="109">
        <v>13</v>
      </c>
      <c r="H543" s="110">
        <f t="shared" si="17"/>
        <v>84</v>
      </c>
      <c r="I543" s="111">
        <f t="shared" si="16"/>
        <v>4.2</v>
      </c>
    </row>
    <row r="544" spans="1:9" x14ac:dyDescent="0.35">
      <c r="A544" s="106">
        <v>45632</v>
      </c>
      <c r="B544" s="107" t="s">
        <v>322</v>
      </c>
      <c r="C544" s="107" t="s">
        <v>319</v>
      </c>
      <c r="D544" s="107" t="s">
        <v>423</v>
      </c>
      <c r="E544" s="107" t="s">
        <v>405</v>
      </c>
      <c r="F544" s="108">
        <v>20</v>
      </c>
      <c r="G544" s="109">
        <v>17</v>
      </c>
      <c r="H544" s="110">
        <f t="shared" si="17"/>
        <v>360</v>
      </c>
      <c r="I544" s="111">
        <f t="shared" si="16"/>
        <v>21.599999999999998</v>
      </c>
    </row>
    <row r="545" spans="1:9" x14ac:dyDescent="0.35">
      <c r="A545" s="106">
        <v>45633</v>
      </c>
      <c r="B545" s="107" t="s">
        <v>322</v>
      </c>
      <c r="C545" s="107" t="s">
        <v>393</v>
      </c>
      <c r="D545" s="107" t="s">
        <v>390</v>
      </c>
      <c r="E545" s="107" t="s">
        <v>342</v>
      </c>
      <c r="F545" s="108">
        <v>45</v>
      </c>
      <c r="G545" s="109">
        <v>17</v>
      </c>
      <c r="H545" s="110">
        <f t="shared" si="17"/>
        <v>855</v>
      </c>
      <c r="I545" s="111">
        <f t="shared" si="16"/>
        <v>42.75</v>
      </c>
    </row>
    <row r="546" spans="1:9" x14ac:dyDescent="0.35">
      <c r="A546" s="106">
        <v>45633</v>
      </c>
      <c r="B546" s="107" t="s">
        <v>327</v>
      </c>
      <c r="C546" s="107" t="s">
        <v>319</v>
      </c>
      <c r="D546" s="107" t="s">
        <v>338</v>
      </c>
      <c r="E546" s="107" t="s">
        <v>340</v>
      </c>
      <c r="F546" s="108">
        <v>13</v>
      </c>
      <c r="G546" s="109">
        <v>6</v>
      </c>
      <c r="H546" s="110">
        <f t="shared" si="17"/>
        <v>91</v>
      </c>
      <c r="I546" s="111">
        <f t="shared" si="16"/>
        <v>5.46</v>
      </c>
    </row>
    <row r="547" spans="1:9" x14ac:dyDescent="0.35">
      <c r="A547" s="106">
        <v>45633</v>
      </c>
      <c r="B547" s="107" t="s">
        <v>313</v>
      </c>
      <c r="C547" s="107" t="s">
        <v>393</v>
      </c>
      <c r="D547" s="107" t="s">
        <v>423</v>
      </c>
      <c r="E547" s="107" t="s">
        <v>395</v>
      </c>
      <c r="F547" s="108">
        <v>33</v>
      </c>
      <c r="G547" s="109">
        <v>13</v>
      </c>
      <c r="H547" s="110">
        <f t="shared" si="17"/>
        <v>495</v>
      </c>
      <c r="I547" s="111">
        <f t="shared" si="16"/>
        <v>29.7</v>
      </c>
    </row>
    <row r="548" spans="1:9" x14ac:dyDescent="0.35">
      <c r="A548" s="106">
        <v>45633</v>
      </c>
      <c r="B548" s="107" t="s">
        <v>313</v>
      </c>
      <c r="C548" s="107" t="s">
        <v>319</v>
      </c>
      <c r="D548" s="107" t="s">
        <v>315</v>
      </c>
      <c r="E548" s="107" t="s">
        <v>347</v>
      </c>
      <c r="F548" s="108">
        <v>65</v>
      </c>
      <c r="G548" s="109">
        <v>13</v>
      </c>
      <c r="H548" s="110">
        <f t="shared" si="17"/>
        <v>910</v>
      </c>
      <c r="I548" s="111">
        <f t="shared" si="16"/>
        <v>45.5</v>
      </c>
    </row>
    <row r="549" spans="1:9" x14ac:dyDescent="0.35">
      <c r="A549" s="106">
        <v>45633</v>
      </c>
      <c r="B549" s="107" t="s">
        <v>327</v>
      </c>
      <c r="C549" s="107" t="s">
        <v>319</v>
      </c>
      <c r="D549" s="107" t="s">
        <v>320</v>
      </c>
      <c r="E549" s="107" t="s">
        <v>405</v>
      </c>
      <c r="F549" s="108">
        <v>17</v>
      </c>
      <c r="G549" s="109">
        <v>6</v>
      </c>
      <c r="H549" s="110">
        <f t="shared" si="17"/>
        <v>119</v>
      </c>
      <c r="I549" s="111">
        <f t="shared" si="16"/>
        <v>7.14</v>
      </c>
    </row>
    <row r="550" spans="1:9" x14ac:dyDescent="0.35">
      <c r="A550" s="106">
        <v>45634</v>
      </c>
      <c r="B550" s="107" t="s">
        <v>422</v>
      </c>
      <c r="C550" s="107" t="s">
        <v>332</v>
      </c>
      <c r="D550" s="107" t="s">
        <v>390</v>
      </c>
      <c r="E550" s="107" t="s">
        <v>342</v>
      </c>
      <c r="F550" s="108">
        <v>6</v>
      </c>
      <c r="G550" s="109">
        <v>24</v>
      </c>
      <c r="H550" s="110">
        <f t="shared" si="17"/>
        <v>168</v>
      </c>
      <c r="I550" s="111">
        <f t="shared" si="16"/>
        <v>8.4</v>
      </c>
    </row>
    <row r="551" spans="1:9" x14ac:dyDescent="0.35">
      <c r="A551" s="106">
        <v>45634</v>
      </c>
      <c r="B551" s="107" t="s">
        <v>322</v>
      </c>
      <c r="C551" s="107" t="s">
        <v>319</v>
      </c>
      <c r="D551" s="107" t="s">
        <v>320</v>
      </c>
      <c r="E551" s="107" t="s">
        <v>337</v>
      </c>
      <c r="F551" s="108">
        <v>8</v>
      </c>
      <c r="G551" s="109">
        <v>17</v>
      </c>
      <c r="H551" s="110">
        <f t="shared" si="17"/>
        <v>144</v>
      </c>
      <c r="I551" s="111">
        <f t="shared" si="16"/>
        <v>8.64</v>
      </c>
    </row>
    <row r="552" spans="1:9" x14ac:dyDescent="0.35">
      <c r="A552" s="106">
        <v>45635</v>
      </c>
      <c r="B552" s="107" t="s">
        <v>318</v>
      </c>
      <c r="C552" s="107" t="s">
        <v>314</v>
      </c>
      <c r="D552" s="107" t="s">
        <v>315</v>
      </c>
      <c r="E552" s="107" t="s">
        <v>340</v>
      </c>
      <c r="F552" s="108">
        <v>54</v>
      </c>
      <c r="G552" s="109">
        <v>4</v>
      </c>
      <c r="H552" s="110">
        <f t="shared" si="17"/>
        <v>378</v>
      </c>
      <c r="I552" s="111">
        <f t="shared" si="16"/>
        <v>18.900000000000002</v>
      </c>
    </row>
    <row r="553" spans="1:9" x14ac:dyDescent="0.35">
      <c r="A553" s="106">
        <v>45636</v>
      </c>
      <c r="B553" s="107" t="s">
        <v>327</v>
      </c>
      <c r="C553" s="107" t="s">
        <v>393</v>
      </c>
      <c r="D553" s="107" t="s">
        <v>338</v>
      </c>
      <c r="E553" s="107" t="s">
        <v>340</v>
      </c>
      <c r="F553" s="108">
        <v>34</v>
      </c>
      <c r="G553" s="109">
        <v>6</v>
      </c>
      <c r="H553" s="110">
        <f t="shared" si="17"/>
        <v>272</v>
      </c>
      <c r="I553" s="111">
        <f t="shared" si="16"/>
        <v>16.32</v>
      </c>
    </row>
    <row r="554" spans="1:9" x14ac:dyDescent="0.35">
      <c r="A554" s="106">
        <v>45637</v>
      </c>
      <c r="B554" s="107" t="s">
        <v>318</v>
      </c>
      <c r="C554" s="107" t="s">
        <v>319</v>
      </c>
      <c r="D554" s="107" t="s">
        <v>315</v>
      </c>
      <c r="E554" s="107" t="s">
        <v>406</v>
      </c>
      <c r="F554" s="108">
        <v>20</v>
      </c>
      <c r="G554" s="109">
        <v>4</v>
      </c>
      <c r="H554" s="110">
        <f t="shared" si="17"/>
        <v>100</v>
      </c>
      <c r="I554" s="111">
        <f t="shared" si="16"/>
        <v>5</v>
      </c>
    </row>
    <row r="555" spans="1:9" x14ac:dyDescent="0.35">
      <c r="A555" s="106">
        <v>45637</v>
      </c>
      <c r="B555" s="107" t="s">
        <v>422</v>
      </c>
      <c r="C555" s="107" t="s">
        <v>314</v>
      </c>
      <c r="D555" s="107" t="s">
        <v>390</v>
      </c>
      <c r="E555" s="107" t="s">
        <v>342</v>
      </c>
      <c r="F555" s="108">
        <v>50</v>
      </c>
      <c r="G555" s="109">
        <v>24</v>
      </c>
      <c r="H555" s="110">
        <f t="shared" si="17"/>
        <v>1350</v>
      </c>
      <c r="I555" s="111">
        <f t="shared" si="16"/>
        <v>67.5</v>
      </c>
    </row>
    <row r="556" spans="1:9" x14ac:dyDescent="0.35">
      <c r="A556" s="106">
        <v>45637</v>
      </c>
      <c r="B556" s="107" t="s">
        <v>322</v>
      </c>
      <c r="C556" s="107" t="s">
        <v>393</v>
      </c>
      <c r="D556" s="107" t="s">
        <v>315</v>
      </c>
      <c r="E556" s="107" t="s">
        <v>348</v>
      </c>
      <c r="F556" s="108">
        <v>41</v>
      </c>
      <c r="G556" s="109">
        <v>17</v>
      </c>
      <c r="H556" s="110">
        <f t="shared" si="17"/>
        <v>779</v>
      </c>
      <c r="I556" s="111">
        <f t="shared" si="16"/>
        <v>38.950000000000003</v>
      </c>
    </row>
    <row r="557" spans="1:9" x14ac:dyDescent="0.35">
      <c r="A557" s="106">
        <v>45637</v>
      </c>
      <c r="B557" s="107" t="s">
        <v>313</v>
      </c>
      <c r="C557" s="107" t="s">
        <v>393</v>
      </c>
      <c r="D557" s="107" t="s">
        <v>324</v>
      </c>
      <c r="E557" s="107" t="s">
        <v>339</v>
      </c>
      <c r="F557" s="108">
        <v>21</v>
      </c>
      <c r="G557" s="109">
        <v>13</v>
      </c>
      <c r="H557" s="110">
        <f t="shared" si="17"/>
        <v>315</v>
      </c>
      <c r="I557" s="111">
        <f t="shared" si="16"/>
        <v>15.75</v>
      </c>
    </row>
    <row r="558" spans="1:9" x14ac:dyDescent="0.35">
      <c r="A558" s="106">
        <v>45637</v>
      </c>
      <c r="B558" s="107" t="s">
        <v>322</v>
      </c>
      <c r="C558" s="107" t="s">
        <v>314</v>
      </c>
      <c r="D558" s="107" t="s">
        <v>315</v>
      </c>
      <c r="E558" s="107" t="s">
        <v>400</v>
      </c>
      <c r="F558" s="108">
        <v>27</v>
      </c>
      <c r="G558" s="109">
        <v>17</v>
      </c>
      <c r="H558" s="110">
        <f t="shared" si="17"/>
        <v>540</v>
      </c>
      <c r="I558" s="111">
        <f t="shared" si="16"/>
        <v>27</v>
      </c>
    </row>
    <row r="559" spans="1:9" x14ac:dyDescent="0.35">
      <c r="A559" s="106">
        <v>45637</v>
      </c>
      <c r="B559" s="107" t="s">
        <v>327</v>
      </c>
      <c r="C559" s="107" t="s">
        <v>314</v>
      </c>
      <c r="D559" s="107" t="s">
        <v>315</v>
      </c>
      <c r="E559" s="107" t="s">
        <v>344</v>
      </c>
      <c r="F559" s="108">
        <v>44</v>
      </c>
      <c r="G559" s="109">
        <v>6</v>
      </c>
      <c r="H559" s="110">
        <f t="shared" si="17"/>
        <v>396</v>
      </c>
      <c r="I559" s="111">
        <f t="shared" si="16"/>
        <v>19.8</v>
      </c>
    </row>
    <row r="560" spans="1:9" x14ac:dyDescent="0.35">
      <c r="A560" s="106">
        <v>45637</v>
      </c>
      <c r="B560" s="107" t="s">
        <v>327</v>
      </c>
      <c r="C560" s="107" t="s">
        <v>332</v>
      </c>
      <c r="D560" s="107" t="s">
        <v>423</v>
      </c>
      <c r="E560" s="107" t="s">
        <v>405</v>
      </c>
      <c r="F560" s="108">
        <v>11</v>
      </c>
      <c r="G560" s="109">
        <v>6</v>
      </c>
      <c r="H560" s="110">
        <f t="shared" si="17"/>
        <v>110</v>
      </c>
      <c r="I560" s="111">
        <f t="shared" si="16"/>
        <v>6.6</v>
      </c>
    </row>
    <row r="561" spans="1:9" x14ac:dyDescent="0.35">
      <c r="A561" s="106">
        <v>45639</v>
      </c>
      <c r="B561" s="107" t="s">
        <v>327</v>
      </c>
      <c r="C561" s="107" t="s">
        <v>314</v>
      </c>
      <c r="D561" s="107" t="s">
        <v>423</v>
      </c>
      <c r="E561" s="107" t="s">
        <v>340</v>
      </c>
      <c r="F561" s="108">
        <v>17</v>
      </c>
      <c r="G561" s="109">
        <v>6</v>
      </c>
      <c r="H561" s="110">
        <f t="shared" si="17"/>
        <v>153</v>
      </c>
      <c r="I561" s="111">
        <f t="shared" si="16"/>
        <v>9.18</v>
      </c>
    </row>
    <row r="562" spans="1:9" x14ac:dyDescent="0.35">
      <c r="A562" s="106">
        <v>45639</v>
      </c>
      <c r="B562" s="107" t="s">
        <v>327</v>
      </c>
      <c r="C562" s="107" t="s">
        <v>319</v>
      </c>
      <c r="D562" s="107" t="s">
        <v>324</v>
      </c>
      <c r="E562" s="107" t="s">
        <v>340</v>
      </c>
      <c r="F562" s="108">
        <v>56</v>
      </c>
      <c r="G562" s="109">
        <v>6</v>
      </c>
      <c r="H562" s="110">
        <f t="shared" si="17"/>
        <v>392</v>
      </c>
      <c r="I562" s="111">
        <f t="shared" si="16"/>
        <v>19.600000000000001</v>
      </c>
    </row>
    <row r="563" spans="1:9" x14ac:dyDescent="0.35">
      <c r="A563" s="106">
        <v>45639</v>
      </c>
      <c r="B563" s="107" t="s">
        <v>313</v>
      </c>
      <c r="C563" s="107" t="s">
        <v>319</v>
      </c>
      <c r="D563" s="107" t="s">
        <v>390</v>
      </c>
      <c r="E563" s="107" t="s">
        <v>347</v>
      </c>
      <c r="F563" s="108">
        <v>51</v>
      </c>
      <c r="G563" s="109">
        <v>13</v>
      </c>
      <c r="H563" s="110">
        <f t="shared" si="17"/>
        <v>714</v>
      </c>
      <c r="I563" s="111">
        <f t="shared" si="16"/>
        <v>35.700000000000003</v>
      </c>
    </row>
    <row r="564" spans="1:9" x14ac:dyDescent="0.35">
      <c r="A564" s="106">
        <v>45639</v>
      </c>
      <c r="B564" s="107" t="s">
        <v>422</v>
      </c>
      <c r="C564" s="107" t="s">
        <v>314</v>
      </c>
      <c r="D564" s="107" t="s">
        <v>324</v>
      </c>
      <c r="E564" s="107" t="s">
        <v>454</v>
      </c>
      <c r="F564" s="108">
        <v>14</v>
      </c>
      <c r="G564" s="109">
        <v>24</v>
      </c>
      <c r="H564" s="110">
        <f t="shared" si="17"/>
        <v>378</v>
      </c>
      <c r="I564" s="111">
        <f t="shared" si="16"/>
        <v>18.900000000000002</v>
      </c>
    </row>
    <row r="565" spans="1:9" x14ac:dyDescent="0.35">
      <c r="A565" s="106">
        <v>45640</v>
      </c>
      <c r="B565" s="107" t="s">
        <v>313</v>
      </c>
      <c r="C565" s="107" t="s">
        <v>393</v>
      </c>
      <c r="D565" s="107" t="s">
        <v>324</v>
      </c>
      <c r="E565" s="107" t="s">
        <v>339</v>
      </c>
      <c r="F565" s="108">
        <v>8</v>
      </c>
      <c r="G565" s="109">
        <v>13</v>
      </c>
      <c r="H565" s="110">
        <f t="shared" si="17"/>
        <v>120</v>
      </c>
      <c r="I565" s="111">
        <f t="shared" si="16"/>
        <v>6</v>
      </c>
    </row>
    <row r="566" spans="1:9" x14ac:dyDescent="0.35">
      <c r="A566" s="106">
        <v>45640</v>
      </c>
      <c r="B566" s="107" t="s">
        <v>313</v>
      </c>
      <c r="C566" s="107" t="s">
        <v>314</v>
      </c>
      <c r="D566" s="107" t="s">
        <v>423</v>
      </c>
      <c r="E566" s="107" t="s">
        <v>346</v>
      </c>
      <c r="F566" s="108">
        <v>15</v>
      </c>
      <c r="G566" s="109">
        <v>13</v>
      </c>
      <c r="H566" s="110">
        <f t="shared" si="17"/>
        <v>240</v>
      </c>
      <c r="I566" s="111">
        <f t="shared" si="16"/>
        <v>14.399999999999999</v>
      </c>
    </row>
    <row r="567" spans="1:9" x14ac:dyDescent="0.35">
      <c r="A567" s="106">
        <v>45640</v>
      </c>
      <c r="B567" s="107" t="s">
        <v>422</v>
      </c>
      <c r="C567" s="107" t="s">
        <v>332</v>
      </c>
      <c r="D567" s="107" t="s">
        <v>320</v>
      </c>
      <c r="E567" s="107" t="s">
        <v>346</v>
      </c>
      <c r="F567" s="108">
        <v>36</v>
      </c>
      <c r="G567" s="109">
        <v>24</v>
      </c>
      <c r="H567" s="110">
        <f t="shared" si="17"/>
        <v>1008</v>
      </c>
      <c r="I567" s="111">
        <f t="shared" si="16"/>
        <v>60.48</v>
      </c>
    </row>
    <row r="568" spans="1:9" x14ac:dyDescent="0.35">
      <c r="A568" s="106">
        <v>45640</v>
      </c>
      <c r="B568" s="107" t="s">
        <v>422</v>
      </c>
      <c r="C568" s="107" t="s">
        <v>319</v>
      </c>
      <c r="D568" s="107" t="s">
        <v>338</v>
      </c>
      <c r="E568" s="107" t="s">
        <v>405</v>
      </c>
      <c r="F568" s="108">
        <v>40</v>
      </c>
      <c r="G568" s="109">
        <v>24</v>
      </c>
      <c r="H568" s="110">
        <f t="shared" si="17"/>
        <v>1000</v>
      </c>
      <c r="I568" s="111">
        <f t="shared" si="16"/>
        <v>60</v>
      </c>
    </row>
    <row r="569" spans="1:9" x14ac:dyDescent="0.35">
      <c r="A569" s="106">
        <v>45641</v>
      </c>
      <c r="B569" s="107" t="s">
        <v>322</v>
      </c>
      <c r="C569" s="107" t="s">
        <v>319</v>
      </c>
      <c r="D569" s="107" t="s">
        <v>315</v>
      </c>
      <c r="E569" s="107" t="s">
        <v>347</v>
      </c>
      <c r="F569" s="108">
        <v>56</v>
      </c>
      <c r="G569" s="109">
        <v>17</v>
      </c>
      <c r="H569" s="110">
        <f t="shared" si="17"/>
        <v>1008</v>
      </c>
      <c r="I569" s="111">
        <f t="shared" si="16"/>
        <v>50.400000000000006</v>
      </c>
    </row>
    <row r="570" spans="1:9" x14ac:dyDescent="0.35">
      <c r="A570" s="106">
        <v>45641</v>
      </c>
      <c r="B570" s="107" t="s">
        <v>322</v>
      </c>
      <c r="C570" s="107" t="s">
        <v>332</v>
      </c>
      <c r="D570" s="107" t="s">
        <v>315</v>
      </c>
      <c r="E570" s="107" t="s">
        <v>346</v>
      </c>
      <c r="F570" s="108">
        <v>10</v>
      </c>
      <c r="G570" s="109">
        <v>17</v>
      </c>
      <c r="H570" s="110">
        <f t="shared" si="17"/>
        <v>210</v>
      </c>
      <c r="I570" s="111">
        <f t="shared" si="16"/>
        <v>10.5</v>
      </c>
    </row>
    <row r="571" spans="1:9" x14ac:dyDescent="0.35">
      <c r="A571" s="106">
        <v>45641</v>
      </c>
      <c r="B571" s="107" t="s">
        <v>313</v>
      </c>
      <c r="C571" s="107" t="s">
        <v>314</v>
      </c>
      <c r="D571" s="107" t="s">
        <v>320</v>
      </c>
      <c r="E571" s="107" t="s">
        <v>394</v>
      </c>
      <c r="F571" s="108">
        <v>14</v>
      </c>
      <c r="G571" s="109">
        <v>13</v>
      </c>
      <c r="H571" s="110">
        <f t="shared" si="17"/>
        <v>224</v>
      </c>
      <c r="I571" s="111">
        <f t="shared" si="16"/>
        <v>13.44</v>
      </c>
    </row>
    <row r="572" spans="1:9" x14ac:dyDescent="0.35">
      <c r="A572" s="106">
        <v>45641</v>
      </c>
      <c r="B572" s="107" t="s">
        <v>318</v>
      </c>
      <c r="C572" s="107" t="s">
        <v>332</v>
      </c>
      <c r="D572" s="107" t="s">
        <v>315</v>
      </c>
      <c r="E572" s="107" t="s">
        <v>344</v>
      </c>
      <c r="F572" s="108">
        <v>61</v>
      </c>
      <c r="G572" s="109">
        <v>4</v>
      </c>
      <c r="H572" s="110">
        <f t="shared" si="17"/>
        <v>488</v>
      </c>
      <c r="I572" s="111">
        <f t="shared" si="16"/>
        <v>24.400000000000002</v>
      </c>
    </row>
    <row r="573" spans="1:9" x14ac:dyDescent="0.35">
      <c r="A573" s="106">
        <v>45642</v>
      </c>
      <c r="B573" s="107" t="s">
        <v>422</v>
      </c>
      <c r="C573" s="107" t="s">
        <v>314</v>
      </c>
      <c r="D573" s="107" t="s">
        <v>338</v>
      </c>
      <c r="E573" s="107" t="s">
        <v>341</v>
      </c>
      <c r="F573" s="108">
        <v>39</v>
      </c>
      <c r="G573" s="109">
        <v>24</v>
      </c>
      <c r="H573" s="110">
        <f t="shared" si="17"/>
        <v>1053</v>
      </c>
      <c r="I573" s="111">
        <f t="shared" si="16"/>
        <v>63.18</v>
      </c>
    </row>
    <row r="574" spans="1:9" x14ac:dyDescent="0.35">
      <c r="A574" s="106">
        <v>45642</v>
      </c>
      <c r="B574" s="107" t="s">
        <v>327</v>
      </c>
      <c r="C574" s="107" t="s">
        <v>393</v>
      </c>
      <c r="D574" s="107" t="s">
        <v>324</v>
      </c>
      <c r="E574" s="107" t="s">
        <v>347</v>
      </c>
      <c r="F574" s="108">
        <v>58</v>
      </c>
      <c r="G574" s="109">
        <v>6</v>
      </c>
      <c r="H574" s="110">
        <f t="shared" si="17"/>
        <v>464</v>
      </c>
      <c r="I574" s="111">
        <f t="shared" si="16"/>
        <v>23.200000000000003</v>
      </c>
    </row>
    <row r="575" spans="1:9" x14ac:dyDescent="0.35">
      <c r="A575" s="106">
        <v>45642</v>
      </c>
      <c r="B575" s="107" t="s">
        <v>322</v>
      </c>
      <c r="C575" s="107" t="s">
        <v>314</v>
      </c>
      <c r="D575" s="107" t="s">
        <v>315</v>
      </c>
      <c r="E575" s="107" t="s">
        <v>394</v>
      </c>
      <c r="F575" s="108">
        <v>60</v>
      </c>
      <c r="G575" s="109">
        <v>17</v>
      </c>
      <c r="H575" s="110">
        <f t="shared" si="17"/>
        <v>1200</v>
      </c>
      <c r="I575" s="111">
        <f t="shared" si="16"/>
        <v>60</v>
      </c>
    </row>
    <row r="576" spans="1:9" x14ac:dyDescent="0.35">
      <c r="A576" s="106">
        <v>45642</v>
      </c>
      <c r="B576" s="107" t="s">
        <v>313</v>
      </c>
      <c r="C576" s="107" t="s">
        <v>314</v>
      </c>
      <c r="D576" s="107" t="s">
        <v>324</v>
      </c>
      <c r="E576" s="107" t="s">
        <v>343</v>
      </c>
      <c r="F576" s="108">
        <v>37</v>
      </c>
      <c r="G576" s="109">
        <v>13</v>
      </c>
      <c r="H576" s="110">
        <f t="shared" si="17"/>
        <v>592</v>
      </c>
      <c r="I576" s="111">
        <f t="shared" si="16"/>
        <v>29.6</v>
      </c>
    </row>
    <row r="577" spans="1:9" x14ac:dyDescent="0.35">
      <c r="A577" s="106">
        <v>45642</v>
      </c>
      <c r="B577" s="107" t="s">
        <v>327</v>
      </c>
      <c r="C577" s="107" t="s">
        <v>393</v>
      </c>
      <c r="D577" s="107" t="s">
        <v>320</v>
      </c>
      <c r="E577" s="107" t="s">
        <v>350</v>
      </c>
      <c r="F577" s="108">
        <v>9</v>
      </c>
      <c r="G577" s="109">
        <v>6</v>
      </c>
      <c r="H577" s="110">
        <f t="shared" si="17"/>
        <v>72</v>
      </c>
      <c r="I577" s="111">
        <f t="shared" si="16"/>
        <v>4.32</v>
      </c>
    </row>
    <row r="578" spans="1:9" x14ac:dyDescent="0.35">
      <c r="A578" s="106">
        <v>45643</v>
      </c>
      <c r="B578" s="107" t="s">
        <v>322</v>
      </c>
      <c r="C578" s="107" t="s">
        <v>393</v>
      </c>
      <c r="D578" s="107" t="s">
        <v>315</v>
      </c>
      <c r="E578" s="107" t="s">
        <v>406</v>
      </c>
      <c r="F578" s="108">
        <v>27</v>
      </c>
      <c r="G578" s="109">
        <v>17</v>
      </c>
      <c r="H578" s="110">
        <f t="shared" si="17"/>
        <v>513</v>
      </c>
      <c r="I578" s="111">
        <f t="shared" ref="I578:I641" si="18">H578*VLOOKUP(D578,$O$4:$P$10,2,TRUE)</f>
        <v>25.650000000000002</v>
      </c>
    </row>
    <row r="579" spans="1:9" x14ac:dyDescent="0.35">
      <c r="A579" s="106">
        <v>45643</v>
      </c>
      <c r="B579" s="107" t="s">
        <v>318</v>
      </c>
      <c r="C579" s="107" t="s">
        <v>314</v>
      </c>
      <c r="D579" s="107" t="s">
        <v>324</v>
      </c>
      <c r="E579" s="107" t="s">
        <v>340</v>
      </c>
      <c r="F579" s="108">
        <v>24</v>
      </c>
      <c r="G579" s="109">
        <v>4</v>
      </c>
      <c r="H579" s="110">
        <f t="shared" ref="H579:H642" si="19">(F579*G579)+VLOOKUP(C579,$K$11:$L$14,2,FALSE)*F579</f>
        <v>168</v>
      </c>
      <c r="I579" s="111">
        <f t="shared" si="18"/>
        <v>8.4</v>
      </c>
    </row>
    <row r="580" spans="1:9" x14ac:dyDescent="0.35">
      <c r="A580" s="106">
        <v>45643</v>
      </c>
      <c r="B580" s="107" t="s">
        <v>313</v>
      </c>
      <c r="C580" s="107" t="s">
        <v>332</v>
      </c>
      <c r="D580" s="107" t="s">
        <v>423</v>
      </c>
      <c r="E580" s="107" t="s">
        <v>347</v>
      </c>
      <c r="F580" s="108">
        <v>36</v>
      </c>
      <c r="G580" s="109">
        <v>13</v>
      </c>
      <c r="H580" s="110">
        <f t="shared" si="19"/>
        <v>612</v>
      </c>
      <c r="I580" s="111">
        <f t="shared" si="18"/>
        <v>36.72</v>
      </c>
    </row>
    <row r="581" spans="1:9" x14ac:dyDescent="0.35">
      <c r="A581" s="106">
        <v>45643</v>
      </c>
      <c r="B581" s="107" t="s">
        <v>327</v>
      </c>
      <c r="C581" s="107" t="s">
        <v>393</v>
      </c>
      <c r="D581" s="107" t="s">
        <v>324</v>
      </c>
      <c r="E581" s="107" t="s">
        <v>337</v>
      </c>
      <c r="F581" s="108">
        <v>58</v>
      </c>
      <c r="G581" s="109">
        <v>6</v>
      </c>
      <c r="H581" s="110">
        <f t="shared" si="19"/>
        <v>464</v>
      </c>
      <c r="I581" s="111">
        <f t="shared" si="18"/>
        <v>23.200000000000003</v>
      </c>
    </row>
    <row r="582" spans="1:9" x14ac:dyDescent="0.35">
      <c r="A582" s="106">
        <v>45643</v>
      </c>
      <c r="B582" s="107" t="s">
        <v>318</v>
      </c>
      <c r="C582" s="107" t="s">
        <v>393</v>
      </c>
      <c r="D582" s="107" t="s">
        <v>390</v>
      </c>
      <c r="E582" s="107" t="s">
        <v>329</v>
      </c>
      <c r="F582" s="108">
        <v>37</v>
      </c>
      <c r="G582" s="109">
        <v>4</v>
      </c>
      <c r="H582" s="110">
        <f t="shared" si="19"/>
        <v>222</v>
      </c>
      <c r="I582" s="111">
        <f t="shared" si="18"/>
        <v>11.100000000000001</v>
      </c>
    </row>
    <row r="583" spans="1:9" x14ac:dyDescent="0.35">
      <c r="A583" s="106">
        <v>45643</v>
      </c>
      <c r="B583" s="107" t="s">
        <v>318</v>
      </c>
      <c r="C583" s="107" t="s">
        <v>319</v>
      </c>
      <c r="D583" s="107" t="s">
        <v>333</v>
      </c>
      <c r="E583" s="107" t="s">
        <v>344</v>
      </c>
      <c r="F583" s="108">
        <v>35</v>
      </c>
      <c r="G583" s="109">
        <v>4</v>
      </c>
      <c r="H583" s="110">
        <f t="shared" si="19"/>
        <v>175</v>
      </c>
      <c r="I583" s="111">
        <f t="shared" si="18"/>
        <v>8.75</v>
      </c>
    </row>
    <row r="584" spans="1:9" x14ac:dyDescent="0.35">
      <c r="A584" s="106">
        <v>45644</v>
      </c>
      <c r="B584" s="107" t="s">
        <v>422</v>
      </c>
      <c r="C584" s="107" t="s">
        <v>319</v>
      </c>
      <c r="D584" s="107" t="s">
        <v>333</v>
      </c>
      <c r="E584" s="107" t="s">
        <v>349</v>
      </c>
      <c r="F584" s="108">
        <v>29</v>
      </c>
      <c r="G584" s="109">
        <v>24</v>
      </c>
      <c r="H584" s="110">
        <f t="shared" si="19"/>
        <v>725</v>
      </c>
      <c r="I584" s="111">
        <f t="shared" si="18"/>
        <v>36.25</v>
      </c>
    </row>
    <row r="585" spans="1:9" x14ac:dyDescent="0.35">
      <c r="A585" s="106">
        <v>45644</v>
      </c>
      <c r="B585" s="107" t="s">
        <v>422</v>
      </c>
      <c r="C585" s="107" t="s">
        <v>319</v>
      </c>
      <c r="D585" s="107" t="s">
        <v>423</v>
      </c>
      <c r="E585" s="107" t="s">
        <v>347</v>
      </c>
      <c r="F585" s="108">
        <v>57</v>
      </c>
      <c r="G585" s="109">
        <v>24</v>
      </c>
      <c r="H585" s="110">
        <f t="shared" si="19"/>
        <v>1425</v>
      </c>
      <c r="I585" s="111">
        <f t="shared" si="18"/>
        <v>85.5</v>
      </c>
    </row>
    <row r="586" spans="1:9" x14ac:dyDescent="0.35">
      <c r="A586" s="106">
        <v>45644</v>
      </c>
      <c r="B586" s="107" t="s">
        <v>422</v>
      </c>
      <c r="C586" s="107" t="s">
        <v>332</v>
      </c>
      <c r="D586" s="107" t="s">
        <v>423</v>
      </c>
      <c r="E586" s="107" t="s">
        <v>454</v>
      </c>
      <c r="F586" s="108">
        <v>21</v>
      </c>
      <c r="G586" s="109">
        <v>24</v>
      </c>
      <c r="H586" s="110">
        <f t="shared" si="19"/>
        <v>588</v>
      </c>
      <c r="I586" s="111">
        <f t="shared" si="18"/>
        <v>35.28</v>
      </c>
    </row>
    <row r="587" spans="1:9" x14ac:dyDescent="0.35">
      <c r="A587" s="106">
        <v>45644</v>
      </c>
      <c r="B587" s="107" t="s">
        <v>422</v>
      </c>
      <c r="C587" s="107" t="s">
        <v>332</v>
      </c>
      <c r="D587" s="107" t="s">
        <v>423</v>
      </c>
      <c r="E587" s="107" t="s">
        <v>394</v>
      </c>
      <c r="F587" s="108">
        <v>36</v>
      </c>
      <c r="G587" s="109">
        <v>24</v>
      </c>
      <c r="H587" s="110">
        <f t="shared" si="19"/>
        <v>1008</v>
      </c>
      <c r="I587" s="111">
        <f t="shared" si="18"/>
        <v>60.48</v>
      </c>
    </row>
    <row r="588" spans="1:9" x14ac:dyDescent="0.35">
      <c r="A588" s="106">
        <v>45644</v>
      </c>
      <c r="B588" s="107" t="s">
        <v>318</v>
      </c>
      <c r="C588" s="107" t="s">
        <v>332</v>
      </c>
      <c r="D588" s="107" t="s">
        <v>423</v>
      </c>
      <c r="E588" s="107" t="s">
        <v>394</v>
      </c>
      <c r="F588" s="108">
        <v>49</v>
      </c>
      <c r="G588" s="109">
        <v>4</v>
      </c>
      <c r="H588" s="110">
        <f t="shared" si="19"/>
        <v>392</v>
      </c>
      <c r="I588" s="111">
        <f t="shared" si="18"/>
        <v>23.52</v>
      </c>
    </row>
    <row r="589" spans="1:9" x14ac:dyDescent="0.35">
      <c r="A589" s="106">
        <v>45644</v>
      </c>
      <c r="B589" s="107" t="s">
        <v>318</v>
      </c>
      <c r="C589" s="107" t="s">
        <v>393</v>
      </c>
      <c r="D589" s="107" t="s">
        <v>423</v>
      </c>
      <c r="E589" s="107" t="s">
        <v>394</v>
      </c>
      <c r="F589" s="108">
        <v>26</v>
      </c>
      <c r="G589" s="109">
        <v>4</v>
      </c>
      <c r="H589" s="110">
        <f t="shared" si="19"/>
        <v>156</v>
      </c>
      <c r="I589" s="111">
        <f t="shared" si="18"/>
        <v>9.36</v>
      </c>
    </row>
    <row r="590" spans="1:9" x14ac:dyDescent="0.35">
      <c r="A590" s="106">
        <v>45645</v>
      </c>
      <c r="B590" s="107" t="s">
        <v>318</v>
      </c>
      <c r="C590" s="107" t="s">
        <v>332</v>
      </c>
      <c r="D590" s="107" t="s">
        <v>390</v>
      </c>
      <c r="E590" s="107" t="s">
        <v>342</v>
      </c>
      <c r="F590" s="108">
        <v>42</v>
      </c>
      <c r="G590" s="109">
        <v>4</v>
      </c>
      <c r="H590" s="110">
        <f t="shared" si="19"/>
        <v>336</v>
      </c>
      <c r="I590" s="111">
        <f t="shared" si="18"/>
        <v>16.8</v>
      </c>
    </row>
    <row r="591" spans="1:9" x14ac:dyDescent="0.35">
      <c r="A591" s="106">
        <v>45645</v>
      </c>
      <c r="B591" s="107" t="s">
        <v>322</v>
      </c>
      <c r="C591" s="107" t="s">
        <v>332</v>
      </c>
      <c r="D591" s="107" t="s">
        <v>324</v>
      </c>
      <c r="E591" s="107" t="s">
        <v>348</v>
      </c>
      <c r="F591" s="108">
        <v>55</v>
      </c>
      <c r="G591" s="109">
        <v>17</v>
      </c>
      <c r="H591" s="110">
        <f t="shared" si="19"/>
        <v>1155</v>
      </c>
      <c r="I591" s="111">
        <f t="shared" si="18"/>
        <v>57.75</v>
      </c>
    </row>
    <row r="592" spans="1:9" x14ac:dyDescent="0.35">
      <c r="A592" s="106">
        <v>45645</v>
      </c>
      <c r="B592" s="107" t="s">
        <v>313</v>
      </c>
      <c r="C592" s="107" t="s">
        <v>393</v>
      </c>
      <c r="D592" s="107" t="s">
        <v>315</v>
      </c>
      <c r="E592" s="107" t="s">
        <v>348</v>
      </c>
      <c r="F592" s="108">
        <v>38</v>
      </c>
      <c r="G592" s="109">
        <v>13</v>
      </c>
      <c r="H592" s="110">
        <f t="shared" si="19"/>
        <v>570</v>
      </c>
      <c r="I592" s="111">
        <f t="shared" si="18"/>
        <v>28.5</v>
      </c>
    </row>
    <row r="593" spans="1:9" x14ac:dyDescent="0.35">
      <c r="A593" s="106">
        <v>45645</v>
      </c>
      <c r="B593" s="107" t="s">
        <v>313</v>
      </c>
      <c r="C593" s="107" t="s">
        <v>319</v>
      </c>
      <c r="D593" s="107" t="s">
        <v>320</v>
      </c>
      <c r="E593" s="107" t="s">
        <v>345</v>
      </c>
      <c r="F593" s="108">
        <v>23</v>
      </c>
      <c r="G593" s="109">
        <v>13</v>
      </c>
      <c r="H593" s="110">
        <f t="shared" si="19"/>
        <v>322</v>
      </c>
      <c r="I593" s="111">
        <f t="shared" si="18"/>
        <v>19.32</v>
      </c>
    </row>
    <row r="594" spans="1:9" x14ac:dyDescent="0.35">
      <c r="A594" s="106">
        <v>45645</v>
      </c>
      <c r="B594" s="107" t="s">
        <v>318</v>
      </c>
      <c r="C594" s="107" t="s">
        <v>332</v>
      </c>
      <c r="D594" s="107" t="s">
        <v>423</v>
      </c>
      <c r="E594" s="107" t="s">
        <v>454</v>
      </c>
      <c r="F594" s="108">
        <v>33</v>
      </c>
      <c r="G594" s="109">
        <v>4</v>
      </c>
      <c r="H594" s="110">
        <f t="shared" si="19"/>
        <v>264</v>
      </c>
      <c r="I594" s="111">
        <f t="shared" si="18"/>
        <v>15.84</v>
      </c>
    </row>
    <row r="595" spans="1:9" x14ac:dyDescent="0.35">
      <c r="A595" s="106">
        <v>45645</v>
      </c>
      <c r="B595" s="107" t="s">
        <v>327</v>
      </c>
      <c r="C595" s="107" t="s">
        <v>319</v>
      </c>
      <c r="D595" s="107" t="s">
        <v>423</v>
      </c>
      <c r="E595" s="107" t="s">
        <v>346</v>
      </c>
      <c r="F595" s="108">
        <v>27</v>
      </c>
      <c r="G595" s="109">
        <v>6</v>
      </c>
      <c r="H595" s="110">
        <f t="shared" si="19"/>
        <v>189</v>
      </c>
      <c r="I595" s="111">
        <f t="shared" si="18"/>
        <v>11.34</v>
      </c>
    </row>
    <row r="596" spans="1:9" x14ac:dyDescent="0.35">
      <c r="A596" s="106">
        <v>45645</v>
      </c>
      <c r="B596" s="107" t="s">
        <v>313</v>
      </c>
      <c r="C596" s="107" t="s">
        <v>319</v>
      </c>
      <c r="D596" s="107" t="s">
        <v>423</v>
      </c>
      <c r="E596" s="107" t="s">
        <v>343</v>
      </c>
      <c r="F596" s="108">
        <v>23</v>
      </c>
      <c r="G596" s="109">
        <v>13</v>
      </c>
      <c r="H596" s="110">
        <f t="shared" si="19"/>
        <v>322</v>
      </c>
      <c r="I596" s="111">
        <f t="shared" si="18"/>
        <v>19.32</v>
      </c>
    </row>
    <row r="597" spans="1:9" x14ac:dyDescent="0.35">
      <c r="A597" s="106">
        <v>45645</v>
      </c>
      <c r="B597" s="107" t="s">
        <v>422</v>
      </c>
      <c r="C597" s="107" t="s">
        <v>332</v>
      </c>
      <c r="D597" s="107" t="s">
        <v>338</v>
      </c>
      <c r="E597" s="107" t="s">
        <v>405</v>
      </c>
      <c r="F597" s="108">
        <v>65</v>
      </c>
      <c r="G597" s="109">
        <v>24</v>
      </c>
      <c r="H597" s="110">
        <f t="shared" si="19"/>
        <v>1820</v>
      </c>
      <c r="I597" s="111">
        <f t="shared" si="18"/>
        <v>109.2</v>
      </c>
    </row>
    <row r="598" spans="1:9" x14ac:dyDescent="0.35">
      <c r="A598" s="106">
        <v>45646</v>
      </c>
      <c r="B598" s="107" t="s">
        <v>313</v>
      </c>
      <c r="C598" s="107" t="s">
        <v>319</v>
      </c>
      <c r="D598" s="107" t="s">
        <v>320</v>
      </c>
      <c r="E598" s="107" t="s">
        <v>394</v>
      </c>
      <c r="F598" s="108">
        <v>30</v>
      </c>
      <c r="G598" s="109">
        <v>13</v>
      </c>
      <c r="H598" s="110">
        <f t="shared" si="19"/>
        <v>420</v>
      </c>
      <c r="I598" s="111">
        <f t="shared" si="18"/>
        <v>25.2</v>
      </c>
    </row>
    <row r="599" spans="1:9" x14ac:dyDescent="0.35">
      <c r="A599" s="106">
        <v>45647</v>
      </c>
      <c r="B599" s="107" t="s">
        <v>422</v>
      </c>
      <c r="C599" s="107" t="s">
        <v>393</v>
      </c>
      <c r="D599" s="107" t="s">
        <v>333</v>
      </c>
      <c r="E599" s="107" t="s">
        <v>348</v>
      </c>
      <c r="F599" s="108">
        <v>50</v>
      </c>
      <c r="G599" s="109">
        <v>24</v>
      </c>
      <c r="H599" s="110">
        <f t="shared" si="19"/>
        <v>1300</v>
      </c>
      <c r="I599" s="111">
        <f t="shared" si="18"/>
        <v>65</v>
      </c>
    </row>
    <row r="600" spans="1:9" x14ac:dyDescent="0.35">
      <c r="A600" s="106">
        <v>45647</v>
      </c>
      <c r="B600" s="107" t="s">
        <v>318</v>
      </c>
      <c r="C600" s="107" t="s">
        <v>393</v>
      </c>
      <c r="D600" s="107" t="s">
        <v>423</v>
      </c>
      <c r="E600" s="107" t="s">
        <v>339</v>
      </c>
      <c r="F600" s="108">
        <v>54</v>
      </c>
      <c r="G600" s="109">
        <v>4</v>
      </c>
      <c r="H600" s="110">
        <f t="shared" si="19"/>
        <v>324</v>
      </c>
      <c r="I600" s="111">
        <f t="shared" si="18"/>
        <v>19.439999999999998</v>
      </c>
    </row>
    <row r="601" spans="1:9" x14ac:dyDescent="0.35">
      <c r="A601" s="106">
        <v>45648</v>
      </c>
      <c r="B601" s="107" t="s">
        <v>327</v>
      </c>
      <c r="C601" s="107" t="s">
        <v>393</v>
      </c>
      <c r="D601" s="107" t="s">
        <v>423</v>
      </c>
      <c r="E601" s="107" t="s">
        <v>406</v>
      </c>
      <c r="F601" s="108">
        <v>48</v>
      </c>
      <c r="G601" s="109">
        <v>6</v>
      </c>
      <c r="H601" s="110">
        <f t="shared" si="19"/>
        <v>384</v>
      </c>
      <c r="I601" s="111">
        <f t="shared" si="18"/>
        <v>23.04</v>
      </c>
    </row>
    <row r="602" spans="1:9" x14ac:dyDescent="0.35">
      <c r="A602" s="106">
        <v>45648</v>
      </c>
      <c r="B602" s="107" t="s">
        <v>322</v>
      </c>
      <c r="C602" s="107" t="s">
        <v>332</v>
      </c>
      <c r="D602" s="107" t="s">
        <v>333</v>
      </c>
      <c r="E602" s="107" t="s">
        <v>388</v>
      </c>
      <c r="F602" s="108">
        <v>38</v>
      </c>
      <c r="G602" s="109">
        <v>17</v>
      </c>
      <c r="H602" s="110">
        <f t="shared" si="19"/>
        <v>798</v>
      </c>
      <c r="I602" s="111">
        <f t="shared" si="18"/>
        <v>39.900000000000006</v>
      </c>
    </row>
    <row r="603" spans="1:9" x14ac:dyDescent="0.35">
      <c r="A603" s="106">
        <v>45648</v>
      </c>
      <c r="B603" s="107" t="s">
        <v>322</v>
      </c>
      <c r="C603" s="107" t="s">
        <v>319</v>
      </c>
      <c r="D603" s="107" t="s">
        <v>324</v>
      </c>
      <c r="E603" s="107" t="s">
        <v>340</v>
      </c>
      <c r="F603" s="108">
        <v>6</v>
      </c>
      <c r="G603" s="109">
        <v>17</v>
      </c>
      <c r="H603" s="110">
        <f t="shared" si="19"/>
        <v>108</v>
      </c>
      <c r="I603" s="111">
        <f t="shared" si="18"/>
        <v>5.4</v>
      </c>
    </row>
    <row r="604" spans="1:9" x14ac:dyDescent="0.35">
      <c r="A604" s="106">
        <v>45648</v>
      </c>
      <c r="B604" s="107" t="s">
        <v>422</v>
      </c>
      <c r="C604" s="107" t="s">
        <v>319</v>
      </c>
      <c r="D604" s="107" t="s">
        <v>320</v>
      </c>
      <c r="E604" s="107" t="s">
        <v>339</v>
      </c>
      <c r="F604" s="108">
        <v>55</v>
      </c>
      <c r="G604" s="109">
        <v>24</v>
      </c>
      <c r="H604" s="110">
        <f t="shared" si="19"/>
        <v>1375</v>
      </c>
      <c r="I604" s="111">
        <f t="shared" si="18"/>
        <v>82.5</v>
      </c>
    </row>
    <row r="605" spans="1:9" x14ac:dyDescent="0.35">
      <c r="A605" s="106">
        <v>45648</v>
      </c>
      <c r="B605" s="107" t="s">
        <v>422</v>
      </c>
      <c r="C605" s="107" t="s">
        <v>393</v>
      </c>
      <c r="D605" s="107" t="s">
        <v>315</v>
      </c>
      <c r="E605" s="107" t="s">
        <v>454</v>
      </c>
      <c r="F605" s="108">
        <v>45</v>
      </c>
      <c r="G605" s="109">
        <v>24</v>
      </c>
      <c r="H605" s="110">
        <f t="shared" si="19"/>
        <v>1170</v>
      </c>
      <c r="I605" s="111">
        <f t="shared" si="18"/>
        <v>58.5</v>
      </c>
    </row>
    <row r="606" spans="1:9" x14ac:dyDescent="0.35">
      <c r="A606" s="106">
        <v>45648</v>
      </c>
      <c r="B606" s="107" t="s">
        <v>322</v>
      </c>
      <c r="C606" s="107" t="s">
        <v>319</v>
      </c>
      <c r="D606" s="107" t="s">
        <v>320</v>
      </c>
      <c r="E606" s="107" t="s">
        <v>346</v>
      </c>
      <c r="F606" s="108">
        <v>49</v>
      </c>
      <c r="G606" s="109">
        <v>17</v>
      </c>
      <c r="H606" s="110">
        <f t="shared" si="19"/>
        <v>882</v>
      </c>
      <c r="I606" s="111">
        <f t="shared" si="18"/>
        <v>52.919999999999995</v>
      </c>
    </row>
    <row r="607" spans="1:9" x14ac:dyDescent="0.35">
      <c r="A607" s="106">
        <v>45648</v>
      </c>
      <c r="B607" s="107" t="s">
        <v>322</v>
      </c>
      <c r="C607" s="107" t="s">
        <v>314</v>
      </c>
      <c r="D607" s="107" t="s">
        <v>333</v>
      </c>
      <c r="E607" s="107" t="s">
        <v>344</v>
      </c>
      <c r="F607" s="108">
        <v>56</v>
      </c>
      <c r="G607" s="109">
        <v>17</v>
      </c>
      <c r="H607" s="110">
        <f t="shared" si="19"/>
        <v>1120</v>
      </c>
      <c r="I607" s="111">
        <f t="shared" si="18"/>
        <v>56</v>
      </c>
    </row>
    <row r="608" spans="1:9" x14ac:dyDescent="0.35">
      <c r="A608" s="106">
        <v>45649</v>
      </c>
      <c r="B608" s="107" t="s">
        <v>422</v>
      </c>
      <c r="C608" s="107" t="s">
        <v>314</v>
      </c>
      <c r="D608" s="107" t="s">
        <v>324</v>
      </c>
      <c r="E608" s="107" t="s">
        <v>341</v>
      </c>
      <c r="F608" s="108">
        <v>53</v>
      </c>
      <c r="G608" s="109">
        <v>24</v>
      </c>
      <c r="H608" s="110">
        <f t="shared" si="19"/>
        <v>1431</v>
      </c>
      <c r="I608" s="111">
        <f t="shared" si="18"/>
        <v>71.55</v>
      </c>
    </row>
    <row r="609" spans="1:9" x14ac:dyDescent="0.35">
      <c r="A609" s="106">
        <v>45649</v>
      </c>
      <c r="B609" s="107" t="s">
        <v>318</v>
      </c>
      <c r="C609" s="107" t="s">
        <v>319</v>
      </c>
      <c r="D609" s="107" t="s">
        <v>423</v>
      </c>
      <c r="E609" s="107" t="s">
        <v>388</v>
      </c>
      <c r="F609" s="108">
        <v>59</v>
      </c>
      <c r="G609" s="109">
        <v>4</v>
      </c>
      <c r="H609" s="110">
        <f t="shared" si="19"/>
        <v>295</v>
      </c>
      <c r="I609" s="111">
        <f t="shared" si="18"/>
        <v>17.7</v>
      </c>
    </row>
    <row r="610" spans="1:9" x14ac:dyDescent="0.35">
      <c r="A610" s="106">
        <v>45649</v>
      </c>
      <c r="B610" s="107" t="s">
        <v>322</v>
      </c>
      <c r="C610" s="107" t="s">
        <v>319</v>
      </c>
      <c r="D610" s="107" t="s">
        <v>320</v>
      </c>
      <c r="E610" s="107" t="s">
        <v>349</v>
      </c>
      <c r="F610" s="108">
        <v>35</v>
      </c>
      <c r="G610" s="109">
        <v>17</v>
      </c>
      <c r="H610" s="110">
        <f t="shared" si="19"/>
        <v>630</v>
      </c>
      <c r="I610" s="111">
        <f t="shared" si="18"/>
        <v>37.799999999999997</v>
      </c>
    </row>
    <row r="611" spans="1:9" x14ac:dyDescent="0.35">
      <c r="A611" s="106">
        <v>45649</v>
      </c>
      <c r="B611" s="107" t="s">
        <v>322</v>
      </c>
      <c r="C611" s="107" t="s">
        <v>332</v>
      </c>
      <c r="D611" s="107" t="s">
        <v>315</v>
      </c>
      <c r="E611" s="107" t="s">
        <v>346</v>
      </c>
      <c r="F611" s="108">
        <v>33</v>
      </c>
      <c r="G611" s="109">
        <v>17</v>
      </c>
      <c r="H611" s="110">
        <f t="shared" si="19"/>
        <v>693</v>
      </c>
      <c r="I611" s="111">
        <f t="shared" si="18"/>
        <v>34.65</v>
      </c>
    </row>
    <row r="612" spans="1:9" x14ac:dyDescent="0.35">
      <c r="A612" s="106">
        <v>45649</v>
      </c>
      <c r="B612" s="107" t="s">
        <v>318</v>
      </c>
      <c r="C612" s="107" t="s">
        <v>393</v>
      </c>
      <c r="D612" s="107" t="s">
        <v>324</v>
      </c>
      <c r="E612" s="107" t="s">
        <v>331</v>
      </c>
      <c r="F612" s="108">
        <v>31</v>
      </c>
      <c r="G612" s="109">
        <v>4</v>
      </c>
      <c r="H612" s="110">
        <f t="shared" si="19"/>
        <v>186</v>
      </c>
      <c r="I612" s="111">
        <f t="shared" si="18"/>
        <v>9.3000000000000007</v>
      </c>
    </row>
    <row r="613" spans="1:9" x14ac:dyDescent="0.35">
      <c r="A613" s="106">
        <v>45649</v>
      </c>
      <c r="B613" s="107" t="s">
        <v>422</v>
      </c>
      <c r="C613" s="107" t="s">
        <v>314</v>
      </c>
      <c r="D613" s="107" t="s">
        <v>320</v>
      </c>
      <c r="E613" s="107" t="s">
        <v>416</v>
      </c>
      <c r="F613" s="108">
        <v>26</v>
      </c>
      <c r="G613" s="109">
        <v>24</v>
      </c>
      <c r="H613" s="110">
        <f t="shared" si="19"/>
        <v>702</v>
      </c>
      <c r="I613" s="111">
        <f t="shared" si="18"/>
        <v>42.12</v>
      </c>
    </row>
    <row r="614" spans="1:9" x14ac:dyDescent="0.35">
      <c r="A614" s="106">
        <v>45649</v>
      </c>
      <c r="B614" s="107" t="s">
        <v>327</v>
      </c>
      <c r="C614" s="107" t="s">
        <v>319</v>
      </c>
      <c r="D614" s="107" t="s">
        <v>324</v>
      </c>
      <c r="E614" s="107" t="s">
        <v>405</v>
      </c>
      <c r="F614" s="108">
        <v>21</v>
      </c>
      <c r="G614" s="109">
        <v>6</v>
      </c>
      <c r="H614" s="110">
        <f t="shared" si="19"/>
        <v>147</v>
      </c>
      <c r="I614" s="111">
        <f t="shared" si="18"/>
        <v>7.3500000000000005</v>
      </c>
    </row>
    <row r="615" spans="1:9" x14ac:dyDescent="0.35">
      <c r="A615" s="106">
        <v>45650</v>
      </c>
      <c r="B615" s="107" t="s">
        <v>422</v>
      </c>
      <c r="C615" s="107" t="s">
        <v>319</v>
      </c>
      <c r="D615" s="107" t="s">
        <v>315</v>
      </c>
      <c r="E615" s="107" t="s">
        <v>349</v>
      </c>
      <c r="F615" s="108">
        <v>25</v>
      </c>
      <c r="G615" s="109">
        <v>24</v>
      </c>
      <c r="H615" s="110">
        <f t="shared" si="19"/>
        <v>625</v>
      </c>
      <c r="I615" s="111">
        <f t="shared" si="18"/>
        <v>31.25</v>
      </c>
    </row>
    <row r="616" spans="1:9" x14ac:dyDescent="0.35">
      <c r="A616" s="106">
        <v>45650</v>
      </c>
      <c r="B616" s="107" t="s">
        <v>313</v>
      </c>
      <c r="C616" s="107" t="s">
        <v>332</v>
      </c>
      <c r="D616" s="107" t="s">
        <v>320</v>
      </c>
      <c r="E616" s="107" t="s">
        <v>344</v>
      </c>
      <c r="F616" s="108">
        <v>23</v>
      </c>
      <c r="G616" s="109">
        <v>13</v>
      </c>
      <c r="H616" s="110">
        <f t="shared" si="19"/>
        <v>391</v>
      </c>
      <c r="I616" s="111">
        <f t="shared" si="18"/>
        <v>23.46</v>
      </c>
    </row>
    <row r="617" spans="1:9" x14ac:dyDescent="0.35">
      <c r="A617" s="106">
        <v>45650</v>
      </c>
      <c r="B617" s="107" t="s">
        <v>322</v>
      </c>
      <c r="C617" s="107" t="s">
        <v>332</v>
      </c>
      <c r="D617" s="107" t="s">
        <v>320</v>
      </c>
      <c r="E617" s="107" t="s">
        <v>405</v>
      </c>
      <c r="F617" s="108">
        <v>64</v>
      </c>
      <c r="G617" s="109">
        <v>17</v>
      </c>
      <c r="H617" s="110">
        <f t="shared" si="19"/>
        <v>1344</v>
      </c>
      <c r="I617" s="111">
        <f t="shared" si="18"/>
        <v>80.64</v>
      </c>
    </row>
    <row r="618" spans="1:9" x14ac:dyDescent="0.35">
      <c r="A618" s="106">
        <v>45651</v>
      </c>
      <c r="B618" s="107" t="s">
        <v>313</v>
      </c>
      <c r="C618" s="107" t="s">
        <v>332</v>
      </c>
      <c r="D618" s="107" t="s">
        <v>390</v>
      </c>
      <c r="E618" s="107" t="s">
        <v>349</v>
      </c>
      <c r="F618" s="108">
        <v>58</v>
      </c>
      <c r="G618" s="109">
        <v>13</v>
      </c>
      <c r="H618" s="110">
        <f t="shared" si="19"/>
        <v>986</v>
      </c>
      <c r="I618" s="111">
        <f t="shared" si="18"/>
        <v>49.300000000000004</v>
      </c>
    </row>
    <row r="619" spans="1:9" x14ac:dyDescent="0.35">
      <c r="A619" s="106">
        <v>45652</v>
      </c>
      <c r="B619" s="107" t="s">
        <v>422</v>
      </c>
      <c r="C619" s="107" t="s">
        <v>319</v>
      </c>
      <c r="D619" s="107" t="s">
        <v>333</v>
      </c>
      <c r="E619" s="107" t="s">
        <v>395</v>
      </c>
      <c r="F619" s="108">
        <v>61</v>
      </c>
      <c r="G619" s="109">
        <v>24</v>
      </c>
      <c r="H619" s="110">
        <f t="shared" si="19"/>
        <v>1525</v>
      </c>
      <c r="I619" s="111">
        <f t="shared" si="18"/>
        <v>76.25</v>
      </c>
    </row>
    <row r="620" spans="1:9" x14ac:dyDescent="0.35">
      <c r="A620" s="106">
        <v>45652</v>
      </c>
      <c r="B620" s="107" t="s">
        <v>322</v>
      </c>
      <c r="C620" s="107" t="s">
        <v>319</v>
      </c>
      <c r="D620" s="107" t="s">
        <v>324</v>
      </c>
      <c r="E620" s="107" t="s">
        <v>339</v>
      </c>
      <c r="F620" s="108">
        <v>30</v>
      </c>
      <c r="G620" s="109">
        <v>17</v>
      </c>
      <c r="H620" s="110">
        <f t="shared" si="19"/>
        <v>540</v>
      </c>
      <c r="I620" s="111">
        <f t="shared" si="18"/>
        <v>27</v>
      </c>
    </row>
    <row r="621" spans="1:9" x14ac:dyDescent="0.35">
      <c r="A621" s="106">
        <v>45652</v>
      </c>
      <c r="B621" s="107" t="s">
        <v>318</v>
      </c>
      <c r="C621" s="107" t="s">
        <v>332</v>
      </c>
      <c r="D621" s="107" t="s">
        <v>333</v>
      </c>
      <c r="E621" s="107" t="s">
        <v>400</v>
      </c>
      <c r="F621" s="108">
        <v>15</v>
      </c>
      <c r="G621" s="109">
        <v>4</v>
      </c>
      <c r="H621" s="110">
        <f t="shared" si="19"/>
        <v>120</v>
      </c>
      <c r="I621" s="111">
        <f t="shared" si="18"/>
        <v>6</v>
      </c>
    </row>
    <row r="622" spans="1:9" x14ac:dyDescent="0.35">
      <c r="A622" s="106">
        <v>45652</v>
      </c>
      <c r="B622" s="107" t="s">
        <v>313</v>
      </c>
      <c r="C622" s="107" t="s">
        <v>393</v>
      </c>
      <c r="D622" s="107" t="s">
        <v>324</v>
      </c>
      <c r="E622" s="107" t="s">
        <v>405</v>
      </c>
      <c r="F622" s="108">
        <v>19</v>
      </c>
      <c r="G622" s="109">
        <v>13</v>
      </c>
      <c r="H622" s="110">
        <f t="shared" si="19"/>
        <v>285</v>
      </c>
      <c r="I622" s="111">
        <f t="shared" si="18"/>
        <v>14.25</v>
      </c>
    </row>
    <row r="623" spans="1:9" x14ac:dyDescent="0.35">
      <c r="A623" s="106">
        <v>45653</v>
      </c>
      <c r="B623" s="107" t="s">
        <v>422</v>
      </c>
      <c r="C623" s="107" t="s">
        <v>332</v>
      </c>
      <c r="D623" s="107" t="s">
        <v>423</v>
      </c>
      <c r="E623" s="107" t="s">
        <v>341</v>
      </c>
      <c r="F623" s="108">
        <v>37</v>
      </c>
      <c r="G623" s="109">
        <v>24</v>
      </c>
      <c r="H623" s="110">
        <f t="shared" si="19"/>
        <v>1036</v>
      </c>
      <c r="I623" s="111">
        <f t="shared" si="18"/>
        <v>62.16</v>
      </c>
    </row>
    <row r="624" spans="1:9" x14ac:dyDescent="0.35">
      <c r="A624" s="106">
        <v>45654</v>
      </c>
      <c r="B624" s="107" t="s">
        <v>322</v>
      </c>
      <c r="C624" s="107" t="s">
        <v>314</v>
      </c>
      <c r="D624" s="107" t="s">
        <v>423</v>
      </c>
      <c r="E624" s="107" t="s">
        <v>342</v>
      </c>
      <c r="F624" s="108">
        <v>42</v>
      </c>
      <c r="G624" s="109">
        <v>17</v>
      </c>
      <c r="H624" s="110">
        <f t="shared" si="19"/>
        <v>840</v>
      </c>
      <c r="I624" s="111">
        <f t="shared" si="18"/>
        <v>50.4</v>
      </c>
    </row>
    <row r="625" spans="1:9" x14ac:dyDescent="0.35">
      <c r="A625" s="106">
        <v>45654</v>
      </c>
      <c r="B625" s="107" t="s">
        <v>327</v>
      </c>
      <c r="C625" s="107" t="s">
        <v>319</v>
      </c>
      <c r="D625" s="107" t="s">
        <v>333</v>
      </c>
      <c r="E625" s="107" t="s">
        <v>340</v>
      </c>
      <c r="F625" s="108">
        <v>18</v>
      </c>
      <c r="G625" s="109">
        <v>6</v>
      </c>
      <c r="H625" s="110">
        <f t="shared" si="19"/>
        <v>126</v>
      </c>
      <c r="I625" s="111">
        <f t="shared" si="18"/>
        <v>6.3000000000000007</v>
      </c>
    </row>
    <row r="626" spans="1:9" x14ac:dyDescent="0.35">
      <c r="A626" s="106">
        <v>45654</v>
      </c>
      <c r="B626" s="107" t="s">
        <v>322</v>
      </c>
      <c r="C626" s="107" t="s">
        <v>314</v>
      </c>
      <c r="D626" s="107" t="s">
        <v>315</v>
      </c>
      <c r="E626" s="107" t="s">
        <v>347</v>
      </c>
      <c r="F626" s="108">
        <v>20</v>
      </c>
      <c r="G626" s="109">
        <v>17</v>
      </c>
      <c r="H626" s="110">
        <f t="shared" si="19"/>
        <v>400</v>
      </c>
      <c r="I626" s="111">
        <f t="shared" si="18"/>
        <v>20</v>
      </c>
    </row>
    <row r="627" spans="1:9" x14ac:dyDescent="0.35">
      <c r="A627" s="106">
        <v>45655</v>
      </c>
      <c r="B627" s="107" t="s">
        <v>422</v>
      </c>
      <c r="C627" s="107" t="s">
        <v>393</v>
      </c>
      <c r="D627" s="107" t="s">
        <v>338</v>
      </c>
      <c r="E627" s="107" t="s">
        <v>345</v>
      </c>
      <c r="F627" s="108">
        <v>52</v>
      </c>
      <c r="G627" s="109">
        <v>24</v>
      </c>
      <c r="H627" s="110">
        <f t="shared" si="19"/>
        <v>1352</v>
      </c>
      <c r="I627" s="111">
        <f t="shared" si="18"/>
        <v>81.11999999999999</v>
      </c>
    </row>
    <row r="628" spans="1:9" x14ac:dyDescent="0.35">
      <c r="A628" s="106">
        <v>45656</v>
      </c>
      <c r="B628" s="107" t="s">
        <v>313</v>
      </c>
      <c r="C628" s="107" t="s">
        <v>393</v>
      </c>
      <c r="D628" s="107" t="s">
        <v>423</v>
      </c>
      <c r="E628" s="107" t="s">
        <v>341</v>
      </c>
      <c r="F628" s="108">
        <v>51</v>
      </c>
      <c r="G628" s="109">
        <v>13</v>
      </c>
      <c r="H628" s="110">
        <f t="shared" si="19"/>
        <v>765</v>
      </c>
      <c r="I628" s="111">
        <f t="shared" si="18"/>
        <v>45.9</v>
      </c>
    </row>
    <row r="629" spans="1:9" x14ac:dyDescent="0.35">
      <c r="A629" s="106">
        <v>45656</v>
      </c>
      <c r="B629" s="107" t="s">
        <v>327</v>
      </c>
      <c r="C629" s="107" t="s">
        <v>393</v>
      </c>
      <c r="D629" s="107" t="s">
        <v>390</v>
      </c>
      <c r="E629" s="107" t="s">
        <v>340</v>
      </c>
      <c r="F629" s="108">
        <v>25</v>
      </c>
      <c r="G629" s="109">
        <v>6</v>
      </c>
      <c r="H629" s="110">
        <f t="shared" si="19"/>
        <v>200</v>
      </c>
      <c r="I629" s="111">
        <f t="shared" si="18"/>
        <v>10</v>
      </c>
    </row>
    <row r="630" spans="1:9" x14ac:dyDescent="0.35">
      <c r="A630" s="106">
        <v>45656</v>
      </c>
      <c r="B630" s="107" t="s">
        <v>318</v>
      </c>
      <c r="C630" s="107" t="s">
        <v>393</v>
      </c>
      <c r="D630" s="107" t="s">
        <v>333</v>
      </c>
      <c r="E630" s="107" t="s">
        <v>337</v>
      </c>
      <c r="F630" s="108">
        <v>34</v>
      </c>
      <c r="G630" s="109">
        <v>4</v>
      </c>
      <c r="H630" s="110">
        <f t="shared" si="19"/>
        <v>204</v>
      </c>
      <c r="I630" s="111">
        <f t="shared" si="18"/>
        <v>10.200000000000001</v>
      </c>
    </row>
    <row r="631" spans="1:9" x14ac:dyDescent="0.35">
      <c r="A631" s="106">
        <v>45656</v>
      </c>
      <c r="B631" s="107" t="s">
        <v>422</v>
      </c>
      <c r="C631" s="107" t="s">
        <v>332</v>
      </c>
      <c r="D631" s="107" t="s">
        <v>315</v>
      </c>
      <c r="E631" s="107" t="s">
        <v>394</v>
      </c>
      <c r="F631" s="108">
        <v>14</v>
      </c>
      <c r="G631" s="109">
        <v>24</v>
      </c>
      <c r="H631" s="110">
        <f t="shared" si="19"/>
        <v>392</v>
      </c>
      <c r="I631" s="111">
        <f t="shared" si="18"/>
        <v>19.600000000000001</v>
      </c>
    </row>
    <row r="632" spans="1:9" x14ac:dyDescent="0.35">
      <c r="A632" s="106">
        <v>45656</v>
      </c>
      <c r="B632" s="107" t="s">
        <v>327</v>
      </c>
      <c r="C632" s="107" t="s">
        <v>314</v>
      </c>
      <c r="D632" s="107" t="s">
        <v>324</v>
      </c>
      <c r="E632" s="107" t="s">
        <v>416</v>
      </c>
      <c r="F632" s="108">
        <v>51</v>
      </c>
      <c r="G632" s="109">
        <v>6</v>
      </c>
      <c r="H632" s="110">
        <f t="shared" si="19"/>
        <v>459</v>
      </c>
      <c r="I632" s="111">
        <f t="shared" si="18"/>
        <v>22.950000000000003</v>
      </c>
    </row>
    <row r="633" spans="1:9" x14ac:dyDescent="0.35">
      <c r="A633" s="106">
        <v>45656</v>
      </c>
      <c r="B633" s="107" t="s">
        <v>318</v>
      </c>
      <c r="C633" s="107" t="s">
        <v>332</v>
      </c>
      <c r="D633" s="107" t="s">
        <v>320</v>
      </c>
      <c r="E633" s="107" t="s">
        <v>350</v>
      </c>
      <c r="F633" s="108">
        <v>46</v>
      </c>
      <c r="G633" s="109">
        <v>4</v>
      </c>
      <c r="H633" s="110">
        <f t="shared" si="19"/>
        <v>368</v>
      </c>
      <c r="I633" s="111">
        <f t="shared" si="18"/>
        <v>22.08</v>
      </c>
    </row>
    <row r="634" spans="1:9" x14ac:dyDescent="0.35">
      <c r="A634" s="106">
        <v>45657</v>
      </c>
      <c r="B634" s="107" t="s">
        <v>313</v>
      </c>
      <c r="C634" s="107" t="s">
        <v>393</v>
      </c>
      <c r="D634" s="107" t="s">
        <v>324</v>
      </c>
      <c r="E634" s="107" t="s">
        <v>454</v>
      </c>
      <c r="F634" s="108">
        <v>53</v>
      </c>
      <c r="G634" s="109">
        <v>13</v>
      </c>
      <c r="H634" s="110">
        <f t="shared" si="19"/>
        <v>795</v>
      </c>
      <c r="I634" s="111">
        <f t="shared" si="18"/>
        <v>39.75</v>
      </c>
    </row>
    <row r="635" spans="1:9" x14ac:dyDescent="0.35">
      <c r="A635" s="106">
        <v>45657</v>
      </c>
      <c r="B635" s="107" t="s">
        <v>422</v>
      </c>
      <c r="C635" s="107" t="s">
        <v>332</v>
      </c>
      <c r="D635" s="107" t="s">
        <v>324</v>
      </c>
      <c r="E635" s="107" t="s">
        <v>344</v>
      </c>
      <c r="F635" s="108">
        <v>26</v>
      </c>
      <c r="G635" s="109">
        <v>24</v>
      </c>
      <c r="H635" s="110">
        <f t="shared" si="19"/>
        <v>728</v>
      </c>
      <c r="I635" s="111">
        <f t="shared" si="18"/>
        <v>36.4</v>
      </c>
    </row>
    <row r="636" spans="1:9" x14ac:dyDescent="0.35">
      <c r="A636" s="106">
        <v>45657</v>
      </c>
      <c r="B636" s="107" t="s">
        <v>327</v>
      </c>
      <c r="C636" s="107" t="s">
        <v>319</v>
      </c>
      <c r="D636" s="107" t="s">
        <v>315</v>
      </c>
      <c r="E636" s="107" t="s">
        <v>335</v>
      </c>
      <c r="F636" s="108">
        <v>39</v>
      </c>
      <c r="G636" s="109">
        <v>6</v>
      </c>
      <c r="H636" s="110">
        <f t="shared" si="19"/>
        <v>273</v>
      </c>
      <c r="I636" s="111">
        <f t="shared" si="18"/>
        <v>13.65</v>
      </c>
    </row>
    <row r="637" spans="1:9" x14ac:dyDescent="0.35">
      <c r="A637" s="106">
        <v>45658</v>
      </c>
      <c r="B637" s="107" t="s">
        <v>322</v>
      </c>
      <c r="C637" s="107" t="s">
        <v>332</v>
      </c>
      <c r="D637" s="107" t="s">
        <v>315</v>
      </c>
      <c r="E637" s="107" t="s">
        <v>388</v>
      </c>
      <c r="F637" s="108">
        <v>32</v>
      </c>
      <c r="G637" s="109">
        <v>17</v>
      </c>
      <c r="H637" s="110">
        <f t="shared" si="19"/>
        <v>672</v>
      </c>
      <c r="I637" s="111">
        <f t="shared" si="18"/>
        <v>33.6</v>
      </c>
    </row>
    <row r="638" spans="1:9" x14ac:dyDescent="0.35">
      <c r="A638" s="106">
        <v>45658</v>
      </c>
      <c r="B638" s="107" t="s">
        <v>422</v>
      </c>
      <c r="C638" s="107" t="s">
        <v>332</v>
      </c>
      <c r="D638" s="107" t="s">
        <v>338</v>
      </c>
      <c r="E638" s="107" t="s">
        <v>400</v>
      </c>
      <c r="F638" s="108">
        <v>17</v>
      </c>
      <c r="G638" s="109">
        <v>24</v>
      </c>
      <c r="H638" s="110">
        <f t="shared" si="19"/>
        <v>476</v>
      </c>
      <c r="I638" s="111">
        <f t="shared" si="18"/>
        <v>28.56</v>
      </c>
    </row>
    <row r="639" spans="1:9" x14ac:dyDescent="0.35">
      <c r="A639" s="106">
        <v>45658</v>
      </c>
      <c r="B639" s="107" t="s">
        <v>318</v>
      </c>
      <c r="C639" s="107" t="s">
        <v>332</v>
      </c>
      <c r="D639" s="107" t="s">
        <v>315</v>
      </c>
      <c r="E639" s="107" t="s">
        <v>344</v>
      </c>
      <c r="F639" s="108">
        <v>42</v>
      </c>
      <c r="G639" s="109">
        <v>4</v>
      </c>
      <c r="H639" s="110">
        <f t="shared" si="19"/>
        <v>336</v>
      </c>
      <c r="I639" s="111">
        <f t="shared" si="18"/>
        <v>16.8</v>
      </c>
    </row>
    <row r="640" spans="1:9" x14ac:dyDescent="0.35">
      <c r="A640" s="106">
        <v>45658</v>
      </c>
      <c r="B640" s="107" t="s">
        <v>313</v>
      </c>
      <c r="C640" s="107" t="s">
        <v>393</v>
      </c>
      <c r="D640" s="107" t="s">
        <v>320</v>
      </c>
      <c r="E640" s="107" t="s">
        <v>350</v>
      </c>
      <c r="F640" s="108">
        <v>17</v>
      </c>
      <c r="G640" s="109">
        <v>13</v>
      </c>
      <c r="H640" s="110">
        <f t="shared" si="19"/>
        <v>255</v>
      </c>
      <c r="I640" s="111">
        <f t="shared" si="18"/>
        <v>15.299999999999999</v>
      </c>
    </row>
    <row r="641" spans="1:9" x14ac:dyDescent="0.35">
      <c r="A641" s="106">
        <v>45659</v>
      </c>
      <c r="B641" s="107" t="s">
        <v>313</v>
      </c>
      <c r="C641" s="107" t="s">
        <v>319</v>
      </c>
      <c r="D641" s="107" t="s">
        <v>320</v>
      </c>
      <c r="E641" s="107" t="s">
        <v>345</v>
      </c>
      <c r="F641" s="108">
        <v>34</v>
      </c>
      <c r="G641" s="109">
        <v>13</v>
      </c>
      <c r="H641" s="110">
        <f t="shared" si="19"/>
        <v>476</v>
      </c>
      <c r="I641" s="111">
        <f t="shared" si="18"/>
        <v>28.56</v>
      </c>
    </row>
    <row r="642" spans="1:9" x14ac:dyDescent="0.35">
      <c r="A642" s="106">
        <v>45660</v>
      </c>
      <c r="B642" s="107" t="s">
        <v>318</v>
      </c>
      <c r="C642" s="107" t="s">
        <v>319</v>
      </c>
      <c r="D642" s="107" t="s">
        <v>333</v>
      </c>
      <c r="E642" s="107" t="s">
        <v>340</v>
      </c>
      <c r="F642" s="108">
        <v>38</v>
      </c>
      <c r="G642" s="109">
        <v>4</v>
      </c>
      <c r="H642" s="110">
        <f t="shared" si="19"/>
        <v>190</v>
      </c>
      <c r="I642" s="111">
        <f t="shared" ref="I642:I705" si="20">H642*VLOOKUP(D642,$O$4:$P$10,2,TRUE)</f>
        <v>9.5</v>
      </c>
    </row>
    <row r="643" spans="1:9" x14ac:dyDescent="0.35">
      <c r="A643" s="106">
        <v>45660</v>
      </c>
      <c r="B643" s="107" t="s">
        <v>318</v>
      </c>
      <c r="C643" s="107" t="s">
        <v>393</v>
      </c>
      <c r="D643" s="107" t="s">
        <v>423</v>
      </c>
      <c r="E643" s="107" t="s">
        <v>329</v>
      </c>
      <c r="F643" s="108">
        <v>65</v>
      </c>
      <c r="G643" s="109">
        <v>4</v>
      </c>
      <c r="H643" s="110">
        <f t="shared" ref="H643:H706" si="21">(F643*G643)+VLOOKUP(C643,$K$11:$L$14,2,FALSE)*F643</f>
        <v>390</v>
      </c>
      <c r="I643" s="111">
        <f t="shared" si="20"/>
        <v>23.4</v>
      </c>
    </row>
    <row r="644" spans="1:9" x14ac:dyDescent="0.35">
      <c r="A644" s="106">
        <v>45660</v>
      </c>
      <c r="B644" s="107" t="s">
        <v>327</v>
      </c>
      <c r="C644" s="107" t="s">
        <v>314</v>
      </c>
      <c r="D644" s="107" t="s">
        <v>320</v>
      </c>
      <c r="E644" s="107" t="s">
        <v>394</v>
      </c>
      <c r="F644" s="108">
        <v>38</v>
      </c>
      <c r="G644" s="109">
        <v>6</v>
      </c>
      <c r="H644" s="110">
        <f t="shared" si="21"/>
        <v>342</v>
      </c>
      <c r="I644" s="111">
        <f t="shared" si="20"/>
        <v>20.52</v>
      </c>
    </row>
    <row r="645" spans="1:9" x14ac:dyDescent="0.35">
      <c r="A645" s="106">
        <v>45661</v>
      </c>
      <c r="B645" s="107" t="s">
        <v>322</v>
      </c>
      <c r="C645" s="107" t="s">
        <v>393</v>
      </c>
      <c r="D645" s="107" t="s">
        <v>333</v>
      </c>
      <c r="E645" s="107" t="s">
        <v>388</v>
      </c>
      <c r="F645" s="108">
        <v>34</v>
      </c>
      <c r="G645" s="109">
        <v>17</v>
      </c>
      <c r="H645" s="110">
        <f t="shared" si="21"/>
        <v>646</v>
      </c>
      <c r="I645" s="111">
        <f t="shared" si="20"/>
        <v>32.300000000000004</v>
      </c>
    </row>
    <row r="646" spans="1:9" x14ac:dyDescent="0.35">
      <c r="A646" s="106">
        <v>45661</v>
      </c>
      <c r="B646" s="107" t="s">
        <v>327</v>
      </c>
      <c r="C646" s="107" t="s">
        <v>393</v>
      </c>
      <c r="D646" s="107" t="s">
        <v>333</v>
      </c>
      <c r="E646" s="107" t="s">
        <v>339</v>
      </c>
      <c r="F646" s="108">
        <v>9</v>
      </c>
      <c r="G646" s="109">
        <v>6</v>
      </c>
      <c r="H646" s="110">
        <f t="shared" si="21"/>
        <v>72</v>
      </c>
      <c r="I646" s="111">
        <f t="shared" si="20"/>
        <v>3.6</v>
      </c>
    </row>
    <row r="647" spans="1:9" x14ac:dyDescent="0.35">
      <c r="A647" s="106">
        <v>45661</v>
      </c>
      <c r="B647" s="107" t="s">
        <v>422</v>
      </c>
      <c r="C647" s="107" t="s">
        <v>332</v>
      </c>
      <c r="D647" s="107" t="s">
        <v>324</v>
      </c>
      <c r="E647" s="107" t="s">
        <v>343</v>
      </c>
      <c r="F647" s="108">
        <v>44</v>
      </c>
      <c r="G647" s="109">
        <v>24</v>
      </c>
      <c r="H647" s="110">
        <f t="shared" si="21"/>
        <v>1232</v>
      </c>
      <c r="I647" s="111">
        <f t="shared" si="20"/>
        <v>61.6</v>
      </c>
    </row>
    <row r="648" spans="1:9" x14ac:dyDescent="0.35">
      <c r="A648" s="106">
        <v>45661</v>
      </c>
      <c r="B648" s="107" t="s">
        <v>318</v>
      </c>
      <c r="C648" s="107" t="s">
        <v>319</v>
      </c>
      <c r="D648" s="107" t="s">
        <v>390</v>
      </c>
      <c r="E648" s="107" t="s">
        <v>405</v>
      </c>
      <c r="F648" s="108">
        <v>53</v>
      </c>
      <c r="G648" s="109">
        <v>4</v>
      </c>
      <c r="H648" s="110">
        <f t="shared" si="21"/>
        <v>265</v>
      </c>
      <c r="I648" s="111">
        <f t="shared" si="20"/>
        <v>13.25</v>
      </c>
    </row>
    <row r="649" spans="1:9" x14ac:dyDescent="0.35">
      <c r="A649" s="106">
        <v>45661</v>
      </c>
      <c r="B649" s="107" t="s">
        <v>318</v>
      </c>
      <c r="C649" s="107" t="s">
        <v>314</v>
      </c>
      <c r="D649" s="107" t="s">
        <v>320</v>
      </c>
      <c r="E649" s="107" t="s">
        <v>350</v>
      </c>
      <c r="F649" s="108">
        <v>10</v>
      </c>
      <c r="G649" s="109">
        <v>4</v>
      </c>
      <c r="H649" s="110">
        <f t="shared" si="21"/>
        <v>70</v>
      </c>
      <c r="I649" s="111">
        <f t="shared" si="20"/>
        <v>4.2</v>
      </c>
    </row>
    <row r="650" spans="1:9" x14ac:dyDescent="0.35">
      <c r="A650" s="106">
        <v>45662</v>
      </c>
      <c r="B650" s="107" t="s">
        <v>313</v>
      </c>
      <c r="C650" s="107" t="s">
        <v>393</v>
      </c>
      <c r="D650" s="107" t="s">
        <v>333</v>
      </c>
      <c r="E650" s="107" t="s">
        <v>340</v>
      </c>
      <c r="F650" s="108">
        <v>40</v>
      </c>
      <c r="G650" s="109">
        <v>13</v>
      </c>
      <c r="H650" s="110">
        <f t="shared" si="21"/>
        <v>600</v>
      </c>
      <c r="I650" s="111">
        <f t="shared" si="20"/>
        <v>30</v>
      </c>
    </row>
    <row r="651" spans="1:9" x14ac:dyDescent="0.35">
      <c r="A651" s="106">
        <v>45662</v>
      </c>
      <c r="B651" s="107" t="s">
        <v>313</v>
      </c>
      <c r="C651" s="107" t="s">
        <v>314</v>
      </c>
      <c r="D651" s="107" t="s">
        <v>315</v>
      </c>
      <c r="E651" s="107" t="s">
        <v>346</v>
      </c>
      <c r="F651" s="108">
        <v>50</v>
      </c>
      <c r="G651" s="109">
        <v>13</v>
      </c>
      <c r="H651" s="110">
        <f t="shared" si="21"/>
        <v>800</v>
      </c>
      <c r="I651" s="111">
        <f t="shared" si="20"/>
        <v>40</v>
      </c>
    </row>
    <row r="652" spans="1:9" x14ac:dyDescent="0.35">
      <c r="A652" s="106">
        <v>45662</v>
      </c>
      <c r="B652" s="107" t="s">
        <v>322</v>
      </c>
      <c r="C652" s="107" t="s">
        <v>314</v>
      </c>
      <c r="D652" s="107" t="s">
        <v>324</v>
      </c>
      <c r="E652" s="107" t="s">
        <v>335</v>
      </c>
      <c r="F652" s="108">
        <v>25</v>
      </c>
      <c r="G652" s="109">
        <v>17</v>
      </c>
      <c r="H652" s="110">
        <f t="shared" si="21"/>
        <v>500</v>
      </c>
      <c r="I652" s="111">
        <f t="shared" si="20"/>
        <v>25</v>
      </c>
    </row>
    <row r="653" spans="1:9" x14ac:dyDescent="0.35">
      <c r="A653" s="106">
        <v>45663</v>
      </c>
      <c r="B653" s="107" t="s">
        <v>322</v>
      </c>
      <c r="C653" s="107" t="s">
        <v>393</v>
      </c>
      <c r="D653" s="107" t="s">
        <v>333</v>
      </c>
      <c r="E653" s="107" t="s">
        <v>349</v>
      </c>
      <c r="F653" s="108">
        <v>39</v>
      </c>
      <c r="G653" s="109">
        <v>17</v>
      </c>
      <c r="H653" s="110">
        <f t="shared" si="21"/>
        <v>741</v>
      </c>
      <c r="I653" s="111">
        <f t="shared" si="20"/>
        <v>37.050000000000004</v>
      </c>
    </row>
    <row r="654" spans="1:9" x14ac:dyDescent="0.35">
      <c r="A654" s="106">
        <v>45663</v>
      </c>
      <c r="B654" s="107" t="s">
        <v>313</v>
      </c>
      <c r="C654" s="107" t="s">
        <v>314</v>
      </c>
      <c r="D654" s="107" t="s">
        <v>324</v>
      </c>
      <c r="E654" s="107" t="s">
        <v>350</v>
      </c>
      <c r="F654" s="108">
        <v>24</v>
      </c>
      <c r="G654" s="109">
        <v>13</v>
      </c>
      <c r="H654" s="110">
        <f t="shared" si="21"/>
        <v>384</v>
      </c>
      <c r="I654" s="111">
        <f t="shared" si="20"/>
        <v>19.200000000000003</v>
      </c>
    </row>
    <row r="655" spans="1:9" x14ac:dyDescent="0.35">
      <c r="A655" s="106">
        <v>45664</v>
      </c>
      <c r="B655" s="107" t="s">
        <v>322</v>
      </c>
      <c r="C655" s="107" t="s">
        <v>319</v>
      </c>
      <c r="D655" s="107" t="s">
        <v>390</v>
      </c>
      <c r="E655" s="107" t="s">
        <v>340</v>
      </c>
      <c r="F655" s="108">
        <v>7</v>
      </c>
      <c r="G655" s="109">
        <v>17</v>
      </c>
      <c r="H655" s="110">
        <f t="shared" si="21"/>
        <v>126</v>
      </c>
      <c r="I655" s="111">
        <f t="shared" si="20"/>
        <v>6.3000000000000007</v>
      </c>
    </row>
    <row r="656" spans="1:9" x14ac:dyDescent="0.35">
      <c r="A656" s="106">
        <v>45664</v>
      </c>
      <c r="B656" s="107" t="s">
        <v>313</v>
      </c>
      <c r="C656" s="107" t="s">
        <v>319</v>
      </c>
      <c r="D656" s="107" t="s">
        <v>320</v>
      </c>
      <c r="E656" s="107" t="s">
        <v>340</v>
      </c>
      <c r="F656" s="108">
        <v>9</v>
      </c>
      <c r="G656" s="109">
        <v>13</v>
      </c>
      <c r="H656" s="110">
        <f t="shared" si="21"/>
        <v>126</v>
      </c>
      <c r="I656" s="111">
        <f t="shared" si="20"/>
        <v>7.56</v>
      </c>
    </row>
    <row r="657" spans="1:9" x14ac:dyDescent="0.35">
      <c r="A657" s="106">
        <v>45664</v>
      </c>
      <c r="B657" s="107" t="s">
        <v>318</v>
      </c>
      <c r="C657" s="107" t="s">
        <v>393</v>
      </c>
      <c r="D657" s="107" t="s">
        <v>338</v>
      </c>
      <c r="E657" s="107" t="s">
        <v>400</v>
      </c>
      <c r="F657" s="108">
        <v>63</v>
      </c>
      <c r="G657" s="109">
        <v>4</v>
      </c>
      <c r="H657" s="110">
        <f t="shared" si="21"/>
        <v>378</v>
      </c>
      <c r="I657" s="111">
        <f t="shared" si="20"/>
        <v>22.68</v>
      </c>
    </row>
    <row r="658" spans="1:9" x14ac:dyDescent="0.35">
      <c r="A658" s="106">
        <v>45664</v>
      </c>
      <c r="B658" s="107" t="s">
        <v>322</v>
      </c>
      <c r="C658" s="107" t="s">
        <v>393</v>
      </c>
      <c r="D658" s="107" t="s">
        <v>333</v>
      </c>
      <c r="E658" s="107" t="s">
        <v>344</v>
      </c>
      <c r="F658" s="108">
        <v>49</v>
      </c>
      <c r="G658" s="109">
        <v>17</v>
      </c>
      <c r="H658" s="110">
        <f t="shared" si="21"/>
        <v>931</v>
      </c>
      <c r="I658" s="111">
        <f t="shared" si="20"/>
        <v>46.550000000000004</v>
      </c>
    </row>
    <row r="659" spans="1:9" x14ac:dyDescent="0.35">
      <c r="A659" s="106">
        <v>45666</v>
      </c>
      <c r="B659" s="107" t="s">
        <v>327</v>
      </c>
      <c r="C659" s="107" t="s">
        <v>332</v>
      </c>
      <c r="D659" s="107" t="s">
        <v>333</v>
      </c>
      <c r="E659" s="107" t="s">
        <v>342</v>
      </c>
      <c r="F659" s="108">
        <v>37</v>
      </c>
      <c r="G659" s="109">
        <v>6</v>
      </c>
      <c r="H659" s="110">
        <f t="shared" si="21"/>
        <v>370</v>
      </c>
      <c r="I659" s="111">
        <f t="shared" si="20"/>
        <v>18.5</v>
      </c>
    </row>
    <row r="660" spans="1:9" x14ac:dyDescent="0.35">
      <c r="A660" s="106">
        <v>45666</v>
      </c>
      <c r="B660" s="107" t="s">
        <v>322</v>
      </c>
      <c r="C660" s="107" t="s">
        <v>314</v>
      </c>
      <c r="D660" s="107" t="s">
        <v>333</v>
      </c>
      <c r="E660" s="107" t="s">
        <v>340</v>
      </c>
      <c r="F660" s="108">
        <v>23</v>
      </c>
      <c r="G660" s="109">
        <v>17</v>
      </c>
      <c r="H660" s="110">
        <f t="shared" si="21"/>
        <v>460</v>
      </c>
      <c r="I660" s="111">
        <f t="shared" si="20"/>
        <v>23</v>
      </c>
    </row>
    <row r="661" spans="1:9" x14ac:dyDescent="0.35">
      <c r="A661" s="106">
        <v>45666</v>
      </c>
      <c r="B661" s="107" t="s">
        <v>313</v>
      </c>
      <c r="C661" s="107" t="s">
        <v>332</v>
      </c>
      <c r="D661" s="107" t="s">
        <v>390</v>
      </c>
      <c r="E661" s="107" t="s">
        <v>347</v>
      </c>
      <c r="F661" s="108">
        <v>32</v>
      </c>
      <c r="G661" s="109">
        <v>13</v>
      </c>
      <c r="H661" s="110">
        <f t="shared" si="21"/>
        <v>544</v>
      </c>
      <c r="I661" s="111">
        <f t="shared" si="20"/>
        <v>27.200000000000003</v>
      </c>
    </row>
    <row r="662" spans="1:9" x14ac:dyDescent="0.35">
      <c r="A662" s="106">
        <v>45666</v>
      </c>
      <c r="B662" s="107" t="s">
        <v>322</v>
      </c>
      <c r="C662" s="107" t="s">
        <v>319</v>
      </c>
      <c r="D662" s="107" t="s">
        <v>333</v>
      </c>
      <c r="E662" s="107" t="s">
        <v>347</v>
      </c>
      <c r="F662" s="108">
        <v>47</v>
      </c>
      <c r="G662" s="109">
        <v>17</v>
      </c>
      <c r="H662" s="110">
        <f t="shared" si="21"/>
        <v>846</v>
      </c>
      <c r="I662" s="111">
        <f t="shared" si="20"/>
        <v>42.300000000000004</v>
      </c>
    </row>
    <row r="663" spans="1:9" x14ac:dyDescent="0.35">
      <c r="A663" s="106">
        <v>45666</v>
      </c>
      <c r="B663" s="107" t="s">
        <v>318</v>
      </c>
      <c r="C663" s="107" t="s">
        <v>393</v>
      </c>
      <c r="D663" s="107" t="s">
        <v>390</v>
      </c>
      <c r="E663" s="107" t="s">
        <v>347</v>
      </c>
      <c r="F663" s="108">
        <v>18</v>
      </c>
      <c r="G663" s="109">
        <v>4</v>
      </c>
      <c r="H663" s="110">
        <f t="shared" si="21"/>
        <v>108</v>
      </c>
      <c r="I663" s="111">
        <f t="shared" si="20"/>
        <v>5.4</v>
      </c>
    </row>
    <row r="664" spans="1:9" x14ac:dyDescent="0.35">
      <c r="A664" s="106">
        <v>45667</v>
      </c>
      <c r="B664" s="107" t="s">
        <v>327</v>
      </c>
      <c r="C664" s="107" t="s">
        <v>393</v>
      </c>
      <c r="D664" s="107" t="s">
        <v>333</v>
      </c>
      <c r="E664" s="107" t="s">
        <v>345</v>
      </c>
      <c r="F664" s="108">
        <v>61</v>
      </c>
      <c r="G664" s="109">
        <v>6</v>
      </c>
      <c r="H664" s="110">
        <f t="shared" si="21"/>
        <v>488</v>
      </c>
      <c r="I664" s="111">
        <f t="shared" si="20"/>
        <v>24.400000000000002</v>
      </c>
    </row>
    <row r="665" spans="1:9" x14ac:dyDescent="0.35">
      <c r="A665" s="106">
        <v>45667</v>
      </c>
      <c r="B665" s="107" t="s">
        <v>422</v>
      </c>
      <c r="C665" s="107" t="s">
        <v>314</v>
      </c>
      <c r="D665" s="107" t="s">
        <v>423</v>
      </c>
      <c r="E665" s="107" t="s">
        <v>454</v>
      </c>
      <c r="F665" s="108">
        <v>62</v>
      </c>
      <c r="G665" s="109">
        <v>24</v>
      </c>
      <c r="H665" s="110">
        <f t="shared" si="21"/>
        <v>1674</v>
      </c>
      <c r="I665" s="111">
        <f t="shared" si="20"/>
        <v>100.44</v>
      </c>
    </row>
    <row r="666" spans="1:9" x14ac:dyDescent="0.35">
      <c r="A666" s="106">
        <v>45667</v>
      </c>
      <c r="B666" s="107" t="s">
        <v>327</v>
      </c>
      <c r="C666" s="107" t="s">
        <v>393</v>
      </c>
      <c r="D666" s="107" t="s">
        <v>324</v>
      </c>
      <c r="E666" s="107" t="s">
        <v>394</v>
      </c>
      <c r="F666" s="108">
        <v>42</v>
      </c>
      <c r="G666" s="109">
        <v>6</v>
      </c>
      <c r="H666" s="110">
        <f t="shared" si="21"/>
        <v>336</v>
      </c>
      <c r="I666" s="111">
        <f t="shared" si="20"/>
        <v>16.8</v>
      </c>
    </row>
    <row r="667" spans="1:9" x14ac:dyDescent="0.35">
      <c r="A667" s="106">
        <v>45667</v>
      </c>
      <c r="B667" s="107" t="s">
        <v>422</v>
      </c>
      <c r="C667" s="107" t="s">
        <v>393</v>
      </c>
      <c r="D667" s="107" t="s">
        <v>338</v>
      </c>
      <c r="E667" s="107" t="s">
        <v>343</v>
      </c>
      <c r="F667" s="108">
        <v>62</v>
      </c>
      <c r="G667" s="109">
        <v>24</v>
      </c>
      <c r="H667" s="110">
        <f t="shared" si="21"/>
        <v>1612</v>
      </c>
      <c r="I667" s="111">
        <f t="shared" si="20"/>
        <v>96.72</v>
      </c>
    </row>
    <row r="668" spans="1:9" x14ac:dyDescent="0.35">
      <c r="A668" s="106">
        <v>45668</v>
      </c>
      <c r="B668" s="107" t="s">
        <v>422</v>
      </c>
      <c r="C668" s="107" t="s">
        <v>393</v>
      </c>
      <c r="D668" s="107" t="s">
        <v>423</v>
      </c>
      <c r="E668" s="107" t="s">
        <v>348</v>
      </c>
      <c r="F668" s="108">
        <v>59</v>
      </c>
      <c r="G668" s="109">
        <v>24</v>
      </c>
      <c r="H668" s="110">
        <f t="shared" si="21"/>
        <v>1534</v>
      </c>
      <c r="I668" s="111">
        <f t="shared" si="20"/>
        <v>92.039999999999992</v>
      </c>
    </row>
    <row r="669" spans="1:9" x14ac:dyDescent="0.35">
      <c r="A669" s="106">
        <v>45668</v>
      </c>
      <c r="B669" s="107" t="s">
        <v>327</v>
      </c>
      <c r="C669" s="107" t="s">
        <v>319</v>
      </c>
      <c r="D669" s="107" t="s">
        <v>423</v>
      </c>
      <c r="E669" s="107" t="s">
        <v>395</v>
      </c>
      <c r="F669" s="108">
        <v>59</v>
      </c>
      <c r="G669" s="109">
        <v>6</v>
      </c>
      <c r="H669" s="110">
        <f t="shared" si="21"/>
        <v>413</v>
      </c>
      <c r="I669" s="111">
        <f t="shared" si="20"/>
        <v>24.779999999999998</v>
      </c>
    </row>
    <row r="670" spans="1:9" x14ac:dyDescent="0.35">
      <c r="A670" s="106">
        <v>45668</v>
      </c>
      <c r="B670" s="107" t="s">
        <v>313</v>
      </c>
      <c r="C670" s="107" t="s">
        <v>393</v>
      </c>
      <c r="D670" s="107" t="s">
        <v>315</v>
      </c>
      <c r="E670" s="107" t="s">
        <v>349</v>
      </c>
      <c r="F670" s="108">
        <v>58</v>
      </c>
      <c r="G670" s="109">
        <v>13</v>
      </c>
      <c r="H670" s="110">
        <f t="shared" si="21"/>
        <v>870</v>
      </c>
      <c r="I670" s="111">
        <f t="shared" si="20"/>
        <v>43.5</v>
      </c>
    </row>
    <row r="671" spans="1:9" x14ac:dyDescent="0.35">
      <c r="A671" s="106">
        <v>45668</v>
      </c>
      <c r="B671" s="107" t="s">
        <v>322</v>
      </c>
      <c r="C671" s="107" t="s">
        <v>332</v>
      </c>
      <c r="D671" s="107" t="s">
        <v>315</v>
      </c>
      <c r="E671" s="107" t="s">
        <v>347</v>
      </c>
      <c r="F671" s="108">
        <v>57</v>
      </c>
      <c r="G671" s="109">
        <v>17</v>
      </c>
      <c r="H671" s="110">
        <f t="shared" si="21"/>
        <v>1197</v>
      </c>
      <c r="I671" s="111">
        <f t="shared" si="20"/>
        <v>59.85</v>
      </c>
    </row>
    <row r="672" spans="1:9" x14ac:dyDescent="0.35">
      <c r="A672" s="106">
        <v>45668</v>
      </c>
      <c r="B672" s="107" t="s">
        <v>322</v>
      </c>
      <c r="C672" s="107" t="s">
        <v>319</v>
      </c>
      <c r="D672" s="107" t="s">
        <v>423</v>
      </c>
      <c r="E672" s="107" t="s">
        <v>346</v>
      </c>
      <c r="F672" s="108">
        <v>53</v>
      </c>
      <c r="G672" s="109">
        <v>17</v>
      </c>
      <c r="H672" s="110">
        <f t="shared" si="21"/>
        <v>954</v>
      </c>
      <c r="I672" s="111">
        <f t="shared" si="20"/>
        <v>57.239999999999995</v>
      </c>
    </row>
    <row r="673" spans="1:9" x14ac:dyDescent="0.35">
      <c r="A673" s="106">
        <v>45668</v>
      </c>
      <c r="B673" s="107" t="s">
        <v>313</v>
      </c>
      <c r="C673" s="107" t="s">
        <v>319</v>
      </c>
      <c r="D673" s="107" t="s">
        <v>320</v>
      </c>
      <c r="E673" s="107" t="s">
        <v>394</v>
      </c>
      <c r="F673" s="108">
        <v>63</v>
      </c>
      <c r="G673" s="109">
        <v>13</v>
      </c>
      <c r="H673" s="110">
        <f t="shared" si="21"/>
        <v>882</v>
      </c>
      <c r="I673" s="111">
        <f t="shared" si="20"/>
        <v>52.919999999999995</v>
      </c>
    </row>
    <row r="674" spans="1:9" x14ac:dyDescent="0.35">
      <c r="A674" s="106">
        <v>45668</v>
      </c>
      <c r="B674" s="107" t="s">
        <v>313</v>
      </c>
      <c r="C674" s="107" t="s">
        <v>393</v>
      </c>
      <c r="D674" s="107" t="s">
        <v>320</v>
      </c>
      <c r="E674" s="107" t="s">
        <v>335</v>
      </c>
      <c r="F674" s="108">
        <v>17</v>
      </c>
      <c r="G674" s="109">
        <v>13</v>
      </c>
      <c r="H674" s="110">
        <f t="shared" si="21"/>
        <v>255</v>
      </c>
      <c r="I674" s="111">
        <f t="shared" si="20"/>
        <v>15.299999999999999</v>
      </c>
    </row>
    <row r="675" spans="1:9" x14ac:dyDescent="0.35">
      <c r="A675" s="106">
        <v>45669</v>
      </c>
      <c r="B675" s="107" t="s">
        <v>318</v>
      </c>
      <c r="C675" s="107" t="s">
        <v>393</v>
      </c>
      <c r="D675" s="107" t="s">
        <v>324</v>
      </c>
      <c r="E675" s="107" t="s">
        <v>348</v>
      </c>
      <c r="F675" s="108">
        <v>28</v>
      </c>
      <c r="G675" s="109">
        <v>4</v>
      </c>
      <c r="H675" s="110">
        <f t="shared" si="21"/>
        <v>168</v>
      </c>
      <c r="I675" s="111">
        <f t="shared" si="20"/>
        <v>8.4</v>
      </c>
    </row>
    <row r="676" spans="1:9" x14ac:dyDescent="0.35">
      <c r="A676" s="106">
        <v>45669</v>
      </c>
      <c r="B676" s="107" t="s">
        <v>322</v>
      </c>
      <c r="C676" s="107" t="s">
        <v>319</v>
      </c>
      <c r="D676" s="107" t="s">
        <v>333</v>
      </c>
      <c r="E676" s="107" t="s">
        <v>405</v>
      </c>
      <c r="F676" s="108">
        <v>29</v>
      </c>
      <c r="G676" s="109">
        <v>17</v>
      </c>
      <c r="H676" s="110">
        <f t="shared" si="21"/>
        <v>522</v>
      </c>
      <c r="I676" s="111">
        <f t="shared" si="20"/>
        <v>26.1</v>
      </c>
    </row>
    <row r="677" spans="1:9" x14ac:dyDescent="0.35">
      <c r="A677" s="106">
        <v>45669</v>
      </c>
      <c r="B677" s="107" t="s">
        <v>318</v>
      </c>
      <c r="C677" s="107" t="s">
        <v>332</v>
      </c>
      <c r="D677" s="107" t="s">
        <v>324</v>
      </c>
      <c r="E677" s="107" t="s">
        <v>405</v>
      </c>
      <c r="F677" s="108">
        <v>49</v>
      </c>
      <c r="G677" s="109">
        <v>4</v>
      </c>
      <c r="H677" s="110">
        <f t="shared" si="21"/>
        <v>392</v>
      </c>
      <c r="I677" s="111">
        <f t="shared" si="20"/>
        <v>19.600000000000001</v>
      </c>
    </row>
    <row r="678" spans="1:9" x14ac:dyDescent="0.35">
      <c r="A678" s="106">
        <v>45670</v>
      </c>
      <c r="B678" s="107" t="s">
        <v>318</v>
      </c>
      <c r="C678" s="107" t="s">
        <v>314</v>
      </c>
      <c r="D678" s="107" t="s">
        <v>338</v>
      </c>
      <c r="E678" s="107" t="s">
        <v>340</v>
      </c>
      <c r="F678" s="108">
        <v>54</v>
      </c>
      <c r="G678" s="109">
        <v>4</v>
      </c>
      <c r="H678" s="110">
        <f t="shared" si="21"/>
        <v>378</v>
      </c>
      <c r="I678" s="111">
        <f t="shared" si="20"/>
        <v>22.68</v>
      </c>
    </row>
    <row r="679" spans="1:9" x14ac:dyDescent="0.35">
      <c r="A679" s="106">
        <v>45671</v>
      </c>
      <c r="B679" s="107" t="s">
        <v>318</v>
      </c>
      <c r="C679" s="107" t="s">
        <v>332</v>
      </c>
      <c r="D679" s="107" t="s">
        <v>390</v>
      </c>
      <c r="E679" s="107" t="s">
        <v>341</v>
      </c>
      <c r="F679" s="108">
        <v>20</v>
      </c>
      <c r="G679" s="109">
        <v>4</v>
      </c>
      <c r="H679" s="110">
        <f t="shared" si="21"/>
        <v>160</v>
      </c>
      <c r="I679" s="111">
        <f t="shared" si="20"/>
        <v>8</v>
      </c>
    </row>
    <row r="680" spans="1:9" x14ac:dyDescent="0.35">
      <c r="A680" s="106">
        <v>45671</v>
      </c>
      <c r="B680" s="107" t="s">
        <v>322</v>
      </c>
      <c r="C680" s="107" t="s">
        <v>314</v>
      </c>
      <c r="D680" s="107" t="s">
        <v>423</v>
      </c>
      <c r="E680" s="107" t="s">
        <v>342</v>
      </c>
      <c r="F680" s="108">
        <v>16</v>
      </c>
      <c r="G680" s="109">
        <v>17</v>
      </c>
      <c r="H680" s="110">
        <f t="shared" si="21"/>
        <v>320</v>
      </c>
      <c r="I680" s="111">
        <f t="shared" si="20"/>
        <v>19.2</v>
      </c>
    </row>
    <row r="681" spans="1:9" x14ac:dyDescent="0.35">
      <c r="A681" s="106">
        <v>45671</v>
      </c>
      <c r="B681" s="107" t="s">
        <v>322</v>
      </c>
      <c r="C681" s="107" t="s">
        <v>319</v>
      </c>
      <c r="D681" s="107" t="s">
        <v>333</v>
      </c>
      <c r="E681" s="107" t="s">
        <v>400</v>
      </c>
      <c r="F681" s="108">
        <v>30</v>
      </c>
      <c r="G681" s="109">
        <v>17</v>
      </c>
      <c r="H681" s="110">
        <f t="shared" si="21"/>
        <v>540</v>
      </c>
      <c r="I681" s="111">
        <f t="shared" si="20"/>
        <v>27</v>
      </c>
    </row>
    <row r="682" spans="1:9" x14ac:dyDescent="0.35">
      <c r="A682" s="106">
        <v>45671</v>
      </c>
      <c r="B682" s="107" t="s">
        <v>422</v>
      </c>
      <c r="C682" s="107" t="s">
        <v>314</v>
      </c>
      <c r="D682" s="107" t="s">
        <v>390</v>
      </c>
      <c r="E682" s="107" t="s">
        <v>394</v>
      </c>
      <c r="F682" s="108">
        <v>61</v>
      </c>
      <c r="G682" s="109">
        <v>24</v>
      </c>
      <c r="H682" s="110">
        <f t="shared" si="21"/>
        <v>1647</v>
      </c>
      <c r="I682" s="111">
        <f t="shared" si="20"/>
        <v>82.350000000000009</v>
      </c>
    </row>
    <row r="683" spans="1:9" x14ac:dyDescent="0.35">
      <c r="A683" s="106">
        <v>45671</v>
      </c>
      <c r="B683" s="107" t="s">
        <v>313</v>
      </c>
      <c r="C683" s="107" t="s">
        <v>314</v>
      </c>
      <c r="D683" s="107" t="s">
        <v>333</v>
      </c>
      <c r="E683" s="107" t="s">
        <v>344</v>
      </c>
      <c r="F683" s="108">
        <v>9</v>
      </c>
      <c r="G683" s="109">
        <v>13</v>
      </c>
      <c r="H683" s="110">
        <f t="shared" si="21"/>
        <v>144</v>
      </c>
      <c r="I683" s="111">
        <f t="shared" si="20"/>
        <v>7.2</v>
      </c>
    </row>
    <row r="684" spans="1:9" x14ac:dyDescent="0.35">
      <c r="A684" s="106">
        <v>45671</v>
      </c>
      <c r="B684" s="107" t="s">
        <v>313</v>
      </c>
      <c r="C684" s="107" t="s">
        <v>393</v>
      </c>
      <c r="D684" s="107" t="s">
        <v>333</v>
      </c>
      <c r="E684" s="107" t="s">
        <v>344</v>
      </c>
      <c r="F684" s="108">
        <v>13</v>
      </c>
      <c r="G684" s="109">
        <v>13</v>
      </c>
      <c r="H684" s="110">
        <f t="shared" si="21"/>
        <v>195</v>
      </c>
      <c r="I684" s="111">
        <f t="shared" si="20"/>
        <v>9.75</v>
      </c>
    </row>
    <row r="685" spans="1:9" x14ac:dyDescent="0.35">
      <c r="A685" s="106">
        <v>45671</v>
      </c>
      <c r="B685" s="107" t="s">
        <v>327</v>
      </c>
      <c r="C685" s="107" t="s">
        <v>332</v>
      </c>
      <c r="D685" s="107" t="s">
        <v>333</v>
      </c>
      <c r="E685" s="107" t="s">
        <v>335</v>
      </c>
      <c r="F685" s="108">
        <v>57</v>
      </c>
      <c r="G685" s="109">
        <v>6</v>
      </c>
      <c r="H685" s="110">
        <f t="shared" si="21"/>
        <v>570</v>
      </c>
      <c r="I685" s="111">
        <f t="shared" si="20"/>
        <v>28.5</v>
      </c>
    </row>
    <row r="686" spans="1:9" x14ac:dyDescent="0.35">
      <c r="A686" s="106">
        <v>45672</v>
      </c>
      <c r="B686" s="107" t="s">
        <v>313</v>
      </c>
      <c r="C686" s="107" t="s">
        <v>314</v>
      </c>
      <c r="D686" s="107" t="s">
        <v>338</v>
      </c>
      <c r="E686" s="107" t="s">
        <v>406</v>
      </c>
      <c r="F686" s="108">
        <v>50</v>
      </c>
      <c r="G686" s="109">
        <v>13</v>
      </c>
      <c r="H686" s="110">
        <f t="shared" si="21"/>
        <v>800</v>
      </c>
      <c r="I686" s="111">
        <f t="shared" si="20"/>
        <v>48</v>
      </c>
    </row>
    <row r="687" spans="1:9" x14ac:dyDescent="0.35">
      <c r="A687" s="106">
        <v>45672</v>
      </c>
      <c r="B687" s="107" t="s">
        <v>322</v>
      </c>
      <c r="C687" s="107" t="s">
        <v>314</v>
      </c>
      <c r="D687" s="107" t="s">
        <v>423</v>
      </c>
      <c r="E687" s="107" t="s">
        <v>341</v>
      </c>
      <c r="F687" s="108">
        <v>29</v>
      </c>
      <c r="G687" s="109">
        <v>17</v>
      </c>
      <c r="H687" s="110">
        <f t="shared" si="21"/>
        <v>580</v>
      </c>
      <c r="I687" s="111">
        <f t="shared" si="20"/>
        <v>34.799999999999997</v>
      </c>
    </row>
    <row r="688" spans="1:9" x14ac:dyDescent="0.35">
      <c r="A688" s="106">
        <v>45672</v>
      </c>
      <c r="B688" s="107" t="s">
        <v>313</v>
      </c>
      <c r="C688" s="107" t="s">
        <v>319</v>
      </c>
      <c r="D688" s="107" t="s">
        <v>338</v>
      </c>
      <c r="E688" s="107" t="s">
        <v>341</v>
      </c>
      <c r="F688" s="108">
        <v>34</v>
      </c>
      <c r="G688" s="109">
        <v>13</v>
      </c>
      <c r="H688" s="110">
        <f t="shared" si="21"/>
        <v>476</v>
      </c>
      <c r="I688" s="111">
        <f t="shared" si="20"/>
        <v>28.56</v>
      </c>
    </row>
    <row r="689" spans="1:9" x14ac:dyDescent="0.35">
      <c r="A689" s="106">
        <v>45672</v>
      </c>
      <c r="B689" s="107" t="s">
        <v>318</v>
      </c>
      <c r="C689" s="107" t="s">
        <v>314</v>
      </c>
      <c r="D689" s="107" t="s">
        <v>324</v>
      </c>
      <c r="E689" s="107" t="s">
        <v>349</v>
      </c>
      <c r="F689" s="108">
        <v>59</v>
      </c>
      <c r="G689" s="109">
        <v>4</v>
      </c>
      <c r="H689" s="110">
        <f t="shared" si="21"/>
        <v>413</v>
      </c>
      <c r="I689" s="111">
        <f t="shared" si="20"/>
        <v>20.650000000000002</v>
      </c>
    </row>
    <row r="690" spans="1:9" x14ac:dyDescent="0.35">
      <c r="A690" s="106">
        <v>45672</v>
      </c>
      <c r="B690" s="107" t="s">
        <v>318</v>
      </c>
      <c r="C690" s="107" t="s">
        <v>314</v>
      </c>
      <c r="D690" s="107" t="s">
        <v>423</v>
      </c>
      <c r="E690" s="107" t="s">
        <v>349</v>
      </c>
      <c r="F690" s="108">
        <v>63</v>
      </c>
      <c r="G690" s="109">
        <v>4</v>
      </c>
      <c r="H690" s="110">
        <f t="shared" si="21"/>
        <v>441</v>
      </c>
      <c r="I690" s="111">
        <f t="shared" si="20"/>
        <v>26.459999999999997</v>
      </c>
    </row>
    <row r="691" spans="1:9" x14ac:dyDescent="0.35">
      <c r="A691" s="106">
        <v>45672</v>
      </c>
      <c r="B691" s="107" t="s">
        <v>313</v>
      </c>
      <c r="C691" s="107" t="s">
        <v>332</v>
      </c>
      <c r="D691" s="107" t="s">
        <v>320</v>
      </c>
      <c r="E691" s="107" t="s">
        <v>454</v>
      </c>
      <c r="F691" s="108">
        <v>54</v>
      </c>
      <c r="G691" s="109">
        <v>13</v>
      </c>
      <c r="H691" s="110">
        <f t="shared" si="21"/>
        <v>918</v>
      </c>
      <c r="I691" s="111">
        <f t="shared" si="20"/>
        <v>55.08</v>
      </c>
    </row>
    <row r="692" spans="1:9" x14ac:dyDescent="0.35">
      <c r="A692" s="106">
        <v>45672</v>
      </c>
      <c r="B692" s="107" t="s">
        <v>422</v>
      </c>
      <c r="C692" s="107" t="s">
        <v>319</v>
      </c>
      <c r="D692" s="107" t="s">
        <v>324</v>
      </c>
      <c r="E692" s="107" t="s">
        <v>454</v>
      </c>
      <c r="F692" s="108">
        <v>6</v>
      </c>
      <c r="G692" s="109">
        <v>24</v>
      </c>
      <c r="H692" s="110">
        <f t="shared" si="21"/>
        <v>150</v>
      </c>
      <c r="I692" s="111">
        <f t="shared" si="20"/>
        <v>7.5</v>
      </c>
    </row>
    <row r="693" spans="1:9" x14ac:dyDescent="0.35">
      <c r="A693" s="106">
        <v>45672</v>
      </c>
      <c r="B693" s="107" t="s">
        <v>327</v>
      </c>
      <c r="C693" s="107" t="s">
        <v>332</v>
      </c>
      <c r="D693" s="107" t="s">
        <v>390</v>
      </c>
      <c r="E693" s="107" t="s">
        <v>394</v>
      </c>
      <c r="F693" s="108">
        <v>7</v>
      </c>
      <c r="G693" s="109">
        <v>6</v>
      </c>
      <c r="H693" s="110">
        <f t="shared" si="21"/>
        <v>70</v>
      </c>
      <c r="I693" s="111">
        <f t="shared" si="20"/>
        <v>3.5</v>
      </c>
    </row>
    <row r="694" spans="1:9" x14ac:dyDescent="0.35">
      <c r="A694" s="106">
        <v>45672</v>
      </c>
      <c r="B694" s="107" t="s">
        <v>313</v>
      </c>
      <c r="C694" s="107" t="s">
        <v>314</v>
      </c>
      <c r="D694" s="107" t="s">
        <v>338</v>
      </c>
      <c r="E694" s="107" t="s">
        <v>405</v>
      </c>
      <c r="F694" s="108">
        <v>13</v>
      </c>
      <c r="G694" s="109">
        <v>13</v>
      </c>
      <c r="H694" s="110">
        <f t="shared" si="21"/>
        <v>208</v>
      </c>
      <c r="I694" s="111">
        <f t="shared" si="20"/>
        <v>12.48</v>
      </c>
    </row>
    <row r="695" spans="1:9" x14ac:dyDescent="0.35">
      <c r="A695" s="106">
        <v>45673</v>
      </c>
      <c r="B695" s="107" t="s">
        <v>318</v>
      </c>
      <c r="C695" s="107" t="s">
        <v>314</v>
      </c>
      <c r="D695" s="107" t="s">
        <v>320</v>
      </c>
      <c r="E695" s="107" t="s">
        <v>455</v>
      </c>
      <c r="F695" s="108">
        <v>22</v>
      </c>
      <c r="G695" s="109">
        <v>4</v>
      </c>
      <c r="H695" s="110">
        <f t="shared" si="21"/>
        <v>154</v>
      </c>
      <c r="I695" s="111">
        <f t="shared" si="20"/>
        <v>9.24</v>
      </c>
    </row>
    <row r="696" spans="1:9" x14ac:dyDescent="0.35">
      <c r="A696" s="106">
        <v>45673</v>
      </c>
      <c r="B696" s="107" t="s">
        <v>318</v>
      </c>
      <c r="C696" s="107" t="s">
        <v>319</v>
      </c>
      <c r="D696" s="107" t="s">
        <v>315</v>
      </c>
      <c r="E696" s="107" t="s">
        <v>347</v>
      </c>
      <c r="F696" s="108">
        <v>49</v>
      </c>
      <c r="G696" s="109">
        <v>4</v>
      </c>
      <c r="H696" s="110">
        <f t="shared" si="21"/>
        <v>245</v>
      </c>
      <c r="I696" s="111">
        <f t="shared" si="20"/>
        <v>12.25</v>
      </c>
    </row>
    <row r="697" spans="1:9" x14ac:dyDescent="0.35">
      <c r="A697" s="106">
        <v>45673</v>
      </c>
      <c r="B697" s="107" t="s">
        <v>422</v>
      </c>
      <c r="C697" s="107" t="s">
        <v>332</v>
      </c>
      <c r="D697" s="107" t="s">
        <v>320</v>
      </c>
      <c r="E697" s="107" t="s">
        <v>329</v>
      </c>
      <c r="F697" s="108">
        <v>42</v>
      </c>
      <c r="G697" s="109">
        <v>24</v>
      </c>
      <c r="H697" s="110">
        <f t="shared" si="21"/>
        <v>1176</v>
      </c>
      <c r="I697" s="111">
        <f t="shared" si="20"/>
        <v>70.56</v>
      </c>
    </row>
    <row r="698" spans="1:9" x14ac:dyDescent="0.35">
      <c r="A698" s="106">
        <v>45673</v>
      </c>
      <c r="B698" s="107" t="s">
        <v>318</v>
      </c>
      <c r="C698" s="107" t="s">
        <v>314</v>
      </c>
      <c r="D698" s="107" t="s">
        <v>324</v>
      </c>
      <c r="E698" s="107" t="s">
        <v>405</v>
      </c>
      <c r="F698" s="108">
        <v>8</v>
      </c>
      <c r="G698" s="109">
        <v>4</v>
      </c>
      <c r="H698" s="110">
        <f t="shared" si="21"/>
        <v>56</v>
      </c>
      <c r="I698" s="111">
        <f t="shared" si="20"/>
        <v>2.8000000000000003</v>
      </c>
    </row>
    <row r="699" spans="1:9" x14ac:dyDescent="0.35">
      <c r="A699" s="106">
        <v>45673</v>
      </c>
      <c r="B699" s="107" t="s">
        <v>322</v>
      </c>
      <c r="C699" s="107" t="s">
        <v>319</v>
      </c>
      <c r="D699" s="107" t="s">
        <v>390</v>
      </c>
      <c r="E699" s="107" t="s">
        <v>405</v>
      </c>
      <c r="F699" s="108">
        <v>36</v>
      </c>
      <c r="G699" s="109">
        <v>17</v>
      </c>
      <c r="H699" s="110">
        <f t="shared" si="21"/>
        <v>648</v>
      </c>
      <c r="I699" s="111">
        <f t="shared" si="20"/>
        <v>32.4</v>
      </c>
    </row>
    <row r="700" spans="1:9" x14ac:dyDescent="0.35">
      <c r="A700" s="106">
        <v>45674</v>
      </c>
      <c r="B700" s="107" t="s">
        <v>318</v>
      </c>
      <c r="C700" s="107" t="s">
        <v>314</v>
      </c>
      <c r="D700" s="107" t="s">
        <v>423</v>
      </c>
      <c r="E700" s="107" t="s">
        <v>400</v>
      </c>
      <c r="F700" s="108">
        <v>15</v>
      </c>
      <c r="G700" s="109">
        <v>4</v>
      </c>
      <c r="H700" s="110">
        <f t="shared" si="21"/>
        <v>105</v>
      </c>
      <c r="I700" s="111">
        <f t="shared" si="20"/>
        <v>6.3</v>
      </c>
    </row>
    <row r="701" spans="1:9" x14ac:dyDescent="0.35">
      <c r="A701" s="106">
        <v>45674</v>
      </c>
      <c r="B701" s="107" t="s">
        <v>327</v>
      </c>
      <c r="C701" s="107" t="s">
        <v>314</v>
      </c>
      <c r="D701" s="107" t="s">
        <v>320</v>
      </c>
      <c r="E701" s="107" t="s">
        <v>329</v>
      </c>
      <c r="F701" s="108">
        <v>42</v>
      </c>
      <c r="G701" s="109">
        <v>6</v>
      </c>
      <c r="H701" s="110">
        <f t="shared" si="21"/>
        <v>378</v>
      </c>
      <c r="I701" s="111">
        <f t="shared" si="20"/>
        <v>22.68</v>
      </c>
    </row>
    <row r="702" spans="1:9" x14ac:dyDescent="0.35">
      <c r="A702" s="106">
        <v>45674</v>
      </c>
      <c r="B702" s="107" t="s">
        <v>327</v>
      </c>
      <c r="C702" s="107" t="s">
        <v>314</v>
      </c>
      <c r="D702" s="107" t="s">
        <v>320</v>
      </c>
      <c r="E702" s="107" t="s">
        <v>394</v>
      </c>
      <c r="F702" s="108">
        <v>22</v>
      </c>
      <c r="G702" s="109">
        <v>6</v>
      </c>
      <c r="H702" s="110">
        <f t="shared" si="21"/>
        <v>198</v>
      </c>
      <c r="I702" s="111">
        <f t="shared" si="20"/>
        <v>11.879999999999999</v>
      </c>
    </row>
    <row r="703" spans="1:9" x14ac:dyDescent="0.35">
      <c r="A703" s="106">
        <v>45675</v>
      </c>
      <c r="B703" s="107" t="s">
        <v>322</v>
      </c>
      <c r="C703" s="107" t="s">
        <v>314</v>
      </c>
      <c r="D703" s="107" t="s">
        <v>390</v>
      </c>
      <c r="E703" s="107" t="s">
        <v>340</v>
      </c>
      <c r="F703" s="108">
        <v>46</v>
      </c>
      <c r="G703" s="109">
        <v>17</v>
      </c>
      <c r="H703" s="110">
        <f t="shared" si="21"/>
        <v>920</v>
      </c>
      <c r="I703" s="111">
        <f t="shared" si="20"/>
        <v>46</v>
      </c>
    </row>
    <row r="704" spans="1:9" x14ac:dyDescent="0.35">
      <c r="A704" s="106">
        <v>45675</v>
      </c>
      <c r="B704" s="107" t="s">
        <v>327</v>
      </c>
      <c r="C704" s="107" t="s">
        <v>314</v>
      </c>
      <c r="D704" s="107" t="s">
        <v>338</v>
      </c>
      <c r="E704" s="107" t="s">
        <v>343</v>
      </c>
      <c r="F704" s="108">
        <v>53</v>
      </c>
      <c r="G704" s="109">
        <v>6</v>
      </c>
      <c r="H704" s="110">
        <f t="shared" si="21"/>
        <v>477</v>
      </c>
      <c r="I704" s="111">
        <f t="shared" si="20"/>
        <v>28.619999999999997</v>
      </c>
    </row>
    <row r="705" spans="1:9" x14ac:dyDescent="0.35">
      <c r="A705" s="106">
        <v>45676</v>
      </c>
      <c r="B705" s="107" t="s">
        <v>322</v>
      </c>
      <c r="C705" s="107" t="s">
        <v>319</v>
      </c>
      <c r="D705" s="107" t="s">
        <v>320</v>
      </c>
      <c r="E705" s="107" t="s">
        <v>340</v>
      </c>
      <c r="F705" s="108">
        <v>17</v>
      </c>
      <c r="G705" s="109">
        <v>17</v>
      </c>
      <c r="H705" s="110">
        <f t="shared" si="21"/>
        <v>306</v>
      </c>
      <c r="I705" s="111">
        <f t="shared" si="20"/>
        <v>18.36</v>
      </c>
    </row>
    <row r="706" spans="1:9" x14ac:dyDescent="0.35">
      <c r="A706" s="106">
        <v>45676</v>
      </c>
      <c r="B706" s="107" t="s">
        <v>422</v>
      </c>
      <c r="C706" s="107" t="s">
        <v>314</v>
      </c>
      <c r="D706" s="107" t="s">
        <v>390</v>
      </c>
      <c r="E706" s="107" t="s">
        <v>349</v>
      </c>
      <c r="F706" s="108">
        <v>31</v>
      </c>
      <c r="G706" s="109">
        <v>24</v>
      </c>
      <c r="H706" s="110">
        <f t="shared" si="21"/>
        <v>837</v>
      </c>
      <c r="I706" s="111">
        <f t="shared" ref="I706:I769" si="22">H706*VLOOKUP(D706,$O$4:$P$10,2,TRUE)</f>
        <v>41.85</v>
      </c>
    </row>
    <row r="707" spans="1:9" x14ac:dyDescent="0.35">
      <c r="A707" s="106">
        <v>45676</v>
      </c>
      <c r="B707" s="107" t="s">
        <v>327</v>
      </c>
      <c r="C707" s="107" t="s">
        <v>332</v>
      </c>
      <c r="D707" s="107" t="s">
        <v>320</v>
      </c>
      <c r="E707" s="107" t="s">
        <v>454</v>
      </c>
      <c r="F707" s="108">
        <v>41</v>
      </c>
      <c r="G707" s="109">
        <v>6</v>
      </c>
      <c r="H707" s="110">
        <f t="shared" ref="H707:H770" si="23">(F707*G707)+VLOOKUP(C707,$K$11:$L$14,2,FALSE)*F707</f>
        <v>410</v>
      </c>
      <c r="I707" s="111">
        <f t="shared" si="22"/>
        <v>24.599999999999998</v>
      </c>
    </row>
    <row r="708" spans="1:9" x14ac:dyDescent="0.35">
      <c r="A708" s="106">
        <v>45676</v>
      </c>
      <c r="B708" s="107" t="s">
        <v>318</v>
      </c>
      <c r="C708" s="107" t="s">
        <v>319</v>
      </c>
      <c r="D708" s="107" t="s">
        <v>390</v>
      </c>
      <c r="E708" s="107" t="s">
        <v>454</v>
      </c>
      <c r="F708" s="108">
        <v>60</v>
      </c>
      <c r="G708" s="109">
        <v>4</v>
      </c>
      <c r="H708" s="110">
        <f t="shared" si="23"/>
        <v>300</v>
      </c>
      <c r="I708" s="111">
        <f t="shared" si="22"/>
        <v>15</v>
      </c>
    </row>
    <row r="709" spans="1:9" x14ac:dyDescent="0.35">
      <c r="A709" s="106">
        <v>45676</v>
      </c>
      <c r="B709" s="107" t="s">
        <v>327</v>
      </c>
      <c r="C709" s="107" t="s">
        <v>332</v>
      </c>
      <c r="D709" s="107" t="s">
        <v>333</v>
      </c>
      <c r="E709" s="107" t="s">
        <v>346</v>
      </c>
      <c r="F709" s="108">
        <v>31</v>
      </c>
      <c r="G709" s="109">
        <v>6</v>
      </c>
      <c r="H709" s="110">
        <f t="shared" si="23"/>
        <v>310</v>
      </c>
      <c r="I709" s="111">
        <f t="shared" si="22"/>
        <v>15.5</v>
      </c>
    </row>
    <row r="710" spans="1:9" x14ac:dyDescent="0.35">
      <c r="A710" s="106">
        <v>45676</v>
      </c>
      <c r="B710" s="107" t="s">
        <v>422</v>
      </c>
      <c r="C710" s="107" t="s">
        <v>393</v>
      </c>
      <c r="D710" s="107" t="s">
        <v>423</v>
      </c>
      <c r="E710" s="107" t="s">
        <v>394</v>
      </c>
      <c r="F710" s="108">
        <v>28</v>
      </c>
      <c r="G710" s="109">
        <v>24</v>
      </c>
      <c r="H710" s="110">
        <f t="shared" si="23"/>
        <v>728</v>
      </c>
      <c r="I710" s="111">
        <f t="shared" si="22"/>
        <v>43.68</v>
      </c>
    </row>
    <row r="711" spans="1:9" x14ac:dyDescent="0.35">
      <c r="A711" s="106">
        <v>45677</v>
      </c>
      <c r="B711" s="107" t="s">
        <v>327</v>
      </c>
      <c r="C711" s="107" t="s">
        <v>393</v>
      </c>
      <c r="D711" s="107" t="s">
        <v>315</v>
      </c>
      <c r="E711" s="107" t="s">
        <v>388</v>
      </c>
      <c r="F711" s="108">
        <v>64</v>
      </c>
      <c r="G711" s="109">
        <v>6</v>
      </c>
      <c r="H711" s="110">
        <f t="shared" si="23"/>
        <v>512</v>
      </c>
      <c r="I711" s="111">
        <f t="shared" si="22"/>
        <v>25.6</v>
      </c>
    </row>
    <row r="712" spans="1:9" x14ac:dyDescent="0.35">
      <c r="A712" s="106">
        <v>45677</v>
      </c>
      <c r="B712" s="107" t="s">
        <v>318</v>
      </c>
      <c r="C712" s="107" t="s">
        <v>319</v>
      </c>
      <c r="D712" s="107" t="s">
        <v>320</v>
      </c>
      <c r="E712" s="107" t="s">
        <v>416</v>
      </c>
      <c r="F712" s="108">
        <v>18</v>
      </c>
      <c r="G712" s="109">
        <v>4</v>
      </c>
      <c r="H712" s="110">
        <f t="shared" si="23"/>
        <v>90</v>
      </c>
      <c r="I712" s="111">
        <f t="shared" si="22"/>
        <v>5.3999999999999995</v>
      </c>
    </row>
    <row r="713" spans="1:9" x14ac:dyDescent="0.35">
      <c r="A713" s="106">
        <v>45677</v>
      </c>
      <c r="B713" s="107" t="s">
        <v>422</v>
      </c>
      <c r="C713" s="107" t="s">
        <v>332</v>
      </c>
      <c r="D713" s="107" t="s">
        <v>324</v>
      </c>
      <c r="E713" s="107" t="s">
        <v>405</v>
      </c>
      <c r="F713" s="108">
        <v>33</v>
      </c>
      <c r="G713" s="109">
        <v>24</v>
      </c>
      <c r="H713" s="110">
        <f t="shared" si="23"/>
        <v>924</v>
      </c>
      <c r="I713" s="111">
        <f t="shared" si="22"/>
        <v>46.2</v>
      </c>
    </row>
    <row r="714" spans="1:9" x14ac:dyDescent="0.35">
      <c r="A714" s="106">
        <v>45678</v>
      </c>
      <c r="B714" s="107" t="s">
        <v>322</v>
      </c>
      <c r="C714" s="107" t="s">
        <v>332</v>
      </c>
      <c r="D714" s="107" t="s">
        <v>423</v>
      </c>
      <c r="E714" s="107" t="s">
        <v>343</v>
      </c>
      <c r="F714" s="108">
        <v>33</v>
      </c>
      <c r="G714" s="109">
        <v>17</v>
      </c>
      <c r="H714" s="110">
        <f t="shared" si="23"/>
        <v>693</v>
      </c>
      <c r="I714" s="111">
        <f t="shared" si="22"/>
        <v>41.58</v>
      </c>
    </row>
    <row r="715" spans="1:9" x14ac:dyDescent="0.35">
      <c r="A715" s="106">
        <v>45679</v>
      </c>
      <c r="B715" s="107" t="s">
        <v>327</v>
      </c>
      <c r="C715" s="107" t="s">
        <v>314</v>
      </c>
      <c r="D715" s="107" t="s">
        <v>338</v>
      </c>
      <c r="E715" s="107" t="s">
        <v>340</v>
      </c>
      <c r="F715" s="108">
        <v>47</v>
      </c>
      <c r="G715" s="109">
        <v>6</v>
      </c>
      <c r="H715" s="110">
        <f t="shared" si="23"/>
        <v>423</v>
      </c>
      <c r="I715" s="111">
        <f t="shared" si="22"/>
        <v>25.38</v>
      </c>
    </row>
    <row r="716" spans="1:9" x14ac:dyDescent="0.35">
      <c r="A716" s="106">
        <v>45679</v>
      </c>
      <c r="B716" s="107" t="s">
        <v>327</v>
      </c>
      <c r="C716" s="107" t="s">
        <v>332</v>
      </c>
      <c r="D716" s="107" t="s">
        <v>315</v>
      </c>
      <c r="E716" s="107" t="s">
        <v>350</v>
      </c>
      <c r="F716" s="108">
        <v>30</v>
      </c>
      <c r="G716" s="109">
        <v>6</v>
      </c>
      <c r="H716" s="110">
        <f t="shared" si="23"/>
        <v>300</v>
      </c>
      <c r="I716" s="111">
        <f t="shared" si="22"/>
        <v>15</v>
      </c>
    </row>
    <row r="717" spans="1:9" x14ac:dyDescent="0.35">
      <c r="A717" s="106">
        <v>45679</v>
      </c>
      <c r="B717" s="107" t="s">
        <v>318</v>
      </c>
      <c r="C717" s="107" t="s">
        <v>314</v>
      </c>
      <c r="D717" s="107" t="s">
        <v>333</v>
      </c>
      <c r="E717" s="107" t="s">
        <v>350</v>
      </c>
      <c r="F717" s="108">
        <v>56</v>
      </c>
      <c r="G717" s="109">
        <v>4</v>
      </c>
      <c r="H717" s="110">
        <f t="shared" si="23"/>
        <v>392</v>
      </c>
      <c r="I717" s="111">
        <f t="shared" si="22"/>
        <v>19.600000000000001</v>
      </c>
    </row>
    <row r="718" spans="1:9" x14ac:dyDescent="0.35">
      <c r="A718" s="106">
        <v>45680</v>
      </c>
      <c r="B718" s="107" t="s">
        <v>322</v>
      </c>
      <c r="C718" s="107" t="s">
        <v>314</v>
      </c>
      <c r="D718" s="107" t="s">
        <v>423</v>
      </c>
      <c r="E718" s="107" t="s">
        <v>342</v>
      </c>
      <c r="F718" s="108">
        <v>52</v>
      </c>
      <c r="G718" s="109">
        <v>17</v>
      </c>
      <c r="H718" s="110">
        <f t="shared" si="23"/>
        <v>1040</v>
      </c>
      <c r="I718" s="111">
        <f t="shared" si="22"/>
        <v>62.4</v>
      </c>
    </row>
    <row r="719" spans="1:9" x14ac:dyDescent="0.35">
      <c r="A719" s="106">
        <v>45680</v>
      </c>
      <c r="B719" s="107" t="s">
        <v>313</v>
      </c>
      <c r="C719" s="107" t="s">
        <v>319</v>
      </c>
      <c r="D719" s="107" t="s">
        <v>333</v>
      </c>
      <c r="E719" s="107" t="s">
        <v>331</v>
      </c>
      <c r="F719" s="108">
        <v>38</v>
      </c>
      <c r="G719" s="109">
        <v>13</v>
      </c>
      <c r="H719" s="110">
        <f t="shared" si="23"/>
        <v>532</v>
      </c>
      <c r="I719" s="111">
        <f t="shared" si="22"/>
        <v>26.6</v>
      </c>
    </row>
    <row r="720" spans="1:9" x14ac:dyDescent="0.35">
      <c r="A720" s="106">
        <v>45681</v>
      </c>
      <c r="B720" s="107" t="s">
        <v>422</v>
      </c>
      <c r="C720" s="107" t="s">
        <v>314</v>
      </c>
      <c r="D720" s="107" t="s">
        <v>315</v>
      </c>
      <c r="E720" s="107" t="s">
        <v>344</v>
      </c>
      <c r="F720" s="108">
        <v>62</v>
      </c>
      <c r="G720" s="109">
        <v>24</v>
      </c>
      <c r="H720" s="110">
        <f t="shared" si="23"/>
        <v>1674</v>
      </c>
      <c r="I720" s="111">
        <f t="shared" si="22"/>
        <v>83.7</v>
      </c>
    </row>
    <row r="721" spans="1:9" x14ac:dyDescent="0.35">
      <c r="A721" s="106">
        <v>45682</v>
      </c>
      <c r="B721" s="107" t="s">
        <v>422</v>
      </c>
      <c r="C721" s="107" t="s">
        <v>332</v>
      </c>
      <c r="D721" s="107" t="s">
        <v>333</v>
      </c>
      <c r="E721" s="107" t="s">
        <v>388</v>
      </c>
      <c r="F721" s="108">
        <v>26</v>
      </c>
      <c r="G721" s="109">
        <v>24</v>
      </c>
      <c r="H721" s="110">
        <f t="shared" si="23"/>
        <v>728</v>
      </c>
      <c r="I721" s="111">
        <f t="shared" si="22"/>
        <v>36.4</v>
      </c>
    </row>
    <row r="722" spans="1:9" x14ac:dyDescent="0.35">
      <c r="A722" s="106">
        <v>45682</v>
      </c>
      <c r="B722" s="107" t="s">
        <v>422</v>
      </c>
      <c r="C722" s="107" t="s">
        <v>332</v>
      </c>
      <c r="D722" s="107" t="s">
        <v>333</v>
      </c>
      <c r="E722" s="107" t="s">
        <v>400</v>
      </c>
      <c r="F722" s="108">
        <v>11</v>
      </c>
      <c r="G722" s="109">
        <v>24</v>
      </c>
      <c r="H722" s="110">
        <f t="shared" si="23"/>
        <v>308</v>
      </c>
      <c r="I722" s="111">
        <f t="shared" si="22"/>
        <v>15.4</v>
      </c>
    </row>
    <row r="723" spans="1:9" x14ac:dyDescent="0.35">
      <c r="A723" s="106">
        <v>45682</v>
      </c>
      <c r="B723" s="107" t="s">
        <v>313</v>
      </c>
      <c r="C723" s="107" t="s">
        <v>314</v>
      </c>
      <c r="D723" s="107" t="s">
        <v>324</v>
      </c>
      <c r="E723" s="107" t="s">
        <v>329</v>
      </c>
      <c r="F723" s="108">
        <v>57</v>
      </c>
      <c r="G723" s="109">
        <v>13</v>
      </c>
      <c r="H723" s="110">
        <f t="shared" si="23"/>
        <v>912</v>
      </c>
      <c r="I723" s="111">
        <f t="shared" si="22"/>
        <v>45.6</v>
      </c>
    </row>
    <row r="724" spans="1:9" x14ac:dyDescent="0.35">
      <c r="A724" s="106">
        <v>45683</v>
      </c>
      <c r="B724" s="107" t="s">
        <v>422</v>
      </c>
      <c r="C724" s="107" t="s">
        <v>314</v>
      </c>
      <c r="D724" s="107" t="s">
        <v>320</v>
      </c>
      <c r="E724" s="107" t="s">
        <v>454</v>
      </c>
      <c r="F724" s="108">
        <v>51</v>
      </c>
      <c r="G724" s="109">
        <v>24</v>
      </c>
      <c r="H724" s="110">
        <f t="shared" si="23"/>
        <v>1377</v>
      </c>
      <c r="I724" s="111">
        <f t="shared" si="22"/>
        <v>82.61999999999999</v>
      </c>
    </row>
    <row r="725" spans="1:9" x14ac:dyDescent="0.35">
      <c r="A725" s="106">
        <v>45683</v>
      </c>
      <c r="B725" s="107" t="s">
        <v>327</v>
      </c>
      <c r="C725" s="107" t="s">
        <v>332</v>
      </c>
      <c r="D725" s="107" t="s">
        <v>320</v>
      </c>
      <c r="E725" s="107" t="s">
        <v>394</v>
      </c>
      <c r="F725" s="108">
        <v>12</v>
      </c>
      <c r="G725" s="109">
        <v>6</v>
      </c>
      <c r="H725" s="110">
        <f t="shared" si="23"/>
        <v>120</v>
      </c>
      <c r="I725" s="111">
        <f t="shared" si="22"/>
        <v>7.1999999999999993</v>
      </c>
    </row>
    <row r="726" spans="1:9" x14ac:dyDescent="0.35">
      <c r="A726" s="106">
        <v>45683</v>
      </c>
      <c r="B726" s="107" t="s">
        <v>327</v>
      </c>
      <c r="C726" s="107" t="s">
        <v>393</v>
      </c>
      <c r="D726" s="107" t="s">
        <v>423</v>
      </c>
      <c r="E726" s="107" t="s">
        <v>343</v>
      </c>
      <c r="F726" s="108">
        <v>54</v>
      </c>
      <c r="G726" s="109">
        <v>6</v>
      </c>
      <c r="H726" s="110">
        <f t="shared" si="23"/>
        <v>432</v>
      </c>
      <c r="I726" s="111">
        <f t="shared" si="22"/>
        <v>25.919999999999998</v>
      </c>
    </row>
    <row r="727" spans="1:9" x14ac:dyDescent="0.35">
      <c r="A727" s="106">
        <v>45684</v>
      </c>
      <c r="B727" s="107" t="s">
        <v>318</v>
      </c>
      <c r="C727" s="107" t="s">
        <v>332</v>
      </c>
      <c r="D727" s="107" t="s">
        <v>324</v>
      </c>
      <c r="E727" s="107" t="s">
        <v>394</v>
      </c>
      <c r="F727" s="108">
        <v>7</v>
      </c>
      <c r="G727" s="109">
        <v>4</v>
      </c>
      <c r="H727" s="110">
        <f t="shared" si="23"/>
        <v>56</v>
      </c>
      <c r="I727" s="111">
        <f t="shared" si="22"/>
        <v>2.8000000000000003</v>
      </c>
    </row>
    <row r="728" spans="1:9" x14ac:dyDescent="0.35">
      <c r="A728" s="106">
        <v>45684</v>
      </c>
      <c r="B728" s="107" t="s">
        <v>313</v>
      </c>
      <c r="C728" s="107" t="s">
        <v>314</v>
      </c>
      <c r="D728" s="107" t="s">
        <v>333</v>
      </c>
      <c r="E728" s="107" t="s">
        <v>343</v>
      </c>
      <c r="F728" s="108">
        <v>31</v>
      </c>
      <c r="G728" s="109">
        <v>13</v>
      </c>
      <c r="H728" s="110">
        <f t="shared" si="23"/>
        <v>496</v>
      </c>
      <c r="I728" s="111">
        <f t="shared" si="22"/>
        <v>24.8</v>
      </c>
    </row>
    <row r="729" spans="1:9" x14ac:dyDescent="0.35">
      <c r="A729" s="106">
        <v>45685</v>
      </c>
      <c r="B729" s="107" t="s">
        <v>422</v>
      </c>
      <c r="C729" s="107" t="s">
        <v>393</v>
      </c>
      <c r="D729" s="107" t="s">
        <v>320</v>
      </c>
      <c r="E729" s="107" t="s">
        <v>388</v>
      </c>
      <c r="F729" s="108">
        <v>7</v>
      </c>
      <c r="G729" s="109">
        <v>24</v>
      </c>
      <c r="H729" s="110">
        <f t="shared" si="23"/>
        <v>182</v>
      </c>
      <c r="I729" s="111">
        <f t="shared" si="22"/>
        <v>10.92</v>
      </c>
    </row>
    <row r="730" spans="1:9" x14ac:dyDescent="0.35">
      <c r="A730" s="106">
        <v>45685</v>
      </c>
      <c r="B730" s="107" t="s">
        <v>327</v>
      </c>
      <c r="C730" s="107" t="s">
        <v>332</v>
      </c>
      <c r="D730" s="107" t="s">
        <v>333</v>
      </c>
      <c r="E730" s="107" t="s">
        <v>394</v>
      </c>
      <c r="F730" s="108">
        <v>10</v>
      </c>
      <c r="G730" s="109">
        <v>6</v>
      </c>
      <c r="H730" s="110">
        <f t="shared" si="23"/>
        <v>100</v>
      </c>
      <c r="I730" s="111">
        <f t="shared" si="22"/>
        <v>5</v>
      </c>
    </row>
    <row r="731" spans="1:9" x14ac:dyDescent="0.35">
      <c r="A731" s="106">
        <v>45685</v>
      </c>
      <c r="B731" s="107" t="s">
        <v>318</v>
      </c>
      <c r="C731" s="107" t="s">
        <v>393</v>
      </c>
      <c r="D731" s="107" t="s">
        <v>423</v>
      </c>
      <c r="E731" s="107" t="s">
        <v>394</v>
      </c>
      <c r="F731" s="108">
        <v>13</v>
      </c>
      <c r="G731" s="109">
        <v>4</v>
      </c>
      <c r="H731" s="110">
        <f t="shared" si="23"/>
        <v>78</v>
      </c>
      <c r="I731" s="111">
        <f t="shared" si="22"/>
        <v>4.68</v>
      </c>
    </row>
    <row r="732" spans="1:9" x14ac:dyDescent="0.35">
      <c r="A732" s="106">
        <v>45686</v>
      </c>
      <c r="B732" s="107" t="s">
        <v>318</v>
      </c>
      <c r="C732" s="107" t="s">
        <v>319</v>
      </c>
      <c r="D732" s="107" t="s">
        <v>320</v>
      </c>
      <c r="E732" s="107" t="s">
        <v>341</v>
      </c>
      <c r="F732" s="108">
        <v>47</v>
      </c>
      <c r="G732" s="109">
        <v>4</v>
      </c>
      <c r="H732" s="110">
        <f t="shared" si="23"/>
        <v>235</v>
      </c>
      <c r="I732" s="111">
        <f t="shared" si="22"/>
        <v>14.1</v>
      </c>
    </row>
    <row r="733" spans="1:9" x14ac:dyDescent="0.35">
      <c r="A733" s="106">
        <v>45686</v>
      </c>
      <c r="B733" s="107" t="s">
        <v>327</v>
      </c>
      <c r="C733" s="107" t="s">
        <v>393</v>
      </c>
      <c r="D733" s="107" t="s">
        <v>390</v>
      </c>
      <c r="E733" s="107" t="s">
        <v>342</v>
      </c>
      <c r="F733" s="108">
        <v>22</v>
      </c>
      <c r="G733" s="109">
        <v>6</v>
      </c>
      <c r="H733" s="110">
        <f t="shared" si="23"/>
        <v>176</v>
      </c>
      <c r="I733" s="111">
        <f t="shared" si="22"/>
        <v>8.8000000000000007</v>
      </c>
    </row>
    <row r="734" spans="1:9" x14ac:dyDescent="0.35">
      <c r="A734" s="106">
        <v>45686</v>
      </c>
      <c r="B734" s="107" t="s">
        <v>322</v>
      </c>
      <c r="C734" s="107" t="s">
        <v>332</v>
      </c>
      <c r="D734" s="107" t="s">
        <v>324</v>
      </c>
      <c r="E734" s="107" t="s">
        <v>349</v>
      </c>
      <c r="F734" s="108">
        <v>59</v>
      </c>
      <c r="G734" s="109">
        <v>17</v>
      </c>
      <c r="H734" s="110">
        <f t="shared" si="23"/>
        <v>1239</v>
      </c>
      <c r="I734" s="111">
        <f t="shared" si="22"/>
        <v>61.95</v>
      </c>
    </row>
    <row r="735" spans="1:9" x14ac:dyDescent="0.35">
      <c r="A735" s="106">
        <v>45686</v>
      </c>
      <c r="B735" s="107" t="s">
        <v>313</v>
      </c>
      <c r="C735" s="107" t="s">
        <v>332</v>
      </c>
      <c r="D735" s="107" t="s">
        <v>333</v>
      </c>
      <c r="E735" s="107" t="s">
        <v>339</v>
      </c>
      <c r="F735" s="108">
        <v>28</v>
      </c>
      <c r="G735" s="109">
        <v>13</v>
      </c>
      <c r="H735" s="110">
        <f t="shared" si="23"/>
        <v>476</v>
      </c>
      <c r="I735" s="111">
        <f t="shared" si="22"/>
        <v>23.8</v>
      </c>
    </row>
    <row r="736" spans="1:9" x14ac:dyDescent="0.35">
      <c r="A736" s="106">
        <v>45686</v>
      </c>
      <c r="B736" s="107" t="s">
        <v>422</v>
      </c>
      <c r="C736" s="107" t="s">
        <v>393</v>
      </c>
      <c r="D736" s="107" t="s">
        <v>315</v>
      </c>
      <c r="E736" s="107" t="s">
        <v>339</v>
      </c>
      <c r="F736" s="108">
        <v>50</v>
      </c>
      <c r="G736" s="109">
        <v>24</v>
      </c>
      <c r="H736" s="110">
        <f t="shared" si="23"/>
        <v>1300</v>
      </c>
      <c r="I736" s="111">
        <f t="shared" si="22"/>
        <v>65</v>
      </c>
    </row>
    <row r="737" spans="1:9" x14ac:dyDescent="0.35">
      <c r="A737" s="106">
        <v>45686</v>
      </c>
      <c r="B737" s="107" t="s">
        <v>327</v>
      </c>
      <c r="C737" s="107" t="s">
        <v>314</v>
      </c>
      <c r="D737" s="107" t="s">
        <v>333</v>
      </c>
      <c r="E737" s="107" t="s">
        <v>454</v>
      </c>
      <c r="F737" s="108">
        <v>39</v>
      </c>
      <c r="G737" s="109">
        <v>6</v>
      </c>
      <c r="H737" s="110">
        <f t="shared" si="23"/>
        <v>351</v>
      </c>
      <c r="I737" s="111">
        <f t="shared" si="22"/>
        <v>17.55</v>
      </c>
    </row>
    <row r="738" spans="1:9" x14ac:dyDescent="0.35">
      <c r="A738" s="106">
        <v>45686</v>
      </c>
      <c r="B738" s="107" t="s">
        <v>322</v>
      </c>
      <c r="C738" s="107" t="s">
        <v>393</v>
      </c>
      <c r="D738" s="107" t="s">
        <v>320</v>
      </c>
      <c r="E738" s="107" t="s">
        <v>454</v>
      </c>
      <c r="F738" s="108">
        <v>21</v>
      </c>
      <c r="G738" s="109">
        <v>17</v>
      </c>
      <c r="H738" s="110">
        <f t="shared" si="23"/>
        <v>399</v>
      </c>
      <c r="I738" s="111">
        <f t="shared" si="22"/>
        <v>23.939999999999998</v>
      </c>
    </row>
    <row r="739" spans="1:9" x14ac:dyDescent="0.35">
      <c r="A739" s="106">
        <v>45686</v>
      </c>
      <c r="B739" s="107" t="s">
        <v>422</v>
      </c>
      <c r="C739" s="107" t="s">
        <v>314</v>
      </c>
      <c r="D739" s="107" t="s">
        <v>315</v>
      </c>
      <c r="E739" s="107" t="s">
        <v>394</v>
      </c>
      <c r="F739" s="108">
        <v>61</v>
      </c>
      <c r="G739" s="109">
        <v>24</v>
      </c>
      <c r="H739" s="110">
        <f t="shared" si="23"/>
        <v>1647</v>
      </c>
      <c r="I739" s="111">
        <f t="shared" si="22"/>
        <v>82.350000000000009</v>
      </c>
    </row>
    <row r="740" spans="1:9" x14ac:dyDescent="0.35">
      <c r="A740" s="106">
        <v>45686</v>
      </c>
      <c r="B740" s="107" t="s">
        <v>313</v>
      </c>
      <c r="C740" s="107" t="s">
        <v>332</v>
      </c>
      <c r="D740" s="107" t="s">
        <v>315</v>
      </c>
      <c r="E740" s="107" t="s">
        <v>343</v>
      </c>
      <c r="F740" s="108">
        <v>10</v>
      </c>
      <c r="G740" s="109">
        <v>13</v>
      </c>
      <c r="H740" s="110">
        <f t="shared" si="23"/>
        <v>170</v>
      </c>
      <c r="I740" s="111">
        <f t="shared" si="22"/>
        <v>8.5</v>
      </c>
    </row>
    <row r="741" spans="1:9" x14ac:dyDescent="0.35">
      <c r="A741" s="106">
        <v>45686</v>
      </c>
      <c r="B741" s="107" t="s">
        <v>318</v>
      </c>
      <c r="C741" s="107" t="s">
        <v>393</v>
      </c>
      <c r="D741" s="107" t="s">
        <v>333</v>
      </c>
      <c r="E741" s="107" t="s">
        <v>316</v>
      </c>
      <c r="F741" s="108">
        <v>39</v>
      </c>
      <c r="G741" s="109">
        <v>4</v>
      </c>
      <c r="H741" s="110">
        <f t="shared" si="23"/>
        <v>234</v>
      </c>
      <c r="I741" s="111">
        <f t="shared" si="22"/>
        <v>11.700000000000001</v>
      </c>
    </row>
    <row r="742" spans="1:9" x14ac:dyDescent="0.35">
      <c r="A742" s="106">
        <v>45687</v>
      </c>
      <c r="B742" s="107" t="s">
        <v>313</v>
      </c>
      <c r="C742" s="107" t="s">
        <v>332</v>
      </c>
      <c r="D742" s="107" t="s">
        <v>320</v>
      </c>
      <c r="E742" s="107" t="s">
        <v>405</v>
      </c>
      <c r="F742" s="108">
        <v>60</v>
      </c>
      <c r="G742" s="109">
        <v>13</v>
      </c>
      <c r="H742" s="110">
        <f t="shared" si="23"/>
        <v>1020</v>
      </c>
      <c r="I742" s="111">
        <f t="shared" si="22"/>
        <v>61.199999999999996</v>
      </c>
    </row>
    <row r="743" spans="1:9" x14ac:dyDescent="0.35">
      <c r="A743" s="106">
        <v>45687</v>
      </c>
      <c r="B743" s="107" t="s">
        <v>327</v>
      </c>
      <c r="C743" s="107" t="s">
        <v>314</v>
      </c>
      <c r="D743" s="107" t="s">
        <v>390</v>
      </c>
      <c r="E743" s="107" t="s">
        <v>316</v>
      </c>
      <c r="F743" s="108">
        <v>54</v>
      </c>
      <c r="G743" s="109">
        <v>6</v>
      </c>
      <c r="H743" s="110">
        <f t="shared" si="23"/>
        <v>486</v>
      </c>
      <c r="I743" s="111">
        <f t="shared" si="22"/>
        <v>24.3</v>
      </c>
    </row>
    <row r="744" spans="1:9" x14ac:dyDescent="0.35">
      <c r="A744" s="106">
        <v>45688</v>
      </c>
      <c r="B744" s="107" t="s">
        <v>327</v>
      </c>
      <c r="C744" s="107" t="s">
        <v>314</v>
      </c>
      <c r="D744" s="107" t="s">
        <v>333</v>
      </c>
      <c r="E744" s="107" t="s">
        <v>388</v>
      </c>
      <c r="F744" s="108">
        <v>19</v>
      </c>
      <c r="G744" s="109">
        <v>6</v>
      </c>
      <c r="H744" s="110">
        <f t="shared" si="23"/>
        <v>171</v>
      </c>
      <c r="I744" s="111">
        <f t="shared" si="22"/>
        <v>8.5500000000000007</v>
      </c>
    </row>
    <row r="745" spans="1:9" x14ac:dyDescent="0.35">
      <c r="A745" s="106">
        <v>45688</v>
      </c>
      <c r="B745" s="107" t="s">
        <v>313</v>
      </c>
      <c r="C745" s="107" t="s">
        <v>393</v>
      </c>
      <c r="D745" s="107" t="s">
        <v>324</v>
      </c>
      <c r="E745" s="107" t="s">
        <v>340</v>
      </c>
      <c r="F745" s="108">
        <v>55</v>
      </c>
      <c r="G745" s="109">
        <v>13</v>
      </c>
      <c r="H745" s="110">
        <f t="shared" si="23"/>
        <v>825</v>
      </c>
      <c r="I745" s="111">
        <f t="shared" si="22"/>
        <v>41.25</v>
      </c>
    </row>
    <row r="746" spans="1:9" x14ac:dyDescent="0.35">
      <c r="A746" s="106">
        <v>45688</v>
      </c>
      <c r="B746" s="107" t="s">
        <v>318</v>
      </c>
      <c r="C746" s="107" t="s">
        <v>319</v>
      </c>
      <c r="D746" s="107" t="s">
        <v>390</v>
      </c>
      <c r="E746" s="107" t="s">
        <v>347</v>
      </c>
      <c r="F746" s="108">
        <v>24</v>
      </c>
      <c r="G746" s="109">
        <v>4</v>
      </c>
      <c r="H746" s="110">
        <f t="shared" si="23"/>
        <v>120</v>
      </c>
      <c r="I746" s="111">
        <f t="shared" si="22"/>
        <v>6</v>
      </c>
    </row>
    <row r="747" spans="1:9" x14ac:dyDescent="0.35">
      <c r="A747" s="106">
        <v>45689</v>
      </c>
      <c r="B747" s="107" t="s">
        <v>327</v>
      </c>
      <c r="C747" s="107" t="s">
        <v>314</v>
      </c>
      <c r="D747" s="107" t="s">
        <v>423</v>
      </c>
      <c r="E747" s="107" t="s">
        <v>340</v>
      </c>
      <c r="F747" s="108">
        <v>40</v>
      </c>
      <c r="G747" s="109">
        <v>6</v>
      </c>
      <c r="H747" s="110">
        <f t="shared" si="23"/>
        <v>360</v>
      </c>
      <c r="I747" s="111">
        <f t="shared" si="22"/>
        <v>21.599999999999998</v>
      </c>
    </row>
    <row r="748" spans="1:9" x14ac:dyDescent="0.35">
      <c r="A748" s="106">
        <v>45689</v>
      </c>
      <c r="B748" s="107" t="s">
        <v>322</v>
      </c>
      <c r="C748" s="107" t="s">
        <v>319</v>
      </c>
      <c r="D748" s="107" t="s">
        <v>423</v>
      </c>
      <c r="E748" s="107" t="s">
        <v>329</v>
      </c>
      <c r="F748" s="108">
        <v>39</v>
      </c>
      <c r="G748" s="109">
        <v>17</v>
      </c>
      <c r="H748" s="110">
        <f t="shared" si="23"/>
        <v>702</v>
      </c>
      <c r="I748" s="111">
        <f t="shared" si="22"/>
        <v>42.12</v>
      </c>
    </row>
    <row r="749" spans="1:9" x14ac:dyDescent="0.35">
      <c r="A749" s="106">
        <v>45689</v>
      </c>
      <c r="B749" s="107" t="s">
        <v>327</v>
      </c>
      <c r="C749" s="107" t="s">
        <v>393</v>
      </c>
      <c r="D749" s="107" t="s">
        <v>315</v>
      </c>
      <c r="E749" s="107" t="s">
        <v>416</v>
      </c>
      <c r="F749" s="108">
        <v>13</v>
      </c>
      <c r="G749" s="109">
        <v>6</v>
      </c>
      <c r="H749" s="110">
        <f t="shared" si="23"/>
        <v>104</v>
      </c>
      <c r="I749" s="111">
        <f t="shared" si="22"/>
        <v>5.2</v>
      </c>
    </row>
    <row r="750" spans="1:9" x14ac:dyDescent="0.35">
      <c r="A750" s="106">
        <v>45690</v>
      </c>
      <c r="B750" s="107" t="s">
        <v>322</v>
      </c>
      <c r="C750" s="107" t="s">
        <v>332</v>
      </c>
      <c r="D750" s="107" t="s">
        <v>423</v>
      </c>
      <c r="E750" s="107" t="s">
        <v>339</v>
      </c>
      <c r="F750" s="108">
        <v>56</v>
      </c>
      <c r="G750" s="109">
        <v>17</v>
      </c>
      <c r="H750" s="110">
        <f t="shared" si="23"/>
        <v>1176</v>
      </c>
      <c r="I750" s="111">
        <f t="shared" si="22"/>
        <v>70.56</v>
      </c>
    </row>
    <row r="751" spans="1:9" x14ac:dyDescent="0.35">
      <c r="A751" s="106">
        <v>45690</v>
      </c>
      <c r="B751" s="107" t="s">
        <v>422</v>
      </c>
      <c r="C751" s="107" t="s">
        <v>314</v>
      </c>
      <c r="D751" s="107" t="s">
        <v>324</v>
      </c>
      <c r="E751" s="107" t="s">
        <v>346</v>
      </c>
      <c r="F751" s="108">
        <v>20</v>
      </c>
      <c r="G751" s="109">
        <v>24</v>
      </c>
      <c r="H751" s="110">
        <f t="shared" si="23"/>
        <v>540</v>
      </c>
      <c r="I751" s="111">
        <f t="shared" si="22"/>
        <v>27</v>
      </c>
    </row>
    <row r="752" spans="1:9" x14ac:dyDescent="0.35">
      <c r="A752" s="106">
        <v>45691</v>
      </c>
      <c r="B752" s="107" t="s">
        <v>422</v>
      </c>
      <c r="C752" s="107" t="s">
        <v>393</v>
      </c>
      <c r="D752" s="107" t="s">
        <v>390</v>
      </c>
      <c r="E752" s="107" t="s">
        <v>406</v>
      </c>
      <c r="F752" s="108">
        <v>25</v>
      </c>
      <c r="G752" s="109">
        <v>24</v>
      </c>
      <c r="H752" s="110">
        <f t="shared" si="23"/>
        <v>650</v>
      </c>
      <c r="I752" s="111">
        <f t="shared" si="22"/>
        <v>32.5</v>
      </c>
    </row>
    <row r="753" spans="1:9" x14ac:dyDescent="0.35">
      <c r="A753" s="106">
        <v>45691</v>
      </c>
      <c r="B753" s="107" t="s">
        <v>422</v>
      </c>
      <c r="C753" s="107" t="s">
        <v>314</v>
      </c>
      <c r="D753" s="107" t="s">
        <v>423</v>
      </c>
      <c r="E753" s="107" t="s">
        <v>406</v>
      </c>
      <c r="F753" s="108">
        <v>21</v>
      </c>
      <c r="G753" s="109">
        <v>24</v>
      </c>
      <c r="H753" s="110">
        <f t="shared" si="23"/>
        <v>567</v>
      </c>
      <c r="I753" s="111">
        <f t="shared" si="22"/>
        <v>34.019999999999996</v>
      </c>
    </row>
    <row r="754" spans="1:9" x14ac:dyDescent="0.35">
      <c r="A754" s="106">
        <v>45691</v>
      </c>
      <c r="B754" s="107" t="s">
        <v>313</v>
      </c>
      <c r="C754" s="107" t="s">
        <v>393</v>
      </c>
      <c r="D754" s="107" t="s">
        <v>333</v>
      </c>
      <c r="E754" s="107" t="s">
        <v>455</v>
      </c>
      <c r="F754" s="108">
        <v>23</v>
      </c>
      <c r="G754" s="109">
        <v>13</v>
      </c>
      <c r="H754" s="110">
        <f t="shared" si="23"/>
        <v>345</v>
      </c>
      <c r="I754" s="111">
        <f t="shared" si="22"/>
        <v>17.25</v>
      </c>
    </row>
    <row r="755" spans="1:9" x14ac:dyDescent="0.35">
      <c r="A755" s="106">
        <v>45691</v>
      </c>
      <c r="B755" s="107" t="s">
        <v>318</v>
      </c>
      <c r="C755" s="107" t="s">
        <v>393</v>
      </c>
      <c r="D755" s="107" t="s">
        <v>320</v>
      </c>
      <c r="E755" s="107" t="s">
        <v>388</v>
      </c>
      <c r="F755" s="108">
        <v>41</v>
      </c>
      <c r="G755" s="109">
        <v>4</v>
      </c>
      <c r="H755" s="110">
        <f t="shared" si="23"/>
        <v>246</v>
      </c>
      <c r="I755" s="111">
        <f t="shared" si="22"/>
        <v>14.76</v>
      </c>
    </row>
    <row r="756" spans="1:9" x14ac:dyDescent="0.35">
      <c r="A756" s="106">
        <v>45691</v>
      </c>
      <c r="B756" s="107" t="s">
        <v>322</v>
      </c>
      <c r="C756" s="107" t="s">
        <v>314</v>
      </c>
      <c r="D756" s="107" t="s">
        <v>423</v>
      </c>
      <c r="E756" s="107" t="s">
        <v>331</v>
      </c>
      <c r="F756" s="108">
        <v>34</v>
      </c>
      <c r="G756" s="109">
        <v>17</v>
      </c>
      <c r="H756" s="110">
        <f t="shared" si="23"/>
        <v>680</v>
      </c>
      <c r="I756" s="111">
        <f t="shared" si="22"/>
        <v>40.799999999999997</v>
      </c>
    </row>
    <row r="757" spans="1:9" x14ac:dyDescent="0.35">
      <c r="A757" s="106">
        <v>45692</v>
      </c>
      <c r="B757" s="107" t="s">
        <v>327</v>
      </c>
      <c r="C757" s="107" t="s">
        <v>393</v>
      </c>
      <c r="D757" s="107" t="s">
        <v>423</v>
      </c>
      <c r="E757" s="107" t="s">
        <v>406</v>
      </c>
      <c r="F757" s="108">
        <v>12</v>
      </c>
      <c r="G757" s="109">
        <v>6</v>
      </c>
      <c r="H757" s="110">
        <f t="shared" si="23"/>
        <v>96</v>
      </c>
      <c r="I757" s="111">
        <f t="shared" si="22"/>
        <v>5.76</v>
      </c>
    </row>
    <row r="758" spans="1:9" x14ac:dyDescent="0.35">
      <c r="A758" s="106">
        <v>45692</v>
      </c>
      <c r="B758" s="107" t="s">
        <v>313</v>
      </c>
      <c r="C758" s="107" t="s">
        <v>393</v>
      </c>
      <c r="D758" s="107" t="s">
        <v>333</v>
      </c>
      <c r="E758" s="107" t="s">
        <v>349</v>
      </c>
      <c r="F758" s="108">
        <v>35</v>
      </c>
      <c r="G758" s="109">
        <v>13</v>
      </c>
      <c r="H758" s="110">
        <f t="shared" si="23"/>
        <v>525</v>
      </c>
      <c r="I758" s="111">
        <f t="shared" si="22"/>
        <v>26.25</v>
      </c>
    </row>
    <row r="759" spans="1:9" x14ac:dyDescent="0.35">
      <c r="A759" s="106">
        <v>45692</v>
      </c>
      <c r="B759" s="107" t="s">
        <v>313</v>
      </c>
      <c r="C759" s="107" t="s">
        <v>319</v>
      </c>
      <c r="D759" s="107" t="s">
        <v>423</v>
      </c>
      <c r="E759" s="107" t="s">
        <v>405</v>
      </c>
      <c r="F759" s="108">
        <v>41</v>
      </c>
      <c r="G759" s="109">
        <v>13</v>
      </c>
      <c r="H759" s="110">
        <f t="shared" si="23"/>
        <v>574</v>
      </c>
      <c r="I759" s="111">
        <f t="shared" si="22"/>
        <v>34.44</v>
      </c>
    </row>
    <row r="760" spans="1:9" x14ac:dyDescent="0.35">
      <c r="A760" s="106">
        <v>45693</v>
      </c>
      <c r="B760" s="107" t="s">
        <v>322</v>
      </c>
      <c r="C760" s="107" t="s">
        <v>332</v>
      </c>
      <c r="D760" s="107" t="s">
        <v>320</v>
      </c>
      <c r="E760" s="107" t="s">
        <v>345</v>
      </c>
      <c r="F760" s="108">
        <v>23</v>
      </c>
      <c r="G760" s="109">
        <v>17</v>
      </c>
      <c r="H760" s="110">
        <f t="shared" si="23"/>
        <v>483</v>
      </c>
      <c r="I760" s="111">
        <f t="shared" si="22"/>
        <v>28.98</v>
      </c>
    </row>
    <row r="761" spans="1:9" x14ac:dyDescent="0.35">
      <c r="A761" s="106">
        <v>45693</v>
      </c>
      <c r="B761" s="107" t="s">
        <v>422</v>
      </c>
      <c r="C761" s="107" t="s">
        <v>393</v>
      </c>
      <c r="D761" s="107" t="s">
        <v>320</v>
      </c>
      <c r="E761" s="107" t="s">
        <v>337</v>
      </c>
      <c r="F761" s="108">
        <v>38</v>
      </c>
      <c r="G761" s="109">
        <v>24</v>
      </c>
      <c r="H761" s="110">
        <f t="shared" si="23"/>
        <v>988</v>
      </c>
      <c r="I761" s="111">
        <f t="shared" si="22"/>
        <v>59.28</v>
      </c>
    </row>
    <row r="762" spans="1:9" x14ac:dyDescent="0.35">
      <c r="A762" s="106">
        <v>45693</v>
      </c>
      <c r="B762" s="107" t="s">
        <v>322</v>
      </c>
      <c r="C762" s="107" t="s">
        <v>393</v>
      </c>
      <c r="D762" s="107" t="s">
        <v>324</v>
      </c>
      <c r="E762" s="107" t="s">
        <v>329</v>
      </c>
      <c r="F762" s="108">
        <v>60</v>
      </c>
      <c r="G762" s="109">
        <v>17</v>
      </c>
      <c r="H762" s="110">
        <f t="shared" si="23"/>
        <v>1140</v>
      </c>
      <c r="I762" s="111">
        <f t="shared" si="22"/>
        <v>57</v>
      </c>
    </row>
    <row r="763" spans="1:9" x14ac:dyDescent="0.35">
      <c r="A763" s="106">
        <v>45694</v>
      </c>
      <c r="B763" s="107" t="s">
        <v>422</v>
      </c>
      <c r="C763" s="107" t="s">
        <v>332</v>
      </c>
      <c r="D763" s="107" t="s">
        <v>423</v>
      </c>
      <c r="E763" s="107" t="s">
        <v>342</v>
      </c>
      <c r="F763" s="108">
        <v>13</v>
      </c>
      <c r="G763" s="109">
        <v>24</v>
      </c>
      <c r="H763" s="110">
        <f t="shared" si="23"/>
        <v>364</v>
      </c>
      <c r="I763" s="111">
        <f t="shared" si="22"/>
        <v>21.84</v>
      </c>
    </row>
    <row r="764" spans="1:9" x14ac:dyDescent="0.35">
      <c r="A764" s="106">
        <v>45694</v>
      </c>
      <c r="B764" s="107" t="s">
        <v>422</v>
      </c>
      <c r="C764" s="107" t="s">
        <v>393</v>
      </c>
      <c r="D764" s="107" t="s">
        <v>320</v>
      </c>
      <c r="E764" s="107" t="s">
        <v>337</v>
      </c>
      <c r="F764" s="108">
        <v>65</v>
      </c>
      <c r="G764" s="109">
        <v>24</v>
      </c>
      <c r="H764" s="110">
        <f t="shared" si="23"/>
        <v>1690</v>
      </c>
      <c r="I764" s="111">
        <f t="shared" si="22"/>
        <v>101.39999999999999</v>
      </c>
    </row>
    <row r="765" spans="1:9" x14ac:dyDescent="0.35">
      <c r="A765" s="106">
        <v>45694</v>
      </c>
      <c r="B765" s="107" t="s">
        <v>422</v>
      </c>
      <c r="C765" s="107" t="s">
        <v>393</v>
      </c>
      <c r="D765" s="107" t="s">
        <v>390</v>
      </c>
      <c r="E765" s="107" t="s">
        <v>400</v>
      </c>
      <c r="F765" s="108">
        <v>12</v>
      </c>
      <c r="G765" s="109">
        <v>24</v>
      </c>
      <c r="H765" s="110">
        <f t="shared" si="23"/>
        <v>312</v>
      </c>
      <c r="I765" s="111">
        <f t="shared" si="22"/>
        <v>15.600000000000001</v>
      </c>
    </row>
    <row r="766" spans="1:9" x14ac:dyDescent="0.35">
      <c r="A766" s="106">
        <v>45694</v>
      </c>
      <c r="B766" s="107" t="s">
        <v>318</v>
      </c>
      <c r="C766" s="107" t="s">
        <v>314</v>
      </c>
      <c r="D766" s="107" t="s">
        <v>320</v>
      </c>
      <c r="E766" s="107" t="s">
        <v>394</v>
      </c>
      <c r="F766" s="108">
        <v>17</v>
      </c>
      <c r="G766" s="109">
        <v>4</v>
      </c>
      <c r="H766" s="110">
        <f t="shared" si="23"/>
        <v>119</v>
      </c>
      <c r="I766" s="111">
        <f t="shared" si="22"/>
        <v>7.14</v>
      </c>
    </row>
    <row r="767" spans="1:9" x14ac:dyDescent="0.35">
      <c r="A767" s="106">
        <v>45695</v>
      </c>
      <c r="B767" s="107" t="s">
        <v>422</v>
      </c>
      <c r="C767" s="107" t="s">
        <v>332</v>
      </c>
      <c r="D767" s="107" t="s">
        <v>320</v>
      </c>
      <c r="E767" s="107" t="s">
        <v>347</v>
      </c>
      <c r="F767" s="108">
        <v>6</v>
      </c>
      <c r="G767" s="109">
        <v>24</v>
      </c>
      <c r="H767" s="110">
        <f t="shared" si="23"/>
        <v>168</v>
      </c>
      <c r="I767" s="111">
        <f t="shared" si="22"/>
        <v>10.08</v>
      </c>
    </row>
    <row r="768" spans="1:9" x14ac:dyDescent="0.35">
      <c r="A768" s="106">
        <v>45695</v>
      </c>
      <c r="B768" s="107" t="s">
        <v>322</v>
      </c>
      <c r="C768" s="107" t="s">
        <v>319</v>
      </c>
      <c r="D768" s="107" t="s">
        <v>390</v>
      </c>
      <c r="E768" s="107" t="s">
        <v>346</v>
      </c>
      <c r="F768" s="108">
        <v>8</v>
      </c>
      <c r="G768" s="109">
        <v>17</v>
      </c>
      <c r="H768" s="110">
        <f t="shared" si="23"/>
        <v>144</v>
      </c>
      <c r="I768" s="111">
        <f t="shared" si="22"/>
        <v>7.2</v>
      </c>
    </row>
    <row r="769" spans="1:9" x14ac:dyDescent="0.35">
      <c r="A769" s="106">
        <v>45695</v>
      </c>
      <c r="B769" s="107" t="s">
        <v>322</v>
      </c>
      <c r="C769" s="107" t="s">
        <v>319</v>
      </c>
      <c r="D769" s="107" t="s">
        <v>423</v>
      </c>
      <c r="E769" s="107" t="s">
        <v>405</v>
      </c>
      <c r="F769" s="108">
        <v>41</v>
      </c>
      <c r="G769" s="109">
        <v>17</v>
      </c>
      <c r="H769" s="110">
        <f t="shared" si="23"/>
        <v>738</v>
      </c>
      <c r="I769" s="111">
        <f t="shared" si="22"/>
        <v>44.28</v>
      </c>
    </row>
    <row r="770" spans="1:9" x14ac:dyDescent="0.35">
      <c r="A770" s="106">
        <v>45696</v>
      </c>
      <c r="B770" s="107" t="s">
        <v>422</v>
      </c>
      <c r="C770" s="107" t="s">
        <v>314</v>
      </c>
      <c r="D770" s="107" t="s">
        <v>324</v>
      </c>
      <c r="E770" s="107" t="s">
        <v>331</v>
      </c>
      <c r="F770" s="108">
        <v>30</v>
      </c>
      <c r="G770" s="109">
        <v>24</v>
      </c>
      <c r="H770" s="110">
        <f t="shared" si="23"/>
        <v>810</v>
      </c>
      <c r="I770" s="111">
        <f t="shared" ref="I770:I833" si="24">H770*VLOOKUP(D770,$O$4:$P$10,2,TRUE)</f>
        <v>40.5</v>
      </c>
    </row>
    <row r="771" spans="1:9" x14ac:dyDescent="0.35">
      <c r="A771" s="106">
        <v>45697</v>
      </c>
      <c r="B771" s="107" t="s">
        <v>318</v>
      </c>
      <c r="C771" s="107" t="s">
        <v>332</v>
      </c>
      <c r="D771" s="107" t="s">
        <v>333</v>
      </c>
      <c r="E771" s="107" t="s">
        <v>342</v>
      </c>
      <c r="F771" s="108">
        <v>57</v>
      </c>
      <c r="G771" s="109">
        <v>4</v>
      </c>
      <c r="H771" s="110">
        <f t="shared" ref="H771:H834" si="25">(F771*G771)+VLOOKUP(C771,$K$11:$L$14,2,FALSE)*F771</f>
        <v>456</v>
      </c>
      <c r="I771" s="111">
        <f t="shared" si="24"/>
        <v>22.8</v>
      </c>
    </row>
    <row r="772" spans="1:9" x14ac:dyDescent="0.35">
      <c r="A772" s="106">
        <v>45697</v>
      </c>
      <c r="B772" s="107" t="s">
        <v>422</v>
      </c>
      <c r="C772" s="107" t="s">
        <v>314</v>
      </c>
      <c r="D772" s="107" t="s">
        <v>320</v>
      </c>
      <c r="E772" s="107" t="s">
        <v>394</v>
      </c>
      <c r="F772" s="108">
        <v>37</v>
      </c>
      <c r="G772" s="109">
        <v>24</v>
      </c>
      <c r="H772" s="110">
        <f t="shared" si="25"/>
        <v>999</v>
      </c>
      <c r="I772" s="111">
        <f t="shared" si="24"/>
        <v>59.94</v>
      </c>
    </row>
    <row r="773" spans="1:9" x14ac:dyDescent="0.35">
      <c r="A773" s="106">
        <v>45697</v>
      </c>
      <c r="B773" s="107" t="s">
        <v>313</v>
      </c>
      <c r="C773" s="107" t="s">
        <v>314</v>
      </c>
      <c r="D773" s="107" t="s">
        <v>338</v>
      </c>
      <c r="E773" s="107" t="s">
        <v>344</v>
      </c>
      <c r="F773" s="108">
        <v>57</v>
      </c>
      <c r="G773" s="109">
        <v>13</v>
      </c>
      <c r="H773" s="110">
        <f t="shared" si="25"/>
        <v>912</v>
      </c>
      <c r="I773" s="111">
        <f t="shared" si="24"/>
        <v>54.72</v>
      </c>
    </row>
    <row r="774" spans="1:9" x14ac:dyDescent="0.35">
      <c r="A774" s="106">
        <v>45697</v>
      </c>
      <c r="B774" s="107" t="s">
        <v>313</v>
      </c>
      <c r="C774" s="107" t="s">
        <v>314</v>
      </c>
      <c r="D774" s="107" t="s">
        <v>324</v>
      </c>
      <c r="E774" s="107" t="s">
        <v>405</v>
      </c>
      <c r="F774" s="108">
        <v>26</v>
      </c>
      <c r="G774" s="109">
        <v>13</v>
      </c>
      <c r="H774" s="110">
        <f t="shared" si="25"/>
        <v>416</v>
      </c>
      <c r="I774" s="111">
        <f t="shared" si="24"/>
        <v>20.8</v>
      </c>
    </row>
    <row r="775" spans="1:9" x14ac:dyDescent="0.35">
      <c r="A775" s="106">
        <v>45698</v>
      </c>
      <c r="B775" s="107" t="s">
        <v>327</v>
      </c>
      <c r="C775" s="107" t="s">
        <v>319</v>
      </c>
      <c r="D775" s="107" t="s">
        <v>315</v>
      </c>
      <c r="E775" s="107" t="s">
        <v>349</v>
      </c>
      <c r="F775" s="108">
        <v>7</v>
      </c>
      <c r="G775" s="109">
        <v>6</v>
      </c>
      <c r="H775" s="110">
        <f t="shared" si="25"/>
        <v>49</v>
      </c>
      <c r="I775" s="111">
        <f t="shared" si="24"/>
        <v>2.4500000000000002</v>
      </c>
    </row>
    <row r="776" spans="1:9" x14ac:dyDescent="0.35">
      <c r="A776" s="106">
        <v>45698</v>
      </c>
      <c r="B776" s="107" t="s">
        <v>422</v>
      </c>
      <c r="C776" s="107" t="s">
        <v>314</v>
      </c>
      <c r="D776" s="107" t="s">
        <v>423</v>
      </c>
      <c r="E776" s="107" t="s">
        <v>347</v>
      </c>
      <c r="F776" s="108">
        <v>53</v>
      </c>
      <c r="G776" s="109">
        <v>24</v>
      </c>
      <c r="H776" s="110">
        <f t="shared" si="25"/>
        <v>1431</v>
      </c>
      <c r="I776" s="111">
        <f t="shared" si="24"/>
        <v>85.86</v>
      </c>
    </row>
    <row r="777" spans="1:9" x14ac:dyDescent="0.35">
      <c r="A777" s="106">
        <v>45698</v>
      </c>
      <c r="B777" s="107" t="s">
        <v>422</v>
      </c>
      <c r="C777" s="107" t="s">
        <v>332</v>
      </c>
      <c r="D777" s="107" t="s">
        <v>423</v>
      </c>
      <c r="E777" s="107" t="s">
        <v>400</v>
      </c>
      <c r="F777" s="108">
        <v>50</v>
      </c>
      <c r="G777" s="109">
        <v>24</v>
      </c>
      <c r="H777" s="110">
        <f t="shared" si="25"/>
        <v>1400</v>
      </c>
      <c r="I777" s="111">
        <f t="shared" si="24"/>
        <v>84</v>
      </c>
    </row>
    <row r="778" spans="1:9" x14ac:dyDescent="0.35">
      <c r="A778" s="106">
        <v>45698</v>
      </c>
      <c r="B778" s="107" t="s">
        <v>327</v>
      </c>
      <c r="C778" s="107" t="s">
        <v>319</v>
      </c>
      <c r="D778" s="107" t="s">
        <v>423</v>
      </c>
      <c r="E778" s="107" t="s">
        <v>394</v>
      </c>
      <c r="F778" s="108">
        <v>27</v>
      </c>
      <c r="G778" s="109">
        <v>6</v>
      </c>
      <c r="H778" s="110">
        <f t="shared" si="25"/>
        <v>189</v>
      </c>
      <c r="I778" s="111">
        <f t="shared" si="24"/>
        <v>11.34</v>
      </c>
    </row>
    <row r="779" spans="1:9" x14ac:dyDescent="0.35">
      <c r="A779" s="106">
        <v>45699</v>
      </c>
      <c r="B779" s="107" t="s">
        <v>422</v>
      </c>
      <c r="C779" s="107" t="s">
        <v>319</v>
      </c>
      <c r="D779" s="107" t="s">
        <v>338</v>
      </c>
      <c r="E779" s="107" t="s">
        <v>341</v>
      </c>
      <c r="F779" s="108">
        <v>53</v>
      </c>
      <c r="G779" s="109">
        <v>24</v>
      </c>
      <c r="H779" s="110">
        <f t="shared" si="25"/>
        <v>1325</v>
      </c>
      <c r="I779" s="111">
        <f t="shared" si="24"/>
        <v>79.5</v>
      </c>
    </row>
    <row r="780" spans="1:9" x14ac:dyDescent="0.35">
      <c r="A780" s="106">
        <v>45699</v>
      </c>
      <c r="B780" s="107" t="s">
        <v>318</v>
      </c>
      <c r="C780" s="107" t="s">
        <v>332</v>
      </c>
      <c r="D780" s="107" t="s">
        <v>390</v>
      </c>
      <c r="E780" s="107" t="s">
        <v>394</v>
      </c>
      <c r="F780" s="108">
        <v>23</v>
      </c>
      <c r="G780" s="109">
        <v>4</v>
      </c>
      <c r="H780" s="110">
        <f t="shared" si="25"/>
        <v>184</v>
      </c>
      <c r="I780" s="111">
        <f t="shared" si="24"/>
        <v>9.2000000000000011</v>
      </c>
    </row>
    <row r="781" spans="1:9" x14ac:dyDescent="0.35">
      <c r="A781" s="106">
        <v>45699</v>
      </c>
      <c r="B781" s="107" t="s">
        <v>318</v>
      </c>
      <c r="C781" s="107" t="s">
        <v>319</v>
      </c>
      <c r="D781" s="107" t="s">
        <v>315</v>
      </c>
      <c r="E781" s="107" t="s">
        <v>335</v>
      </c>
      <c r="F781" s="108">
        <v>36</v>
      </c>
      <c r="G781" s="109">
        <v>4</v>
      </c>
      <c r="H781" s="110">
        <f t="shared" si="25"/>
        <v>180</v>
      </c>
      <c r="I781" s="111">
        <f t="shared" si="24"/>
        <v>9</v>
      </c>
    </row>
    <row r="782" spans="1:9" x14ac:dyDescent="0.35">
      <c r="A782" s="106">
        <v>45700</v>
      </c>
      <c r="B782" s="107" t="s">
        <v>318</v>
      </c>
      <c r="C782" s="107" t="s">
        <v>319</v>
      </c>
      <c r="D782" s="107" t="s">
        <v>333</v>
      </c>
      <c r="E782" s="107" t="s">
        <v>340</v>
      </c>
      <c r="F782" s="108">
        <v>12</v>
      </c>
      <c r="G782" s="109">
        <v>4</v>
      </c>
      <c r="H782" s="110">
        <f t="shared" si="25"/>
        <v>60</v>
      </c>
      <c r="I782" s="111">
        <f t="shared" si="24"/>
        <v>3</v>
      </c>
    </row>
    <row r="783" spans="1:9" x14ac:dyDescent="0.35">
      <c r="A783" s="106">
        <v>45700</v>
      </c>
      <c r="B783" s="107" t="s">
        <v>318</v>
      </c>
      <c r="C783" s="107" t="s">
        <v>319</v>
      </c>
      <c r="D783" s="107" t="s">
        <v>390</v>
      </c>
      <c r="E783" s="107" t="s">
        <v>339</v>
      </c>
      <c r="F783" s="108">
        <v>19</v>
      </c>
      <c r="G783" s="109">
        <v>4</v>
      </c>
      <c r="H783" s="110">
        <f t="shared" si="25"/>
        <v>95</v>
      </c>
      <c r="I783" s="111">
        <f t="shared" si="24"/>
        <v>4.75</v>
      </c>
    </row>
    <row r="784" spans="1:9" x14ac:dyDescent="0.35">
      <c r="A784" s="106">
        <v>45700</v>
      </c>
      <c r="B784" s="107" t="s">
        <v>322</v>
      </c>
      <c r="C784" s="107" t="s">
        <v>332</v>
      </c>
      <c r="D784" s="107" t="s">
        <v>315</v>
      </c>
      <c r="E784" s="107" t="s">
        <v>329</v>
      </c>
      <c r="F784" s="108">
        <v>11</v>
      </c>
      <c r="G784" s="109">
        <v>17</v>
      </c>
      <c r="H784" s="110">
        <f t="shared" si="25"/>
        <v>231</v>
      </c>
      <c r="I784" s="111">
        <f t="shared" si="24"/>
        <v>11.55</v>
      </c>
    </row>
    <row r="785" spans="1:9" x14ac:dyDescent="0.35">
      <c r="A785" s="106">
        <v>45700</v>
      </c>
      <c r="B785" s="107" t="s">
        <v>313</v>
      </c>
      <c r="C785" s="107" t="s">
        <v>393</v>
      </c>
      <c r="D785" s="107" t="s">
        <v>324</v>
      </c>
      <c r="E785" s="107" t="s">
        <v>329</v>
      </c>
      <c r="F785" s="108">
        <v>43</v>
      </c>
      <c r="G785" s="109">
        <v>13</v>
      </c>
      <c r="H785" s="110">
        <f t="shared" si="25"/>
        <v>645</v>
      </c>
      <c r="I785" s="111">
        <f t="shared" si="24"/>
        <v>32.25</v>
      </c>
    </row>
    <row r="786" spans="1:9" x14ac:dyDescent="0.35">
      <c r="A786" s="106">
        <v>45701</v>
      </c>
      <c r="B786" s="107" t="s">
        <v>313</v>
      </c>
      <c r="C786" s="107" t="s">
        <v>393</v>
      </c>
      <c r="D786" s="107" t="s">
        <v>324</v>
      </c>
      <c r="E786" s="107" t="s">
        <v>341</v>
      </c>
      <c r="F786" s="108">
        <v>30</v>
      </c>
      <c r="G786" s="109">
        <v>13</v>
      </c>
      <c r="H786" s="110">
        <f t="shared" si="25"/>
        <v>450</v>
      </c>
      <c r="I786" s="111">
        <f t="shared" si="24"/>
        <v>22.5</v>
      </c>
    </row>
    <row r="787" spans="1:9" x14ac:dyDescent="0.35">
      <c r="A787" s="106">
        <v>45701</v>
      </c>
      <c r="B787" s="107" t="s">
        <v>313</v>
      </c>
      <c r="C787" s="107" t="s">
        <v>393</v>
      </c>
      <c r="D787" s="107" t="s">
        <v>324</v>
      </c>
      <c r="E787" s="107" t="s">
        <v>337</v>
      </c>
      <c r="F787" s="108">
        <v>23</v>
      </c>
      <c r="G787" s="109">
        <v>13</v>
      </c>
      <c r="H787" s="110">
        <f t="shared" si="25"/>
        <v>345</v>
      </c>
      <c r="I787" s="111">
        <f t="shared" si="24"/>
        <v>17.25</v>
      </c>
    </row>
    <row r="788" spans="1:9" x14ac:dyDescent="0.35">
      <c r="A788" s="106">
        <v>45701</v>
      </c>
      <c r="B788" s="107" t="s">
        <v>318</v>
      </c>
      <c r="C788" s="107" t="s">
        <v>393</v>
      </c>
      <c r="D788" s="107" t="s">
        <v>423</v>
      </c>
      <c r="E788" s="107" t="s">
        <v>346</v>
      </c>
      <c r="F788" s="108">
        <v>51</v>
      </c>
      <c r="G788" s="109">
        <v>4</v>
      </c>
      <c r="H788" s="110">
        <f t="shared" si="25"/>
        <v>306</v>
      </c>
      <c r="I788" s="111">
        <f t="shared" si="24"/>
        <v>18.36</v>
      </c>
    </row>
    <row r="789" spans="1:9" x14ac:dyDescent="0.35">
      <c r="A789" s="106">
        <v>45701</v>
      </c>
      <c r="B789" s="107" t="s">
        <v>327</v>
      </c>
      <c r="C789" s="107" t="s">
        <v>393</v>
      </c>
      <c r="D789" s="107" t="s">
        <v>423</v>
      </c>
      <c r="E789" s="107" t="s">
        <v>394</v>
      </c>
      <c r="F789" s="108">
        <v>7</v>
      </c>
      <c r="G789" s="109">
        <v>6</v>
      </c>
      <c r="H789" s="110">
        <f t="shared" si="25"/>
        <v>56</v>
      </c>
      <c r="I789" s="111">
        <f t="shared" si="24"/>
        <v>3.36</v>
      </c>
    </row>
    <row r="790" spans="1:9" x14ac:dyDescent="0.35">
      <c r="A790" s="106">
        <v>45701</v>
      </c>
      <c r="B790" s="107" t="s">
        <v>318</v>
      </c>
      <c r="C790" s="107" t="s">
        <v>332</v>
      </c>
      <c r="D790" s="107" t="s">
        <v>333</v>
      </c>
      <c r="E790" s="107" t="s">
        <v>405</v>
      </c>
      <c r="F790" s="108">
        <v>19</v>
      </c>
      <c r="G790" s="109">
        <v>4</v>
      </c>
      <c r="H790" s="110">
        <f t="shared" si="25"/>
        <v>152</v>
      </c>
      <c r="I790" s="111">
        <f t="shared" si="24"/>
        <v>7.6000000000000005</v>
      </c>
    </row>
    <row r="791" spans="1:9" x14ac:dyDescent="0.35">
      <c r="A791" s="106">
        <v>45702</v>
      </c>
      <c r="B791" s="107" t="s">
        <v>313</v>
      </c>
      <c r="C791" s="107" t="s">
        <v>314</v>
      </c>
      <c r="D791" s="107" t="s">
        <v>338</v>
      </c>
      <c r="E791" s="107" t="s">
        <v>348</v>
      </c>
      <c r="F791" s="108">
        <v>36</v>
      </c>
      <c r="G791" s="109">
        <v>13</v>
      </c>
      <c r="H791" s="110">
        <f t="shared" si="25"/>
        <v>576</v>
      </c>
      <c r="I791" s="111">
        <f t="shared" si="24"/>
        <v>34.56</v>
      </c>
    </row>
    <row r="792" spans="1:9" x14ac:dyDescent="0.35">
      <c r="A792" s="106">
        <v>45702</v>
      </c>
      <c r="B792" s="107" t="s">
        <v>327</v>
      </c>
      <c r="C792" s="107" t="s">
        <v>319</v>
      </c>
      <c r="D792" s="107" t="s">
        <v>315</v>
      </c>
      <c r="E792" s="107" t="s">
        <v>350</v>
      </c>
      <c r="F792" s="108">
        <v>15</v>
      </c>
      <c r="G792" s="109">
        <v>6</v>
      </c>
      <c r="H792" s="110">
        <f t="shared" si="25"/>
        <v>105</v>
      </c>
      <c r="I792" s="111">
        <f t="shared" si="24"/>
        <v>5.25</v>
      </c>
    </row>
    <row r="793" spans="1:9" x14ac:dyDescent="0.35">
      <c r="A793" s="106">
        <v>45703</v>
      </c>
      <c r="B793" s="107" t="s">
        <v>322</v>
      </c>
      <c r="C793" s="107" t="s">
        <v>393</v>
      </c>
      <c r="D793" s="107" t="s">
        <v>423</v>
      </c>
      <c r="E793" s="107" t="s">
        <v>337</v>
      </c>
      <c r="F793" s="108">
        <v>59</v>
      </c>
      <c r="G793" s="109">
        <v>17</v>
      </c>
      <c r="H793" s="110">
        <f t="shared" si="25"/>
        <v>1121</v>
      </c>
      <c r="I793" s="111">
        <f t="shared" si="24"/>
        <v>67.259999999999991</v>
      </c>
    </row>
    <row r="794" spans="1:9" x14ac:dyDescent="0.35">
      <c r="A794" s="106">
        <v>45703</v>
      </c>
      <c r="B794" s="107" t="s">
        <v>313</v>
      </c>
      <c r="C794" s="107" t="s">
        <v>319</v>
      </c>
      <c r="D794" s="107" t="s">
        <v>423</v>
      </c>
      <c r="E794" s="107" t="s">
        <v>350</v>
      </c>
      <c r="F794" s="108">
        <v>26</v>
      </c>
      <c r="G794" s="109">
        <v>13</v>
      </c>
      <c r="H794" s="110">
        <f t="shared" si="25"/>
        <v>364</v>
      </c>
      <c r="I794" s="111">
        <f t="shared" si="24"/>
        <v>21.84</v>
      </c>
    </row>
    <row r="795" spans="1:9" x14ac:dyDescent="0.35">
      <c r="A795" s="106">
        <v>45704</v>
      </c>
      <c r="B795" s="107" t="s">
        <v>318</v>
      </c>
      <c r="C795" s="107" t="s">
        <v>332</v>
      </c>
      <c r="D795" s="107" t="s">
        <v>320</v>
      </c>
      <c r="E795" s="107" t="s">
        <v>394</v>
      </c>
      <c r="F795" s="108">
        <v>64</v>
      </c>
      <c r="G795" s="109">
        <v>4</v>
      </c>
      <c r="H795" s="110">
        <f t="shared" si="25"/>
        <v>512</v>
      </c>
      <c r="I795" s="111">
        <f t="shared" si="24"/>
        <v>30.72</v>
      </c>
    </row>
    <row r="796" spans="1:9" x14ac:dyDescent="0.35">
      <c r="A796" s="106">
        <v>45704</v>
      </c>
      <c r="B796" s="107" t="s">
        <v>422</v>
      </c>
      <c r="C796" s="107" t="s">
        <v>332</v>
      </c>
      <c r="D796" s="107" t="s">
        <v>324</v>
      </c>
      <c r="E796" s="107" t="s">
        <v>344</v>
      </c>
      <c r="F796" s="108">
        <v>20</v>
      </c>
      <c r="G796" s="109">
        <v>24</v>
      </c>
      <c r="H796" s="110">
        <f t="shared" si="25"/>
        <v>560</v>
      </c>
      <c r="I796" s="111">
        <f t="shared" si="24"/>
        <v>28</v>
      </c>
    </row>
    <row r="797" spans="1:9" x14ac:dyDescent="0.35">
      <c r="A797" s="106">
        <v>45704</v>
      </c>
      <c r="B797" s="107" t="s">
        <v>327</v>
      </c>
      <c r="C797" s="107" t="s">
        <v>319</v>
      </c>
      <c r="D797" s="107" t="s">
        <v>315</v>
      </c>
      <c r="E797" s="107" t="s">
        <v>350</v>
      </c>
      <c r="F797" s="108">
        <v>53</v>
      </c>
      <c r="G797" s="109">
        <v>6</v>
      </c>
      <c r="H797" s="110">
        <f t="shared" si="25"/>
        <v>371</v>
      </c>
      <c r="I797" s="111">
        <f t="shared" si="24"/>
        <v>18.55</v>
      </c>
    </row>
    <row r="798" spans="1:9" x14ac:dyDescent="0.35">
      <c r="A798" s="106">
        <v>45705</v>
      </c>
      <c r="B798" s="107" t="s">
        <v>322</v>
      </c>
      <c r="C798" s="107" t="s">
        <v>332</v>
      </c>
      <c r="D798" s="107" t="s">
        <v>338</v>
      </c>
      <c r="E798" s="107" t="s">
        <v>388</v>
      </c>
      <c r="F798" s="108">
        <v>27</v>
      </c>
      <c r="G798" s="109">
        <v>17</v>
      </c>
      <c r="H798" s="110">
        <f t="shared" si="25"/>
        <v>567</v>
      </c>
      <c r="I798" s="111">
        <f t="shared" si="24"/>
        <v>34.019999999999996</v>
      </c>
    </row>
    <row r="799" spans="1:9" x14ac:dyDescent="0.35">
      <c r="A799" s="106">
        <v>45705</v>
      </c>
      <c r="B799" s="107" t="s">
        <v>422</v>
      </c>
      <c r="C799" s="107" t="s">
        <v>314</v>
      </c>
      <c r="D799" s="107" t="s">
        <v>320</v>
      </c>
      <c r="E799" s="107" t="s">
        <v>347</v>
      </c>
      <c r="F799" s="108">
        <v>63</v>
      </c>
      <c r="G799" s="109">
        <v>24</v>
      </c>
      <c r="H799" s="110">
        <f t="shared" si="25"/>
        <v>1701</v>
      </c>
      <c r="I799" s="111">
        <f t="shared" si="24"/>
        <v>102.06</v>
      </c>
    </row>
    <row r="800" spans="1:9" x14ac:dyDescent="0.35">
      <c r="A800" s="106">
        <v>45705</v>
      </c>
      <c r="B800" s="107" t="s">
        <v>318</v>
      </c>
      <c r="C800" s="107" t="s">
        <v>332</v>
      </c>
      <c r="D800" s="107" t="s">
        <v>423</v>
      </c>
      <c r="E800" s="107" t="s">
        <v>344</v>
      </c>
      <c r="F800" s="108">
        <v>43</v>
      </c>
      <c r="G800" s="109">
        <v>4</v>
      </c>
      <c r="H800" s="110">
        <f t="shared" si="25"/>
        <v>344</v>
      </c>
      <c r="I800" s="111">
        <f t="shared" si="24"/>
        <v>20.64</v>
      </c>
    </row>
    <row r="801" spans="1:9" x14ac:dyDescent="0.35">
      <c r="A801" s="106">
        <v>45705</v>
      </c>
      <c r="B801" s="107" t="s">
        <v>322</v>
      </c>
      <c r="C801" s="107" t="s">
        <v>314</v>
      </c>
      <c r="D801" s="107" t="s">
        <v>390</v>
      </c>
      <c r="E801" s="107" t="s">
        <v>343</v>
      </c>
      <c r="F801" s="108">
        <v>34</v>
      </c>
      <c r="G801" s="109">
        <v>17</v>
      </c>
      <c r="H801" s="110">
        <f t="shared" si="25"/>
        <v>680</v>
      </c>
      <c r="I801" s="111">
        <f t="shared" si="24"/>
        <v>34</v>
      </c>
    </row>
    <row r="802" spans="1:9" x14ac:dyDescent="0.35">
      <c r="A802" s="106">
        <v>45706</v>
      </c>
      <c r="B802" s="107" t="s">
        <v>313</v>
      </c>
      <c r="C802" s="107" t="s">
        <v>314</v>
      </c>
      <c r="D802" s="107" t="s">
        <v>320</v>
      </c>
      <c r="E802" s="107" t="s">
        <v>342</v>
      </c>
      <c r="F802" s="108">
        <v>55</v>
      </c>
      <c r="G802" s="109">
        <v>13</v>
      </c>
      <c r="H802" s="110">
        <f t="shared" si="25"/>
        <v>880</v>
      </c>
      <c r="I802" s="111">
        <f t="shared" si="24"/>
        <v>52.8</v>
      </c>
    </row>
    <row r="803" spans="1:9" x14ac:dyDescent="0.35">
      <c r="A803" s="106">
        <v>45706</v>
      </c>
      <c r="B803" s="107" t="s">
        <v>422</v>
      </c>
      <c r="C803" s="107" t="s">
        <v>332</v>
      </c>
      <c r="D803" s="107" t="s">
        <v>315</v>
      </c>
      <c r="E803" s="107" t="s">
        <v>340</v>
      </c>
      <c r="F803" s="108">
        <v>33</v>
      </c>
      <c r="G803" s="109">
        <v>24</v>
      </c>
      <c r="H803" s="110">
        <f t="shared" si="25"/>
        <v>924</v>
      </c>
      <c r="I803" s="111">
        <f t="shared" si="24"/>
        <v>46.2</v>
      </c>
    </row>
    <row r="804" spans="1:9" x14ac:dyDescent="0.35">
      <c r="A804" s="106">
        <v>45706</v>
      </c>
      <c r="B804" s="107" t="s">
        <v>422</v>
      </c>
      <c r="C804" s="107" t="s">
        <v>332</v>
      </c>
      <c r="D804" s="107" t="s">
        <v>315</v>
      </c>
      <c r="E804" s="107" t="s">
        <v>340</v>
      </c>
      <c r="F804" s="108">
        <v>15</v>
      </c>
      <c r="G804" s="109">
        <v>24</v>
      </c>
      <c r="H804" s="110">
        <f t="shared" si="25"/>
        <v>420</v>
      </c>
      <c r="I804" s="111">
        <f t="shared" si="24"/>
        <v>21</v>
      </c>
    </row>
    <row r="805" spans="1:9" x14ac:dyDescent="0.35">
      <c r="A805" s="106">
        <v>45706</v>
      </c>
      <c r="B805" s="107" t="s">
        <v>318</v>
      </c>
      <c r="C805" s="107" t="s">
        <v>332</v>
      </c>
      <c r="D805" s="107" t="s">
        <v>423</v>
      </c>
      <c r="E805" s="107" t="s">
        <v>345</v>
      </c>
      <c r="F805" s="108">
        <v>37</v>
      </c>
      <c r="G805" s="109">
        <v>4</v>
      </c>
      <c r="H805" s="110">
        <f t="shared" si="25"/>
        <v>296</v>
      </c>
      <c r="I805" s="111">
        <f t="shared" si="24"/>
        <v>17.759999999999998</v>
      </c>
    </row>
    <row r="806" spans="1:9" x14ac:dyDescent="0.35">
      <c r="A806" s="106">
        <v>45706</v>
      </c>
      <c r="B806" s="107" t="s">
        <v>313</v>
      </c>
      <c r="C806" s="107" t="s">
        <v>332</v>
      </c>
      <c r="D806" s="107" t="s">
        <v>338</v>
      </c>
      <c r="E806" s="107" t="s">
        <v>454</v>
      </c>
      <c r="F806" s="108">
        <v>11</v>
      </c>
      <c r="G806" s="109">
        <v>13</v>
      </c>
      <c r="H806" s="110">
        <f t="shared" si="25"/>
        <v>187</v>
      </c>
      <c r="I806" s="111">
        <f t="shared" si="24"/>
        <v>11.219999999999999</v>
      </c>
    </row>
    <row r="807" spans="1:9" x14ac:dyDescent="0.35">
      <c r="A807" s="106">
        <v>45706</v>
      </c>
      <c r="B807" s="107" t="s">
        <v>422</v>
      </c>
      <c r="C807" s="107" t="s">
        <v>319</v>
      </c>
      <c r="D807" s="107" t="s">
        <v>390</v>
      </c>
      <c r="E807" s="107" t="s">
        <v>331</v>
      </c>
      <c r="F807" s="108">
        <v>55</v>
      </c>
      <c r="G807" s="109">
        <v>24</v>
      </c>
      <c r="H807" s="110">
        <f t="shared" si="25"/>
        <v>1375</v>
      </c>
      <c r="I807" s="111">
        <f t="shared" si="24"/>
        <v>68.75</v>
      </c>
    </row>
    <row r="808" spans="1:9" x14ac:dyDescent="0.35">
      <c r="A808" s="106">
        <v>45706</v>
      </c>
      <c r="B808" s="107" t="s">
        <v>313</v>
      </c>
      <c r="C808" s="107" t="s">
        <v>393</v>
      </c>
      <c r="D808" s="107" t="s">
        <v>320</v>
      </c>
      <c r="E808" s="107" t="s">
        <v>344</v>
      </c>
      <c r="F808" s="108">
        <v>20</v>
      </c>
      <c r="G808" s="109">
        <v>13</v>
      </c>
      <c r="H808" s="110">
        <f t="shared" si="25"/>
        <v>300</v>
      </c>
      <c r="I808" s="111">
        <f t="shared" si="24"/>
        <v>18</v>
      </c>
    </row>
    <row r="809" spans="1:9" x14ac:dyDescent="0.35">
      <c r="A809" s="106">
        <v>45706</v>
      </c>
      <c r="B809" s="107" t="s">
        <v>327</v>
      </c>
      <c r="C809" s="107" t="s">
        <v>314</v>
      </c>
      <c r="D809" s="107" t="s">
        <v>333</v>
      </c>
      <c r="E809" s="107" t="s">
        <v>405</v>
      </c>
      <c r="F809" s="108">
        <v>33</v>
      </c>
      <c r="G809" s="109">
        <v>6</v>
      </c>
      <c r="H809" s="110">
        <f t="shared" si="25"/>
        <v>297</v>
      </c>
      <c r="I809" s="111">
        <f t="shared" si="24"/>
        <v>14.850000000000001</v>
      </c>
    </row>
    <row r="810" spans="1:9" x14ac:dyDescent="0.35">
      <c r="A810" s="106">
        <v>45707</v>
      </c>
      <c r="B810" s="107" t="s">
        <v>313</v>
      </c>
      <c r="C810" s="107" t="s">
        <v>332</v>
      </c>
      <c r="D810" s="107" t="s">
        <v>390</v>
      </c>
      <c r="E810" s="107" t="s">
        <v>349</v>
      </c>
      <c r="F810" s="108">
        <v>47</v>
      </c>
      <c r="G810" s="109">
        <v>13</v>
      </c>
      <c r="H810" s="110">
        <f t="shared" si="25"/>
        <v>799</v>
      </c>
      <c r="I810" s="111">
        <f t="shared" si="24"/>
        <v>39.950000000000003</v>
      </c>
    </row>
    <row r="811" spans="1:9" x14ac:dyDescent="0.35">
      <c r="A811" s="106">
        <v>45707</v>
      </c>
      <c r="B811" s="107" t="s">
        <v>313</v>
      </c>
      <c r="C811" s="107" t="s">
        <v>319</v>
      </c>
      <c r="D811" s="107" t="s">
        <v>390</v>
      </c>
      <c r="E811" s="107" t="s">
        <v>339</v>
      </c>
      <c r="F811" s="108">
        <v>16</v>
      </c>
      <c r="G811" s="109">
        <v>13</v>
      </c>
      <c r="H811" s="110">
        <f t="shared" si="25"/>
        <v>224</v>
      </c>
      <c r="I811" s="111">
        <f t="shared" si="24"/>
        <v>11.200000000000001</v>
      </c>
    </row>
    <row r="812" spans="1:9" x14ac:dyDescent="0.35">
      <c r="A812" s="106">
        <v>45707</v>
      </c>
      <c r="B812" s="107" t="s">
        <v>422</v>
      </c>
      <c r="C812" s="107" t="s">
        <v>332</v>
      </c>
      <c r="D812" s="107" t="s">
        <v>338</v>
      </c>
      <c r="E812" s="107" t="s">
        <v>329</v>
      </c>
      <c r="F812" s="108">
        <v>10</v>
      </c>
      <c r="G812" s="109">
        <v>24</v>
      </c>
      <c r="H812" s="110">
        <f t="shared" si="25"/>
        <v>280</v>
      </c>
      <c r="I812" s="111">
        <f t="shared" si="24"/>
        <v>16.8</v>
      </c>
    </row>
    <row r="813" spans="1:9" x14ac:dyDescent="0.35">
      <c r="A813" s="106">
        <v>45707</v>
      </c>
      <c r="B813" s="107" t="s">
        <v>318</v>
      </c>
      <c r="C813" s="107" t="s">
        <v>332</v>
      </c>
      <c r="D813" s="107" t="s">
        <v>324</v>
      </c>
      <c r="E813" s="107" t="s">
        <v>416</v>
      </c>
      <c r="F813" s="108">
        <v>40</v>
      </c>
      <c r="G813" s="109">
        <v>4</v>
      </c>
      <c r="H813" s="110">
        <f t="shared" si="25"/>
        <v>320</v>
      </c>
      <c r="I813" s="111">
        <f t="shared" si="24"/>
        <v>16</v>
      </c>
    </row>
    <row r="814" spans="1:9" x14ac:dyDescent="0.35">
      <c r="A814" s="106">
        <v>45708</v>
      </c>
      <c r="B814" s="107" t="s">
        <v>318</v>
      </c>
      <c r="C814" s="107" t="s">
        <v>332</v>
      </c>
      <c r="D814" s="107" t="s">
        <v>320</v>
      </c>
      <c r="E814" s="107" t="s">
        <v>400</v>
      </c>
      <c r="F814" s="108">
        <v>18</v>
      </c>
      <c r="G814" s="109">
        <v>4</v>
      </c>
      <c r="H814" s="110">
        <f t="shared" si="25"/>
        <v>144</v>
      </c>
      <c r="I814" s="111">
        <f t="shared" si="24"/>
        <v>8.64</v>
      </c>
    </row>
    <row r="815" spans="1:9" x14ac:dyDescent="0.35">
      <c r="A815" s="106">
        <v>45708</v>
      </c>
      <c r="B815" s="107" t="s">
        <v>327</v>
      </c>
      <c r="C815" s="107" t="s">
        <v>393</v>
      </c>
      <c r="D815" s="107" t="s">
        <v>390</v>
      </c>
      <c r="E815" s="107" t="s">
        <v>346</v>
      </c>
      <c r="F815" s="108">
        <v>6</v>
      </c>
      <c r="G815" s="109">
        <v>6</v>
      </c>
      <c r="H815" s="110">
        <f t="shared" si="25"/>
        <v>48</v>
      </c>
      <c r="I815" s="111">
        <f t="shared" si="24"/>
        <v>2.4000000000000004</v>
      </c>
    </row>
    <row r="816" spans="1:9" x14ac:dyDescent="0.35">
      <c r="A816" s="106">
        <v>45708</v>
      </c>
      <c r="B816" s="107" t="s">
        <v>327</v>
      </c>
      <c r="C816" s="107" t="s">
        <v>319</v>
      </c>
      <c r="D816" s="107" t="s">
        <v>324</v>
      </c>
      <c r="E816" s="107" t="s">
        <v>405</v>
      </c>
      <c r="F816" s="108">
        <v>34</v>
      </c>
      <c r="G816" s="109">
        <v>6</v>
      </c>
      <c r="H816" s="110">
        <f t="shared" si="25"/>
        <v>238</v>
      </c>
      <c r="I816" s="111">
        <f t="shared" si="24"/>
        <v>11.9</v>
      </c>
    </row>
    <row r="817" spans="1:9" x14ac:dyDescent="0.35">
      <c r="A817" s="106">
        <v>45708</v>
      </c>
      <c r="B817" s="107" t="s">
        <v>422</v>
      </c>
      <c r="C817" s="107" t="s">
        <v>319</v>
      </c>
      <c r="D817" s="107" t="s">
        <v>320</v>
      </c>
      <c r="E817" s="107" t="s">
        <v>335</v>
      </c>
      <c r="F817" s="108">
        <v>47</v>
      </c>
      <c r="G817" s="109">
        <v>24</v>
      </c>
      <c r="H817" s="110">
        <f t="shared" si="25"/>
        <v>1175</v>
      </c>
      <c r="I817" s="111">
        <f t="shared" si="24"/>
        <v>70.5</v>
      </c>
    </row>
    <row r="818" spans="1:9" x14ac:dyDescent="0.35">
      <c r="A818" s="106">
        <v>45709</v>
      </c>
      <c r="B818" s="107" t="s">
        <v>327</v>
      </c>
      <c r="C818" s="107" t="s">
        <v>393</v>
      </c>
      <c r="D818" s="107" t="s">
        <v>320</v>
      </c>
      <c r="E818" s="107" t="s">
        <v>406</v>
      </c>
      <c r="F818" s="108">
        <v>22</v>
      </c>
      <c r="G818" s="109">
        <v>6</v>
      </c>
      <c r="H818" s="110">
        <f t="shared" si="25"/>
        <v>176</v>
      </c>
      <c r="I818" s="111">
        <f t="shared" si="24"/>
        <v>10.559999999999999</v>
      </c>
    </row>
    <row r="819" spans="1:9" x14ac:dyDescent="0.35">
      <c r="A819" s="106">
        <v>45709</v>
      </c>
      <c r="B819" s="107" t="s">
        <v>318</v>
      </c>
      <c r="C819" s="107" t="s">
        <v>393</v>
      </c>
      <c r="D819" s="107" t="s">
        <v>333</v>
      </c>
      <c r="E819" s="107" t="s">
        <v>400</v>
      </c>
      <c r="F819" s="108">
        <v>10</v>
      </c>
      <c r="G819" s="109">
        <v>4</v>
      </c>
      <c r="H819" s="110">
        <f t="shared" si="25"/>
        <v>60</v>
      </c>
      <c r="I819" s="111">
        <f t="shared" si="24"/>
        <v>3</v>
      </c>
    </row>
    <row r="820" spans="1:9" x14ac:dyDescent="0.35">
      <c r="A820" s="106">
        <v>45709</v>
      </c>
      <c r="B820" s="107" t="s">
        <v>327</v>
      </c>
      <c r="C820" s="107" t="s">
        <v>332</v>
      </c>
      <c r="D820" s="107" t="s">
        <v>320</v>
      </c>
      <c r="E820" s="107" t="s">
        <v>329</v>
      </c>
      <c r="F820" s="108">
        <v>26</v>
      </c>
      <c r="G820" s="109">
        <v>6</v>
      </c>
      <c r="H820" s="110">
        <f t="shared" si="25"/>
        <v>260</v>
      </c>
      <c r="I820" s="111">
        <f t="shared" si="24"/>
        <v>15.6</v>
      </c>
    </row>
    <row r="821" spans="1:9" x14ac:dyDescent="0.35">
      <c r="A821" s="106">
        <v>45709</v>
      </c>
      <c r="B821" s="107" t="s">
        <v>327</v>
      </c>
      <c r="C821" s="107" t="s">
        <v>314</v>
      </c>
      <c r="D821" s="107" t="s">
        <v>338</v>
      </c>
      <c r="E821" s="107" t="s">
        <v>343</v>
      </c>
      <c r="F821" s="108">
        <v>56</v>
      </c>
      <c r="G821" s="109">
        <v>6</v>
      </c>
      <c r="H821" s="110">
        <f t="shared" si="25"/>
        <v>504</v>
      </c>
      <c r="I821" s="111">
        <f t="shared" si="24"/>
        <v>30.24</v>
      </c>
    </row>
    <row r="822" spans="1:9" x14ac:dyDescent="0.35">
      <c r="A822" s="106">
        <v>45709</v>
      </c>
      <c r="B822" s="107" t="s">
        <v>327</v>
      </c>
      <c r="C822" s="107" t="s">
        <v>332</v>
      </c>
      <c r="D822" s="107" t="s">
        <v>315</v>
      </c>
      <c r="E822" s="107" t="s">
        <v>350</v>
      </c>
      <c r="F822" s="108">
        <v>43</v>
      </c>
      <c r="G822" s="109">
        <v>6</v>
      </c>
      <c r="H822" s="110">
        <f t="shared" si="25"/>
        <v>430</v>
      </c>
      <c r="I822" s="111">
        <f t="shared" si="24"/>
        <v>21.5</v>
      </c>
    </row>
    <row r="823" spans="1:9" x14ac:dyDescent="0.35">
      <c r="A823" s="106">
        <v>45709</v>
      </c>
      <c r="B823" s="107" t="s">
        <v>422</v>
      </c>
      <c r="C823" s="107" t="s">
        <v>393</v>
      </c>
      <c r="D823" s="107" t="s">
        <v>315</v>
      </c>
      <c r="E823" s="107" t="s">
        <v>350</v>
      </c>
      <c r="F823" s="108">
        <v>6</v>
      </c>
      <c r="G823" s="109">
        <v>24</v>
      </c>
      <c r="H823" s="110">
        <f t="shared" si="25"/>
        <v>156</v>
      </c>
      <c r="I823" s="111">
        <f t="shared" si="24"/>
        <v>7.8000000000000007</v>
      </c>
    </row>
    <row r="824" spans="1:9" x14ac:dyDescent="0.35">
      <c r="A824" s="106">
        <v>45710</v>
      </c>
      <c r="B824" s="107" t="s">
        <v>327</v>
      </c>
      <c r="C824" s="107" t="s">
        <v>393</v>
      </c>
      <c r="D824" s="107" t="s">
        <v>324</v>
      </c>
      <c r="E824" s="107" t="s">
        <v>395</v>
      </c>
      <c r="F824" s="108">
        <v>51</v>
      </c>
      <c r="G824" s="109">
        <v>6</v>
      </c>
      <c r="H824" s="110">
        <f t="shared" si="25"/>
        <v>408</v>
      </c>
      <c r="I824" s="111">
        <f t="shared" si="24"/>
        <v>20.400000000000002</v>
      </c>
    </row>
    <row r="825" spans="1:9" x14ac:dyDescent="0.35">
      <c r="A825" s="106">
        <v>45710</v>
      </c>
      <c r="B825" s="107" t="s">
        <v>322</v>
      </c>
      <c r="C825" s="107" t="s">
        <v>314</v>
      </c>
      <c r="D825" s="107" t="s">
        <v>315</v>
      </c>
      <c r="E825" s="107" t="s">
        <v>347</v>
      </c>
      <c r="F825" s="108">
        <v>64</v>
      </c>
      <c r="G825" s="109">
        <v>17</v>
      </c>
      <c r="H825" s="110">
        <f t="shared" si="25"/>
        <v>1280</v>
      </c>
      <c r="I825" s="111">
        <f t="shared" si="24"/>
        <v>64</v>
      </c>
    </row>
    <row r="826" spans="1:9" x14ac:dyDescent="0.35">
      <c r="A826" s="106">
        <v>45710</v>
      </c>
      <c r="B826" s="107" t="s">
        <v>422</v>
      </c>
      <c r="C826" s="107" t="s">
        <v>393</v>
      </c>
      <c r="D826" s="107" t="s">
        <v>320</v>
      </c>
      <c r="E826" s="107" t="s">
        <v>454</v>
      </c>
      <c r="F826" s="108">
        <v>34</v>
      </c>
      <c r="G826" s="109">
        <v>24</v>
      </c>
      <c r="H826" s="110">
        <f t="shared" si="25"/>
        <v>884</v>
      </c>
      <c r="I826" s="111">
        <f t="shared" si="24"/>
        <v>53.04</v>
      </c>
    </row>
    <row r="827" spans="1:9" x14ac:dyDescent="0.35">
      <c r="A827" s="106">
        <v>45710</v>
      </c>
      <c r="B827" s="107" t="s">
        <v>327</v>
      </c>
      <c r="C827" s="107" t="s">
        <v>393</v>
      </c>
      <c r="D827" s="107" t="s">
        <v>333</v>
      </c>
      <c r="E827" s="107" t="s">
        <v>405</v>
      </c>
      <c r="F827" s="108">
        <v>40</v>
      </c>
      <c r="G827" s="109">
        <v>6</v>
      </c>
      <c r="H827" s="110">
        <f t="shared" si="25"/>
        <v>320</v>
      </c>
      <c r="I827" s="111">
        <f t="shared" si="24"/>
        <v>16</v>
      </c>
    </row>
    <row r="828" spans="1:9" x14ac:dyDescent="0.35">
      <c r="A828" s="106">
        <v>45711</v>
      </c>
      <c r="B828" s="107" t="s">
        <v>313</v>
      </c>
      <c r="C828" s="107" t="s">
        <v>393</v>
      </c>
      <c r="D828" s="107" t="s">
        <v>324</v>
      </c>
      <c r="E828" s="107" t="s">
        <v>341</v>
      </c>
      <c r="F828" s="108">
        <v>23</v>
      </c>
      <c r="G828" s="109">
        <v>13</v>
      </c>
      <c r="H828" s="110">
        <f t="shared" si="25"/>
        <v>345</v>
      </c>
      <c r="I828" s="111">
        <f t="shared" si="24"/>
        <v>17.25</v>
      </c>
    </row>
    <row r="829" spans="1:9" x14ac:dyDescent="0.35">
      <c r="A829" s="106">
        <v>45711</v>
      </c>
      <c r="B829" s="107" t="s">
        <v>327</v>
      </c>
      <c r="C829" s="107" t="s">
        <v>314</v>
      </c>
      <c r="D829" s="107" t="s">
        <v>423</v>
      </c>
      <c r="E829" s="107" t="s">
        <v>340</v>
      </c>
      <c r="F829" s="108">
        <v>38</v>
      </c>
      <c r="G829" s="109">
        <v>6</v>
      </c>
      <c r="H829" s="110">
        <f t="shared" si="25"/>
        <v>342</v>
      </c>
      <c r="I829" s="111">
        <f t="shared" si="24"/>
        <v>20.52</v>
      </c>
    </row>
    <row r="830" spans="1:9" x14ac:dyDescent="0.35">
      <c r="A830" s="106">
        <v>45712</v>
      </c>
      <c r="B830" s="107" t="s">
        <v>313</v>
      </c>
      <c r="C830" s="107" t="s">
        <v>314</v>
      </c>
      <c r="D830" s="107" t="s">
        <v>315</v>
      </c>
      <c r="E830" s="107" t="s">
        <v>341</v>
      </c>
      <c r="F830" s="108">
        <v>54</v>
      </c>
      <c r="G830" s="109">
        <v>13</v>
      </c>
      <c r="H830" s="110">
        <f t="shared" si="25"/>
        <v>864</v>
      </c>
      <c r="I830" s="111">
        <f t="shared" si="24"/>
        <v>43.2</v>
      </c>
    </row>
    <row r="831" spans="1:9" x14ac:dyDescent="0.35">
      <c r="A831" s="106">
        <v>45712</v>
      </c>
      <c r="B831" s="107" t="s">
        <v>327</v>
      </c>
      <c r="C831" s="107" t="s">
        <v>319</v>
      </c>
      <c r="D831" s="107" t="s">
        <v>338</v>
      </c>
      <c r="E831" s="107" t="s">
        <v>394</v>
      </c>
      <c r="F831" s="108">
        <v>40</v>
      </c>
      <c r="G831" s="109">
        <v>6</v>
      </c>
      <c r="H831" s="110">
        <f t="shared" si="25"/>
        <v>280</v>
      </c>
      <c r="I831" s="111">
        <f t="shared" si="24"/>
        <v>16.8</v>
      </c>
    </row>
    <row r="832" spans="1:9" x14ac:dyDescent="0.35">
      <c r="A832" s="106">
        <v>45713</v>
      </c>
      <c r="B832" s="107" t="s">
        <v>318</v>
      </c>
      <c r="C832" s="107" t="s">
        <v>332</v>
      </c>
      <c r="D832" s="107" t="s">
        <v>320</v>
      </c>
      <c r="E832" s="107" t="s">
        <v>406</v>
      </c>
      <c r="F832" s="108">
        <v>48</v>
      </c>
      <c r="G832" s="109">
        <v>4</v>
      </c>
      <c r="H832" s="110">
        <f t="shared" si="25"/>
        <v>384</v>
      </c>
      <c r="I832" s="111">
        <f t="shared" si="24"/>
        <v>23.04</v>
      </c>
    </row>
    <row r="833" spans="1:9" x14ac:dyDescent="0.35">
      <c r="A833" s="106">
        <v>45713</v>
      </c>
      <c r="B833" s="107" t="s">
        <v>422</v>
      </c>
      <c r="C833" s="107" t="s">
        <v>393</v>
      </c>
      <c r="D833" s="107" t="s">
        <v>320</v>
      </c>
      <c r="E833" s="107" t="s">
        <v>340</v>
      </c>
      <c r="F833" s="108">
        <v>6</v>
      </c>
      <c r="G833" s="109">
        <v>24</v>
      </c>
      <c r="H833" s="110">
        <f t="shared" si="25"/>
        <v>156</v>
      </c>
      <c r="I833" s="111">
        <f t="shared" si="24"/>
        <v>9.36</v>
      </c>
    </row>
    <row r="834" spans="1:9" x14ac:dyDescent="0.35">
      <c r="A834" s="106">
        <v>45713</v>
      </c>
      <c r="B834" s="107" t="s">
        <v>322</v>
      </c>
      <c r="C834" s="107" t="s">
        <v>332</v>
      </c>
      <c r="D834" s="107" t="s">
        <v>315</v>
      </c>
      <c r="E834" s="107" t="s">
        <v>343</v>
      </c>
      <c r="F834" s="108">
        <v>17</v>
      </c>
      <c r="G834" s="109">
        <v>17</v>
      </c>
      <c r="H834" s="110">
        <f t="shared" si="25"/>
        <v>357</v>
      </c>
      <c r="I834" s="111">
        <f t="shared" ref="I834:I897" si="26">H834*VLOOKUP(D834,$O$4:$P$10,2,TRUE)</f>
        <v>17.850000000000001</v>
      </c>
    </row>
    <row r="835" spans="1:9" x14ac:dyDescent="0.35">
      <c r="A835" s="106">
        <v>45714</v>
      </c>
      <c r="B835" s="107" t="s">
        <v>318</v>
      </c>
      <c r="C835" s="107" t="s">
        <v>314</v>
      </c>
      <c r="D835" s="107" t="s">
        <v>324</v>
      </c>
      <c r="E835" s="107" t="s">
        <v>348</v>
      </c>
      <c r="F835" s="108">
        <v>27</v>
      </c>
      <c r="G835" s="109">
        <v>4</v>
      </c>
      <c r="H835" s="110">
        <f t="shared" ref="H835:H898" si="27">(F835*G835)+VLOOKUP(C835,$K$11:$L$14,2,FALSE)*F835</f>
        <v>189</v>
      </c>
      <c r="I835" s="111">
        <f t="shared" si="26"/>
        <v>9.4500000000000011</v>
      </c>
    </row>
    <row r="836" spans="1:9" x14ac:dyDescent="0.35">
      <c r="A836" s="106">
        <v>45714</v>
      </c>
      <c r="B836" s="107" t="s">
        <v>318</v>
      </c>
      <c r="C836" s="107" t="s">
        <v>319</v>
      </c>
      <c r="D836" s="107" t="s">
        <v>320</v>
      </c>
      <c r="E836" s="107" t="s">
        <v>347</v>
      </c>
      <c r="F836" s="108">
        <v>51</v>
      </c>
      <c r="G836" s="109">
        <v>4</v>
      </c>
      <c r="H836" s="110">
        <f t="shared" si="27"/>
        <v>255</v>
      </c>
      <c r="I836" s="111">
        <f t="shared" si="26"/>
        <v>15.299999999999999</v>
      </c>
    </row>
    <row r="837" spans="1:9" x14ac:dyDescent="0.35">
      <c r="A837" s="106">
        <v>45715</v>
      </c>
      <c r="B837" s="107" t="s">
        <v>322</v>
      </c>
      <c r="C837" s="107" t="s">
        <v>332</v>
      </c>
      <c r="D837" s="107" t="s">
        <v>315</v>
      </c>
      <c r="E837" s="107" t="s">
        <v>348</v>
      </c>
      <c r="F837" s="108">
        <v>25</v>
      </c>
      <c r="G837" s="109">
        <v>17</v>
      </c>
      <c r="H837" s="110">
        <f t="shared" si="27"/>
        <v>525</v>
      </c>
      <c r="I837" s="111">
        <f t="shared" si="26"/>
        <v>26.25</v>
      </c>
    </row>
    <row r="838" spans="1:9" x14ac:dyDescent="0.35">
      <c r="A838" s="106">
        <v>45715</v>
      </c>
      <c r="B838" s="107" t="s">
        <v>327</v>
      </c>
      <c r="C838" s="107" t="s">
        <v>332</v>
      </c>
      <c r="D838" s="107" t="s">
        <v>315</v>
      </c>
      <c r="E838" s="107" t="s">
        <v>340</v>
      </c>
      <c r="F838" s="108">
        <v>56</v>
      </c>
      <c r="G838" s="109">
        <v>6</v>
      </c>
      <c r="H838" s="110">
        <f t="shared" si="27"/>
        <v>560</v>
      </c>
      <c r="I838" s="111">
        <f t="shared" si="26"/>
        <v>28</v>
      </c>
    </row>
    <row r="839" spans="1:9" x14ac:dyDescent="0.35">
      <c r="A839" s="106">
        <v>45715</v>
      </c>
      <c r="B839" s="107" t="s">
        <v>313</v>
      </c>
      <c r="C839" s="107" t="s">
        <v>314</v>
      </c>
      <c r="D839" s="107" t="s">
        <v>390</v>
      </c>
      <c r="E839" s="107" t="s">
        <v>340</v>
      </c>
      <c r="F839" s="108">
        <v>50</v>
      </c>
      <c r="G839" s="109">
        <v>13</v>
      </c>
      <c r="H839" s="110">
        <f t="shared" si="27"/>
        <v>800</v>
      </c>
      <c r="I839" s="111">
        <f t="shared" si="26"/>
        <v>40</v>
      </c>
    </row>
    <row r="840" spans="1:9" x14ac:dyDescent="0.35">
      <c r="A840" s="106">
        <v>45715</v>
      </c>
      <c r="B840" s="107" t="s">
        <v>327</v>
      </c>
      <c r="C840" s="107" t="s">
        <v>393</v>
      </c>
      <c r="D840" s="107" t="s">
        <v>390</v>
      </c>
      <c r="E840" s="107" t="s">
        <v>339</v>
      </c>
      <c r="F840" s="108">
        <v>21</v>
      </c>
      <c r="G840" s="109">
        <v>6</v>
      </c>
      <c r="H840" s="110">
        <f t="shared" si="27"/>
        <v>168</v>
      </c>
      <c r="I840" s="111">
        <f t="shared" si="26"/>
        <v>8.4</v>
      </c>
    </row>
    <row r="841" spans="1:9" x14ac:dyDescent="0.35">
      <c r="A841" s="106">
        <v>45715</v>
      </c>
      <c r="B841" s="107" t="s">
        <v>318</v>
      </c>
      <c r="C841" s="107" t="s">
        <v>332</v>
      </c>
      <c r="D841" s="107" t="s">
        <v>390</v>
      </c>
      <c r="E841" s="107" t="s">
        <v>339</v>
      </c>
      <c r="F841" s="108">
        <v>17</v>
      </c>
      <c r="G841" s="109">
        <v>4</v>
      </c>
      <c r="H841" s="110">
        <f t="shared" si="27"/>
        <v>136</v>
      </c>
      <c r="I841" s="111">
        <f t="shared" si="26"/>
        <v>6.8000000000000007</v>
      </c>
    </row>
    <row r="842" spans="1:9" x14ac:dyDescent="0.35">
      <c r="A842" s="106">
        <v>45715</v>
      </c>
      <c r="B842" s="107" t="s">
        <v>313</v>
      </c>
      <c r="C842" s="107" t="s">
        <v>319</v>
      </c>
      <c r="D842" s="107" t="s">
        <v>320</v>
      </c>
      <c r="E842" s="107" t="s">
        <v>343</v>
      </c>
      <c r="F842" s="108">
        <v>23</v>
      </c>
      <c r="G842" s="109">
        <v>13</v>
      </c>
      <c r="H842" s="110">
        <f t="shared" si="27"/>
        <v>322</v>
      </c>
      <c r="I842" s="111">
        <f t="shared" si="26"/>
        <v>19.32</v>
      </c>
    </row>
    <row r="843" spans="1:9" x14ac:dyDescent="0.35">
      <c r="A843" s="106">
        <v>45716</v>
      </c>
      <c r="B843" s="107" t="s">
        <v>313</v>
      </c>
      <c r="C843" s="107" t="s">
        <v>332</v>
      </c>
      <c r="D843" s="107" t="s">
        <v>324</v>
      </c>
      <c r="E843" s="107" t="s">
        <v>339</v>
      </c>
      <c r="F843" s="108">
        <v>15</v>
      </c>
      <c r="G843" s="109">
        <v>13</v>
      </c>
      <c r="H843" s="110">
        <f t="shared" si="27"/>
        <v>255</v>
      </c>
      <c r="I843" s="111">
        <f t="shared" si="26"/>
        <v>12.75</v>
      </c>
    </row>
    <row r="844" spans="1:9" x14ac:dyDescent="0.35">
      <c r="A844" s="106">
        <v>45716</v>
      </c>
      <c r="B844" s="107" t="s">
        <v>422</v>
      </c>
      <c r="C844" s="107" t="s">
        <v>393</v>
      </c>
      <c r="D844" s="107" t="s">
        <v>423</v>
      </c>
      <c r="E844" s="107" t="s">
        <v>405</v>
      </c>
      <c r="F844" s="108">
        <v>21</v>
      </c>
      <c r="G844" s="109">
        <v>24</v>
      </c>
      <c r="H844" s="110">
        <f t="shared" si="27"/>
        <v>546</v>
      </c>
      <c r="I844" s="111">
        <f t="shared" si="26"/>
        <v>32.76</v>
      </c>
    </row>
    <row r="845" spans="1:9" x14ac:dyDescent="0.35">
      <c r="A845" s="106">
        <v>45716</v>
      </c>
      <c r="B845" s="107" t="s">
        <v>313</v>
      </c>
      <c r="C845" s="107" t="s">
        <v>314</v>
      </c>
      <c r="D845" s="107" t="s">
        <v>423</v>
      </c>
      <c r="E845" s="107" t="s">
        <v>335</v>
      </c>
      <c r="F845" s="108">
        <v>56</v>
      </c>
      <c r="G845" s="109">
        <v>13</v>
      </c>
      <c r="H845" s="110">
        <f t="shared" si="27"/>
        <v>896</v>
      </c>
      <c r="I845" s="111">
        <f t="shared" si="26"/>
        <v>53.76</v>
      </c>
    </row>
    <row r="846" spans="1:9" x14ac:dyDescent="0.35">
      <c r="A846" s="106">
        <v>45717</v>
      </c>
      <c r="B846" s="107" t="s">
        <v>422</v>
      </c>
      <c r="C846" s="107" t="s">
        <v>314</v>
      </c>
      <c r="D846" s="107" t="s">
        <v>315</v>
      </c>
      <c r="E846" s="107" t="s">
        <v>342</v>
      </c>
      <c r="F846" s="108">
        <v>50</v>
      </c>
      <c r="G846" s="109">
        <v>24</v>
      </c>
      <c r="H846" s="110">
        <f t="shared" si="27"/>
        <v>1350</v>
      </c>
      <c r="I846" s="111">
        <f t="shared" si="26"/>
        <v>67.5</v>
      </c>
    </row>
    <row r="847" spans="1:9" x14ac:dyDescent="0.35">
      <c r="A847" s="106">
        <v>45717</v>
      </c>
      <c r="B847" s="107" t="s">
        <v>422</v>
      </c>
      <c r="C847" s="107" t="s">
        <v>319</v>
      </c>
      <c r="D847" s="107" t="s">
        <v>320</v>
      </c>
      <c r="E847" s="107" t="s">
        <v>454</v>
      </c>
      <c r="F847" s="108">
        <v>26</v>
      </c>
      <c r="G847" s="109">
        <v>24</v>
      </c>
      <c r="H847" s="110">
        <f t="shared" si="27"/>
        <v>650</v>
      </c>
      <c r="I847" s="111">
        <f t="shared" si="26"/>
        <v>39</v>
      </c>
    </row>
    <row r="848" spans="1:9" x14ac:dyDescent="0.35">
      <c r="A848" s="106">
        <v>45718</v>
      </c>
      <c r="B848" s="107" t="s">
        <v>318</v>
      </c>
      <c r="C848" s="107" t="s">
        <v>332</v>
      </c>
      <c r="D848" s="107" t="s">
        <v>338</v>
      </c>
      <c r="E848" s="107" t="s">
        <v>344</v>
      </c>
      <c r="F848" s="108">
        <v>30</v>
      </c>
      <c r="G848" s="109">
        <v>4</v>
      </c>
      <c r="H848" s="110">
        <f t="shared" si="27"/>
        <v>240</v>
      </c>
      <c r="I848" s="111">
        <f t="shared" si="26"/>
        <v>14.399999999999999</v>
      </c>
    </row>
    <row r="849" spans="1:9" x14ac:dyDescent="0.35">
      <c r="A849" s="106">
        <v>45718</v>
      </c>
      <c r="B849" s="107" t="s">
        <v>422</v>
      </c>
      <c r="C849" s="107" t="s">
        <v>332</v>
      </c>
      <c r="D849" s="107" t="s">
        <v>320</v>
      </c>
      <c r="E849" s="107" t="s">
        <v>405</v>
      </c>
      <c r="F849" s="108">
        <v>10</v>
      </c>
      <c r="G849" s="109">
        <v>24</v>
      </c>
      <c r="H849" s="110">
        <f t="shared" si="27"/>
        <v>280</v>
      </c>
      <c r="I849" s="111">
        <f t="shared" si="26"/>
        <v>16.8</v>
      </c>
    </row>
    <row r="850" spans="1:9" x14ac:dyDescent="0.35">
      <c r="A850" s="106">
        <v>45718</v>
      </c>
      <c r="B850" s="107" t="s">
        <v>322</v>
      </c>
      <c r="C850" s="107" t="s">
        <v>332</v>
      </c>
      <c r="D850" s="107" t="s">
        <v>338</v>
      </c>
      <c r="E850" s="107" t="s">
        <v>405</v>
      </c>
      <c r="F850" s="108">
        <v>56</v>
      </c>
      <c r="G850" s="109">
        <v>17</v>
      </c>
      <c r="H850" s="110">
        <f t="shared" si="27"/>
        <v>1176</v>
      </c>
      <c r="I850" s="111">
        <f t="shared" si="26"/>
        <v>70.56</v>
      </c>
    </row>
    <row r="851" spans="1:9" x14ac:dyDescent="0.35">
      <c r="A851" s="106">
        <v>45720</v>
      </c>
      <c r="B851" s="107" t="s">
        <v>322</v>
      </c>
      <c r="C851" s="107" t="s">
        <v>332</v>
      </c>
      <c r="D851" s="107" t="s">
        <v>423</v>
      </c>
      <c r="E851" s="107" t="s">
        <v>340</v>
      </c>
      <c r="F851" s="108">
        <v>44</v>
      </c>
      <c r="G851" s="109">
        <v>17</v>
      </c>
      <c r="H851" s="110">
        <f t="shared" si="27"/>
        <v>924</v>
      </c>
      <c r="I851" s="111">
        <f t="shared" si="26"/>
        <v>55.44</v>
      </c>
    </row>
    <row r="852" spans="1:9" x14ac:dyDescent="0.35">
      <c r="A852" s="106">
        <v>45720</v>
      </c>
      <c r="B852" s="107" t="s">
        <v>313</v>
      </c>
      <c r="C852" s="107" t="s">
        <v>319</v>
      </c>
      <c r="D852" s="107" t="s">
        <v>338</v>
      </c>
      <c r="E852" s="107" t="s">
        <v>395</v>
      </c>
      <c r="F852" s="108">
        <v>55</v>
      </c>
      <c r="G852" s="109">
        <v>13</v>
      </c>
      <c r="H852" s="110">
        <f t="shared" si="27"/>
        <v>770</v>
      </c>
      <c r="I852" s="111">
        <f t="shared" si="26"/>
        <v>46.199999999999996</v>
      </c>
    </row>
    <row r="853" spans="1:9" x14ac:dyDescent="0.35">
      <c r="A853" s="106">
        <v>45721</v>
      </c>
      <c r="B853" s="107" t="s">
        <v>313</v>
      </c>
      <c r="C853" s="107" t="s">
        <v>319</v>
      </c>
      <c r="D853" s="107" t="s">
        <v>423</v>
      </c>
      <c r="E853" s="107" t="s">
        <v>348</v>
      </c>
      <c r="F853" s="108">
        <v>22</v>
      </c>
      <c r="G853" s="109">
        <v>13</v>
      </c>
      <c r="H853" s="110">
        <f t="shared" si="27"/>
        <v>308</v>
      </c>
      <c r="I853" s="111">
        <f t="shared" si="26"/>
        <v>18.48</v>
      </c>
    </row>
    <row r="854" spans="1:9" x14ac:dyDescent="0.35">
      <c r="A854" s="106">
        <v>45722</v>
      </c>
      <c r="B854" s="107" t="s">
        <v>322</v>
      </c>
      <c r="C854" s="107" t="s">
        <v>314</v>
      </c>
      <c r="D854" s="107" t="s">
        <v>324</v>
      </c>
      <c r="E854" s="107" t="s">
        <v>406</v>
      </c>
      <c r="F854" s="108">
        <v>22</v>
      </c>
      <c r="G854" s="109">
        <v>17</v>
      </c>
      <c r="H854" s="110">
        <f t="shared" si="27"/>
        <v>440</v>
      </c>
      <c r="I854" s="111">
        <f t="shared" si="26"/>
        <v>22</v>
      </c>
    </row>
    <row r="855" spans="1:9" x14ac:dyDescent="0.35">
      <c r="A855" s="106">
        <v>45722</v>
      </c>
      <c r="B855" s="107" t="s">
        <v>422</v>
      </c>
      <c r="C855" s="107" t="s">
        <v>314</v>
      </c>
      <c r="D855" s="107" t="s">
        <v>338</v>
      </c>
      <c r="E855" s="107" t="s">
        <v>340</v>
      </c>
      <c r="F855" s="108">
        <v>24</v>
      </c>
      <c r="G855" s="109">
        <v>24</v>
      </c>
      <c r="H855" s="110">
        <f t="shared" si="27"/>
        <v>648</v>
      </c>
      <c r="I855" s="111">
        <f t="shared" si="26"/>
        <v>38.879999999999995</v>
      </c>
    </row>
    <row r="856" spans="1:9" x14ac:dyDescent="0.35">
      <c r="A856" s="106">
        <v>45722</v>
      </c>
      <c r="B856" s="107" t="s">
        <v>318</v>
      </c>
      <c r="C856" s="107" t="s">
        <v>332</v>
      </c>
      <c r="D856" s="107" t="s">
        <v>320</v>
      </c>
      <c r="E856" s="107" t="s">
        <v>394</v>
      </c>
      <c r="F856" s="108">
        <v>40</v>
      </c>
      <c r="G856" s="109">
        <v>4</v>
      </c>
      <c r="H856" s="110">
        <f t="shared" si="27"/>
        <v>320</v>
      </c>
      <c r="I856" s="111">
        <f t="shared" si="26"/>
        <v>19.2</v>
      </c>
    </row>
    <row r="857" spans="1:9" x14ac:dyDescent="0.35">
      <c r="A857" s="106">
        <v>45723</v>
      </c>
      <c r="B857" s="107" t="s">
        <v>327</v>
      </c>
      <c r="C857" s="107" t="s">
        <v>319</v>
      </c>
      <c r="D857" s="107" t="s">
        <v>333</v>
      </c>
      <c r="E857" s="107" t="s">
        <v>349</v>
      </c>
      <c r="F857" s="108">
        <v>51</v>
      </c>
      <c r="G857" s="109">
        <v>6</v>
      </c>
      <c r="H857" s="110">
        <f t="shared" si="27"/>
        <v>357</v>
      </c>
      <c r="I857" s="111">
        <f t="shared" si="26"/>
        <v>17.850000000000001</v>
      </c>
    </row>
    <row r="858" spans="1:9" x14ac:dyDescent="0.35">
      <c r="A858" s="106">
        <v>45723</v>
      </c>
      <c r="B858" s="107" t="s">
        <v>322</v>
      </c>
      <c r="C858" s="107" t="s">
        <v>319</v>
      </c>
      <c r="D858" s="107" t="s">
        <v>423</v>
      </c>
      <c r="E858" s="107" t="s">
        <v>416</v>
      </c>
      <c r="F858" s="108">
        <v>28</v>
      </c>
      <c r="G858" s="109">
        <v>17</v>
      </c>
      <c r="H858" s="110">
        <f t="shared" si="27"/>
        <v>504</v>
      </c>
      <c r="I858" s="111">
        <f t="shared" si="26"/>
        <v>30.24</v>
      </c>
    </row>
    <row r="859" spans="1:9" x14ac:dyDescent="0.35">
      <c r="A859" s="106">
        <v>45723</v>
      </c>
      <c r="B859" s="107" t="s">
        <v>327</v>
      </c>
      <c r="C859" s="107" t="s">
        <v>332</v>
      </c>
      <c r="D859" s="107" t="s">
        <v>324</v>
      </c>
      <c r="E859" s="107" t="s">
        <v>343</v>
      </c>
      <c r="F859" s="108">
        <v>19</v>
      </c>
      <c r="G859" s="109">
        <v>6</v>
      </c>
      <c r="H859" s="110">
        <f t="shared" si="27"/>
        <v>190</v>
      </c>
      <c r="I859" s="111">
        <f t="shared" si="26"/>
        <v>9.5</v>
      </c>
    </row>
    <row r="860" spans="1:9" x14ac:dyDescent="0.35">
      <c r="A860" s="106">
        <v>45724</v>
      </c>
      <c r="B860" s="107" t="s">
        <v>422</v>
      </c>
      <c r="C860" s="107" t="s">
        <v>332</v>
      </c>
      <c r="D860" s="107" t="s">
        <v>320</v>
      </c>
      <c r="E860" s="107" t="s">
        <v>454</v>
      </c>
      <c r="F860" s="108">
        <v>36</v>
      </c>
      <c r="G860" s="109">
        <v>24</v>
      </c>
      <c r="H860" s="110">
        <f t="shared" si="27"/>
        <v>1008</v>
      </c>
      <c r="I860" s="111">
        <f t="shared" si="26"/>
        <v>60.48</v>
      </c>
    </row>
    <row r="861" spans="1:9" x14ac:dyDescent="0.35">
      <c r="A861" s="106">
        <v>45724</v>
      </c>
      <c r="B861" s="107" t="s">
        <v>422</v>
      </c>
      <c r="C861" s="107" t="s">
        <v>393</v>
      </c>
      <c r="D861" s="107" t="s">
        <v>324</v>
      </c>
      <c r="E861" s="107" t="s">
        <v>346</v>
      </c>
      <c r="F861" s="108">
        <v>29</v>
      </c>
      <c r="G861" s="109">
        <v>24</v>
      </c>
      <c r="H861" s="110">
        <f t="shared" si="27"/>
        <v>754</v>
      </c>
      <c r="I861" s="111">
        <f t="shared" si="26"/>
        <v>37.700000000000003</v>
      </c>
    </row>
    <row r="862" spans="1:9" x14ac:dyDescent="0.35">
      <c r="A862" s="106">
        <v>45725</v>
      </c>
      <c r="B862" s="107" t="s">
        <v>322</v>
      </c>
      <c r="C862" s="107" t="s">
        <v>314</v>
      </c>
      <c r="D862" s="107" t="s">
        <v>324</v>
      </c>
      <c r="E862" s="107" t="s">
        <v>342</v>
      </c>
      <c r="F862" s="108">
        <v>61</v>
      </c>
      <c r="G862" s="109">
        <v>17</v>
      </c>
      <c r="H862" s="110">
        <f t="shared" si="27"/>
        <v>1220</v>
      </c>
      <c r="I862" s="111">
        <f t="shared" si="26"/>
        <v>61</v>
      </c>
    </row>
    <row r="863" spans="1:9" x14ac:dyDescent="0.35">
      <c r="A863" s="106">
        <v>45725</v>
      </c>
      <c r="B863" s="107" t="s">
        <v>313</v>
      </c>
      <c r="C863" s="107" t="s">
        <v>314</v>
      </c>
      <c r="D863" s="107" t="s">
        <v>333</v>
      </c>
      <c r="E863" s="107" t="s">
        <v>395</v>
      </c>
      <c r="F863" s="108">
        <v>17</v>
      </c>
      <c r="G863" s="109">
        <v>13</v>
      </c>
      <c r="H863" s="110">
        <f t="shared" si="27"/>
        <v>272</v>
      </c>
      <c r="I863" s="111">
        <f t="shared" si="26"/>
        <v>13.600000000000001</v>
      </c>
    </row>
    <row r="864" spans="1:9" x14ac:dyDescent="0.35">
      <c r="A864" s="106">
        <v>45726</v>
      </c>
      <c r="B864" s="107" t="s">
        <v>313</v>
      </c>
      <c r="C864" s="107" t="s">
        <v>314</v>
      </c>
      <c r="D864" s="107" t="s">
        <v>320</v>
      </c>
      <c r="E864" s="107" t="s">
        <v>341</v>
      </c>
      <c r="F864" s="108">
        <v>61</v>
      </c>
      <c r="G864" s="109">
        <v>13</v>
      </c>
      <c r="H864" s="110">
        <f t="shared" si="27"/>
        <v>976</v>
      </c>
      <c r="I864" s="111">
        <f t="shared" si="26"/>
        <v>58.559999999999995</v>
      </c>
    </row>
    <row r="865" spans="1:9" x14ac:dyDescent="0.35">
      <c r="A865" s="106">
        <v>45726</v>
      </c>
      <c r="B865" s="107" t="s">
        <v>318</v>
      </c>
      <c r="C865" s="107" t="s">
        <v>314</v>
      </c>
      <c r="D865" s="107" t="s">
        <v>333</v>
      </c>
      <c r="E865" s="107" t="s">
        <v>346</v>
      </c>
      <c r="F865" s="108">
        <v>11</v>
      </c>
      <c r="G865" s="109">
        <v>4</v>
      </c>
      <c r="H865" s="110">
        <f t="shared" si="27"/>
        <v>77</v>
      </c>
      <c r="I865" s="111">
        <f t="shared" si="26"/>
        <v>3.85</v>
      </c>
    </row>
    <row r="866" spans="1:9" x14ac:dyDescent="0.35">
      <c r="A866" s="106">
        <v>45726</v>
      </c>
      <c r="B866" s="107" t="s">
        <v>322</v>
      </c>
      <c r="C866" s="107" t="s">
        <v>314</v>
      </c>
      <c r="D866" s="107" t="s">
        <v>333</v>
      </c>
      <c r="E866" s="107" t="s">
        <v>346</v>
      </c>
      <c r="F866" s="108">
        <v>13</v>
      </c>
      <c r="G866" s="109">
        <v>17</v>
      </c>
      <c r="H866" s="110">
        <f t="shared" si="27"/>
        <v>260</v>
      </c>
      <c r="I866" s="111">
        <f t="shared" si="26"/>
        <v>13</v>
      </c>
    </row>
    <row r="867" spans="1:9" x14ac:dyDescent="0.35">
      <c r="A867" s="106">
        <v>45726</v>
      </c>
      <c r="B867" s="107" t="s">
        <v>422</v>
      </c>
      <c r="C867" s="107" t="s">
        <v>393</v>
      </c>
      <c r="D867" s="107" t="s">
        <v>423</v>
      </c>
      <c r="E867" s="107" t="s">
        <v>394</v>
      </c>
      <c r="F867" s="108">
        <v>58</v>
      </c>
      <c r="G867" s="109">
        <v>24</v>
      </c>
      <c r="H867" s="110">
        <f t="shared" si="27"/>
        <v>1508</v>
      </c>
      <c r="I867" s="111">
        <f t="shared" si="26"/>
        <v>90.47999999999999</v>
      </c>
    </row>
    <row r="868" spans="1:9" x14ac:dyDescent="0.35">
      <c r="A868" s="106">
        <v>45726</v>
      </c>
      <c r="B868" s="107" t="s">
        <v>327</v>
      </c>
      <c r="C868" s="107" t="s">
        <v>332</v>
      </c>
      <c r="D868" s="107" t="s">
        <v>423</v>
      </c>
      <c r="E868" s="107" t="s">
        <v>405</v>
      </c>
      <c r="F868" s="108">
        <v>39</v>
      </c>
      <c r="G868" s="109">
        <v>6</v>
      </c>
      <c r="H868" s="110">
        <f t="shared" si="27"/>
        <v>390</v>
      </c>
      <c r="I868" s="111">
        <f t="shared" si="26"/>
        <v>23.4</v>
      </c>
    </row>
    <row r="869" spans="1:9" x14ac:dyDescent="0.35">
      <c r="A869" s="106">
        <v>45727</v>
      </c>
      <c r="B869" s="107" t="s">
        <v>422</v>
      </c>
      <c r="C869" s="107" t="s">
        <v>332</v>
      </c>
      <c r="D869" s="107" t="s">
        <v>315</v>
      </c>
      <c r="E869" s="107" t="s">
        <v>406</v>
      </c>
      <c r="F869" s="108">
        <v>28</v>
      </c>
      <c r="G869" s="109">
        <v>24</v>
      </c>
      <c r="H869" s="110">
        <f t="shared" si="27"/>
        <v>784</v>
      </c>
      <c r="I869" s="111">
        <f t="shared" si="26"/>
        <v>39.200000000000003</v>
      </c>
    </row>
    <row r="870" spans="1:9" x14ac:dyDescent="0.35">
      <c r="A870" s="106">
        <v>45727</v>
      </c>
      <c r="B870" s="107" t="s">
        <v>422</v>
      </c>
      <c r="C870" s="107" t="s">
        <v>393</v>
      </c>
      <c r="D870" s="107" t="s">
        <v>324</v>
      </c>
      <c r="E870" s="107" t="s">
        <v>348</v>
      </c>
      <c r="F870" s="108">
        <v>65</v>
      </c>
      <c r="G870" s="109">
        <v>24</v>
      </c>
      <c r="H870" s="110">
        <f t="shared" si="27"/>
        <v>1690</v>
      </c>
      <c r="I870" s="111">
        <f t="shared" si="26"/>
        <v>84.5</v>
      </c>
    </row>
    <row r="871" spans="1:9" x14ac:dyDescent="0.35">
      <c r="A871" s="106">
        <v>45727</v>
      </c>
      <c r="B871" s="107" t="s">
        <v>422</v>
      </c>
      <c r="C871" s="107" t="s">
        <v>319</v>
      </c>
      <c r="D871" s="107" t="s">
        <v>324</v>
      </c>
      <c r="E871" s="107" t="s">
        <v>395</v>
      </c>
      <c r="F871" s="108">
        <v>50</v>
      </c>
      <c r="G871" s="109">
        <v>24</v>
      </c>
      <c r="H871" s="110">
        <f t="shared" si="27"/>
        <v>1250</v>
      </c>
      <c r="I871" s="111">
        <f t="shared" si="26"/>
        <v>62.5</v>
      </c>
    </row>
    <row r="872" spans="1:9" x14ac:dyDescent="0.35">
      <c r="A872" s="106">
        <v>45727</v>
      </c>
      <c r="B872" s="107" t="s">
        <v>422</v>
      </c>
      <c r="C872" s="107" t="s">
        <v>314</v>
      </c>
      <c r="D872" s="107" t="s">
        <v>324</v>
      </c>
      <c r="E872" s="107" t="s">
        <v>347</v>
      </c>
      <c r="F872" s="108">
        <v>27</v>
      </c>
      <c r="G872" s="109">
        <v>24</v>
      </c>
      <c r="H872" s="110">
        <f t="shared" si="27"/>
        <v>729</v>
      </c>
      <c r="I872" s="111">
        <f t="shared" si="26"/>
        <v>36.450000000000003</v>
      </c>
    </row>
    <row r="873" spans="1:9" x14ac:dyDescent="0.35">
      <c r="A873" s="106">
        <v>45728</v>
      </c>
      <c r="B873" s="107" t="s">
        <v>313</v>
      </c>
      <c r="C873" s="107" t="s">
        <v>393</v>
      </c>
      <c r="D873" s="107" t="s">
        <v>338</v>
      </c>
      <c r="E873" s="107" t="s">
        <v>341</v>
      </c>
      <c r="F873" s="108">
        <v>34</v>
      </c>
      <c r="G873" s="109">
        <v>13</v>
      </c>
      <c r="H873" s="110">
        <f t="shared" si="27"/>
        <v>510</v>
      </c>
      <c r="I873" s="111">
        <f t="shared" si="26"/>
        <v>30.599999999999998</v>
      </c>
    </row>
    <row r="874" spans="1:9" x14ac:dyDescent="0.35">
      <c r="A874" s="106">
        <v>45729</v>
      </c>
      <c r="B874" s="107" t="s">
        <v>313</v>
      </c>
      <c r="C874" s="107" t="s">
        <v>332</v>
      </c>
      <c r="D874" s="107" t="s">
        <v>423</v>
      </c>
      <c r="E874" s="107" t="s">
        <v>406</v>
      </c>
      <c r="F874" s="108">
        <v>22</v>
      </c>
      <c r="G874" s="109">
        <v>13</v>
      </c>
      <c r="H874" s="110">
        <f t="shared" si="27"/>
        <v>374</v>
      </c>
      <c r="I874" s="111">
        <f t="shared" si="26"/>
        <v>22.439999999999998</v>
      </c>
    </row>
    <row r="875" spans="1:9" x14ac:dyDescent="0.35">
      <c r="A875" s="106">
        <v>45729</v>
      </c>
      <c r="B875" s="107" t="s">
        <v>318</v>
      </c>
      <c r="C875" s="107" t="s">
        <v>319</v>
      </c>
      <c r="D875" s="107" t="s">
        <v>333</v>
      </c>
      <c r="E875" s="107" t="s">
        <v>346</v>
      </c>
      <c r="F875" s="108">
        <v>45</v>
      </c>
      <c r="G875" s="109">
        <v>4</v>
      </c>
      <c r="H875" s="110">
        <f t="shared" si="27"/>
        <v>225</v>
      </c>
      <c r="I875" s="111">
        <f t="shared" si="26"/>
        <v>11.25</v>
      </c>
    </row>
    <row r="876" spans="1:9" x14ac:dyDescent="0.35">
      <c r="A876" s="106">
        <v>45729</v>
      </c>
      <c r="B876" s="107" t="s">
        <v>327</v>
      </c>
      <c r="C876" s="107" t="s">
        <v>314</v>
      </c>
      <c r="D876" s="107" t="s">
        <v>320</v>
      </c>
      <c r="E876" s="107" t="s">
        <v>316</v>
      </c>
      <c r="F876" s="108">
        <v>9</v>
      </c>
      <c r="G876" s="109">
        <v>6</v>
      </c>
      <c r="H876" s="110">
        <f t="shared" si="27"/>
        <v>81</v>
      </c>
      <c r="I876" s="111">
        <f t="shared" si="26"/>
        <v>4.8599999999999994</v>
      </c>
    </row>
    <row r="877" spans="1:9" x14ac:dyDescent="0.35">
      <c r="A877" s="106">
        <v>45730</v>
      </c>
      <c r="B877" s="107" t="s">
        <v>318</v>
      </c>
      <c r="C877" s="107" t="s">
        <v>393</v>
      </c>
      <c r="D877" s="107" t="s">
        <v>390</v>
      </c>
      <c r="E877" s="107" t="s">
        <v>340</v>
      </c>
      <c r="F877" s="108">
        <v>45</v>
      </c>
      <c r="G877" s="109">
        <v>4</v>
      </c>
      <c r="H877" s="110">
        <f t="shared" si="27"/>
        <v>270</v>
      </c>
      <c r="I877" s="111">
        <f t="shared" si="26"/>
        <v>13.5</v>
      </c>
    </row>
    <row r="878" spans="1:9" x14ac:dyDescent="0.35">
      <c r="A878" s="106">
        <v>45730</v>
      </c>
      <c r="B878" s="107" t="s">
        <v>327</v>
      </c>
      <c r="C878" s="107" t="s">
        <v>314</v>
      </c>
      <c r="D878" s="107" t="s">
        <v>333</v>
      </c>
      <c r="E878" s="107" t="s">
        <v>454</v>
      </c>
      <c r="F878" s="108">
        <v>50</v>
      </c>
      <c r="G878" s="109">
        <v>6</v>
      </c>
      <c r="H878" s="110">
        <f t="shared" si="27"/>
        <v>450</v>
      </c>
      <c r="I878" s="111">
        <f t="shared" si="26"/>
        <v>22.5</v>
      </c>
    </row>
    <row r="879" spans="1:9" x14ac:dyDescent="0.35">
      <c r="A879" s="106">
        <v>45730</v>
      </c>
      <c r="B879" s="107" t="s">
        <v>327</v>
      </c>
      <c r="C879" s="107" t="s">
        <v>393</v>
      </c>
      <c r="D879" s="107" t="s">
        <v>423</v>
      </c>
      <c r="E879" s="107" t="s">
        <v>331</v>
      </c>
      <c r="F879" s="108">
        <v>18</v>
      </c>
      <c r="G879" s="109">
        <v>6</v>
      </c>
      <c r="H879" s="110">
        <f t="shared" si="27"/>
        <v>144</v>
      </c>
      <c r="I879" s="111">
        <f t="shared" si="26"/>
        <v>8.64</v>
      </c>
    </row>
    <row r="880" spans="1:9" x14ac:dyDescent="0.35">
      <c r="A880" s="106">
        <v>45731</v>
      </c>
      <c r="B880" s="107" t="s">
        <v>327</v>
      </c>
      <c r="C880" s="107" t="s">
        <v>332</v>
      </c>
      <c r="D880" s="107" t="s">
        <v>324</v>
      </c>
      <c r="E880" s="107" t="s">
        <v>339</v>
      </c>
      <c r="F880" s="108">
        <v>40</v>
      </c>
      <c r="G880" s="109">
        <v>6</v>
      </c>
      <c r="H880" s="110">
        <f t="shared" si="27"/>
        <v>400</v>
      </c>
      <c r="I880" s="111">
        <f t="shared" si="26"/>
        <v>20</v>
      </c>
    </row>
    <row r="881" spans="1:9" x14ac:dyDescent="0.35">
      <c r="A881" s="106">
        <v>45731</v>
      </c>
      <c r="B881" s="107" t="s">
        <v>318</v>
      </c>
      <c r="C881" s="107" t="s">
        <v>319</v>
      </c>
      <c r="D881" s="107" t="s">
        <v>324</v>
      </c>
      <c r="E881" s="107" t="s">
        <v>331</v>
      </c>
      <c r="F881" s="108">
        <v>50</v>
      </c>
      <c r="G881" s="109">
        <v>4</v>
      </c>
      <c r="H881" s="110">
        <f t="shared" si="27"/>
        <v>250</v>
      </c>
      <c r="I881" s="111">
        <f t="shared" si="26"/>
        <v>12.5</v>
      </c>
    </row>
    <row r="882" spans="1:9" x14ac:dyDescent="0.35">
      <c r="A882" s="106">
        <v>45732</v>
      </c>
      <c r="B882" s="107" t="s">
        <v>327</v>
      </c>
      <c r="C882" s="107" t="s">
        <v>314</v>
      </c>
      <c r="D882" s="107" t="s">
        <v>333</v>
      </c>
      <c r="E882" s="107" t="s">
        <v>337</v>
      </c>
      <c r="F882" s="108">
        <v>45</v>
      </c>
      <c r="G882" s="109">
        <v>6</v>
      </c>
      <c r="H882" s="110">
        <f t="shared" si="27"/>
        <v>405</v>
      </c>
      <c r="I882" s="111">
        <f t="shared" si="26"/>
        <v>20.25</v>
      </c>
    </row>
    <row r="883" spans="1:9" x14ac:dyDescent="0.35">
      <c r="A883" s="106">
        <v>45732</v>
      </c>
      <c r="B883" s="107" t="s">
        <v>322</v>
      </c>
      <c r="C883" s="107" t="s">
        <v>393</v>
      </c>
      <c r="D883" s="107" t="s">
        <v>324</v>
      </c>
      <c r="E883" s="107" t="s">
        <v>394</v>
      </c>
      <c r="F883" s="108">
        <v>18</v>
      </c>
      <c r="G883" s="109">
        <v>17</v>
      </c>
      <c r="H883" s="110">
        <f t="shared" si="27"/>
        <v>342</v>
      </c>
      <c r="I883" s="111">
        <f t="shared" si="26"/>
        <v>17.100000000000001</v>
      </c>
    </row>
    <row r="884" spans="1:9" x14ac:dyDescent="0.35">
      <c r="A884" s="106">
        <v>45732</v>
      </c>
      <c r="B884" s="107" t="s">
        <v>422</v>
      </c>
      <c r="C884" s="107" t="s">
        <v>314</v>
      </c>
      <c r="D884" s="107" t="s">
        <v>333</v>
      </c>
      <c r="E884" s="107" t="s">
        <v>350</v>
      </c>
      <c r="F884" s="108">
        <v>29</v>
      </c>
      <c r="G884" s="109">
        <v>24</v>
      </c>
      <c r="H884" s="110">
        <f t="shared" si="27"/>
        <v>783</v>
      </c>
      <c r="I884" s="111">
        <f t="shared" si="26"/>
        <v>39.150000000000006</v>
      </c>
    </row>
    <row r="885" spans="1:9" x14ac:dyDescent="0.35">
      <c r="A885" s="106">
        <v>45733</v>
      </c>
      <c r="B885" s="107" t="s">
        <v>327</v>
      </c>
      <c r="C885" s="107" t="s">
        <v>314</v>
      </c>
      <c r="D885" s="107" t="s">
        <v>333</v>
      </c>
      <c r="E885" s="107" t="s">
        <v>455</v>
      </c>
      <c r="F885" s="108">
        <v>60</v>
      </c>
      <c r="G885" s="109">
        <v>6</v>
      </c>
      <c r="H885" s="110">
        <f t="shared" si="27"/>
        <v>540</v>
      </c>
      <c r="I885" s="111">
        <f t="shared" si="26"/>
        <v>27</v>
      </c>
    </row>
    <row r="886" spans="1:9" x14ac:dyDescent="0.35">
      <c r="A886" s="106">
        <v>45733</v>
      </c>
      <c r="B886" s="107" t="s">
        <v>322</v>
      </c>
      <c r="C886" s="107" t="s">
        <v>319</v>
      </c>
      <c r="D886" s="107" t="s">
        <v>324</v>
      </c>
      <c r="E886" s="107" t="s">
        <v>343</v>
      </c>
      <c r="F886" s="108">
        <v>28</v>
      </c>
      <c r="G886" s="109">
        <v>17</v>
      </c>
      <c r="H886" s="110">
        <f t="shared" si="27"/>
        <v>504</v>
      </c>
      <c r="I886" s="111">
        <f t="shared" si="26"/>
        <v>25.200000000000003</v>
      </c>
    </row>
    <row r="887" spans="1:9" x14ac:dyDescent="0.35">
      <c r="A887" s="106">
        <v>45734</v>
      </c>
      <c r="B887" s="107" t="s">
        <v>422</v>
      </c>
      <c r="C887" s="107" t="s">
        <v>393</v>
      </c>
      <c r="D887" s="107" t="s">
        <v>315</v>
      </c>
      <c r="E887" s="107" t="s">
        <v>406</v>
      </c>
      <c r="F887" s="108">
        <v>64</v>
      </c>
      <c r="G887" s="109">
        <v>24</v>
      </c>
      <c r="H887" s="110">
        <f t="shared" si="27"/>
        <v>1664</v>
      </c>
      <c r="I887" s="111">
        <f t="shared" si="26"/>
        <v>83.2</v>
      </c>
    </row>
    <row r="888" spans="1:9" x14ac:dyDescent="0.35">
      <c r="A888" s="106">
        <v>45734</v>
      </c>
      <c r="B888" s="107" t="s">
        <v>313</v>
      </c>
      <c r="C888" s="107" t="s">
        <v>332</v>
      </c>
      <c r="D888" s="107" t="s">
        <v>324</v>
      </c>
      <c r="E888" s="107" t="s">
        <v>340</v>
      </c>
      <c r="F888" s="108">
        <v>24</v>
      </c>
      <c r="G888" s="109">
        <v>13</v>
      </c>
      <c r="H888" s="110">
        <f t="shared" si="27"/>
        <v>408</v>
      </c>
      <c r="I888" s="111">
        <f t="shared" si="26"/>
        <v>20.400000000000002</v>
      </c>
    </row>
    <row r="889" spans="1:9" x14ac:dyDescent="0.35">
      <c r="A889" s="106">
        <v>45734</v>
      </c>
      <c r="B889" s="107" t="s">
        <v>318</v>
      </c>
      <c r="C889" s="107" t="s">
        <v>319</v>
      </c>
      <c r="D889" s="107" t="s">
        <v>423</v>
      </c>
      <c r="E889" s="107" t="s">
        <v>394</v>
      </c>
      <c r="F889" s="108">
        <v>20</v>
      </c>
      <c r="G889" s="109">
        <v>4</v>
      </c>
      <c r="H889" s="110">
        <f t="shared" si="27"/>
        <v>100</v>
      </c>
      <c r="I889" s="111">
        <f t="shared" si="26"/>
        <v>6</v>
      </c>
    </row>
    <row r="890" spans="1:9" x14ac:dyDescent="0.35">
      <c r="A890" s="106">
        <v>45735</v>
      </c>
      <c r="B890" s="107" t="s">
        <v>318</v>
      </c>
      <c r="C890" s="107" t="s">
        <v>314</v>
      </c>
      <c r="D890" s="107" t="s">
        <v>315</v>
      </c>
      <c r="E890" s="107" t="s">
        <v>346</v>
      </c>
      <c r="F890" s="108">
        <v>28</v>
      </c>
      <c r="G890" s="109">
        <v>4</v>
      </c>
      <c r="H890" s="110">
        <f t="shared" si="27"/>
        <v>196</v>
      </c>
      <c r="I890" s="111">
        <f t="shared" si="26"/>
        <v>9.8000000000000007</v>
      </c>
    </row>
    <row r="891" spans="1:9" x14ac:dyDescent="0.35">
      <c r="A891" s="106">
        <v>45736</v>
      </c>
      <c r="B891" s="107" t="s">
        <v>322</v>
      </c>
      <c r="C891" s="107" t="s">
        <v>314</v>
      </c>
      <c r="D891" s="107" t="s">
        <v>338</v>
      </c>
      <c r="E891" s="107" t="s">
        <v>395</v>
      </c>
      <c r="F891" s="108">
        <v>46</v>
      </c>
      <c r="G891" s="109">
        <v>17</v>
      </c>
      <c r="H891" s="110">
        <f t="shared" si="27"/>
        <v>920</v>
      </c>
      <c r="I891" s="111">
        <f t="shared" si="26"/>
        <v>55.199999999999996</v>
      </c>
    </row>
    <row r="892" spans="1:9" x14ac:dyDescent="0.35">
      <c r="A892" s="106">
        <v>45736</v>
      </c>
      <c r="B892" s="107" t="s">
        <v>322</v>
      </c>
      <c r="C892" s="107" t="s">
        <v>314</v>
      </c>
      <c r="D892" s="107" t="s">
        <v>315</v>
      </c>
      <c r="E892" s="107" t="s">
        <v>329</v>
      </c>
      <c r="F892" s="108">
        <v>65</v>
      </c>
      <c r="G892" s="109">
        <v>17</v>
      </c>
      <c r="H892" s="110">
        <f t="shared" si="27"/>
        <v>1300</v>
      </c>
      <c r="I892" s="111">
        <f t="shared" si="26"/>
        <v>65</v>
      </c>
    </row>
    <row r="893" spans="1:9" x14ac:dyDescent="0.35">
      <c r="A893" s="106">
        <v>45737</v>
      </c>
      <c r="B893" s="107" t="s">
        <v>327</v>
      </c>
      <c r="C893" s="107" t="s">
        <v>319</v>
      </c>
      <c r="D893" s="107" t="s">
        <v>324</v>
      </c>
      <c r="E893" s="107" t="s">
        <v>337</v>
      </c>
      <c r="F893" s="108">
        <v>34</v>
      </c>
      <c r="G893" s="109">
        <v>6</v>
      </c>
      <c r="H893" s="110">
        <f t="shared" si="27"/>
        <v>238</v>
      </c>
      <c r="I893" s="111">
        <f t="shared" si="26"/>
        <v>11.9</v>
      </c>
    </row>
    <row r="894" spans="1:9" x14ac:dyDescent="0.35">
      <c r="A894" s="106">
        <v>45737</v>
      </c>
      <c r="B894" s="107" t="s">
        <v>318</v>
      </c>
      <c r="C894" s="107" t="s">
        <v>332</v>
      </c>
      <c r="D894" s="107" t="s">
        <v>315</v>
      </c>
      <c r="E894" s="107" t="s">
        <v>400</v>
      </c>
      <c r="F894" s="108">
        <v>57</v>
      </c>
      <c r="G894" s="109">
        <v>4</v>
      </c>
      <c r="H894" s="110">
        <f t="shared" si="27"/>
        <v>456</v>
      </c>
      <c r="I894" s="111">
        <f t="shared" si="26"/>
        <v>22.8</v>
      </c>
    </row>
    <row r="895" spans="1:9" x14ac:dyDescent="0.35">
      <c r="A895" s="106">
        <v>45737</v>
      </c>
      <c r="B895" s="107" t="s">
        <v>313</v>
      </c>
      <c r="C895" s="107" t="s">
        <v>332</v>
      </c>
      <c r="D895" s="107" t="s">
        <v>423</v>
      </c>
      <c r="E895" s="107" t="s">
        <v>394</v>
      </c>
      <c r="F895" s="108">
        <v>20</v>
      </c>
      <c r="G895" s="109">
        <v>13</v>
      </c>
      <c r="H895" s="110">
        <f t="shared" si="27"/>
        <v>340</v>
      </c>
      <c r="I895" s="111">
        <f t="shared" si="26"/>
        <v>20.399999999999999</v>
      </c>
    </row>
    <row r="896" spans="1:9" x14ac:dyDescent="0.35">
      <c r="A896" s="106">
        <v>45737</v>
      </c>
      <c r="B896" s="107" t="s">
        <v>422</v>
      </c>
      <c r="C896" s="107" t="s">
        <v>332</v>
      </c>
      <c r="D896" s="107" t="s">
        <v>320</v>
      </c>
      <c r="E896" s="107" t="s">
        <v>344</v>
      </c>
      <c r="F896" s="108">
        <v>64</v>
      </c>
      <c r="G896" s="109">
        <v>24</v>
      </c>
      <c r="H896" s="110">
        <f t="shared" si="27"/>
        <v>1792</v>
      </c>
      <c r="I896" s="111">
        <f t="shared" si="26"/>
        <v>107.52</v>
      </c>
    </row>
    <row r="897" spans="1:9" x14ac:dyDescent="0.35">
      <c r="A897" s="106">
        <v>45738</v>
      </c>
      <c r="B897" s="107" t="s">
        <v>422</v>
      </c>
      <c r="C897" s="107" t="s">
        <v>319</v>
      </c>
      <c r="D897" s="107" t="s">
        <v>315</v>
      </c>
      <c r="E897" s="107" t="s">
        <v>341</v>
      </c>
      <c r="F897" s="108">
        <v>36</v>
      </c>
      <c r="G897" s="109">
        <v>24</v>
      </c>
      <c r="H897" s="110">
        <f t="shared" si="27"/>
        <v>900</v>
      </c>
      <c r="I897" s="111">
        <f t="shared" si="26"/>
        <v>45</v>
      </c>
    </row>
    <row r="898" spans="1:9" x14ac:dyDescent="0.35">
      <c r="A898" s="106">
        <v>45738</v>
      </c>
      <c r="B898" s="107" t="s">
        <v>318</v>
      </c>
      <c r="C898" s="107" t="s">
        <v>332</v>
      </c>
      <c r="D898" s="107" t="s">
        <v>338</v>
      </c>
      <c r="E898" s="107" t="s">
        <v>339</v>
      </c>
      <c r="F898" s="108">
        <v>23</v>
      </c>
      <c r="G898" s="109">
        <v>4</v>
      </c>
      <c r="H898" s="110">
        <f t="shared" si="27"/>
        <v>184</v>
      </c>
      <c r="I898" s="111">
        <f t="shared" ref="I898:I961" si="28">H898*VLOOKUP(D898,$O$4:$P$10,2,TRUE)</f>
        <v>11.04</v>
      </c>
    </row>
    <row r="899" spans="1:9" x14ac:dyDescent="0.35">
      <c r="A899" s="106">
        <v>45738</v>
      </c>
      <c r="B899" s="107" t="s">
        <v>318</v>
      </c>
      <c r="C899" s="107" t="s">
        <v>319</v>
      </c>
      <c r="D899" s="107" t="s">
        <v>324</v>
      </c>
      <c r="E899" s="107" t="s">
        <v>346</v>
      </c>
      <c r="F899" s="108">
        <v>33</v>
      </c>
      <c r="G899" s="109">
        <v>4</v>
      </c>
      <c r="H899" s="110">
        <f t="shared" ref="H899:H962" si="29">(F899*G899)+VLOOKUP(C899,$K$11:$L$14,2,FALSE)*F899</f>
        <v>165</v>
      </c>
      <c r="I899" s="111">
        <f t="shared" si="28"/>
        <v>8.25</v>
      </c>
    </row>
    <row r="900" spans="1:9" x14ac:dyDescent="0.35">
      <c r="A900" s="106">
        <v>45738</v>
      </c>
      <c r="B900" s="107" t="s">
        <v>318</v>
      </c>
      <c r="C900" s="107" t="s">
        <v>319</v>
      </c>
      <c r="D900" s="107" t="s">
        <v>390</v>
      </c>
      <c r="E900" s="107" t="s">
        <v>344</v>
      </c>
      <c r="F900" s="108">
        <v>25</v>
      </c>
      <c r="G900" s="109">
        <v>4</v>
      </c>
      <c r="H900" s="110">
        <f t="shared" si="29"/>
        <v>125</v>
      </c>
      <c r="I900" s="111">
        <f t="shared" si="28"/>
        <v>6.25</v>
      </c>
    </row>
    <row r="901" spans="1:9" x14ac:dyDescent="0.35">
      <c r="A901" s="106">
        <v>45738</v>
      </c>
      <c r="B901" s="107" t="s">
        <v>422</v>
      </c>
      <c r="C901" s="107" t="s">
        <v>319</v>
      </c>
      <c r="D901" s="107" t="s">
        <v>320</v>
      </c>
      <c r="E901" s="107" t="s">
        <v>343</v>
      </c>
      <c r="F901" s="108">
        <v>23</v>
      </c>
      <c r="G901" s="109">
        <v>24</v>
      </c>
      <c r="H901" s="110">
        <f t="shared" si="29"/>
        <v>575</v>
      </c>
      <c r="I901" s="111">
        <f t="shared" si="28"/>
        <v>34.5</v>
      </c>
    </row>
    <row r="902" spans="1:9" x14ac:dyDescent="0.35">
      <c r="A902" s="106">
        <v>45738</v>
      </c>
      <c r="B902" s="107" t="s">
        <v>313</v>
      </c>
      <c r="C902" s="107" t="s">
        <v>319</v>
      </c>
      <c r="D902" s="107" t="s">
        <v>324</v>
      </c>
      <c r="E902" s="107" t="s">
        <v>405</v>
      </c>
      <c r="F902" s="108">
        <v>43</v>
      </c>
      <c r="G902" s="109">
        <v>13</v>
      </c>
      <c r="H902" s="110">
        <f t="shared" si="29"/>
        <v>602</v>
      </c>
      <c r="I902" s="111">
        <f t="shared" si="28"/>
        <v>30.1</v>
      </c>
    </row>
    <row r="903" spans="1:9" x14ac:dyDescent="0.35">
      <c r="A903" s="106">
        <v>45739</v>
      </c>
      <c r="B903" s="107" t="s">
        <v>422</v>
      </c>
      <c r="C903" s="107" t="s">
        <v>319</v>
      </c>
      <c r="D903" s="107" t="s">
        <v>333</v>
      </c>
      <c r="E903" s="107" t="s">
        <v>341</v>
      </c>
      <c r="F903" s="108">
        <v>37</v>
      </c>
      <c r="G903" s="109">
        <v>24</v>
      </c>
      <c r="H903" s="110">
        <f t="shared" si="29"/>
        <v>925</v>
      </c>
      <c r="I903" s="111">
        <f t="shared" si="28"/>
        <v>46.25</v>
      </c>
    </row>
    <row r="904" spans="1:9" x14ac:dyDescent="0.35">
      <c r="A904" s="106">
        <v>45739</v>
      </c>
      <c r="B904" s="107" t="s">
        <v>322</v>
      </c>
      <c r="C904" s="107" t="s">
        <v>314</v>
      </c>
      <c r="D904" s="107" t="s">
        <v>315</v>
      </c>
      <c r="E904" s="107" t="s">
        <v>345</v>
      </c>
      <c r="F904" s="108">
        <v>10</v>
      </c>
      <c r="G904" s="109">
        <v>17</v>
      </c>
      <c r="H904" s="110">
        <f t="shared" si="29"/>
        <v>200</v>
      </c>
      <c r="I904" s="111">
        <f t="shared" si="28"/>
        <v>10</v>
      </c>
    </row>
    <row r="905" spans="1:9" x14ac:dyDescent="0.35">
      <c r="A905" s="106">
        <v>45739</v>
      </c>
      <c r="B905" s="107" t="s">
        <v>327</v>
      </c>
      <c r="C905" s="107" t="s">
        <v>319</v>
      </c>
      <c r="D905" s="107" t="s">
        <v>333</v>
      </c>
      <c r="E905" s="107" t="s">
        <v>394</v>
      </c>
      <c r="F905" s="108">
        <v>12</v>
      </c>
      <c r="G905" s="109">
        <v>6</v>
      </c>
      <c r="H905" s="110">
        <f t="shared" si="29"/>
        <v>84</v>
      </c>
      <c r="I905" s="111">
        <f t="shared" si="28"/>
        <v>4.2</v>
      </c>
    </row>
    <row r="906" spans="1:9" x14ac:dyDescent="0.35">
      <c r="A906" s="106">
        <v>45740</v>
      </c>
      <c r="B906" s="107" t="s">
        <v>318</v>
      </c>
      <c r="C906" s="107" t="s">
        <v>332</v>
      </c>
      <c r="D906" s="107" t="s">
        <v>315</v>
      </c>
      <c r="E906" s="107" t="s">
        <v>455</v>
      </c>
      <c r="F906" s="108">
        <v>25</v>
      </c>
      <c r="G906" s="109">
        <v>4</v>
      </c>
      <c r="H906" s="110">
        <f t="shared" si="29"/>
        <v>200</v>
      </c>
      <c r="I906" s="111">
        <f t="shared" si="28"/>
        <v>10</v>
      </c>
    </row>
    <row r="907" spans="1:9" x14ac:dyDescent="0.35">
      <c r="A907" s="106">
        <v>45740</v>
      </c>
      <c r="B907" s="107" t="s">
        <v>313</v>
      </c>
      <c r="C907" s="107" t="s">
        <v>319</v>
      </c>
      <c r="D907" s="107" t="s">
        <v>315</v>
      </c>
      <c r="E907" s="107" t="s">
        <v>455</v>
      </c>
      <c r="F907" s="108">
        <v>19</v>
      </c>
      <c r="G907" s="109">
        <v>13</v>
      </c>
      <c r="H907" s="110">
        <f t="shared" si="29"/>
        <v>266</v>
      </c>
      <c r="I907" s="111">
        <f t="shared" si="28"/>
        <v>13.3</v>
      </c>
    </row>
    <row r="908" spans="1:9" x14ac:dyDescent="0.35">
      <c r="A908" s="106">
        <v>45740</v>
      </c>
      <c r="B908" s="107" t="s">
        <v>322</v>
      </c>
      <c r="C908" s="107" t="s">
        <v>319</v>
      </c>
      <c r="D908" s="107" t="s">
        <v>324</v>
      </c>
      <c r="E908" s="107" t="s">
        <v>340</v>
      </c>
      <c r="F908" s="108">
        <v>18</v>
      </c>
      <c r="G908" s="109">
        <v>17</v>
      </c>
      <c r="H908" s="110">
        <f t="shared" si="29"/>
        <v>324</v>
      </c>
      <c r="I908" s="111">
        <f t="shared" si="28"/>
        <v>16.2</v>
      </c>
    </row>
    <row r="909" spans="1:9" x14ac:dyDescent="0.35">
      <c r="A909" s="106">
        <v>45740</v>
      </c>
      <c r="B909" s="107" t="s">
        <v>327</v>
      </c>
      <c r="C909" s="107" t="s">
        <v>332</v>
      </c>
      <c r="D909" s="107" t="s">
        <v>423</v>
      </c>
      <c r="E909" s="107" t="s">
        <v>395</v>
      </c>
      <c r="F909" s="108">
        <v>45</v>
      </c>
      <c r="G909" s="109">
        <v>6</v>
      </c>
      <c r="H909" s="110">
        <f t="shared" si="29"/>
        <v>450</v>
      </c>
      <c r="I909" s="111">
        <f t="shared" si="28"/>
        <v>27</v>
      </c>
    </row>
    <row r="910" spans="1:9" x14ac:dyDescent="0.35">
      <c r="A910" s="106">
        <v>45741</v>
      </c>
      <c r="B910" s="107" t="s">
        <v>422</v>
      </c>
      <c r="C910" s="107" t="s">
        <v>332</v>
      </c>
      <c r="D910" s="107" t="s">
        <v>423</v>
      </c>
      <c r="E910" s="107" t="s">
        <v>342</v>
      </c>
      <c r="F910" s="108">
        <v>14</v>
      </c>
      <c r="G910" s="109">
        <v>24</v>
      </c>
      <c r="H910" s="110">
        <f t="shared" si="29"/>
        <v>392</v>
      </c>
      <c r="I910" s="111">
        <f t="shared" si="28"/>
        <v>23.52</v>
      </c>
    </row>
    <row r="911" spans="1:9" x14ac:dyDescent="0.35">
      <c r="A911" s="106">
        <v>45741</v>
      </c>
      <c r="B911" s="107" t="s">
        <v>422</v>
      </c>
      <c r="C911" s="107" t="s">
        <v>314</v>
      </c>
      <c r="D911" s="107" t="s">
        <v>423</v>
      </c>
      <c r="E911" s="107" t="s">
        <v>395</v>
      </c>
      <c r="F911" s="108">
        <v>63</v>
      </c>
      <c r="G911" s="109">
        <v>24</v>
      </c>
      <c r="H911" s="110">
        <f t="shared" si="29"/>
        <v>1701</v>
      </c>
      <c r="I911" s="111">
        <f t="shared" si="28"/>
        <v>102.06</v>
      </c>
    </row>
    <row r="912" spans="1:9" x14ac:dyDescent="0.35">
      <c r="A912" s="106">
        <v>45742</v>
      </c>
      <c r="B912" s="107" t="s">
        <v>327</v>
      </c>
      <c r="C912" s="107" t="s">
        <v>393</v>
      </c>
      <c r="D912" s="107" t="s">
        <v>324</v>
      </c>
      <c r="E912" s="107" t="s">
        <v>344</v>
      </c>
      <c r="F912" s="108">
        <v>51</v>
      </c>
      <c r="G912" s="109">
        <v>6</v>
      </c>
      <c r="H912" s="110">
        <f t="shared" si="29"/>
        <v>408</v>
      </c>
      <c r="I912" s="111">
        <f t="shared" si="28"/>
        <v>20.400000000000002</v>
      </c>
    </row>
    <row r="913" spans="1:9" x14ac:dyDescent="0.35">
      <c r="A913" s="106">
        <v>45742</v>
      </c>
      <c r="B913" s="107" t="s">
        <v>327</v>
      </c>
      <c r="C913" s="107" t="s">
        <v>314</v>
      </c>
      <c r="D913" s="107" t="s">
        <v>315</v>
      </c>
      <c r="E913" s="107" t="s">
        <v>350</v>
      </c>
      <c r="F913" s="108">
        <v>43</v>
      </c>
      <c r="G913" s="109">
        <v>6</v>
      </c>
      <c r="H913" s="110">
        <f t="shared" si="29"/>
        <v>387</v>
      </c>
      <c r="I913" s="111">
        <f t="shared" si="28"/>
        <v>19.350000000000001</v>
      </c>
    </row>
    <row r="914" spans="1:9" x14ac:dyDescent="0.35">
      <c r="A914" s="106">
        <v>45744</v>
      </c>
      <c r="B914" s="107" t="s">
        <v>318</v>
      </c>
      <c r="C914" s="107" t="s">
        <v>393</v>
      </c>
      <c r="D914" s="107" t="s">
        <v>333</v>
      </c>
      <c r="E914" s="107" t="s">
        <v>348</v>
      </c>
      <c r="F914" s="108">
        <v>29</v>
      </c>
      <c r="G914" s="109">
        <v>4</v>
      </c>
      <c r="H914" s="110">
        <f t="shared" si="29"/>
        <v>174</v>
      </c>
      <c r="I914" s="111">
        <f t="shared" si="28"/>
        <v>8.7000000000000011</v>
      </c>
    </row>
    <row r="915" spans="1:9" x14ac:dyDescent="0.35">
      <c r="A915" s="106">
        <v>45744</v>
      </c>
      <c r="B915" s="107" t="s">
        <v>422</v>
      </c>
      <c r="C915" s="107" t="s">
        <v>393</v>
      </c>
      <c r="D915" s="107" t="s">
        <v>320</v>
      </c>
      <c r="E915" s="107" t="s">
        <v>349</v>
      </c>
      <c r="F915" s="108">
        <v>60</v>
      </c>
      <c r="G915" s="109">
        <v>24</v>
      </c>
      <c r="H915" s="110">
        <f t="shared" si="29"/>
        <v>1560</v>
      </c>
      <c r="I915" s="111">
        <f t="shared" si="28"/>
        <v>93.6</v>
      </c>
    </row>
    <row r="916" spans="1:9" x14ac:dyDescent="0.35">
      <c r="A916" s="106">
        <v>45745</v>
      </c>
      <c r="B916" s="107" t="s">
        <v>327</v>
      </c>
      <c r="C916" s="107" t="s">
        <v>319</v>
      </c>
      <c r="D916" s="107" t="s">
        <v>320</v>
      </c>
      <c r="E916" s="107" t="s">
        <v>340</v>
      </c>
      <c r="F916" s="108">
        <v>52</v>
      </c>
      <c r="G916" s="109">
        <v>6</v>
      </c>
      <c r="H916" s="110">
        <f t="shared" si="29"/>
        <v>364</v>
      </c>
      <c r="I916" s="111">
        <f t="shared" si="28"/>
        <v>21.84</v>
      </c>
    </row>
    <row r="917" spans="1:9" x14ac:dyDescent="0.35">
      <c r="A917" s="106">
        <v>45745</v>
      </c>
      <c r="B917" s="107" t="s">
        <v>318</v>
      </c>
      <c r="C917" s="107" t="s">
        <v>332</v>
      </c>
      <c r="D917" s="107" t="s">
        <v>338</v>
      </c>
      <c r="E917" s="107" t="s">
        <v>345</v>
      </c>
      <c r="F917" s="108">
        <v>32</v>
      </c>
      <c r="G917" s="109">
        <v>4</v>
      </c>
      <c r="H917" s="110">
        <f t="shared" si="29"/>
        <v>256</v>
      </c>
      <c r="I917" s="111">
        <f t="shared" si="28"/>
        <v>15.36</v>
      </c>
    </row>
    <row r="918" spans="1:9" x14ac:dyDescent="0.35">
      <c r="A918" s="106">
        <v>45745</v>
      </c>
      <c r="B918" s="107" t="s">
        <v>322</v>
      </c>
      <c r="C918" s="107" t="s">
        <v>332</v>
      </c>
      <c r="D918" s="107" t="s">
        <v>333</v>
      </c>
      <c r="E918" s="107" t="s">
        <v>416</v>
      </c>
      <c r="F918" s="108">
        <v>14</v>
      </c>
      <c r="G918" s="109">
        <v>17</v>
      </c>
      <c r="H918" s="110">
        <f t="shared" si="29"/>
        <v>294</v>
      </c>
      <c r="I918" s="111">
        <f t="shared" si="28"/>
        <v>14.700000000000001</v>
      </c>
    </row>
    <row r="919" spans="1:9" x14ac:dyDescent="0.35">
      <c r="A919" s="106">
        <v>45746</v>
      </c>
      <c r="B919" s="107" t="s">
        <v>422</v>
      </c>
      <c r="C919" s="107" t="s">
        <v>393</v>
      </c>
      <c r="D919" s="107" t="s">
        <v>315</v>
      </c>
      <c r="E919" s="107" t="s">
        <v>344</v>
      </c>
      <c r="F919" s="108">
        <v>21</v>
      </c>
      <c r="G919" s="109">
        <v>24</v>
      </c>
      <c r="H919" s="110">
        <f t="shared" si="29"/>
        <v>546</v>
      </c>
      <c r="I919" s="111">
        <f t="shared" si="28"/>
        <v>27.3</v>
      </c>
    </row>
    <row r="920" spans="1:9" x14ac:dyDescent="0.35">
      <c r="A920" s="106">
        <v>45746</v>
      </c>
      <c r="B920" s="107" t="s">
        <v>322</v>
      </c>
      <c r="C920" s="107" t="s">
        <v>332</v>
      </c>
      <c r="D920" s="107" t="s">
        <v>390</v>
      </c>
      <c r="E920" s="107" t="s">
        <v>343</v>
      </c>
      <c r="F920" s="108">
        <v>43</v>
      </c>
      <c r="G920" s="109">
        <v>17</v>
      </c>
      <c r="H920" s="110">
        <f t="shared" si="29"/>
        <v>903</v>
      </c>
      <c r="I920" s="111">
        <f t="shared" si="28"/>
        <v>45.150000000000006</v>
      </c>
    </row>
    <row r="921" spans="1:9" x14ac:dyDescent="0.35">
      <c r="A921" s="106">
        <v>45746</v>
      </c>
      <c r="B921" s="107" t="s">
        <v>313</v>
      </c>
      <c r="C921" s="107" t="s">
        <v>393</v>
      </c>
      <c r="D921" s="107" t="s">
        <v>324</v>
      </c>
      <c r="E921" s="107" t="s">
        <v>343</v>
      </c>
      <c r="F921" s="108">
        <v>49</v>
      </c>
      <c r="G921" s="109">
        <v>13</v>
      </c>
      <c r="H921" s="110">
        <f t="shared" si="29"/>
        <v>735</v>
      </c>
      <c r="I921" s="111">
        <f t="shared" si="28"/>
        <v>36.75</v>
      </c>
    </row>
    <row r="922" spans="1:9" x14ac:dyDescent="0.35">
      <c r="A922" s="106">
        <v>45747</v>
      </c>
      <c r="B922" s="107" t="s">
        <v>327</v>
      </c>
      <c r="C922" s="107" t="s">
        <v>319</v>
      </c>
      <c r="D922" s="107" t="s">
        <v>423</v>
      </c>
      <c r="E922" s="107" t="s">
        <v>394</v>
      </c>
      <c r="F922" s="108">
        <v>42</v>
      </c>
      <c r="G922" s="109">
        <v>6</v>
      </c>
      <c r="H922" s="110">
        <f t="shared" si="29"/>
        <v>294</v>
      </c>
      <c r="I922" s="111">
        <f t="shared" si="28"/>
        <v>17.64</v>
      </c>
    </row>
    <row r="923" spans="1:9" x14ac:dyDescent="0.35">
      <c r="A923" s="106">
        <v>45747</v>
      </c>
      <c r="B923" s="107" t="s">
        <v>318</v>
      </c>
      <c r="C923" s="107" t="s">
        <v>393</v>
      </c>
      <c r="D923" s="107" t="s">
        <v>324</v>
      </c>
      <c r="E923" s="107" t="s">
        <v>343</v>
      </c>
      <c r="F923" s="108">
        <v>18</v>
      </c>
      <c r="G923" s="109">
        <v>4</v>
      </c>
      <c r="H923" s="110">
        <f t="shared" si="29"/>
        <v>108</v>
      </c>
      <c r="I923" s="111">
        <f t="shared" si="28"/>
        <v>5.4</v>
      </c>
    </row>
    <row r="924" spans="1:9" x14ac:dyDescent="0.35">
      <c r="A924" s="106">
        <v>45748</v>
      </c>
      <c r="B924" s="107" t="s">
        <v>422</v>
      </c>
      <c r="C924" s="107" t="s">
        <v>319</v>
      </c>
      <c r="D924" s="107" t="s">
        <v>315</v>
      </c>
      <c r="E924" s="107" t="s">
        <v>350</v>
      </c>
      <c r="F924" s="108">
        <v>42</v>
      </c>
      <c r="G924" s="109">
        <v>24</v>
      </c>
      <c r="H924" s="110">
        <f t="shared" si="29"/>
        <v>1050</v>
      </c>
      <c r="I924" s="111">
        <f t="shared" si="28"/>
        <v>52.5</v>
      </c>
    </row>
    <row r="925" spans="1:9" x14ac:dyDescent="0.35">
      <c r="A925" s="106">
        <v>45749</v>
      </c>
      <c r="B925" s="107" t="s">
        <v>327</v>
      </c>
      <c r="C925" s="107" t="s">
        <v>393</v>
      </c>
      <c r="D925" s="107" t="s">
        <v>333</v>
      </c>
      <c r="E925" s="107" t="s">
        <v>388</v>
      </c>
      <c r="F925" s="108">
        <v>16</v>
      </c>
      <c r="G925" s="109">
        <v>6</v>
      </c>
      <c r="H925" s="110">
        <f t="shared" si="29"/>
        <v>128</v>
      </c>
      <c r="I925" s="111">
        <f t="shared" si="28"/>
        <v>6.4</v>
      </c>
    </row>
    <row r="926" spans="1:9" x14ac:dyDescent="0.35">
      <c r="A926" s="106">
        <v>45750</v>
      </c>
      <c r="B926" s="107" t="s">
        <v>318</v>
      </c>
      <c r="C926" s="107" t="s">
        <v>393</v>
      </c>
      <c r="D926" s="107" t="s">
        <v>315</v>
      </c>
      <c r="E926" s="107" t="s">
        <v>395</v>
      </c>
      <c r="F926" s="108">
        <v>60</v>
      </c>
      <c r="G926" s="109">
        <v>4</v>
      </c>
      <c r="H926" s="110">
        <f t="shared" si="29"/>
        <v>360</v>
      </c>
      <c r="I926" s="111">
        <f t="shared" si="28"/>
        <v>18</v>
      </c>
    </row>
    <row r="927" spans="1:9" x14ac:dyDescent="0.35">
      <c r="A927" s="106">
        <v>45750</v>
      </c>
      <c r="B927" s="107" t="s">
        <v>313</v>
      </c>
      <c r="C927" s="107" t="s">
        <v>393</v>
      </c>
      <c r="D927" s="107" t="s">
        <v>320</v>
      </c>
      <c r="E927" s="107" t="s">
        <v>349</v>
      </c>
      <c r="F927" s="108">
        <v>20</v>
      </c>
      <c r="G927" s="109">
        <v>13</v>
      </c>
      <c r="H927" s="110">
        <f t="shared" si="29"/>
        <v>300</v>
      </c>
      <c r="I927" s="111">
        <f t="shared" si="28"/>
        <v>18</v>
      </c>
    </row>
    <row r="928" spans="1:9" x14ac:dyDescent="0.35">
      <c r="A928" s="106">
        <v>45753</v>
      </c>
      <c r="B928" s="107" t="s">
        <v>327</v>
      </c>
      <c r="C928" s="107" t="s">
        <v>314</v>
      </c>
      <c r="D928" s="107" t="s">
        <v>338</v>
      </c>
      <c r="E928" s="107" t="s">
        <v>454</v>
      </c>
      <c r="F928" s="108">
        <v>22</v>
      </c>
      <c r="G928" s="109">
        <v>6</v>
      </c>
      <c r="H928" s="110">
        <f t="shared" si="29"/>
        <v>198</v>
      </c>
      <c r="I928" s="111">
        <f t="shared" si="28"/>
        <v>11.879999999999999</v>
      </c>
    </row>
    <row r="929" spans="1:9" x14ac:dyDescent="0.35">
      <c r="A929" s="106">
        <v>45753</v>
      </c>
      <c r="B929" s="107" t="s">
        <v>322</v>
      </c>
      <c r="C929" s="107" t="s">
        <v>314</v>
      </c>
      <c r="D929" s="107" t="s">
        <v>423</v>
      </c>
      <c r="E929" s="107" t="s">
        <v>350</v>
      </c>
      <c r="F929" s="108">
        <v>60</v>
      </c>
      <c r="G929" s="109">
        <v>17</v>
      </c>
      <c r="H929" s="110">
        <f t="shared" si="29"/>
        <v>1200</v>
      </c>
      <c r="I929" s="111">
        <f t="shared" si="28"/>
        <v>72</v>
      </c>
    </row>
    <row r="930" spans="1:9" x14ac:dyDescent="0.35">
      <c r="A930" s="106">
        <v>45754</v>
      </c>
      <c r="B930" s="107" t="s">
        <v>313</v>
      </c>
      <c r="C930" s="107" t="s">
        <v>332</v>
      </c>
      <c r="D930" s="107" t="s">
        <v>315</v>
      </c>
      <c r="E930" s="107" t="s">
        <v>350</v>
      </c>
      <c r="F930" s="108">
        <v>14</v>
      </c>
      <c r="G930" s="109">
        <v>13</v>
      </c>
      <c r="H930" s="110">
        <f t="shared" si="29"/>
        <v>238</v>
      </c>
      <c r="I930" s="111">
        <f t="shared" si="28"/>
        <v>11.9</v>
      </c>
    </row>
    <row r="931" spans="1:9" x14ac:dyDescent="0.35">
      <c r="A931" s="106">
        <v>45755</v>
      </c>
      <c r="B931" s="107" t="s">
        <v>422</v>
      </c>
      <c r="C931" s="107" t="s">
        <v>393</v>
      </c>
      <c r="D931" s="107" t="s">
        <v>390</v>
      </c>
      <c r="E931" s="107" t="s">
        <v>388</v>
      </c>
      <c r="F931" s="108">
        <v>8</v>
      </c>
      <c r="G931" s="109">
        <v>24</v>
      </c>
      <c r="H931" s="110">
        <f t="shared" si="29"/>
        <v>208</v>
      </c>
      <c r="I931" s="111">
        <f t="shared" si="28"/>
        <v>10.4</v>
      </c>
    </row>
    <row r="932" spans="1:9" x14ac:dyDescent="0.35">
      <c r="A932" s="106">
        <v>45755</v>
      </c>
      <c r="B932" s="107" t="s">
        <v>318</v>
      </c>
      <c r="C932" s="107" t="s">
        <v>332</v>
      </c>
      <c r="D932" s="107" t="s">
        <v>333</v>
      </c>
      <c r="E932" s="107" t="s">
        <v>395</v>
      </c>
      <c r="F932" s="108">
        <v>36</v>
      </c>
      <c r="G932" s="109">
        <v>4</v>
      </c>
      <c r="H932" s="110">
        <f t="shared" si="29"/>
        <v>288</v>
      </c>
      <c r="I932" s="111">
        <f t="shared" si="28"/>
        <v>14.4</v>
      </c>
    </row>
    <row r="933" spans="1:9" x14ac:dyDescent="0.35">
      <c r="A933" s="106">
        <v>45755</v>
      </c>
      <c r="B933" s="107" t="s">
        <v>313</v>
      </c>
      <c r="C933" s="107" t="s">
        <v>314</v>
      </c>
      <c r="D933" s="107" t="s">
        <v>315</v>
      </c>
      <c r="E933" s="107" t="s">
        <v>400</v>
      </c>
      <c r="F933" s="108">
        <v>28</v>
      </c>
      <c r="G933" s="109">
        <v>13</v>
      </c>
      <c r="H933" s="110">
        <f t="shared" si="29"/>
        <v>448</v>
      </c>
      <c r="I933" s="111">
        <f t="shared" si="28"/>
        <v>22.400000000000002</v>
      </c>
    </row>
    <row r="934" spans="1:9" x14ac:dyDescent="0.35">
      <c r="A934" s="106">
        <v>45755</v>
      </c>
      <c r="B934" s="107" t="s">
        <v>313</v>
      </c>
      <c r="C934" s="107" t="s">
        <v>332</v>
      </c>
      <c r="D934" s="107" t="s">
        <v>320</v>
      </c>
      <c r="E934" s="107" t="s">
        <v>335</v>
      </c>
      <c r="F934" s="108">
        <v>56</v>
      </c>
      <c r="G934" s="109">
        <v>13</v>
      </c>
      <c r="H934" s="110">
        <f t="shared" si="29"/>
        <v>952</v>
      </c>
      <c r="I934" s="111">
        <f t="shared" si="28"/>
        <v>57.12</v>
      </c>
    </row>
    <row r="935" spans="1:9" x14ac:dyDescent="0.35">
      <c r="A935" s="106">
        <v>45756</v>
      </c>
      <c r="B935" s="107" t="s">
        <v>313</v>
      </c>
      <c r="C935" s="107" t="s">
        <v>319</v>
      </c>
      <c r="D935" s="107" t="s">
        <v>333</v>
      </c>
      <c r="E935" s="107" t="s">
        <v>340</v>
      </c>
      <c r="F935" s="108">
        <v>57</v>
      </c>
      <c r="G935" s="109">
        <v>13</v>
      </c>
      <c r="H935" s="110">
        <f t="shared" si="29"/>
        <v>798</v>
      </c>
      <c r="I935" s="111">
        <f t="shared" si="28"/>
        <v>39.900000000000006</v>
      </c>
    </row>
    <row r="936" spans="1:9" x14ac:dyDescent="0.35">
      <c r="A936" s="106">
        <v>45756</v>
      </c>
      <c r="B936" s="107" t="s">
        <v>318</v>
      </c>
      <c r="C936" s="107" t="s">
        <v>332</v>
      </c>
      <c r="D936" s="107" t="s">
        <v>315</v>
      </c>
      <c r="E936" s="107" t="s">
        <v>394</v>
      </c>
      <c r="F936" s="108">
        <v>45</v>
      </c>
      <c r="G936" s="109">
        <v>4</v>
      </c>
      <c r="H936" s="110">
        <f t="shared" si="29"/>
        <v>360</v>
      </c>
      <c r="I936" s="111">
        <f t="shared" si="28"/>
        <v>18</v>
      </c>
    </row>
    <row r="937" spans="1:9" x14ac:dyDescent="0.35">
      <c r="A937" s="106">
        <v>45757</v>
      </c>
      <c r="B937" s="107" t="s">
        <v>318</v>
      </c>
      <c r="C937" s="107" t="s">
        <v>314</v>
      </c>
      <c r="D937" s="107" t="s">
        <v>315</v>
      </c>
      <c r="E937" s="107" t="s">
        <v>341</v>
      </c>
      <c r="F937" s="108">
        <v>22</v>
      </c>
      <c r="G937" s="109">
        <v>4</v>
      </c>
      <c r="H937" s="110">
        <f t="shared" si="29"/>
        <v>154</v>
      </c>
      <c r="I937" s="111">
        <f t="shared" si="28"/>
        <v>7.7</v>
      </c>
    </row>
    <row r="938" spans="1:9" x14ac:dyDescent="0.35">
      <c r="A938" s="106">
        <v>45757</v>
      </c>
      <c r="B938" s="107" t="s">
        <v>322</v>
      </c>
      <c r="C938" s="107" t="s">
        <v>319</v>
      </c>
      <c r="D938" s="107" t="s">
        <v>320</v>
      </c>
      <c r="E938" s="107" t="s">
        <v>341</v>
      </c>
      <c r="F938" s="108">
        <v>10</v>
      </c>
      <c r="G938" s="109">
        <v>17</v>
      </c>
      <c r="H938" s="110">
        <f t="shared" si="29"/>
        <v>180</v>
      </c>
      <c r="I938" s="111">
        <f t="shared" si="28"/>
        <v>10.799999999999999</v>
      </c>
    </row>
    <row r="939" spans="1:9" x14ac:dyDescent="0.35">
      <c r="A939" s="106">
        <v>45757</v>
      </c>
      <c r="B939" s="107" t="s">
        <v>318</v>
      </c>
      <c r="C939" s="107" t="s">
        <v>314</v>
      </c>
      <c r="D939" s="107" t="s">
        <v>333</v>
      </c>
      <c r="E939" s="107" t="s">
        <v>340</v>
      </c>
      <c r="F939" s="108">
        <v>38</v>
      </c>
      <c r="G939" s="109">
        <v>4</v>
      </c>
      <c r="H939" s="110">
        <f t="shared" si="29"/>
        <v>266</v>
      </c>
      <c r="I939" s="111">
        <f t="shared" si="28"/>
        <v>13.3</v>
      </c>
    </row>
    <row r="940" spans="1:9" x14ac:dyDescent="0.35">
      <c r="A940" s="106">
        <v>45757</v>
      </c>
      <c r="B940" s="107" t="s">
        <v>313</v>
      </c>
      <c r="C940" s="107" t="s">
        <v>314</v>
      </c>
      <c r="D940" s="107" t="s">
        <v>390</v>
      </c>
      <c r="E940" s="107" t="s">
        <v>340</v>
      </c>
      <c r="F940" s="108">
        <v>29</v>
      </c>
      <c r="G940" s="109">
        <v>13</v>
      </c>
      <c r="H940" s="110">
        <f t="shared" si="29"/>
        <v>464</v>
      </c>
      <c r="I940" s="111">
        <f t="shared" si="28"/>
        <v>23.200000000000003</v>
      </c>
    </row>
    <row r="941" spans="1:9" x14ac:dyDescent="0.35">
      <c r="A941" s="106">
        <v>45757</v>
      </c>
      <c r="B941" s="107" t="s">
        <v>318</v>
      </c>
      <c r="C941" s="107" t="s">
        <v>319</v>
      </c>
      <c r="D941" s="107" t="s">
        <v>324</v>
      </c>
      <c r="E941" s="107" t="s">
        <v>347</v>
      </c>
      <c r="F941" s="108">
        <v>60</v>
      </c>
      <c r="G941" s="109">
        <v>4</v>
      </c>
      <c r="H941" s="110">
        <f t="shared" si="29"/>
        <v>300</v>
      </c>
      <c r="I941" s="111">
        <f t="shared" si="28"/>
        <v>15</v>
      </c>
    </row>
    <row r="942" spans="1:9" x14ac:dyDescent="0.35">
      <c r="A942" s="106">
        <v>45757</v>
      </c>
      <c r="B942" s="107" t="s">
        <v>327</v>
      </c>
      <c r="C942" s="107" t="s">
        <v>393</v>
      </c>
      <c r="D942" s="107" t="s">
        <v>338</v>
      </c>
      <c r="E942" s="107" t="s">
        <v>394</v>
      </c>
      <c r="F942" s="108">
        <v>19</v>
      </c>
      <c r="G942" s="109">
        <v>6</v>
      </c>
      <c r="H942" s="110">
        <f t="shared" si="29"/>
        <v>152</v>
      </c>
      <c r="I942" s="111">
        <f t="shared" si="28"/>
        <v>9.1199999999999992</v>
      </c>
    </row>
    <row r="943" spans="1:9" x14ac:dyDescent="0.35">
      <c r="A943" s="106">
        <v>45757</v>
      </c>
      <c r="B943" s="107" t="s">
        <v>422</v>
      </c>
      <c r="C943" s="107" t="s">
        <v>332</v>
      </c>
      <c r="D943" s="107" t="s">
        <v>423</v>
      </c>
      <c r="E943" s="107" t="s">
        <v>405</v>
      </c>
      <c r="F943" s="108">
        <v>27</v>
      </c>
      <c r="G943" s="109">
        <v>24</v>
      </c>
      <c r="H943" s="110">
        <f t="shared" si="29"/>
        <v>756</v>
      </c>
      <c r="I943" s="111">
        <f t="shared" si="28"/>
        <v>45.36</v>
      </c>
    </row>
    <row r="944" spans="1:9" x14ac:dyDescent="0.35">
      <c r="A944" s="106">
        <v>45758</v>
      </c>
      <c r="B944" s="107" t="s">
        <v>318</v>
      </c>
      <c r="C944" s="107" t="s">
        <v>319</v>
      </c>
      <c r="D944" s="107" t="s">
        <v>324</v>
      </c>
      <c r="E944" s="107" t="s">
        <v>346</v>
      </c>
      <c r="F944" s="108">
        <v>23</v>
      </c>
      <c r="G944" s="109">
        <v>4</v>
      </c>
      <c r="H944" s="110">
        <f t="shared" si="29"/>
        <v>115</v>
      </c>
      <c r="I944" s="111">
        <f t="shared" si="28"/>
        <v>5.75</v>
      </c>
    </row>
    <row r="945" spans="1:9" x14ac:dyDescent="0.35">
      <c r="A945" s="106">
        <v>45758</v>
      </c>
      <c r="B945" s="107" t="s">
        <v>327</v>
      </c>
      <c r="C945" s="107" t="s">
        <v>332</v>
      </c>
      <c r="D945" s="107" t="s">
        <v>390</v>
      </c>
      <c r="E945" s="107" t="s">
        <v>394</v>
      </c>
      <c r="F945" s="108">
        <v>33</v>
      </c>
      <c r="G945" s="109">
        <v>6</v>
      </c>
      <c r="H945" s="110">
        <f t="shared" si="29"/>
        <v>330</v>
      </c>
      <c r="I945" s="111">
        <f t="shared" si="28"/>
        <v>16.5</v>
      </c>
    </row>
    <row r="946" spans="1:9" x14ac:dyDescent="0.35">
      <c r="A946" s="106">
        <v>45758</v>
      </c>
      <c r="B946" s="107" t="s">
        <v>327</v>
      </c>
      <c r="C946" s="107" t="s">
        <v>319</v>
      </c>
      <c r="D946" s="107" t="s">
        <v>315</v>
      </c>
      <c r="E946" s="107" t="s">
        <v>344</v>
      </c>
      <c r="F946" s="108">
        <v>55</v>
      </c>
      <c r="G946" s="109">
        <v>6</v>
      </c>
      <c r="H946" s="110">
        <f t="shared" si="29"/>
        <v>385</v>
      </c>
      <c r="I946" s="111">
        <f t="shared" si="28"/>
        <v>19.25</v>
      </c>
    </row>
    <row r="947" spans="1:9" x14ac:dyDescent="0.35">
      <c r="A947" s="106">
        <v>45759</v>
      </c>
      <c r="B947" s="107" t="s">
        <v>322</v>
      </c>
      <c r="C947" s="107" t="s">
        <v>314</v>
      </c>
      <c r="D947" s="107" t="s">
        <v>324</v>
      </c>
      <c r="E947" s="107" t="s">
        <v>341</v>
      </c>
      <c r="F947" s="108">
        <v>43</v>
      </c>
      <c r="G947" s="109">
        <v>17</v>
      </c>
      <c r="H947" s="110">
        <f t="shared" si="29"/>
        <v>860</v>
      </c>
      <c r="I947" s="111">
        <f t="shared" si="28"/>
        <v>43</v>
      </c>
    </row>
    <row r="948" spans="1:9" x14ac:dyDescent="0.35">
      <c r="A948" s="106">
        <v>45759</v>
      </c>
      <c r="B948" s="107" t="s">
        <v>318</v>
      </c>
      <c r="C948" s="107" t="s">
        <v>319</v>
      </c>
      <c r="D948" s="107" t="s">
        <v>315</v>
      </c>
      <c r="E948" s="107" t="s">
        <v>345</v>
      </c>
      <c r="F948" s="108">
        <v>28</v>
      </c>
      <c r="G948" s="109">
        <v>4</v>
      </c>
      <c r="H948" s="110">
        <f t="shared" si="29"/>
        <v>140</v>
      </c>
      <c r="I948" s="111">
        <f t="shared" si="28"/>
        <v>7</v>
      </c>
    </row>
    <row r="949" spans="1:9" x14ac:dyDescent="0.35">
      <c r="A949" s="106">
        <v>45759</v>
      </c>
      <c r="B949" s="107" t="s">
        <v>327</v>
      </c>
      <c r="C949" s="107" t="s">
        <v>319</v>
      </c>
      <c r="D949" s="107" t="s">
        <v>333</v>
      </c>
      <c r="E949" s="107" t="s">
        <v>416</v>
      </c>
      <c r="F949" s="108">
        <v>28</v>
      </c>
      <c r="G949" s="109">
        <v>6</v>
      </c>
      <c r="H949" s="110">
        <f t="shared" si="29"/>
        <v>196</v>
      </c>
      <c r="I949" s="111">
        <f t="shared" si="28"/>
        <v>9.8000000000000007</v>
      </c>
    </row>
    <row r="950" spans="1:9" x14ac:dyDescent="0.35">
      <c r="A950" s="106">
        <v>45760</v>
      </c>
      <c r="B950" s="107" t="s">
        <v>313</v>
      </c>
      <c r="C950" s="107" t="s">
        <v>393</v>
      </c>
      <c r="D950" s="107" t="s">
        <v>390</v>
      </c>
      <c r="E950" s="107" t="s">
        <v>400</v>
      </c>
      <c r="F950" s="108">
        <v>61</v>
      </c>
      <c r="G950" s="109">
        <v>13</v>
      </c>
      <c r="H950" s="110">
        <f t="shared" si="29"/>
        <v>915</v>
      </c>
      <c r="I950" s="111">
        <f t="shared" si="28"/>
        <v>45.75</v>
      </c>
    </row>
    <row r="951" spans="1:9" x14ac:dyDescent="0.35">
      <c r="A951" s="106">
        <v>45760</v>
      </c>
      <c r="B951" s="107" t="s">
        <v>313</v>
      </c>
      <c r="C951" s="107" t="s">
        <v>319</v>
      </c>
      <c r="D951" s="107" t="s">
        <v>320</v>
      </c>
      <c r="E951" s="107" t="s">
        <v>394</v>
      </c>
      <c r="F951" s="108">
        <v>41</v>
      </c>
      <c r="G951" s="109">
        <v>13</v>
      </c>
      <c r="H951" s="110">
        <f t="shared" si="29"/>
        <v>574</v>
      </c>
      <c r="I951" s="111">
        <f t="shared" si="28"/>
        <v>34.44</v>
      </c>
    </row>
    <row r="952" spans="1:9" x14ac:dyDescent="0.35">
      <c r="A952" s="106">
        <v>45760</v>
      </c>
      <c r="B952" s="107" t="s">
        <v>318</v>
      </c>
      <c r="C952" s="107" t="s">
        <v>319</v>
      </c>
      <c r="D952" s="107" t="s">
        <v>423</v>
      </c>
      <c r="E952" s="107" t="s">
        <v>394</v>
      </c>
      <c r="F952" s="108">
        <v>13</v>
      </c>
      <c r="G952" s="109">
        <v>4</v>
      </c>
      <c r="H952" s="110">
        <f t="shared" si="29"/>
        <v>65</v>
      </c>
      <c r="I952" s="111">
        <f t="shared" si="28"/>
        <v>3.9</v>
      </c>
    </row>
    <row r="953" spans="1:9" x14ac:dyDescent="0.35">
      <c r="A953" s="106">
        <v>45760</v>
      </c>
      <c r="B953" s="107" t="s">
        <v>318</v>
      </c>
      <c r="C953" s="107" t="s">
        <v>393</v>
      </c>
      <c r="D953" s="107" t="s">
        <v>338</v>
      </c>
      <c r="E953" s="107" t="s">
        <v>343</v>
      </c>
      <c r="F953" s="108">
        <v>59</v>
      </c>
      <c r="G953" s="109">
        <v>4</v>
      </c>
      <c r="H953" s="110">
        <f t="shared" si="29"/>
        <v>354</v>
      </c>
      <c r="I953" s="111">
        <f t="shared" si="28"/>
        <v>21.24</v>
      </c>
    </row>
    <row r="954" spans="1:9" x14ac:dyDescent="0.35">
      <c r="A954" s="106">
        <v>45761</v>
      </c>
      <c r="B954" s="107" t="s">
        <v>422</v>
      </c>
      <c r="C954" s="107" t="s">
        <v>314</v>
      </c>
      <c r="D954" s="107" t="s">
        <v>423</v>
      </c>
      <c r="E954" s="107" t="s">
        <v>341</v>
      </c>
      <c r="F954" s="108">
        <v>38</v>
      </c>
      <c r="G954" s="109">
        <v>24</v>
      </c>
      <c r="H954" s="110">
        <f t="shared" si="29"/>
        <v>1026</v>
      </c>
      <c r="I954" s="111">
        <f t="shared" si="28"/>
        <v>61.559999999999995</v>
      </c>
    </row>
    <row r="955" spans="1:9" x14ac:dyDescent="0.35">
      <c r="A955" s="106">
        <v>45761</v>
      </c>
      <c r="B955" s="107" t="s">
        <v>322</v>
      </c>
      <c r="C955" s="107" t="s">
        <v>314</v>
      </c>
      <c r="D955" s="107" t="s">
        <v>315</v>
      </c>
      <c r="E955" s="107" t="s">
        <v>342</v>
      </c>
      <c r="F955" s="108">
        <v>45</v>
      </c>
      <c r="G955" s="109">
        <v>17</v>
      </c>
      <c r="H955" s="110">
        <f t="shared" si="29"/>
        <v>900</v>
      </c>
      <c r="I955" s="111">
        <f t="shared" si="28"/>
        <v>45</v>
      </c>
    </row>
    <row r="956" spans="1:9" x14ac:dyDescent="0.35">
      <c r="A956" s="106">
        <v>45761</v>
      </c>
      <c r="B956" s="107" t="s">
        <v>327</v>
      </c>
      <c r="C956" s="107" t="s">
        <v>319</v>
      </c>
      <c r="D956" s="107" t="s">
        <v>315</v>
      </c>
      <c r="E956" s="107" t="s">
        <v>340</v>
      </c>
      <c r="F956" s="108">
        <v>17</v>
      </c>
      <c r="G956" s="109">
        <v>6</v>
      </c>
      <c r="H956" s="110">
        <f t="shared" si="29"/>
        <v>119</v>
      </c>
      <c r="I956" s="111">
        <f t="shared" si="28"/>
        <v>5.95</v>
      </c>
    </row>
    <row r="957" spans="1:9" x14ac:dyDescent="0.35">
      <c r="A957" s="106">
        <v>45761</v>
      </c>
      <c r="B957" s="107" t="s">
        <v>327</v>
      </c>
      <c r="C957" s="107" t="s">
        <v>393</v>
      </c>
      <c r="D957" s="107" t="s">
        <v>320</v>
      </c>
      <c r="E957" s="107" t="s">
        <v>346</v>
      </c>
      <c r="F957" s="108">
        <v>23</v>
      </c>
      <c r="G957" s="109">
        <v>6</v>
      </c>
      <c r="H957" s="110">
        <f t="shared" si="29"/>
        <v>184</v>
      </c>
      <c r="I957" s="111">
        <f t="shared" si="28"/>
        <v>11.04</v>
      </c>
    </row>
    <row r="958" spans="1:9" x14ac:dyDescent="0.35">
      <c r="A958" s="106">
        <v>45761</v>
      </c>
      <c r="B958" s="107" t="s">
        <v>313</v>
      </c>
      <c r="C958" s="107" t="s">
        <v>393</v>
      </c>
      <c r="D958" s="107" t="s">
        <v>423</v>
      </c>
      <c r="E958" s="107" t="s">
        <v>335</v>
      </c>
      <c r="F958" s="108">
        <v>48</v>
      </c>
      <c r="G958" s="109">
        <v>13</v>
      </c>
      <c r="H958" s="110">
        <f t="shared" si="29"/>
        <v>720</v>
      </c>
      <c r="I958" s="111">
        <f t="shared" si="28"/>
        <v>43.199999999999996</v>
      </c>
    </row>
    <row r="959" spans="1:9" x14ac:dyDescent="0.35">
      <c r="A959" s="106">
        <v>45761</v>
      </c>
      <c r="B959" s="107" t="s">
        <v>422</v>
      </c>
      <c r="C959" s="107" t="s">
        <v>314</v>
      </c>
      <c r="D959" s="107" t="s">
        <v>390</v>
      </c>
      <c r="E959" s="107" t="s">
        <v>335</v>
      </c>
      <c r="F959" s="108">
        <v>32</v>
      </c>
      <c r="G959" s="109">
        <v>24</v>
      </c>
      <c r="H959" s="110">
        <f t="shared" si="29"/>
        <v>864</v>
      </c>
      <c r="I959" s="111">
        <f t="shared" si="28"/>
        <v>43.2</v>
      </c>
    </row>
    <row r="960" spans="1:9" x14ac:dyDescent="0.35">
      <c r="A960" s="106">
        <v>45762</v>
      </c>
      <c r="B960" s="107" t="s">
        <v>318</v>
      </c>
      <c r="C960" s="107" t="s">
        <v>314</v>
      </c>
      <c r="D960" s="107" t="s">
        <v>315</v>
      </c>
      <c r="E960" s="107" t="s">
        <v>394</v>
      </c>
      <c r="F960" s="108">
        <v>24</v>
      </c>
      <c r="G960" s="109">
        <v>4</v>
      </c>
      <c r="H960" s="110">
        <f t="shared" si="29"/>
        <v>168</v>
      </c>
      <c r="I960" s="111">
        <f t="shared" si="28"/>
        <v>8.4</v>
      </c>
    </row>
    <row r="961" spans="1:9" x14ac:dyDescent="0.35">
      <c r="A961" s="106">
        <v>45762</v>
      </c>
      <c r="B961" s="107" t="s">
        <v>318</v>
      </c>
      <c r="C961" s="107" t="s">
        <v>332</v>
      </c>
      <c r="D961" s="107" t="s">
        <v>390</v>
      </c>
      <c r="E961" s="107" t="s">
        <v>344</v>
      </c>
      <c r="F961" s="108">
        <v>35</v>
      </c>
      <c r="G961" s="109">
        <v>4</v>
      </c>
      <c r="H961" s="110">
        <f t="shared" si="29"/>
        <v>280</v>
      </c>
      <c r="I961" s="111">
        <f t="shared" si="28"/>
        <v>14</v>
      </c>
    </row>
    <row r="962" spans="1:9" x14ac:dyDescent="0.35">
      <c r="A962" s="106">
        <v>45762</v>
      </c>
      <c r="B962" s="107" t="s">
        <v>313</v>
      </c>
      <c r="C962" s="107" t="s">
        <v>314</v>
      </c>
      <c r="D962" s="107" t="s">
        <v>324</v>
      </c>
      <c r="E962" s="107" t="s">
        <v>344</v>
      </c>
      <c r="F962" s="108">
        <v>23</v>
      </c>
      <c r="G962" s="109">
        <v>13</v>
      </c>
      <c r="H962" s="110">
        <f t="shared" si="29"/>
        <v>368</v>
      </c>
      <c r="I962" s="111">
        <f t="shared" ref="I962:I1025" si="30">H962*VLOOKUP(D962,$O$4:$P$10,2,TRUE)</f>
        <v>18.400000000000002</v>
      </c>
    </row>
    <row r="963" spans="1:9" x14ac:dyDescent="0.35">
      <c r="A963" s="106">
        <v>45762</v>
      </c>
      <c r="B963" s="107" t="s">
        <v>322</v>
      </c>
      <c r="C963" s="107" t="s">
        <v>319</v>
      </c>
      <c r="D963" s="107" t="s">
        <v>315</v>
      </c>
      <c r="E963" s="107" t="s">
        <v>316</v>
      </c>
      <c r="F963" s="108">
        <v>35</v>
      </c>
      <c r="G963" s="109">
        <v>17</v>
      </c>
      <c r="H963" s="110">
        <f t="shared" ref="H963:H1026" si="31">(F963*G963)+VLOOKUP(C963,$K$11:$L$14,2,FALSE)*F963</f>
        <v>630</v>
      </c>
      <c r="I963" s="111">
        <f t="shared" si="30"/>
        <v>31.5</v>
      </c>
    </row>
    <row r="964" spans="1:9" x14ac:dyDescent="0.35">
      <c r="A964" s="106">
        <v>45763</v>
      </c>
      <c r="B964" s="107" t="s">
        <v>422</v>
      </c>
      <c r="C964" s="107" t="s">
        <v>393</v>
      </c>
      <c r="D964" s="107" t="s">
        <v>324</v>
      </c>
      <c r="E964" s="107" t="s">
        <v>455</v>
      </c>
      <c r="F964" s="108">
        <v>48</v>
      </c>
      <c r="G964" s="109">
        <v>24</v>
      </c>
      <c r="H964" s="110">
        <f t="shared" si="31"/>
        <v>1248</v>
      </c>
      <c r="I964" s="111">
        <f t="shared" si="30"/>
        <v>62.400000000000006</v>
      </c>
    </row>
    <row r="965" spans="1:9" x14ac:dyDescent="0.35">
      <c r="A965" s="106">
        <v>45763</v>
      </c>
      <c r="B965" s="107" t="s">
        <v>318</v>
      </c>
      <c r="C965" s="107" t="s">
        <v>314</v>
      </c>
      <c r="D965" s="107" t="s">
        <v>390</v>
      </c>
      <c r="E965" s="107" t="s">
        <v>344</v>
      </c>
      <c r="F965" s="108">
        <v>25</v>
      </c>
      <c r="G965" s="109">
        <v>4</v>
      </c>
      <c r="H965" s="110">
        <f t="shared" si="31"/>
        <v>175</v>
      </c>
      <c r="I965" s="111">
        <f t="shared" si="30"/>
        <v>8.75</v>
      </c>
    </row>
    <row r="966" spans="1:9" x14ac:dyDescent="0.35">
      <c r="A966" s="106">
        <v>45763</v>
      </c>
      <c r="B966" s="107" t="s">
        <v>422</v>
      </c>
      <c r="C966" s="107" t="s">
        <v>332</v>
      </c>
      <c r="D966" s="107" t="s">
        <v>315</v>
      </c>
      <c r="E966" s="107" t="s">
        <v>316</v>
      </c>
      <c r="F966" s="108">
        <v>49</v>
      </c>
      <c r="G966" s="109">
        <v>24</v>
      </c>
      <c r="H966" s="110">
        <f t="shared" si="31"/>
        <v>1372</v>
      </c>
      <c r="I966" s="111">
        <f t="shared" si="30"/>
        <v>68.600000000000009</v>
      </c>
    </row>
    <row r="967" spans="1:9" x14ac:dyDescent="0.35">
      <c r="A967" s="106">
        <v>45764</v>
      </c>
      <c r="B967" s="107" t="s">
        <v>313</v>
      </c>
      <c r="C967" s="107" t="s">
        <v>314</v>
      </c>
      <c r="D967" s="107" t="s">
        <v>320</v>
      </c>
      <c r="E967" s="107" t="s">
        <v>395</v>
      </c>
      <c r="F967" s="108">
        <v>10</v>
      </c>
      <c r="G967" s="109">
        <v>13</v>
      </c>
      <c r="H967" s="110">
        <f t="shared" si="31"/>
        <v>160</v>
      </c>
      <c r="I967" s="111">
        <f t="shared" si="30"/>
        <v>9.6</v>
      </c>
    </row>
    <row r="968" spans="1:9" x14ac:dyDescent="0.35">
      <c r="A968" s="106">
        <v>45764</v>
      </c>
      <c r="B968" s="107" t="s">
        <v>313</v>
      </c>
      <c r="C968" s="107" t="s">
        <v>332</v>
      </c>
      <c r="D968" s="107" t="s">
        <v>324</v>
      </c>
      <c r="E968" s="107" t="s">
        <v>347</v>
      </c>
      <c r="F968" s="108">
        <v>20</v>
      </c>
      <c r="G968" s="109">
        <v>13</v>
      </c>
      <c r="H968" s="110">
        <f t="shared" si="31"/>
        <v>340</v>
      </c>
      <c r="I968" s="111">
        <f t="shared" si="30"/>
        <v>17</v>
      </c>
    </row>
    <row r="969" spans="1:9" x14ac:dyDescent="0.35">
      <c r="A969" s="106">
        <v>45764</v>
      </c>
      <c r="B969" s="107" t="s">
        <v>318</v>
      </c>
      <c r="C969" s="107" t="s">
        <v>393</v>
      </c>
      <c r="D969" s="107" t="s">
        <v>320</v>
      </c>
      <c r="E969" s="107" t="s">
        <v>343</v>
      </c>
      <c r="F969" s="108">
        <v>28</v>
      </c>
      <c r="G969" s="109">
        <v>4</v>
      </c>
      <c r="H969" s="110">
        <f t="shared" si="31"/>
        <v>168</v>
      </c>
      <c r="I969" s="111">
        <f t="shared" si="30"/>
        <v>10.08</v>
      </c>
    </row>
    <row r="970" spans="1:9" x14ac:dyDescent="0.35">
      <c r="A970" s="106">
        <v>45764</v>
      </c>
      <c r="B970" s="107" t="s">
        <v>327</v>
      </c>
      <c r="C970" s="107" t="s">
        <v>332</v>
      </c>
      <c r="D970" s="107" t="s">
        <v>320</v>
      </c>
      <c r="E970" s="107" t="s">
        <v>350</v>
      </c>
      <c r="F970" s="108">
        <v>41</v>
      </c>
      <c r="G970" s="109">
        <v>6</v>
      </c>
      <c r="H970" s="110">
        <f t="shared" si="31"/>
        <v>410</v>
      </c>
      <c r="I970" s="111">
        <f t="shared" si="30"/>
        <v>24.599999999999998</v>
      </c>
    </row>
    <row r="971" spans="1:9" x14ac:dyDescent="0.35">
      <c r="A971" s="106">
        <v>45765</v>
      </c>
      <c r="B971" s="107" t="s">
        <v>327</v>
      </c>
      <c r="C971" s="107" t="s">
        <v>393</v>
      </c>
      <c r="D971" s="107" t="s">
        <v>423</v>
      </c>
      <c r="E971" s="107" t="s">
        <v>341</v>
      </c>
      <c r="F971" s="108">
        <v>34</v>
      </c>
      <c r="G971" s="109">
        <v>6</v>
      </c>
      <c r="H971" s="110">
        <f t="shared" si="31"/>
        <v>272</v>
      </c>
      <c r="I971" s="111">
        <f t="shared" si="30"/>
        <v>16.32</v>
      </c>
    </row>
    <row r="972" spans="1:9" x14ac:dyDescent="0.35">
      <c r="A972" s="106">
        <v>45765</v>
      </c>
      <c r="B972" s="107" t="s">
        <v>422</v>
      </c>
      <c r="C972" s="107" t="s">
        <v>332</v>
      </c>
      <c r="D972" s="107" t="s">
        <v>320</v>
      </c>
      <c r="E972" s="107" t="s">
        <v>342</v>
      </c>
      <c r="F972" s="108">
        <v>16</v>
      </c>
      <c r="G972" s="109">
        <v>24</v>
      </c>
      <c r="H972" s="110">
        <f t="shared" si="31"/>
        <v>448</v>
      </c>
      <c r="I972" s="111">
        <f t="shared" si="30"/>
        <v>26.88</v>
      </c>
    </row>
    <row r="973" spans="1:9" x14ac:dyDescent="0.35">
      <c r="A973" s="106">
        <v>45765</v>
      </c>
      <c r="B973" s="107" t="s">
        <v>422</v>
      </c>
      <c r="C973" s="107" t="s">
        <v>332</v>
      </c>
      <c r="D973" s="107" t="s">
        <v>324</v>
      </c>
      <c r="E973" s="107" t="s">
        <v>340</v>
      </c>
      <c r="F973" s="108">
        <v>14</v>
      </c>
      <c r="G973" s="109">
        <v>24</v>
      </c>
      <c r="H973" s="110">
        <f t="shared" si="31"/>
        <v>392</v>
      </c>
      <c r="I973" s="111">
        <f t="shared" si="30"/>
        <v>19.600000000000001</v>
      </c>
    </row>
    <row r="974" spans="1:9" x14ac:dyDescent="0.35">
      <c r="A974" s="106">
        <v>45765</v>
      </c>
      <c r="B974" s="107" t="s">
        <v>327</v>
      </c>
      <c r="C974" s="107" t="s">
        <v>332</v>
      </c>
      <c r="D974" s="107" t="s">
        <v>324</v>
      </c>
      <c r="E974" s="107" t="s">
        <v>340</v>
      </c>
      <c r="F974" s="108">
        <v>9</v>
      </c>
      <c r="G974" s="109">
        <v>6</v>
      </c>
      <c r="H974" s="110">
        <f t="shared" si="31"/>
        <v>90</v>
      </c>
      <c r="I974" s="111">
        <f t="shared" si="30"/>
        <v>4.5</v>
      </c>
    </row>
    <row r="975" spans="1:9" x14ac:dyDescent="0.35">
      <c r="A975" s="106">
        <v>45765</v>
      </c>
      <c r="B975" s="107" t="s">
        <v>327</v>
      </c>
      <c r="C975" s="107" t="s">
        <v>314</v>
      </c>
      <c r="D975" s="107" t="s">
        <v>324</v>
      </c>
      <c r="E975" s="107" t="s">
        <v>454</v>
      </c>
      <c r="F975" s="108">
        <v>36</v>
      </c>
      <c r="G975" s="109">
        <v>6</v>
      </c>
      <c r="H975" s="110">
        <f t="shared" si="31"/>
        <v>324</v>
      </c>
      <c r="I975" s="111">
        <f t="shared" si="30"/>
        <v>16.2</v>
      </c>
    </row>
    <row r="976" spans="1:9" x14ac:dyDescent="0.35">
      <c r="A976" s="106">
        <v>45766</v>
      </c>
      <c r="B976" s="107" t="s">
        <v>313</v>
      </c>
      <c r="C976" s="107" t="s">
        <v>319</v>
      </c>
      <c r="D976" s="107" t="s">
        <v>423</v>
      </c>
      <c r="E976" s="107" t="s">
        <v>341</v>
      </c>
      <c r="F976" s="108">
        <v>54</v>
      </c>
      <c r="G976" s="109">
        <v>13</v>
      </c>
      <c r="H976" s="110">
        <f t="shared" si="31"/>
        <v>756</v>
      </c>
      <c r="I976" s="111">
        <f t="shared" si="30"/>
        <v>45.36</v>
      </c>
    </row>
    <row r="977" spans="1:9" x14ac:dyDescent="0.35">
      <c r="A977" s="106">
        <v>45766</v>
      </c>
      <c r="B977" s="107" t="s">
        <v>322</v>
      </c>
      <c r="C977" s="107" t="s">
        <v>332</v>
      </c>
      <c r="D977" s="107" t="s">
        <v>333</v>
      </c>
      <c r="E977" s="107" t="s">
        <v>345</v>
      </c>
      <c r="F977" s="108">
        <v>23</v>
      </c>
      <c r="G977" s="109">
        <v>17</v>
      </c>
      <c r="H977" s="110">
        <f t="shared" si="31"/>
        <v>483</v>
      </c>
      <c r="I977" s="111">
        <f t="shared" si="30"/>
        <v>24.150000000000002</v>
      </c>
    </row>
    <row r="978" spans="1:9" x14ac:dyDescent="0.35">
      <c r="A978" s="106">
        <v>45766</v>
      </c>
      <c r="B978" s="107" t="s">
        <v>313</v>
      </c>
      <c r="C978" s="107" t="s">
        <v>393</v>
      </c>
      <c r="D978" s="107" t="s">
        <v>315</v>
      </c>
      <c r="E978" s="107" t="s">
        <v>346</v>
      </c>
      <c r="F978" s="108">
        <v>51</v>
      </c>
      <c r="G978" s="109">
        <v>13</v>
      </c>
      <c r="H978" s="110">
        <f t="shared" si="31"/>
        <v>765</v>
      </c>
      <c r="I978" s="111">
        <f t="shared" si="30"/>
        <v>38.25</v>
      </c>
    </row>
    <row r="979" spans="1:9" x14ac:dyDescent="0.35">
      <c r="A979" s="106">
        <v>45766</v>
      </c>
      <c r="B979" s="107" t="s">
        <v>422</v>
      </c>
      <c r="C979" s="107" t="s">
        <v>314</v>
      </c>
      <c r="D979" s="107" t="s">
        <v>333</v>
      </c>
      <c r="E979" s="107" t="s">
        <v>331</v>
      </c>
      <c r="F979" s="108">
        <v>64</v>
      </c>
      <c r="G979" s="109">
        <v>24</v>
      </c>
      <c r="H979" s="110">
        <f t="shared" si="31"/>
        <v>1728</v>
      </c>
      <c r="I979" s="111">
        <f t="shared" si="30"/>
        <v>86.4</v>
      </c>
    </row>
    <row r="980" spans="1:9" x14ac:dyDescent="0.35">
      <c r="A980" s="106">
        <v>45766</v>
      </c>
      <c r="B980" s="107" t="s">
        <v>322</v>
      </c>
      <c r="C980" s="107" t="s">
        <v>314</v>
      </c>
      <c r="D980" s="107" t="s">
        <v>333</v>
      </c>
      <c r="E980" s="107" t="s">
        <v>394</v>
      </c>
      <c r="F980" s="108">
        <v>14</v>
      </c>
      <c r="G980" s="109">
        <v>17</v>
      </c>
      <c r="H980" s="110">
        <f t="shared" si="31"/>
        <v>280</v>
      </c>
      <c r="I980" s="111">
        <f t="shared" si="30"/>
        <v>14</v>
      </c>
    </row>
    <row r="981" spans="1:9" x14ac:dyDescent="0.35">
      <c r="A981" s="106">
        <v>45767</v>
      </c>
      <c r="B981" s="107" t="s">
        <v>322</v>
      </c>
      <c r="C981" s="107" t="s">
        <v>393</v>
      </c>
      <c r="D981" s="107" t="s">
        <v>320</v>
      </c>
      <c r="E981" s="107" t="s">
        <v>339</v>
      </c>
      <c r="F981" s="108">
        <v>61</v>
      </c>
      <c r="G981" s="109">
        <v>17</v>
      </c>
      <c r="H981" s="110">
        <f t="shared" si="31"/>
        <v>1159</v>
      </c>
      <c r="I981" s="111">
        <f t="shared" si="30"/>
        <v>69.539999999999992</v>
      </c>
    </row>
    <row r="982" spans="1:9" x14ac:dyDescent="0.35">
      <c r="A982" s="106">
        <v>45769</v>
      </c>
      <c r="B982" s="107" t="s">
        <v>322</v>
      </c>
      <c r="C982" s="107" t="s">
        <v>319</v>
      </c>
      <c r="D982" s="107" t="s">
        <v>315</v>
      </c>
      <c r="E982" s="107" t="s">
        <v>342</v>
      </c>
      <c r="F982" s="108">
        <v>49</v>
      </c>
      <c r="G982" s="109">
        <v>17</v>
      </c>
      <c r="H982" s="110">
        <f t="shared" si="31"/>
        <v>882</v>
      </c>
      <c r="I982" s="111">
        <f t="shared" si="30"/>
        <v>44.1</v>
      </c>
    </row>
    <row r="983" spans="1:9" x14ac:dyDescent="0.35">
      <c r="A983" s="106">
        <v>45771</v>
      </c>
      <c r="B983" s="107" t="s">
        <v>322</v>
      </c>
      <c r="C983" s="107" t="s">
        <v>393</v>
      </c>
      <c r="D983" s="107" t="s">
        <v>320</v>
      </c>
      <c r="E983" s="107" t="s">
        <v>455</v>
      </c>
      <c r="F983" s="108">
        <v>64</v>
      </c>
      <c r="G983" s="109">
        <v>17</v>
      </c>
      <c r="H983" s="110">
        <f t="shared" si="31"/>
        <v>1216</v>
      </c>
      <c r="I983" s="111">
        <f t="shared" si="30"/>
        <v>72.959999999999994</v>
      </c>
    </row>
    <row r="984" spans="1:9" x14ac:dyDescent="0.35">
      <c r="A984" s="106">
        <v>45771</v>
      </c>
      <c r="B984" s="107" t="s">
        <v>327</v>
      </c>
      <c r="C984" s="107" t="s">
        <v>319</v>
      </c>
      <c r="D984" s="107" t="s">
        <v>333</v>
      </c>
      <c r="E984" s="107" t="s">
        <v>337</v>
      </c>
      <c r="F984" s="108">
        <v>31</v>
      </c>
      <c r="G984" s="109">
        <v>6</v>
      </c>
      <c r="H984" s="110">
        <f t="shared" si="31"/>
        <v>217</v>
      </c>
      <c r="I984" s="111">
        <f t="shared" si="30"/>
        <v>10.850000000000001</v>
      </c>
    </row>
    <row r="985" spans="1:9" x14ac:dyDescent="0.35">
      <c r="A985" s="106">
        <v>45771</v>
      </c>
      <c r="B985" s="107" t="s">
        <v>322</v>
      </c>
      <c r="C985" s="107" t="s">
        <v>393</v>
      </c>
      <c r="D985" s="107" t="s">
        <v>320</v>
      </c>
      <c r="E985" s="107" t="s">
        <v>394</v>
      </c>
      <c r="F985" s="108">
        <v>24</v>
      </c>
      <c r="G985" s="109">
        <v>17</v>
      </c>
      <c r="H985" s="110">
        <f t="shared" si="31"/>
        <v>456</v>
      </c>
      <c r="I985" s="111">
        <f t="shared" si="30"/>
        <v>27.36</v>
      </c>
    </row>
    <row r="986" spans="1:9" x14ac:dyDescent="0.35">
      <c r="A986" s="106">
        <v>45771</v>
      </c>
      <c r="B986" s="107" t="s">
        <v>327</v>
      </c>
      <c r="C986" s="107" t="s">
        <v>319</v>
      </c>
      <c r="D986" s="107" t="s">
        <v>338</v>
      </c>
      <c r="E986" s="107" t="s">
        <v>405</v>
      </c>
      <c r="F986" s="108">
        <v>18</v>
      </c>
      <c r="G986" s="109">
        <v>6</v>
      </c>
      <c r="H986" s="110">
        <f t="shared" si="31"/>
        <v>126</v>
      </c>
      <c r="I986" s="111">
        <f t="shared" si="30"/>
        <v>7.56</v>
      </c>
    </row>
    <row r="987" spans="1:9" x14ac:dyDescent="0.35">
      <c r="A987" s="106">
        <v>45771</v>
      </c>
      <c r="B987" s="107" t="s">
        <v>327</v>
      </c>
      <c r="C987" s="107" t="s">
        <v>314</v>
      </c>
      <c r="D987" s="107" t="s">
        <v>390</v>
      </c>
      <c r="E987" s="107" t="s">
        <v>405</v>
      </c>
      <c r="F987" s="108">
        <v>59</v>
      </c>
      <c r="G987" s="109">
        <v>6</v>
      </c>
      <c r="H987" s="110">
        <f t="shared" si="31"/>
        <v>531</v>
      </c>
      <c r="I987" s="111">
        <f t="shared" si="30"/>
        <v>26.55</v>
      </c>
    </row>
    <row r="988" spans="1:9" x14ac:dyDescent="0.35">
      <c r="A988" s="106">
        <v>45772</v>
      </c>
      <c r="B988" s="107" t="s">
        <v>327</v>
      </c>
      <c r="C988" s="107" t="s">
        <v>332</v>
      </c>
      <c r="D988" s="107" t="s">
        <v>390</v>
      </c>
      <c r="E988" s="107" t="s">
        <v>345</v>
      </c>
      <c r="F988" s="108">
        <v>62</v>
      </c>
      <c r="G988" s="109">
        <v>6</v>
      </c>
      <c r="H988" s="110">
        <f t="shared" si="31"/>
        <v>620</v>
      </c>
      <c r="I988" s="111">
        <f t="shared" si="30"/>
        <v>31</v>
      </c>
    </row>
    <row r="989" spans="1:9" x14ac:dyDescent="0.35">
      <c r="A989" s="106">
        <v>45773</v>
      </c>
      <c r="B989" s="107" t="s">
        <v>318</v>
      </c>
      <c r="C989" s="107" t="s">
        <v>332</v>
      </c>
      <c r="D989" s="107" t="s">
        <v>320</v>
      </c>
      <c r="E989" s="107" t="s">
        <v>340</v>
      </c>
      <c r="F989" s="108">
        <v>61</v>
      </c>
      <c r="G989" s="109">
        <v>4</v>
      </c>
      <c r="H989" s="110">
        <f t="shared" si="31"/>
        <v>488</v>
      </c>
      <c r="I989" s="111">
        <f t="shared" si="30"/>
        <v>29.279999999999998</v>
      </c>
    </row>
    <row r="990" spans="1:9" x14ac:dyDescent="0.35">
      <c r="A990" s="106">
        <v>45773</v>
      </c>
      <c r="B990" s="107" t="s">
        <v>422</v>
      </c>
      <c r="C990" s="107" t="s">
        <v>332</v>
      </c>
      <c r="D990" s="107" t="s">
        <v>333</v>
      </c>
      <c r="E990" s="107" t="s">
        <v>346</v>
      </c>
      <c r="F990" s="108">
        <v>49</v>
      </c>
      <c r="G990" s="109">
        <v>24</v>
      </c>
      <c r="H990" s="110">
        <f t="shared" si="31"/>
        <v>1372</v>
      </c>
      <c r="I990" s="111">
        <f t="shared" si="30"/>
        <v>68.600000000000009</v>
      </c>
    </row>
    <row r="991" spans="1:9" x14ac:dyDescent="0.35">
      <c r="A991" s="106">
        <v>45773</v>
      </c>
      <c r="B991" s="107" t="s">
        <v>322</v>
      </c>
      <c r="C991" s="107" t="s">
        <v>314</v>
      </c>
      <c r="D991" s="107" t="s">
        <v>423</v>
      </c>
      <c r="E991" s="107" t="s">
        <v>416</v>
      </c>
      <c r="F991" s="108">
        <v>18</v>
      </c>
      <c r="G991" s="109">
        <v>17</v>
      </c>
      <c r="H991" s="110">
        <f t="shared" si="31"/>
        <v>360</v>
      </c>
      <c r="I991" s="111">
        <f t="shared" si="30"/>
        <v>21.599999999999998</v>
      </c>
    </row>
    <row r="992" spans="1:9" x14ac:dyDescent="0.35">
      <c r="A992" s="106">
        <v>45773</v>
      </c>
      <c r="B992" s="107" t="s">
        <v>422</v>
      </c>
      <c r="C992" s="107" t="s">
        <v>393</v>
      </c>
      <c r="D992" s="107" t="s">
        <v>324</v>
      </c>
      <c r="E992" s="107" t="s">
        <v>416</v>
      </c>
      <c r="F992" s="108">
        <v>61</v>
      </c>
      <c r="G992" s="109">
        <v>24</v>
      </c>
      <c r="H992" s="110">
        <f t="shared" si="31"/>
        <v>1586</v>
      </c>
      <c r="I992" s="111">
        <f t="shared" si="30"/>
        <v>79.300000000000011</v>
      </c>
    </row>
    <row r="993" spans="1:9" x14ac:dyDescent="0.35">
      <c r="A993" s="106">
        <v>45773</v>
      </c>
      <c r="B993" s="107" t="s">
        <v>327</v>
      </c>
      <c r="C993" s="107" t="s">
        <v>319</v>
      </c>
      <c r="D993" s="107" t="s">
        <v>324</v>
      </c>
      <c r="E993" s="107" t="s">
        <v>405</v>
      </c>
      <c r="F993" s="108">
        <v>41</v>
      </c>
      <c r="G993" s="109">
        <v>6</v>
      </c>
      <c r="H993" s="110">
        <f t="shared" si="31"/>
        <v>287</v>
      </c>
      <c r="I993" s="111">
        <f t="shared" si="30"/>
        <v>14.350000000000001</v>
      </c>
    </row>
    <row r="994" spans="1:9" x14ac:dyDescent="0.35">
      <c r="A994" s="106">
        <v>45774</v>
      </c>
      <c r="B994" s="107" t="s">
        <v>313</v>
      </c>
      <c r="C994" s="107" t="s">
        <v>332</v>
      </c>
      <c r="D994" s="107" t="s">
        <v>324</v>
      </c>
      <c r="E994" s="107" t="s">
        <v>341</v>
      </c>
      <c r="F994" s="108">
        <v>27</v>
      </c>
      <c r="G994" s="109">
        <v>13</v>
      </c>
      <c r="H994" s="110">
        <f t="shared" si="31"/>
        <v>459</v>
      </c>
      <c r="I994" s="111">
        <f t="shared" si="30"/>
        <v>22.950000000000003</v>
      </c>
    </row>
    <row r="995" spans="1:9" x14ac:dyDescent="0.35">
      <c r="A995" s="106">
        <v>45774</v>
      </c>
      <c r="B995" s="107" t="s">
        <v>422</v>
      </c>
      <c r="C995" s="107" t="s">
        <v>319</v>
      </c>
      <c r="D995" s="107" t="s">
        <v>423</v>
      </c>
      <c r="E995" s="107" t="s">
        <v>400</v>
      </c>
      <c r="F995" s="108">
        <v>36</v>
      </c>
      <c r="G995" s="109">
        <v>24</v>
      </c>
      <c r="H995" s="110">
        <f t="shared" si="31"/>
        <v>900</v>
      </c>
      <c r="I995" s="111">
        <f t="shared" si="30"/>
        <v>54</v>
      </c>
    </row>
    <row r="996" spans="1:9" x14ac:dyDescent="0.35">
      <c r="A996" s="106">
        <v>45774</v>
      </c>
      <c r="B996" s="107" t="s">
        <v>318</v>
      </c>
      <c r="C996" s="107" t="s">
        <v>393</v>
      </c>
      <c r="D996" s="107" t="s">
        <v>324</v>
      </c>
      <c r="E996" s="107" t="s">
        <v>344</v>
      </c>
      <c r="F996" s="108">
        <v>23</v>
      </c>
      <c r="G996" s="109">
        <v>4</v>
      </c>
      <c r="H996" s="110">
        <f t="shared" si="31"/>
        <v>138</v>
      </c>
      <c r="I996" s="111">
        <f t="shared" si="30"/>
        <v>6.9</v>
      </c>
    </row>
    <row r="997" spans="1:9" x14ac:dyDescent="0.35">
      <c r="A997" s="106">
        <v>45774</v>
      </c>
      <c r="B997" s="107" t="s">
        <v>313</v>
      </c>
      <c r="C997" s="107" t="s">
        <v>393</v>
      </c>
      <c r="D997" s="107" t="s">
        <v>333</v>
      </c>
      <c r="E997" s="107" t="s">
        <v>316</v>
      </c>
      <c r="F997" s="108">
        <v>27</v>
      </c>
      <c r="G997" s="109">
        <v>13</v>
      </c>
      <c r="H997" s="110">
        <f t="shared" si="31"/>
        <v>405</v>
      </c>
      <c r="I997" s="111">
        <f t="shared" si="30"/>
        <v>20.25</v>
      </c>
    </row>
    <row r="998" spans="1:9" x14ac:dyDescent="0.35">
      <c r="A998" s="106">
        <v>45775</v>
      </c>
      <c r="B998" s="107" t="s">
        <v>313</v>
      </c>
      <c r="C998" s="107" t="s">
        <v>314</v>
      </c>
      <c r="D998" s="107" t="s">
        <v>320</v>
      </c>
      <c r="E998" s="107" t="s">
        <v>349</v>
      </c>
      <c r="F998" s="108">
        <v>15</v>
      </c>
      <c r="G998" s="109">
        <v>13</v>
      </c>
      <c r="H998" s="110">
        <f t="shared" si="31"/>
        <v>240</v>
      </c>
      <c r="I998" s="111">
        <f t="shared" si="30"/>
        <v>14.399999999999999</v>
      </c>
    </row>
    <row r="999" spans="1:9" x14ac:dyDescent="0.35">
      <c r="A999" s="106">
        <v>45775</v>
      </c>
      <c r="B999" s="107" t="s">
        <v>422</v>
      </c>
      <c r="C999" s="107" t="s">
        <v>332</v>
      </c>
      <c r="D999" s="107" t="s">
        <v>423</v>
      </c>
      <c r="E999" s="107" t="s">
        <v>346</v>
      </c>
      <c r="F999" s="108">
        <v>48</v>
      </c>
      <c r="G999" s="109">
        <v>24</v>
      </c>
      <c r="H999" s="110">
        <f t="shared" si="31"/>
        <v>1344</v>
      </c>
      <c r="I999" s="111">
        <f t="shared" si="30"/>
        <v>80.64</v>
      </c>
    </row>
    <row r="1000" spans="1:9" x14ac:dyDescent="0.35">
      <c r="A1000" s="106">
        <v>45775</v>
      </c>
      <c r="B1000" s="107" t="s">
        <v>327</v>
      </c>
      <c r="C1000" s="107" t="s">
        <v>314</v>
      </c>
      <c r="D1000" s="107" t="s">
        <v>390</v>
      </c>
      <c r="E1000" s="107" t="s">
        <v>416</v>
      </c>
      <c r="F1000" s="108">
        <v>49</v>
      </c>
      <c r="G1000" s="109">
        <v>6</v>
      </c>
      <c r="H1000" s="110">
        <f t="shared" si="31"/>
        <v>441</v>
      </c>
      <c r="I1000" s="111">
        <f t="shared" si="30"/>
        <v>22.05</v>
      </c>
    </row>
    <row r="1001" spans="1:9" x14ac:dyDescent="0.35">
      <c r="A1001" s="106">
        <v>45775</v>
      </c>
      <c r="B1001" s="107" t="s">
        <v>322</v>
      </c>
      <c r="C1001" s="107" t="s">
        <v>314</v>
      </c>
      <c r="D1001" s="107" t="s">
        <v>324</v>
      </c>
      <c r="E1001" s="107" t="s">
        <v>335</v>
      </c>
      <c r="F1001" s="108">
        <v>23</v>
      </c>
      <c r="G1001" s="109">
        <v>17</v>
      </c>
      <c r="H1001" s="110">
        <f t="shared" si="31"/>
        <v>460</v>
      </c>
      <c r="I1001" s="111">
        <f t="shared" si="30"/>
        <v>23</v>
      </c>
    </row>
    <row r="1002" spans="1:9" x14ac:dyDescent="0.35">
      <c r="A1002" s="106">
        <v>45776</v>
      </c>
      <c r="B1002" s="107" t="s">
        <v>322</v>
      </c>
      <c r="C1002" s="107" t="s">
        <v>332</v>
      </c>
      <c r="D1002" s="107" t="s">
        <v>423</v>
      </c>
      <c r="E1002" s="107" t="s">
        <v>388</v>
      </c>
      <c r="F1002" s="108">
        <v>15</v>
      </c>
      <c r="G1002" s="109">
        <v>17</v>
      </c>
      <c r="H1002" s="110">
        <f t="shared" si="31"/>
        <v>315</v>
      </c>
      <c r="I1002" s="111">
        <f t="shared" si="30"/>
        <v>18.899999999999999</v>
      </c>
    </row>
    <row r="1003" spans="1:9" x14ac:dyDescent="0.35">
      <c r="A1003" s="106">
        <v>45777</v>
      </c>
      <c r="B1003" s="107" t="s">
        <v>422</v>
      </c>
      <c r="C1003" s="107" t="s">
        <v>314</v>
      </c>
      <c r="D1003" s="107" t="s">
        <v>315</v>
      </c>
      <c r="E1003" s="107" t="s">
        <v>405</v>
      </c>
      <c r="F1003" s="108">
        <v>60</v>
      </c>
      <c r="G1003" s="109">
        <v>24</v>
      </c>
      <c r="H1003" s="110">
        <f t="shared" si="31"/>
        <v>1620</v>
      </c>
      <c r="I1003" s="111">
        <f t="shared" si="30"/>
        <v>81</v>
      </c>
    </row>
    <row r="1004" spans="1:9" x14ac:dyDescent="0.35">
      <c r="A1004" s="106">
        <v>45778</v>
      </c>
      <c r="B1004" s="107" t="s">
        <v>322</v>
      </c>
      <c r="C1004" s="107" t="s">
        <v>393</v>
      </c>
      <c r="D1004" s="107" t="s">
        <v>324</v>
      </c>
      <c r="E1004" s="107" t="s">
        <v>348</v>
      </c>
      <c r="F1004" s="108">
        <v>58</v>
      </c>
      <c r="G1004" s="109">
        <v>17</v>
      </c>
      <c r="H1004" s="110">
        <f t="shared" si="31"/>
        <v>1102</v>
      </c>
      <c r="I1004" s="111">
        <f t="shared" si="30"/>
        <v>55.1</v>
      </c>
    </row>
    <row r="1005" spans="1:9" x14ac:dyDescent="0.35">
      <c r="A1005" s="106">
        <v>45778</v>
      </c>
      <c r="B1005" s="107" t="s">
        <v>318</v>
      </c>
      <c r="C1005" s="107" t="s">
        <v>319</v>
      </c>
      <c r="D1005" s="107" t="s">
        <v>324</v>
      </c>
      <c r="E1005" s="107" t="s">
        <v>349</v>
      </c>
      <c r="F1005" s="108">
        <v>32</v>
      </c>
      <c r="G1005" s="109">
        <v>4</v>
      </c>
      <c r="H1005" s="110">
        <f t="shared" si="31"/>
        <v>160</v>
      </c>
      <c r="I1005" s="111">
        <f t="shared" si="30"/>
        <v>8</v>
      </c>
    </row>
    <row r="1006" spans="1:9" x14ac:dyDescent="0.35">
      <c r="A1006" s="106">
        <v>45778</v>
      </c>
      <c r="B1006" s="107" t="s">
        <v>322</v>
      </c>
      <c r="C1006" s="107" t="s">
        <v>319</v>
      </c>
      <c r="D1006" s="107" t="s">
        <v>315</v>
      </c>
      <c r="E1006" s="107" t="s">
        <v>329</v>
      </c>
      <c r="F1006" s="108">
        <v>18</v>
      </c>
      <c r="G1006" s="109">
        <v>17</v>
      </c>
      <c r="H1006" s="110">
        <f t="shared" si="31"/>
        <v>324</v>
      </c>
      <c r="I1006" s="111">
        <f t="shared" si="30"/>
        <v>16.2</v>
      </c>
    </row>
    <row r="1007" spans="1:9" x14ac:dyDescent="0.35">
      <c r="A1007" s="106">
        <v>45779</v>
      </c>
      <c r="B1007" s="107" t="s">
        <v>322</v>
      </c>
      <c r="C1007" s="107" t="s">
        <v>393</v>
      </c>
      <c r="D1007" s="107" t="s">
        <v>333</v>
      </c>
      <c r="E1007" s="107" t="s">
        <v>455</v>
      </c>
      <c r="F1007" s="108">
        <v>47</v>
      </c>
      <c r="G1007" s="109">
        <v>17</v>
      </c>
      <c r="H1007" s="110">
        <f t="shared" si="31"/>
        <v>893</v>
      </c>
      <c r="I1007" s="111">
        <f t="shared" si="30"/>
        <v>44.650000000000006</v>
      </c>
    </row>
    <row r="1008" spans="1:9" x14ac:dyDescent="0.35">
      <c r="A1008" s="106">
        <v>45779</v>
      </c>
      <c r="B1008" s="107" t="s">
        <v>327</v>
      </c>
      <c r="C1008" s="107" t="s">
        <v>393</v>
      </c>
      <c r="D1008" s="107" t="s">
        <v>315</v>
      </c>
      <c r="E1008" s="107" t="s">
        <v>340</v>
      </c>
      <c r="F1008" s="108">
        <v>37</v>
      </c>
      <c r="G1008" s="109">
        <v>6</v>
      </c>
      <c r="H1008" s="110">
        <f t="shared" si="31"/>
        <v>296</v>
      </c>
      <c r="I1008" s="111">
        <f t="shared" si="30"/>
        <v>14.8</v>
      </c>
    </row>
    <row r="1009" spans="1:9" x14ac:dyDescent="0.35">
      <c r="A1009" s="106">
        <v>45779</v>
      </c>
      <c r="B1009" s="107" t="s">
        <v>327</v>
      </c>
      <c r="C1009" s="107" t="s">
        <v>393</v>
      </c>
      <c r="D1009" s="107" t="s">
        <v>423</v>
      </c>
      <c r="E1009" s="107" t="s">
        <v>343</v>
      </c>
      <c r="F1009" s="108">
        <v>29</v>
      </c>
      <c r="G1009" s="109">
        <v>6</v>
      </c>
      <c r="H1009" s="110">
        <f t="shared" si="31"/>
        <v>232</v>
      </c>
      <c r="I1009" s="111">
        <f t="shared" si="30"/>
        <v>13.92</v>
      </c>
    </row>
    <row r="1010" spans="1:9" x14ac:dyDescent="0.35">
      <c r="A1010" s="106">
        <v>45780</v>
      </c>
      <c r="B1010" s="107" t="s">
        <v>322</v>
      </c>
      <c r="C1010" s="107" t="s">
        <v>332</v>
      </c>
      <c r="D1010" s="107" t="s">
        <v>333</v>
      </c>
      <c r="E1010" s="107" t="s">
        <v>329</v>
      </c>
      <c r="F1010" s="108">
        <v>52</v>
      </c>
      <c r="G1010" s="109">
        <v>17</v>
      </c>
      <c r="H1010" s="110">
        <f t="shared" si="31"/>
        <v>1092</v>
      </c>
      <c r="I1010" s="111">
        <f t="shared" si="30"/>
        <v>54.6</v>
      </c>
    </row>
    <row r="1011" spans="1:9" x14ac:dyDescent="0.35">
      <c r="A1011" s="106">
        <v>45780</v>
      </c>
      <c r="B1011" s="107" t="s">
        <v>313</v>
      </c>
      <c r="C1011" s="107" t="s">
        <v>393</v>
      </c>
      <c r="D1011" s="107" t="s">
        <v>423</v>
      </c>
      <c r="E1011" s="107" t="s">
        <v>394</v>
      </c>
      <c r="F1011" s="108">
        <v>18</v>
      </c>
      <c r="G1011" s="109">
        <v>13</v>
      </c>
      <c r="H1011" s="110">
        <f t="shared" si="31"/>
        <v>270</v>
      </c>
      <c r="I1011" s="111">
        <f t="shared" si="30"/>
        <v>16.2</v>
      </c>
    </row>
    <row r="1012" spans="1:9" x14ac:dyDescent="0.35">
      <c r="A1012" s="106">
        <v>45780</v>
      </c>
      <c r="B1012" s="107" t="s">
        <v>318</v>
      </c>
      <c r="C1012" s="107" t="s">
        <v>319</v>
      </c>
      <c r="D1012" s="107" t="s">
        <v>423</v>
      </c>
      <c r="E1012" s="107" t="s">
        <v>316</v>
      </c>
      <c r="F1012" s="108">
        <v>56</v>
      </c>
      <c r="G1012" s="109">
        <v>4</v>
      </c>
      <c r="H1012" s="110">
        <f t="shared" si="31"/>
        <v>280</v>
      </c>
      <c r="I1012" s="111">
        <f t="shared" si="30"/>
        <v>16.8</v>
      </c>
    </row>
    <row r="1013" spans="1:9" x14ac:dyDescent="0.35">
      <c r="A1013" s="106">
        <v>45781</v>
      </c>
      <c r="B1013" s="107" t="s">
        <v>313</v>
      </c>
      <c r="C1013" s="107" t="s">
        <v>393</v>
      </c>
      <c r="D1013" s="107" t="s">
        <v>320</v>
      </c>
      <c r="E1013" s="107" t="s">
        <v>342</v>
      </c>
      <c r="F1013" s="108">
        <v>25</v>
      </c>
      <c r="G1013" s="109">
        <v>13</v>
      </c>
      <c r="H1013" s="110">
        <f t="shared" si="31"/>
        <v>375</v>
      </c>
      <c r="I1013" s="111">
        <f t="shared" si="30"/>
        <v>22.5</v>
      </c>
    </row>
    <row r="1014" spans="1:9" x14ac:dyDescent="0.35">
      <c r="A1014" s="106">
        <v>45781</v>
      </c>
      <c r="B1014" s="107" t="s">
        <v>327</v>
      </c>
      <c r="C1014" s="107" t="s">
        <v>314</v>
      </c>
      <c r="D1014" s="107" t="s">
        <v>315</v>
      </c>
      <c r="E1014" s="107" t="s">
        <v>454</v>
      </c>
      <c r="F1014" s="108">
        <v>29</v>
      </c>
      <c r="G1014" s="109">
        <v>6</v>
      </c>
      <c r="H1014" s="110">
        <f t="shared" si="31"/>
        <v>261</v>
      </c>
      <c r="I1014" s="111">
        <f t="shared" si="30"/>
        <v>13.05</v>
      </c>
    </row>
    <row r="1015" spans="1:9" x14ac:dyDescent="0.35">
      <c r="A1015" s="106">
        <v>45781</v>
      </c>
      <c r="B1015" s="107" t="s">
        <v>313</v>
      </c>
      <c r="C1015" s="107" t="s">
        <v>319</v>
      </c>
      <c r="D1015" s="107" t="s">
        <v>324</v>
      </c>
      <c r="E1015" s="107" t="s">
        <v>346</v>
      </c>
      <c r="F1015" s="108">
        <v>45</v>
      </c>
      <c r="G1015" s="109">
        <v>13</v>
      </c>
      <c r="H1015" s="110">
        <f t="shared" si="31"/>
        <v>630</v>
      </c>
      <c r="I1015" s="111">
        <f t="shared" si="30"/>
        <v>31.5</v>
      </c>
    </row>
    <row r="1016" spans="1:9" x14ac:dyDescent="0.35">
      <c r="A1016" s="106">
        <v>45782</v>
      </c>
      <c r="B1016" s="107" t="s">
        <v>422</v>
      </c>
      <c r="C1016" s="107" t="s">
        <v>393</v>
      </c>
      <c r="D1016" s="107" t="s">
        <v>423</v>
      </c>
      <c r="E1016" s="107" t="s">
        <v>341</v>
      </c>
      <c r="F1016" s="108">
        <v>58</v>
      </c>
      <c r="G1016" s="109">
        <v>24</v>
      </c>
      <c r="H1016" s="110">
        <f t="shared" si="31"/>
        <v>1508</v>
      </c>
      <c r="I1016" s="111">
        <f t="shared" si="30"/>
        <v>90.47999999999999</v>
      </c>
    </row>
    <row r="1017" spans="1:9" x14ac:dyDescent="0.35">
      <c r="A1017" s="106">
        <v>45782</v>
      </c>
      <c r="B1017" s="107" t="s">
        <v>327</v>
      </c>
      <c r="C1017" s="107" t="s">
        <v>332</v>
      </c>
      <c r="D1017" s="107" t="s">
        <v>324</v>
      </c>
      <c r="E1017" s="107" t="s">
        <v>340</v>
      </c>
      <c r="F1017" s="108">
        <v>52</v>
      </c>
      <c r="G1017" s="109">
        <v>6</v>
      </c>
      <c r="H1017" s="110">
        <f t="shared" si="31"/>
        <v>520</v>
      </c>
      <c r="I1017" s="111">
        <f t="shared" si="30"/>
        <v>26</v>
      </c>
    </row>
    <row r="1018" spans="1:9" x14ac:dyDescent="0.35">
      <c r="A1018" s="106">
        <v>45782</v>
      </c>
      <c r="B1018" s="107" t="s">
        <v>318</v>
      </c>
      <c r="C1018" s="107" t="s">
        <v>393</v>
      </c>
      <c r="D1018" s="107" t="s">
        <v>333</v>
      </c>
      <c r="E1018" s="107" t="s">
        <v>395</v>
      </c>
      <c r="F1018" s="108">
        <v>65</v>
      </c>
      <c r="G1018" s="109">
        <v>4</v>
      </c>
      <c r="H1018" s="110">
        <f t="shared" si="31"/>
        <v>390</v>
      </c>
      <c r="I1018" s="111">
        <f t="shared" si="30"/>
        <v>19.5</v>
      </c>
    </row>
    <row r="1019" spans="1:9" x14ac:dyDescent="0.35">
      <c r="A1019" s="106">
        <v>45782</v>
      </c>
      <c r="B1019" s="107" t="s">
        <v>422</v>
      </c>
      <c r="C1019" s="107" t="s">
        <v>332</v>
      </c>
      <c r="D1019" s="107" t="s">
        <v>324</v>
      </c>
      <c r="E1019" s="107" t="s">
        <v>339</v>
      </c>
      <c r="F1019" s="108">
        <v>39</v>
      </c>
      <c r="G1019" s="109">
        <v>24</v>
      </c>
      <c r="H1019" s="110">
        <f t="shared" si="31"/>
        <v>1092</v>
      </c>
      <c r="I1019" s="111">
        <f t="shared" si="30"/>
        <v>54.6</v>
      </c>
    </row>
    <row r="1020" spans="1:9" x14ac:dyDescent="0.35">
      <c r="A1020" s="106">
        <v>45782</v>
      </c>
      <c r="B1020" s="107" t="s">
        <v>422</v>
      </c>
      <c r="C1020" s="107" t="s">
        <v>314</v>
      </c>
      <c r="D1020" s="107" t="s">
        <v>315</v>
      </c>
      <c r="E1020" s="107" t="s">
        <v>454</v>
      </c>
      <c r="F1020" s="108">
        <v>31</v>
      </c>
      <c r="G1020" s="109">
        <v>24</v>
      </c>
      <c r="H1020" s="110">
        <f t="shared" si="31"/>
        <v>837</v>
      </c>
      <c r="I1020" s="111">
        <f t="shared" si="30"/>
        <v>41.85</v>
      </c>
    </row>
    <row r="1021" spans="1:9" x14ac:dyDescent="0.35">
      <c r="A1021" s="106">
        <v>45782</v>
      </c>
      <c r="B1021" s="107" t="s">
        <v>322</v>
      </c>
      <c r="C1021" s="107" t="s">
        <v>314</v>
      </c>
      <c r="D1021" s="107" t="s">
        <v>324</v>
      </c>
      <c r="E1021" s="107" t="s">
        <v>346</v>
      </c>
      <c r="F1021" s="108">
        <v>15</v>
      </c>
      <c r="G1021" s="109">
        <v>17</v>
      </c>
      <c r="H1021" s="110">
        <f t="shared" si="31"/>
        <v>300</v>
      </c>
      <c r="I1021" s="111">
        <f t="shared" si="30"/>
        <v>15</v>
      </c>
    </row>
    <row r="1022" spans="1:9" x14ac:dyDescent="0.35">
      <c r="A1022" s="106">
        <v>45782</v>
      </c>
      <c r="B1022" s="107" t="s">
        <v>313</v>
      </c>
      <c r="C1022" s="107" t="s">
        <v>314</v>
      </c>
      <c r="D1022" s="107" t="s">
        <v>390</v>
      </c>
      <c r="E1022" s="107" t="s">
        <v>346</v>
      </c>
      <c r="F1022" s="108">
        <v>45</v>
      </c>
      <c r="G1022" s="109">
        <v>13</v>
      </c>
      <c r="H1022" s="110">
        <f t="shared" si="31"/>
        <v>720</v>
      </c>
      <c r="I1022" s="111">
        <f t="shared" si="30"/>
        <v>36</v>
      </c>
    </row>
    <row r="1023" spans="1:9" x14ac:dyDescent="0.35">
      <c r="A1023" s="106">
        <v>45783</v>
      </c>
      <c r="B1023" s="107" t="s">
        <v>313</v>
      </c>
      <c r="C1023" s="107" t="s">
        <v>393</v>
      </c>
      <c r="D1023" s="107" t="s">
        <v>390</v>
      </c>
      <c r="E1023" s="107" t="s">
        <v>342</v>
      </c>
      <c r="F1023" s="108">
        <v>51</v>
      </c>
      <c r="G1023" s="109">
        <v>13</v>
      </c>
      <c r="H1023" s="110">
        <f t="shared" si="31"/>
        <v>765</v>
      </c>
      <c r="I1023" s="111">
        <f t="shared" si="30"/>
        <v>38.25</v>
      </c>
    </row>
    <row r="1024" spans="1:9" x14ac:dyDescent="0.35">
      <c r="A1024" s="106">
        <v>45783</v>
      </c>
      <c r="B1024" s="107" t="s">
        <v>322</v>
      </c>
      <c r="C1024" s="107" t="s">
        <v>319</v>
      </c>
      <c r="D1024" s="107" t="s">
        <v>320</v>
      </c>
      <c r="E1024" s="107" t="s">
        <v>335</v>
      </c>
      <c r="F1024" s="108">
        <v>60</v>
      </c>
      <c r="G1024" s="109">
        <v>17</v>
      </c>
      <c r="H1024" s="110">
        <f t="shared" si="31"/>
        <v>1080</v>
      </c>
      <c r="I1024" s="111">
        <f t="shared" si="30"/>
        <v>64.8</v>
      </c>
    </row>
    <row r="1025" spans="1:9" x14ac:dyDescent="0.35">
      <c r="A1025" s="106">
        <v>45784</v>
      </c>
      <c r="B1025" s="107" t="s">
        <v>327</v>
      </c>
      <c r="C1025" s="107" t="s">
        <v>393</v>
      </c>
      <c r="D1025" s="107" t="s">
        <v>338</v>
      </c>
      <c r="E1025" s="107" t="s">
        <v>394</v>
      </c>
      <c r="F1025" s="108">
        <v>11</v>
      </c>
      <c r="G1025" s="109">
        <v>6</v>
      </c>
      <c r="H1025" s="110">
        <f t="shared" si="31"/>
        <v>88</v>
      </c>
      <c r="I1025" s="111">
        <f t="shared" si="30"/>
        <v>5.2799999999999994</v>
      </c>
    </row>
    <row r="1026" spans="1:9" x14ac:dyDescent="0.35">
      <c r="A1026" s="106">
        <v>45784</v>
      </c>
      <c r="B1026" s="107" t="s">
        <v>327</v>
      </c>
      <c r="C1026" s="107" t="s">
        <v>393</v>
      </c>
      <c r="D1026" s="107" t="s">
        <v>324</v>
      </c>
      <c r="E1026" s="107" t="s">
        <v>394</v>
      </c>
      <c r="F1026" s="108">
        <v>9</v>
      </c>
      <c r="G1026" s="109">
        <v>6</v>
      </c>
      <c r="H1026" s="110">
        <f t="shared" si="31"/>
        <v>72</v>
      </c>
      <c r="I1026" s="111">
        <f t="shared" ref="I1026:I1089" si="32">H1026*VLOOKUP(D1026,$O$4:$P$10,2,TRUE)</f>
        <v>3.6</v>
      </c>
    </row>
    <row r="1027" spans="1:9" x14ac:dyDescent="0.35">
      <c r="A1027" s="106">
        <v>45784</v>
      </c>
      <c r="B1027" s="107" t="s">
        <v>327</v>
      </c>
      <c r="C1027" s="107" t="s">
        <v>332</v>
      </c>
      <c r="D1027" s="107" t="s">
        <v>320</v>
      </c>
      <c r="E1027" s="107" t="s">
        <v>316</v>
      </c>
      <c r="F1027" s="108">
        <v>47</v>
      </c>
      <c r="G1027" s="109">
        <v>6</v>
      </c>
      <c r="H1027" s="110">
        <f t="shared" ref="H1027:H1090" si="33">(F1027*G1027)+VLOOKUP(C1027,$K$11:$L$14,2,FALSE)*F1027</f>
        <v>470</v>
      </c>
      <c r="I1027" s="111">
        <f t="shared" si="32"/>
        <v>28.2</v>
      </c>
    </row>
    <row r="1028" spans="1:9" x14ac:dyDescent="0.35">
      <c r="A1028" s="106">
        <v>45785</v>
      </c>
      <c r="B1028" s="107" t="s">
        <v>422</v>
      </c>
      <c r="C1028" s="107" t="s">
        <v>332</v>
      </c>
      <c r="D1028" s="107" t="s">
        <v>315</v>
      </c>
      <c r="E1028" s="107" t="s">
        <v>341</v>
      </c>
      <c r="F1028" s="108">
        <v>36</v>
      </c>
      <c r="G1028" s="109">
        <v>24</v>
      </c>
      <c r="H1028" s="110">
        <f t="shared" si="33"/>
        <v>1008</v>
      </c>
      <c r="I1028" s="111">
        <f t="shared" si="32"/>
        <v>50.400000000000006</v>
      </c>
    </row>
    <row r="1029" spans="1:9" x14ac:dyDescent="0.35">
      <c r="A1029" s="106">
        <v>45785</v>
      </c>
      <c r="B1029" s="107" t="s">
        <v>327</v>
      </c>
      <c r="C1029" s="107" t="s">
        <v>319</v>
      </c>
      <c r="D1029" s="107" t="s">
        <v>338</v>
      </c>
      <c r="E1029" s="107" t="s">
        <v>394</v>
      </c>
      <c r="F1029" s="108">
        <v>39</v>
      </c>
      <c r="G1029" s="109">
        <v>6</v>
      </c>
      <c r="H1029" s="110">
        <f t="shared" si="33"/>
        <v>273</v>
      </c>
      <c r="I1029" s="111">
        <f t="shared" si="32"/>
        <v>16.38</v>
      </c>
    </row>
    <row r="1030" spans="1:9" x14ac:dyDescent="0.35">
      <c r="A1030" s="106">
        <v>45786</v>
      </c>
      <c r="B1030" s="107" t="s">
        <v>422</v>
      </c>
      <c r="C1030" s="107" t="s">
        <v>319</v>
      </c>
      <c r="D1030" s="107" t="s">
        <v>333</v>
      </c>
      <c r="E1030" s="107" t="s">
        <v>406</v>
      </c>
      <c r="F1030" s="108">
        <v>41</v>
      </c>
      <c r="G1030" s="109">
        <v>24</v>
      </c>
      <c r="H1030" s="110">
        <f t="shared" si="33"/>
        <v>1025</v>
      </c>
      <c r="I1030" s="111">
        <f t="shared" si="32"/>
        <v>51.25</v>
      </c>
    </row>
    <row r="1031" spans="1:9" x14ac:dyDescent="0.35">
      <c r="A1031" s="106">
        <v>45786</v>
      </c>
      <c r="B1031" s="107" t="s">
        <v>422</v>
      </c>
      <c r="C1031" s="107" t="s">
        <v>393</v>
      </c>
      <c r="D1031" s="107" t="s">
        <v>338</v>
      </c>
      <c r="E1031" s="107" t="s">
        <v>348</v>
      </c>
      <c r="F1031" s="108">
        <v>49</v>
      </c>
      <c r="G1031" s="109">
        <v>24</v>
      </c>
      <c r="H1031" s="110">
        <f t="shared" si="33"/>
        <v>1274</v>
      </c>
      <c r="I1031" s="111">
        <f t="shared" si="32"/>
        <v>76.44</v>
      </c>
    </row>
    <row r="1032" spans="1:9" x14ac:dyDescent="0.35">
      <c r="A1032" s="106">
        <v>45786</v>
      </c>
      <c r="B1032" s="107" t="s">
        <v>318</v>
      </c>
      <c r="C1032" s="107" t="s">
        <v>332</v>
      </c>
      <c r="D1032" s="107" t="s">
        <v>423</v>
      </c>
      <c r="E1032" s="107" t="s">
        <v>388</v>
      </c>
      <c r="F1032" s="108">
        <v>14</v>
      </c>
      <c r="G1032" s="109">
        <v>4</v>
      </c>
      <c r="H1032" s="110">
        <f t="shared" si="33"/>
        <v>112</v>
      </c>
      <c r="I1032" s="111">
        <f t="shared" si="32"/>
        <v>6.72</v>
      </c>
    </row>
    <row r="1033" spans="1:9" x14ac:dyDescent="0.35">
      <c r="A1033" s="106">
        <v>45786</v>
      </c>
      <c r="B1033" s="107" t="s">
        <v>322</v>
      </c>
      <c r="C1033" s="107" t="s">
        <v>332</v>
      </c>
      <c r="D1033" s="107" t="s">
        <v>315</v>
      </c>
      <c r="E1033" s="107" t="s">
        <v>340</v>
      </c>
      <c r="F1033" s="108">
        <v>33</v>
      </c>
      <c r="G1033" s="109">
        <v>17</v>
      </c>
      <c r="H1033" s="110">
        <f t="shared" si="33"/>
        <v>693</v>
      </c>
      <c r="I1033" s="111">
        <f t="shared" si="32"/>
        <v>34.65</v>
      </c>
    </row>
    <row r="1034" spans="1:9" x14ac:dyDescent="0.35">
      <c r="A1034" s="106">
        <v>45786</v>
      </c>
      <c r="B1034" s="107" t="s">
        <v>322</v>
      </c>
      <c r="C1034" s="107" t="s">
        <v>319</v>
      </c>
      <c r="D1034" s="107" t="s">
        <v>315</v>
      </c>
      <c r="E1034" s="107" t="s">
        <v>350</v>
      </c>
      <c r="F1034" s="108">
        <v>48</v>
      </c>
      <c r="G1034" s="109">
        <v>17</v>
      </c>
      <c r="H1034" s="110">
        <f t="shared" si="33"/>
        <v>864</v>
      </c>
      <c r="I1034" s="111">
        <f t="shared" si="32"/>
        <v>43.2</v>
      </c>
    </row>
    <row r="1035" spans="1:9" x14ac:dyDescent="0.35">
      <c r="A1035" s="106">
        <v>45787</v>
      </c>
      <c r="B1035" s="107" t="s">
        <v>318</v>
      </c>
      <c r="C1035" s="107" t="s">
        <v>314</v>
      </c>
      <c r="D1035" s="107" t="s">
        <v>320</v>
      </c>
      <c r="E1035" s="107" t="s">
        <v>406</v>
      </c>
      <c r="F1035" s="108">
        <v>20</v>
      </c>
      <c r="G1035" s="109">
        <v>4</v>
      </c>
      <c r="H1035" s="110">
        <f t="shared" si="33"/>
        <v>140</v>
      </c>
      <c r="I1035" s="111">
        <f t="shared" si="32"/>
        <v>8.4</v>
      </c>
    </row>
    <row r="1036" spans="1:9" x14ac:dyDescent="0.35">
      <c r="A1036" s="106">
        <v>45787</v>
      </c>
      <c r="B1036" s="107" t="s">
        <v>318</v>
      </c>
      <c r="C1036" s="107" t="s">
        <v>319</v>
      </c>
      <c r="D1036" s="107" t="s">
        <v>315</v>
      </c>
      <c r="E1036" s="107" t="s">
        <v>349</v>
      </c>
      <c r="F1036" s="108">
        <v>30</v>
      </c>
      <c r="G1036" s="109">
        <v>4</v>
      </c>
      <c r="H1036" s="110">
        <f t="shared" si="33"/>
        <v>150</v>
      </c>
      <c r="I1036" s="111">
        <f t="shared" si="32"/>
        <v>7.5</v>
      </c>
    </row>
    <row r="1037" spans="1:9" x14ac:dyDescent="0.35">
      <c r="A1037" s="106">
        <v>45787</v>
      </c>
      <c r="B1037" s="107" t="s">
        <v>327</v>
      </c>
      <c r="C1037" s="107" t="s">
        <v>332</v>
      </c>
      <c r="D1037" s="107" t="s">
        <v>423</v>
      </c>
      <c r="E1037" s="107" t="s">
        <v>394</v>
      </c>
      <c r="F1037" s="108">
        <v>46</v>
      </c>
      <c r="G1037" s="109">
        <v>6</v>
      </c>
      <c r="H1037" s="110">
        <f t="shared" si="33"/>
        <v>460</v>
      </c>
      <c r="I1037" s="111">
        <f t="shared" si="32"/>
        <v>27.599999999999998</v>
      </c>
    </row>
    <row r="1038" spans="1:9" x14ac:dyDescent="0.35">
      <c r="A1038" s="106">
        <v>45787</v>
      </c>
      <c r="B1038" s="107" t="s">
        <v>322</v>
      </c>
      <c r="C1038" s="107" t="s">
        <v>393</v>
      </c>
      <c r="D1038" s="107" t="s">
        <v>333</v>
      </c>
      <c r="E1038" s="107" t="s">
        <v>350</v>
      </c>
      <c r="F1038" s="108">
        <v>46</v>
      </c>
      <c r="G1038" s="109">
        <v>17</v>
      </c>
      <c r="H1038" s="110">
        <f t="shared" si="33"/>
        <v>874</v>
      </c>
      <c r="I1038" s="111">
        <f t="shared" si="32"/>
        <v>43.7</v>
      </c>
    </row>
    <row r="1039" spans="1:9" x14ac:dyDescent="0.35">
      <c r="A1039" s="106">
        <v>45787</v>
      </c>
      <c r="B1039" s="107" t="s">
        <v>322</v>
      </c>
      <c r="C1039" s="107" t="s">
        <v>319</v>
      </c>
      <c r="D1039" s="107" t="s">
        <v>324</v>
      </c>
      <c r="E1039" s="107" t="s">
        <v>350</v>
      </c>
      <c r="F1039" s="108">
        <v>37</v>
      </c>
      <c r="G1039" s="109">
        <v>17</v>
      </c>
      <c r="H1039" s="110">
        <f t="shared" si="33"/>
        <v>666</v>
      </c>
      <c r="I1039" s="111">
        <f t="shared" si="32"/>
        <v>33.300000000000004</v>
      </c>
    </row>
    <row r="1040" spans="1:9" x14ac:dyDescent="0.35">
      <c r="A1040" s="106">
        <v>45788</v>
      </c>
      <c r="B1040" s="107" t="s">
        <v>313</v>
      </c>
      <c r="C1040" s="107" t="s">
        <v>314</v>
      </c>
      <c r="D1040" s="107" t="s">
        <v>333</v>
      </c>
      <c r="E1040" s="107" t="s">
        <v>349</v>
      </c>
      <c r="F1040" s="108">
        <v>65</v>
      </c>
      <c r="G1040" s="109">
        <v>13</v>
      </c>
      <c r="H1040" s="110">
        <f t="shared" si="33"/>
        <v>1040</v>
      </c>
      <c r="I1040" s="111">
        <f t="shared" si="32"/>
        <v>52</v>
      </c>
    </row>
    <row r="1041" spans="1:9" x14ac:dyDescent="0.35">
      <c r="A1041" s="106">
        <v>45788</v>
      </c>
      <c r="B1041" s="107" t="s">
        <v>318</v>
      </c>
      <c r="C1041" s="107" t="s">
        <v>332</v>
      </c>
      <c r="D1041" s="107" t="s">
        <v>338</v>
      </c>
      <c r="E1041" s="107" t="s">
        <v>346</v>
      </c>
      <c r="F1041" s="108">
        <v>13</v>
      </c>
      <c r="G1041" s="109">
        <v>4</v>
      </c>
      <c r="H1041" s="110">
        <f t="shared" si="33"/>
        <v>104</v>
      </c>
      <c r="I1041" s="111">
        <f t="shared" si="32"/>
        <v>6.24</v>
      </c>
    </row>
    <row r="1042" spans="1:9" x14ac:dyDescent="0.35">
      <c r="A1042" s="106">
        <v>45788</v>
      </c>
      <c r="B1042" s="107" t="s">
        <v>327</v>
      </c>
      <c r="C1042" s="107" t="s">
        <v>393</v>
      </c>
      <c r="D1042" s="107" t="s">
        <v>423</v>
      </c>
      <c r="E1042" s="107" t="s">
        <v>343</v>
      </c>
      <c r="F1042" s="108">
        <v>22</v>
      </c>
      <c r="G1042" s="109">
        <v>6</v>
      </c>
      <c r="H1042" s="110">
        <f t="shared" si="33"/>
        <v>176</v>
      </c>
      <c r="I1042" s="111">
        <f t="shared" si="32"/>
        <v>10.559999999999999</v>
      </c>
    </row>
    <row r="1043" spans="1:9" x14ac:dyDescent="0.35">
      <c r="A1043" s="106">
        <v>45789</v>
      </c>
      <c r="B1043" s="107" t="s">
        <v>327</v>
      </c>
      <c r="C1043" s="107" t="s">
        <v>393</v>
      </c>
      <c r="D1043" s="107" t="s">
        <v>423</v>
      </c>
      <c r="E1043" s="107" t="s">
        <v>341</v>
      </c>
      <c r="F1043" s="108">
        <v>64</v>
      </c>
      <c r="G1043" s="109">
        <v>6</v>
      </c>
      <c r="H1043" s="110">
        <f t="shared" si="33"/>
        <v>512</v>
      </c>
      <c r="I1043" s="111">
        <f t="shared" si="32"/>
        <v>30.72</v>
      </c>
    </row>
    <row r="1044" spans="1:9" x14ac:dyDescent="0.35">
      <c r="A1044" s="106">
        <v>45789</v>
      </c>
      <c r="B1044" s="107" t="s">
        <v>422</v>
      </c>
      <c r="C1044" s="107" t="s">
        <v>314</v>
      </c>
      <c r="D1044" s="107" t="s">
        <v>423</v>
      </c>
      <c r="E1044" s="107" t="s">
        <v>348</v>
      </c>
      <c r="F1044" s="108">
        <v>11</v>
      </c>
      <c r="G1044" s="109">
        <v>24</v>
      </c>
      <c r="H1044" s="110">
        <f t="shared" si="33"/>
        <v>297</v>
      </c>
      <c r="I1044" s="111">
        <f t="shared" si="32"/>
        <v>17.82</v>
      </c>
    </row>
    <row r="1045" spans="1:9" x14ac:dyDescent="0.35">
      <c r="A1045" s="106">
        <v>45789</v>
      </c>
      <c r="B1045" s="107" t="s">
        <v>313</v>
      </c>
      <c r="C1045" s="107" t="s">
        <v>319</v>
      </c>
      <c r="D1045" s="107" t="s">
        <v>315</v>
      </c>
      <c r="E1045" s="107" t="s">
        <v>349</v>
      </c>
      <c r="F1045" s="108">
        <v>48</v>
      </c>
      <c r="G1045" s="109">
        <v>13</v>
      </c>
      <c r="H1045" s="110">
        <f t="shared" si="33"/>
        <v>672</v>
      </c>
      <c r="I1045" s="111">
        <f t="shared" si="32"/>
        <v>33.6</v>
      </c>
    </row>
    <row r="1046" spans="1:9" x14ac:dyDescent="0.35">
      <c r="A1046" s="106">
        <v>45789</v>
      </c>
      <c r="B1046" s="107" t="s">
        <v>313</v>
      </c>
      <c r="C1046" s="107" t="s">
        <v>332</v>
      </c>
      <c r="D1046" s="107" t="s">
        <v>315</v>
      </c>
      <c r="E1046" s="107" t="s">
        <v>343</v>
      </c>
      <c r="F1046" s="108">
        <v>25</v>
      </c>
      <c r="G1046" s="109">
        <v>13</v>
      </c>
      <c r="H1046" s="110">
        <f t="shared" si="33"/>
        <v>425</v>
      </c>
      <c r="I1046" s="111">
        <f t="shared" si="32"/>
        <v>21.25</v>
      </c>
    </row>
    <row r="1047" spans="1:9" x14ac:dyDescent="0.35">
      <c r="A1047" s="106">
        <v>45789</v>
      </c>
      <c r="B1047" s="107" t="s">
        <v>318</v>
      </c>
      <c r="C1047" s="107" t="s">
        <v>332</v>
      </c>
      <c r="D1047" s="107" t="s">
        <v>333</v>
      </c>
      <c r="E1047" s="107" t="s">
        <v>350</v>
      </c>
      <c r="F1047" s="108">
        <v>52</v>
      </c>
      <c r="G1047" s="109">
        <v>4</v>
      </c>
      <c r="H1047" s="110">
        <f t="shared" si="33"/>
        <v>416</v>
      </c>
      <c r="I1047" s="111">
        <f t="shared" si="32"/>
        <v>20.8</v>
      </c>
    </row>
    <row r="1048" spans="1:9" x14ac:dyDescent="0.35">
      <c r="A1048" s="106">
        <v>45790</v>
      </c>
      <c r="B1048" s="107" t="s">
        <v>318</v>
      </c>
      <c r="C1048" s="107" t="s">
        <v>393</v>
      </c>
      <c r="D1048" s="107" t="s">
        <v>390</v>
      </c>
      <c r="E1048" s="107" t="s">
        <v>400</v>
      </c>
      <c r="F1048" s="108">
        <v>41</v>
      </c>
      <c r="G1048" s="109">
        <v>4</v>
      </c>
      <c r="H1048" s="110">
        <f t="shared" si="33"/>
        <v>246</v>
      </c>
      <c r="I1048" s="111">
        <f t="shared" si="32"/>
        <v>12.3</v>
      </c>
    </row>
    <row r="1049" spans="1:9" x14ac:dyDescent="0.35">
      <c r="A1049" s="106">
        <v>45790</v>
      </c>
      <c r="B1049" s="107" t="s">
        <v>327</v>
      </c>
      <c r="C1049" s="107" t="s">
        <v>314</v>
      </c>
      <c r="D1049" s="107" t="s">
        <v>320</v>
      </c>
      <c r="E1049" s="107" t="s">
        <v>346</v>
      </c>
      <c r="F1049" s="108">
        <v>18</v>
      </c>
      <c r="G1049" s="109">
        <v>6</v>
      </c>
      <c r="H1049" s="110">
        <f t="shared" si="33"/>
        <v>162</v>
      </c>
      <c r="I1049" s="111">
        <f t="shared" si="32"/>
        <v>9.7199999999999989</v>
      </c>
    </row>
    <row r="1050" spans="1:9" x14ac:dyDescent="0.35">
      <c r="A1050" s="106">
        <v>45790</v>
      </c>
      <c r="B1050" s="107" t="s">
        <v>318</v>
      </c>
      <c r="C1050" s="107" t="s">
        <v>319</v>
      </c>
      <c r="D1050" s="107" t="s">
        <v>333</v>
      </c>
      <c r="E1050" s="107" t="s">
        <v>331</v>
      </c>
      <c r="F1050" s="108">
        <v>22</v>
      </c>
      <c r="G1050" s="109">
        <v>4</v>
      </c>
      <c r="H1050" s="110">
        <f t="shared" si="33"/>
        <v>110</v>
      </c>
      <c r="I1050" s="111">
        <f t="shared" si="32"/>
        <v>5.5</v>
      </c>
    </row>
    <row r="1051" spans="1:9" x14ac:dyDescent="0.35">
      <c r="A1051" s="106">
        <v>45790</v>
      </c>
      <c r="B1051" s="107" t="s">
        <v>318</v>
      </c>
      <c r="C1051" s="107" t="s">
        <v>393</v>
      </c>
      <c r="D1051" s="107" t="s">
        <v>320</v>
      </c>
      <c r="E1051" s="107" t="s">
        <v>394</v>
      </c>
      <c r="F1051" s="108">
        <v>19</v>
      </c>
      <c r="G1051" s="109">
        <v>4</v>
      </c>
      <c r="H1051" s="110">
        <f t="shared" si="33"/>
        <v>114</v>
      </c>
      <c r="I1051" s="111">
        <f t="shared" si="32"/>
        <v>6.84</v>
      </c>
    </row>
    <row r="1052" spans="1:9" x14ac:dyDescent="0.35">
      <c r="A1052" s="106">
        <v>45790</v>
      </c>
      <c r="B1052" s="107" t="s">
        <v>318</v>
      </c>
      <c r="C1052" s="107" t="s">
        <v>314</v>
      </c>
      <c r="D1052" s="107" t="s">
        <v>423</v>
      </c>
      <c r="E1052" s="107" t="s">
        <v>350</v>
      </c>
      <c r="F1052" s="108">
        <v>55</v>
      </c>
      <c r="G1052" s="109">
        <v>4</v>
      </c>
      <c r="H1052" s="110">
        <f t="shared" si="33"/>
        <v>385</v>
      </c>
      <c r="I1052" s="111">
        <f t="shared" si="32"/>
        <v>23.099999999999998</v>
      </c>
    </row>
    <row r="1053" spans="1:9" x14ac:dyDescent="0.35">
      <c r="A1053" s="106">
        <v>45791</v>
      </c>
      <c r="B1053" s="107" t="s">
        <v>422</v>
      </c>
      <c r="C1053" s="107" t="s">
        <v>332</v>
      </c>
      <c r="D1053" s="107" t="s">
        <v>338</v>
      </c>
      <c r="E1053" s="107" t="s">
        <v>348</v>
      </c>
      <c r="F1053" s="108">
        <v>52</v>
      </c>
      <c r="G1053" s="109">
        <v>24</v>
      </c>
      <c r="H1053" s="110">
        <f t="shared" si="33"/>
        <v>1456</v>
      </c>
      <c r="I1053" s="111">
        <f t="shared" si="32"/>
        <v>87.36</v>
      </c>
    </row>
    <row r="1054" spans="1:9" x14ac:dyDescent="0.35">
      <c r="A1054" s="106">
        <v>45791</v>
      </c>
      <c r="B1054" s="107" t="s">
        <v>313</v>
      </c>
      <c r="C1054" s="107" t="s">
        <v>332</v>
      </c>
      <c r="D1054" s="107" t="s">
        <v>333</v>
      </c>
      <c r="E1054" s="107" t="s">
        <v>340</v>
      </c>
      <c r="F1054" s="108">
        <v>16</v>
      </c>
      <c r="G1054" s="109">
        <v>13</v>
      </c>
      <c r="H1054" s="110">
        <f t="shared" si="33"/>
        <v>272</v>
      </c>
      <c r="I1054" s="111">
        <f t="shared" si="32"/>
        <v>13.600000000000001</v>
      </c>
    </row>
    <row r="1055" spans="1:9" x14ac:dyDescent="0.35">
      <c r="A1055" s="106">
        <v>45791</v>
      </c>
      <c r="B1055" s="107" t="s">
        <v>422</v>
      </c>
      <c r="C1055" s="107" t="s">
        <v>314</v>
      </c>
      <c r="D1055" s="107" t="s">
        <v>390</v>
      </c>
      <c r="E1055" s="107" t="s">
        <v>337</v>
      </c>
      <c r="F1055" s="108">
        <v>31</v>
      </c>
      <c r="G1055" s="109">
        <v>24</v>
      </c>
      <c r="H1055" s="110">
        <f t="shared" si="33"/>
        <v>837</v>
      </c>
      <c r="I1055" s="111">
        <f t="shared" si="32"/>
        <v>41.85</v>
      </c>
    </row>
    <row r="1056" spans="1:9" x14ac:dyDescent="0.35">
      <c r="A1056" s="106">
        <v>45791</v>
      </c>
      <c r="B1056" s="107" t="s">
        <v>322</v>
      </c>
      <c r="C1056" s="107" t="s">
        <v>314</v>
      </c>
      <c r="D1056" s="107" t="s">
        <v>390</v>
      </c>
      <c r="E1056" s="107" t="s">
        <v>400</v>
      </c>
      <c r="F1056" s="108">
        <v>45</v>
      </c>
      <c r="G1056" s="109">
        <v>17</v>
      </c>
      <c r="H1056" s="110">
        <f t="shared" si="33"/>
        <v>900</v>
      </c>
      <c r="I1056" s="111">
        <f t="shared" si="32"/>
        <v>45</v>
      </c>
    </row>
    <row r="1057" spans="1:9" x14ac:dyDescent="0.35">
      <c r="A1057" s="106">
        <v>45791</v>
      </c>
      <c r="B1057" s="107" t="s">
        <v>313</v>
      </c>
      <c r="C1057" s="107" t="s">
        <v>393</v>
      </c>
      <c r="D1057" s="107" t="s">
        <v>315</v>
      </c>
      <c r="E1057" s="107" t="s">
        <v>346</v>
      </c>
      <c r="F1057" s="108">
        <v>42</v>
      </c>
      <c r="G1057" s="109">
        <v>13</v>
      </c>
      <c r="H1057" s="110">
        <f t="shared" si="33"/>
        <v>630</v>
      </c>
      <c r="I1057" s="111">
        <f t="shared" si="32"/>
        <v>31.5</v>
      </c>
    </row>
    <row r="1058" spans="1:9" x14ac:dyDescent="0.35">
      <c r="A1058" s="106">
        <v>45791</v>
      </c>
      <c r="B1058" s="107" t="s">
        <v>322</v>
      </c>
      <c r="C1058" s="107" t="s">
        <v>393</v>
      </c>
      <c r="D1058" s="107" t="s">
        <v>333</v>
      </c>
      <c r="E1058" s="107" t="s">
        <v>344</v>
      </c>
      <c r="F1058" s="108">
        <v>61</v>
      </c>
      <c r="G1058" s="109">
        <v>17</v>
      </c>
      <c r="H1058" s="110">
        <f t="shared" si="33"/>
        <v>1159</v>
      </c>
      <c r="I1058" s="111">
        <f t="shared" si="32"/>
        <v>57.95</v>
      </c>
    </row>
    <row r="1059" spans="1:9" x14ac:dyDescent="0.35">
      <c r="A1059" s="106">
        <v>45792</v>
      </c>
      <c r="B1059" s="107" t="s">
        <v>422</v>
      </c>
      <c r="C1059" s="107" t="s">
        <v>319</v>
      </c>
      <c r="D1059" s="107" t="s">
        <v>390</v>
      </c>
      <c r="E1059" s="107" t="s">
        <v>340</v>
      </c>
      <c r="F1059" s="108">
        <v>14</v>
      </c>
      <c r="G1059" s="109">
        <v>24</v>
      </c>
      <c r="H1059" s="110">
        <f t="shared" si="33"/>
        <v>350</v>
      </c>
      <c r="I1059" s="111">
        <f t="shared" si="32"/>
        <v>17.5</v>
      </c>
    </row>
    <row r="1060" spans="1:9" x14ac:dyDescent="0.35">
      <c r="A1060" s="106">
        <v>45792</v>
      </c>
      <c r="B1060" s="107" t="s">
        <v>318</v>
      </c>
      <c r="C1060" s="107" t="s">
        <v>314</v>
      </c>
      <c r="D1060" s="107" t="s">
        <v>333</v>
      </c>
      <c r="E1060" s="107" t="s">
        <v>340</v>
      </c>
      <c r="F1060" s="108">
        <v>36</v>
      </c>
      <c r="G1060" s="109">
        <v>4</v>
      </c>
      <c r="H1060" s="110">
        <f t="shared" si="33"/>
        <v>252</v>
      </c>
      <c r="I1060" s="111">
        <f t="shared" si="32"/>
        <v>12.600000000000001</v>
      </c>
    </row>
    <row r="1061" spans="1:9" x14ac:dyDescent="0.35">
      <c r="A1061" s="106">
        <v>45792</v>
      </c>
      <c r="B1061" s="107" t="s">
        <v>422</v>
      </c>
      <c r="C1061" s="107" t="s">
        <v>332</v>
      </c>
      <c r="D1061" s="107" t="s">
        <v>315</v>
      </c>
      <c r="E1061" s="107" t="s">
        <v>339</v>
      </c>
      <c r="F1061" s="108">
        <v>35</v>
      </c>
      <c r="G1061" s="109">
        <v>24</v>
      </c>
      <c r="H1061" s="110">
        <f t="shared" si="33"/>
        <v>980</v>
      </c>
      <c r="I1061" s="111">
        <f t="shared" si="32"/>
        <v>49</v>
      </c>
    </row>
    <row r="1062" spans="1:9" x14ac:dyDescent="0.35">
      <c r="A1062" s="106">
        <v>45792</v>
      </c>
      <c r="B1062" s="107" t="s">
        <v>422</v>
      </c>
      <c r="C1062" s="107" t="s">
        <v>393</v>
      </c>
      <c r="D1062" s="107" t="s">
        <v>324</v>
      </c>
      <c r="E1062" s="107" t="s">
        <v>343</v>
      </c>
      <c r="F1062" s="108">
        <v>37</v>
      </c>
      <c r="G1062" s="109">
        <v>24</v>
      </c>
      <c r="H1062" s="110">
        <f t="shared" si="33"/>
        <v>962</v>
      </c>
      <c r="I1062" s="111">
        <f t="shared" si="32"/>
        <v>48.1</v>
      </c>
    </row>
    <row r="1063" spans="1:9" x14ac:dyDescent="0.35">
      <c r="A1063" s="106">
        <v>45793</v>
      </c>
      <c r="B1063" s="107" t="s">
        <v>327</v>
      </c>
      <c r="C1063" s="107" t="s">
        <v>319</v>
      </c>
      <c r="D1063" s="107" t="s">
        <v>423</v>
      </c>
      <c r="E1063" s="107" t="s">
        <v>329</v>
      </c>
      <c r="F1063" s="108">
        <v>28</v>
      </c>
      <c r="G1063" s="109">
        <v>6</v>
      </c>
      <c r="H1063" s="110">
        <f t="shared" si="33"/>
        <v>196</v>
      </c>
      <c r="I1063" s="111">
        <f t="shared" si="32"/>
        <v>11.76</v>
      </c>
    </row>
    <row r="1064" spans="1:9" x14ac:dyDescent="0.35">
      <c r="A1064" s="106">
        <v>45793</v>
      </c>
      <c r="B1064" s="107" t="s">
        <v>313</v>
      </c>
      <c r="C1064" s="107" t="s">
        <v>314</v>
      </c>
      <c r="D1064" s="107" t="s">
        <v>315</v>
      </c>
      <c r="E1064" s="107" t="s">
        <v>344</v>
      </c>
      <c r="F1064" s="108">
        <v>30</v>
      </c>
      <c r="G1064" s="109">
        <v>13</v>
      </c>
      <c r="H1064" s="110">
        <f t="shared" si="33"/>
        <v>480</v>
      </c>
      <c r="I1064" s="111">
        <f t="shared" si="32"/>
        <v>24</v>
      </c>
    </row>
    <row r="1065" spans="1:9" x14ac:dyDescent="0.35">
      <c r="A1065" s="106">
        <v>45794</v>
      </c>
      <c r="B1065" s="107" t="s">
        <v>322</v>
      </c>
      <c r="C1065" s="107" t="s">
        <v>393</v>
      </c>
      <c r="D1065" s="107" t="s">
        <v>333</v>
      </c>
      <c r="E1065" s="107" t="s">
        <v>388</v>
      </c>
      <c r="F1065" s="108">
        <v>8</v>
      </c>
      <c r="G1065" s="109">
        <v>17</v>
      </c>
      <c r="H1065" s="110">
        <f t="shared" si="33"/>
        <v>152</v>
      </c>
      <c r="I1065" s="111">
        <f t="shared" si="32"/>
        <v>7.6000000000000005</v>
      </c>
    </row>
    <row r="1066" spans="1:9" x14ac:dyDescent="0.35">
      <c r="A1066" s="106">
        <v>45794</v>
      </c>
      <c r="B1066" s="107" t="s">
        <v>318</v>
      </c>
      <c r="C1066" s="107" t="s">
        <v>314</v>
      </c>
      <c r="D1066" s="107" t="s">
        <v>390</v>
      </c>
      <c r="E1066" s="107" t="s">
        <v>347</v>
      </c>
      <c r="F1066" s="108">
        <v>19</v>
      </c>
      <c r="G1066" s="109">
        <v>4</v>
      </c>
      <c r="H1066" s="110">
        <f t="shared" si="33"/>
        <v>133</v>
      </c>
      <c r="I1066" s="111">
        <f t="shared" si="32"/>
        <v>6.65</v>
      </c>
    </row>
    <row r="1067" spans="1:9" x14ac:dyDescent="0.35">
      <c r="A1067" s="106">
        <v>45794</v>
      </c>
      <c r="B1067" s="107" t="s">
        <v>422</v>
      </c>
      <c r="C1067" s="107" t="s">
        <v>393</v>
      </c>
      <c r="D1067" s="107" t="s">
        <v>324</v>
      </c>
      <c r="E1067" s="107" t="s">
        <v>350</v>
      </c>
      <c r="F1067" s="108">
        <v>24</v>
      </c>
      <c r="G1067" s="109">
        <v>24</v>
      </c>
      <c r="H1067" s="110">
        <f t="shared" si="33"/>
        <v>624</v>
      </c>
      <c r="I1067" s="111">
        <f t="shared" si="32"/>
        <v>31.200000000000003</v>
      </c>
    </row>
    <row r="1068" spans="1:9" x14ac:dyDescent="0.35">
      <c r="A1068" s="106">
        <v>45795</v>
      </c>
      <c r="B1068" s="107" t="s">
        <v>422</v>
      </c>
      <c r="C1068" s="107" t="s">
        <v>393</v>
      </c>
      <c r="D1068" s="107" t="s">
        <v>423</v>
      </c>
      <c r="E1068" s="107" t="s">
        <v>454</v>
      </c>
      <c r="F1068" s="108">
        <v>21</v>
      </c>
      <c r="G1068" s="109">
        <v>24</v>
      </c>
      <c r="H1068" s="110">
        <f t="shared" si="33"/>
        <v>546</v>
      </c>
      <c r="I1068" s="111">
        <f t="shared" si="32"/>
        <v>32.76</v>
      </c>
    </row>
    <row r="1069" spans="1:9" x14ac:dyDescent="0.35">
      <c r="A1069" s="106">
        <v>45795</v>
      </c>
      <c r="B1069" s="107" t="s">
        <v>313</v>
      </c>
      <c r="C1069" s="107" t="s">
        <v>393</v>
      </c>
      <c r="D1069" s="107" t="s">
        <v>324</v>
      </c>
      <c r="E1069" s="107" t="s">
        <v>405</v>
      </c>
      <c r="F1069" s="108">
        <v>10</v>
      </c>
      <c r="G1069" s="109">
        <v>13</v>
      </c>
      <c r="H1069" s="110">
        <f t="shared" si="33"/>
        <v>150</v>
      </c>
      <c r="I1069" s="111">
        <f t="shared" si="32"/>
        <v>7.5</v>
      </c>
    </row>
    <row r="1070" spans="1:9" x14ac:dyDescent="0.35">
      <c r="A1070" s="106">
        <v>45796</v>
      </c>
      <c r="B1070" s="107" t="s">
        <v>322</v>
      </c>
      <c r="C1070" s="107" t="s">
        <v>393</v>
      </c>
      <c r="D1070" s="107" t="s">
        <v>315</v>
      </c>
      <c r="E1070" s="107" t="s">
        <v>340</v>
      </c>
      <c r="F1070" s="108">
        <v>61</v>
      </c>
      <c r="G1070" s="109">
        <v>17</v>
      </c>
      <c r="H1070" s="110">
        <f t="shared" si="33"/>
        <v>1159</v>
      </c>
      <c r="I1070" s="111">
        <f t="shared" si="32"/>
        <v>57.95</v>
      </c>
    </row>
    <row r="1071" spans="1:9" x14ac:dyDescent="0.35">
      <c r="A1071" s="106">
        <v>45796</v>
      </c>
      <c r="B1071" s="107" t="s">
        <v>318</v>
      </c>
      <c r="C1071" s="107" t="s">
        <v>319</v>
      </c>
      <c r="D1071" s="107" t="s">
        <v>423</v>
      </c>
      <c r="E1071" s="107" t="s">
        <v>394</v>
      </c>
      <c r="F1071" s="108">
        <v>63</v>
      </c>
      <c r="G1071" s="109">
        <v>4</v>
      </c>
      <c r="H1071" s="110">
        <f t="shared" si="33"/>
        <v>315</v>
      </c>
      <c r="I1071" s="111">
        <f t="shared" si="32"/>
        <v>18.899999999999999</v>
      </c>
    </row>
    <row r="1072" spans="1:9" x14ac:dyDescent="0.35">
      <c r="A1072" s="106">
        <v>45796</v>
      </c>
      <c r="B1072" s="107" t="s">
        <v>327</v>
      </c>
      <c r="C1072" s="107" t="s">
        <v>319</v>
      </c>
      <c r="D1072" s="107" t="s">
        <v>324</v>
      </c>
      <c r="E1072" s="107" t="s">
        <v>416</v>
      </c>
      <c r="F1072" s="108">
        <v>10</v>
      </c>
      <c r="G1072" s="109">
        <v>6</v>
      </c>
      <c r="H1072" s="110">
        <f t="shared" si="33"/>
        <v>70</v>
      </c>
      <c r="I1072" s="111">
        <f t="shared" si="32"/>
        <v>3.5</v>
      </c>
    </row>
    <row r="1073" spans="1:9" x14ac:dyDescent="0.35">
      <c r="A1073" s="106">
        <v>45796</v>
      </c>
      <c r="B1073" s="107" t="s">
        <v>327</v>
      </c>
      <c r="C1073" s="107" t="s">
        <v>314</v>
      </c>
      <c r="D1073" s="107" t="s">
        <v>320</v>
      </c>
      <c r="E1073" s="107" t="s">
        <v>316</v>
      </c>
      <c r="F1073" s="108">
        <v>28</v>
      </c>
      <c r="G1073" s="109">
        <v>6</v>
      </c>
      <c r="H1073" s="110">
        <f t="shared" si="33"/>
        <v>252</v>
      </c>
      <c r="I1073" s="111">
        <f t="shared" si="32"/>
        <v>15.12</v>
      </c>
    </row>
    <row r="1074" spans="1:9" x14ac:dyDescent="0.35">
      <c r="A1074" s="106">
        <v>45797</v>
      </c>
      <c r="B1074" s="107" t="s">
        <v>422</v>
      </c>
      <c r="C1074" s="107" t="s">
        <v>319</v>
      </c>
      <c r="D1074" s="107" t="s">
        <v>338</v>
      </c>
      <c r="E1074" s="107" t="s">
        <v>406</v>
      </c>
      <c r="F1074" s="108">
        <v>56</v>
      </c>
      <c r="G1074" s="109">
        <v>24</v>
      </c>
      <c r="H1074" s="110">
        <f t="shared" si="33"/>
        <v>1400</v>
      </c>
      <c r="I1074" s="111">
        <f t="shared" si="32"/>
        <v>84</v>
      </c>
    </row>
    <row r="1075" spans="1:9" x14ac:dyDescent="0.35">
      <c r="A1075" s="106">
        <v>45797</v>
      </c>
      <c r="B1075" s="107" t="s">
        <v>327</v>
      </c>
      <c r="C1075" s="107" t="s">
        <v>314</v>
      </c>
      <c r="D1075" s="107" t="s">
        <v>390</v>
      </c>
      <c r="E1075" s="107" t="s">
        <v>388</v>
      </c>
      <c r="F1075" s="108">
        <v>40</v>
      </c>
      <c r="G1075" s="109">
        <v>6</v>
      </c>
      <c r="H1075" s="110">
        <f t="shared" si="33"/>
        <v>360</v>
      </c>
      <c r="I1075" s="111">
        <f t="shared" si="32"/>
        <v>18</v>
      </c>
    </row>
    <row r="1076" spans="1:9" x14ac:dyDescent="0.35">
      <c r="A1076" s="106">
        <v>45797</v>
      </c>
      <c r="B1076" s="107" t="s">
        <v>422</v>
      </c>
      <c r="C1076" s="107" t="s">
        <v>314</v>
      </c>
      <c r="D1076" s="107" t="s">
        <v>320</v>
      </c>
      <c r="E1076" s="107" t="s">
        <v>388</v>
      </c>
      <c r="F1076" s="108">
        <v>26</v>
      </c>
      <c r="G1076" s="109">
        <v>24</v>
      </c>
      <c r="H1076" s="110">
        <f t="shared" si="33"/>
        <v>702</v>
      </c>
      <c r="I1076" s="111">
        <f t="shared" si="32"/>
        <v>42.12</v>
      </c>
    </row>
    <row r="1077" spans="1:9" x14ac:dyDescent="0.35">
      <c r="A1077" s="106">
        <v>45798</v>
      </c>
      <c r="B1077" s="107" t="s">
        <v>322</v>
      </c>
      <c r="C1077" s="107" t="s">
        <v>314</v>
      </c>
      <c r="D1077" s="107" t="s">
        <v>423</v>
      </c>
      <c r="E1077" s="107" t="s">
        <v>346</v>
      </c>
      <c r="F1077" s="108">
        <v>33</v>
      </c>
      <c r="G1077" s="109">
        <v>17</v>
      </c>
      <c r="H1077" s="110">
        <f t="shared" si="33"/>
        <v>660</v>
      </c>
      <c r="I1077" s="111">
        <f t="shared" si="32"/>
        <v>39.6</v>
      </c>
    </row>
    <row r="1078" spans="1:9" x14ac:dyDescent="0.35">
      <c r="A1078" s="106">
        <v>45799</v>
      </c>
      <c r="B1078" s="107" t="s">
        <v>322</v>
      </c>
      <c r="C1078" s="107" t="s">
        <v>332</v>
      </c>
      <c r="D1078" s="107" t="s">
        <v>338</v>
      </c>
      <c r="E1078" s="107" t="s">
        <v>455</v>
      </c>
      <c r="F1078" s="108">
        <v>59</v>
      </c>
      <c r="G1078" s="109">
        <v>17</v>
      </c>
      <c r="H1078" s="110">
        <f t="shared" si="33"/>
        <v>1239</v>
      </c>
      <c r="I1078" s="111">
        <f t="shared" si="32"/>
        <v>74.34</v>
      </c>
    </row>
    <row r="1079" spans="1:9" x14ac:dyDescent="0.35">
      <c r="A1079" s="106">
        <v>45799</v>
      </c>
      <c r="B1079" s="107" t="s">
        <v>422</v>
      </c>
      <c r="C1079" s="107" t="s">
        <v>393</v>
      </c>
      <c r="D1079" s="107" t="s">
        <v>333</v>
      </c>
      <c r="E1079" s="107" t="s">
        <v>345</v>
      </c>
      <c r="F1079" s="108">
        <v>15</v>
      </c>
      <c r="G1079" s="109">
        <v>24</v>
      </c>
      <c r="H1079" s="110">
        <f t="shared" si="33"/>
        <v>390</v>
      </c>
      <c r="I1079" s="111">
        <f t="shared" si="32"/>
        <v>19.5</v>
      </c>
    </row>
    <row r="1080" spans="1:9" x14ac:dyDescent="0.35">
      <c r="A1080" s="106">
        <v>45799</v>
      </c>
      <c r="B1080" s="107" t="s">
        <v>322</v>
      </c>
      <c r="C1080" s="107" t="s">
        <v>319</v>
      </c>
      <c r="D1080" s="107" t="s">
        <v>324</v>
      </c>
      <c r="E1080" s="107" t="s">
        <v>316</v>
      </c>
      <c r="F1080" s="108">
        <v>26</v>
      </c>
      <c r="G1080" s="109">
        <v>17</v>
      </c>
      <c r="H1080" s="110">
        <f t="shared" si="33"/>
        <v>468</v>
      </c>
      <c r="I1080" s="111">
        <f t="shared" si="32"/>
        <v>23.400000000000002</v>
      </c>
    </row>
    <row r="1081" spans="1:9" x14ac:dyDescent="0.35">
      <c r="A1081" s="106">
        <v>45800</v>
      </c>
      <c r="B1081" s="107" t="s">
        <v>327</v>
      </c>
      <c r="C1081" s="107" t="s">
        <v>393</v>
      </c>
      <c r="D1081" s="107" t="s">
        <v>423</v>
      </c>
      <c r="E1081" s="107" t="s">
        <v>348</v>
      </c>
      <c r="F1081" s="108">
        <v>65</v>
      </c>
      <c r="G1081" s="109">
        <v>6</v>
      </c>
      <c r="H1081" s="110">
        <f t="shared" si="33"/>
        <v>520</v>
      </c>
      <c r="I1081" s="111">
        <f t="shared" si="32"/>
        <v>31.2</v>
      </c>
    </row>
    <row r="1082" spans="1:9" x14ac:dyDescent="0.35">
      <c r="A1082" s="106">
        <v>45800</v>
      </c>
      <c r="B1082" s="107" t="s">
        <v>322</v>
      </c>
      <c r="C1082" s="107" t="s">
        <v>314</v>
      </c>
      <c r="D1082" s="107" t="s">
        <v>324</v>
      </c>
      <c r="E1082" s="107" t="s">
        <v>335</v>
      </c>
      <c r="F1082" s="108">
        <v>65</v>
      </c>
      <c r="G1082" s="109">
        <v>17</v>
      </c>
      <c r="H1082" s="110">
        <f t="shared" si="33"/>
        <v>1300</v>
      </c>
      <c r="I1082" s="111">
        <f t="shared" si="32"/>
        <v>65</v>
      </c>
    </row>
    <row r="1083" spans="1:9" x14ac:dyDescent="0.35">
      <c r="A1083" s="106">
        <v>45800</v>
      </c>
      <c r="B1083" s="107" t="s">
        <v>422</v>
      </c>
      <c r="C1083" s="107" t="s">
        <v>319</v>
      </c>
      <c r="D1083" s="107" t="s">
        <v>390</v>
      </c>
      <c r="E1083" s="107" t="s">
        <v>316</v>
      </c>
      <c r="F1083" s="108">
        <v>46</v>
      </c>
      <c r="G1083" s="109">
        <v>24</v>
      </c>
      <c r="H1083" s="110">
        <f t="shared" si="33"/>
        <v>1150</v>
      </c>
      <c r="I1083" s="111">
        <f t="shared" si="32"/>
        <v>57.5</v>
      </c>
    </row>
    <row r="1084" spans="1:9" x14ac:dyDescent="0.35">
      <c r="A1084" s="106">
        <v>45801</v>
      </c>
      <c r="B1084" s="107" t="s">
        <v>318</v>
      </c>
      <c r="C1084" s="107" t="s">
        <v>314</v>
      </c>
      <c r="D1084" s="107" t="s">
        <v>324</v>
      </c>
      <c r="E1084" s="107" t="s">
        <v>347</v>
      </c>
      <c r="F1084" s="108">
        <v>52</v>
      </c>
      <c r="G1084" s="109">
        <v>4</v>
      </c>
      <c r="H1084" s="110">
        <f t="shared" si="33"/>
        <v>364</v>
      </c>
      <c r="I1084" s="111">
        <f t="shared" si="32"/>
        <v>18.2</v>
      </c>
    </row>
    <row r="1085" spans="1:9" x14ac:dyDescent="0.35">
      <c r="A1085" s="106">
        <v>45801</v>
      </c>
      <c r="B1085" s="107" t="s">
        <v>327</v>
      </c>
      <c r="C1085" s="107" t="s">
        <v>319</v>
      </c>
      <c r="D1085" s="107" t="s">
        <v>390</v>
      </c>
      <c r="E1085" s="107" t="s">
        <v>346</v>
      </c>
      <c r="F1085" s="108">
        <v>20</v>
      </c>
      <c r="G1085" s="109">
        <v>6</v>
      </c>
      <c r="H1085" s="110">
        <f t="shared" si="33"/>
        <v>140</v>
      </c>
      <c r="I1085" s="111">
        <f t="shared" si="32"/>
        <v>7</v>
      </c>
    </row>
    <row r="1086" spans="1:9" x14ac:dyDescent="0.35">
      <c r="A1086" s="106">
        <v>45801</v>
      </c>
      <c r="B1086" s="107" t="s">
        <v>422</v>
      </c>
      <c r="C1086" s="107" t="s">
        <v>319</v>
      </c>
      <c r="D1086" s="107" t="s">
        <v>333</v>
      </c>
      <c r="E1086" s="107" t="s">
        <v>329</v>
      </c>
      <c r="F1086" s="108">
        <v>9</v>
      </c>
      <c r="G1086" s="109">
        <v>24</v>
      </c>
      <c r="H1086" s="110">
        <f t="shared" si="33"/>
        <v>225</v>
      </c>
      <c r="I1086" s="111">
        <f t="shared" si="32"/>
        <v>11.25</v>
      </c>
    </row>
    <row r="1087" spans="1:9" x14ac:dyDescent="0.35">
      <c r="A1087" s="106">
        <v>45801</v>
      </c>
      <c r="B1087" s="107" t="s">
        <v>322</v>
      </c>
      <c r="C1087" s="107" t="s">
        <v>314</v>
      </c>
      <c r="D1087" s="107" t="s">
        <v>423</v>
      </c>
      <c r="E1087" s="107" t="s">
        <v>329</v>
      </c>
      <c r="F1087" s="108">
        <v>40</v>
      </c>
      <c r="G1087" s="109">
        <v>17</v>
      </c>
      <c r="H1087" s="110">
        <f t="shared" si="33"/>
        <v>800</v>
      </c>
      <c r="I1087" s="111">
        <f t="shared" si="32"/>
        <v>48</v>
      </c>
    </row>
    <row r="1088" spans="1:9" x14ac:dyDescent="0.35">
      <c r="A1088" s="106">
        <v>45801</v>
      </c>
      <c r="B1088" s="107" t="s">
        <v>313</v>
      </c>
      <c r="C1088" s="107" t="s">
        <v>314</v>
      </c>
      <c r="D1088" s="107" t="s">
        <v>333</v>
      </c>
      <c r="E1088" s="107" t="s">
        <v>416</v>
      </c>
      <c r="F1088" s="108">
        <v>56</v>
      </c>
      <c r="G1088" s="109">
        <v>13</v>
      </c>
      <c r="H1088" s="110">
        <f t="shared" si="33"/>
        <v>896</v>
      </c>
      <c r="I1088" s="111">
        <f t="shared" si="32"/>
        <v>44.800000000000004</v>
      </c>
    </row>
    <row r="1089" spans="1:9" x14ac:dyDescent="0.35">
      <c r="A1089" s="106">
        <v>45802</v>
      </c>
      <c r="B1089" s="107" t="s">
        <v>313</v>
      </c>
      <c r="C1089" s="107" t="s">
        <v>314</v>
      </c>
      <c r="D1089" s="107" t="s">
        <v>320</v>
      </c>
      <c r="E1089" s="107" t="s">
        <v>455</v>
      </c>
      <c r="F1089" s="108">
        <v>51</v>
      </c>
      <c r="G1089" s="109">
        <v>13</v>
      </c>
      <c r="H1089" s="110">
        <f t="shared" si="33"/>
        <v>816</v>
      </c>
      <c r="I1089" s="111">
        <f t="shared" si="32"/>
        <v>48.96</v>
      </c>
    </row>
    <row r="1090" spans="1:9" x14ac:dyDescent="0.35">
      <c r="A1090" s="106">
        <v>45802</v>
      </c>
      <c r="B1090" s="107" t="s">
        <v>313</v>
      </c>
      <c r="C1090" s="107" t="s">
        <v>319</v>
      </c>
      <c r="D1090" s="107" t="s">
        <v>320</v>
      </c>
      <c r="E1090" s="107" t="s">
        <v>335</v>
      </c>
      <c r="F1090" s="108">
        <v>44</v>
      </c>
      <c r="G1090" s="109">
        <v>13</v>
      </c>
      <c r="H1090" s="110">
        <f t="shared" si="33"/>
        <v>616</v>
      </c>
      <c r="I1090" s="111">
        <f t="shared" ref="I1090:I1153" si="34">H1090*VLOOKUP(D1090,$O$4:$P$10,2,TRUE)</f>
        <v>36.96</v>
      </c>
    </row>
    <row r="1091" spans="1:9" x14ac:dyDescent="0.35">
      <c r="A1091" s="106">
        <v>45802</v>
      </c>
      <c r="B1091" s="107" t="s">
        <v>422</v>
      </c>
      <c r="C1091" s="107" t="s">
        <v>332</v>
      </c>
      <c r="D1091" s="107" t="s">
        <v>423</v>
      </c>
      <c r="E1091" s="107" t="s">
        <v>335</v>
      </c>
      <c r="F1091" s="108">
        <v>49</v>
      </c>
      <c r="G1091" s="109">
        <v>24</v>
      </c>
      <c r="H1091" s="110">
        <f t="shared" ref="H1091:H1154" si="35">(F1091*G1091)+VLOOKUP(C1091,$K$11:$L$14,2,FALSE)*F1091</f>
        <v>1372</v>
      </c>
      <c r="I1091" s="111">
        <f t="shared" si="34"/>
        <v>82.32</v>
      </c>
    </row>
    <row r="1092" spans="1:9" x14ac:dyDescent="0.35">
      <c r="A1092" s="106">
        <v>45803</v>
      </c>
      <c r="B1092" s="107" t="s">
        <v>318</v>
      </c>
      <c r="C1092" s="107" t="s">
        <v>393</v>
      </c>
      <c r="D1092" s="107" t="s">
        <v>315</v>
      </c>
      <c r="E1092" s="107" t="s">
        <v>388</v>
      </c>
      <c r="F1092" s="108">
        <v>56</v>
      </c>
      <c r="G1092" s="109">
        <v>4</v>
      </c>
      <c r="H1092" s="110">
        <f t="shared" si="35"/>
        <v>336</v>
      </c>
      <c r="I1092" s="111">
        <f t="shared" si="34"/>
        <v>16.8</v>
      </c>
    </row>
    <row r="1093" spans="1:9" x14ac:dyDescent="0.35">
      <c r="A1093" s="106">
        <v>45803</v>
      </c>
      <c r="B1093" s="107" t="s">
        <v>322</v>
      </c>
      <c r="C1093" s="107" t="s">
        <v>393</v>
      </c>
      <c r="D1093" s="107" t="s">
        <v>324</v>
      </c>
      <c r="E1093" s="107" t="s">
        <v>346</v>
      </c>
      <c r="F1093" s="108">
        <v>40</v>
      </c>
      <c r="G1093" s="109">
        <v>17</v>
      </c>
      <c r="H1093" s="110">
        <f t="shared" si="35"/>
        <v>760</v>
      </c>
      <c r="I1093" s="111">
        <f t="shared" si="34"/>
        <v>38</v>
      </c>
    </row>
    <row r="1094" spans="1:9" x14ac:dyDescent="0.35">
      <c r="A1094" s="106">
        <v>45804</v>
      </c>
      <c r="B1094" s="107" t="s">
        <v>318</v>
      </c>
      <c r="C1094" s="107" t="s">
        <v>332</v>
      </c>
      <c r="D1094" s="107" t="s">
        <v>315</v>
      </c>
      <c r="E1094" s="107" t="s">
        <v>340</v>
      </c>
      <c r="F1094" s="108">
        <v>13</v>
      </c>
      <c r="G1094" s="109">
        <v>4</v>
      </c>
      <c r="H1094" s="110">
        <f t="shared" si="35"/>
        <v>104</v>
      </c>
      <c r="I1094" s="111">
        <f t="shared" si="34"/>
        <v>5.2</v>
      </c>
    </row>
    <row r="1095" spans="1:9" x14ac:dyDescent="0.35">
      <c r="A1095" s="106">
        <v>45804</v>
      </c>
      <c r="B1095" s="107" t="s">
        <v>322</v>
      </c>
      <c r="C1095" s="107" t="s">
        <v>319</v>
      </c>
      <c r="D1095" s="107" t="s">
        <v>423</v>
      </c>
      <c r="E1095" s="107" t="s">
        <v>349</v>
      </c>
      <c r="F1095" s="108">
        <v>46</v>
      </c>
      <c r="G1095" s="109">
        <v>17</v>
      </c>
      <c r="H1095" s="110">
        <f t="shared" si="35"/>
        <v>828</v>
      </c>
      <c r="I1095" s="111">
        <f t="shared" si="34"/>
        <v>49.68</v>
      </c>
    </row>
    <row r="1096" spans="1:9" x14ac:dyDescent="0.35">
      <c r="A1096" s="106">
        <v>45804</v>
      </c>
      <c r="B1096" s="107" t="s">
        <v>313</v>
      </c>
      <c r="C1096" s="107" t="s">
        <v>319</v>
      </c>
      <c r="D1096" s="107" t="s">
        <v>324</v>
      </c>
      <c r="E1096" s="107" t="s">
        <v>339</v>
      </c>
      <c r="F1096" s="108">
        <v>34</v>
      </c>
      <c r="G1096" s="109">
        <v>13</v>
      </c>
      <c r="H1096" s="110">
        <f t="shared" si="35"/>
        <v>476</v>
      </c>
      <c r="I1096" s="111">
        <f t="shared" si="34"/>
        <v>23.8</v>
      </c>
    </row>
    <row r="1097" spans="1:9" x14ac:dyDescent="0.35">
      <c r="A1097" s="106">
        <v>45804</v>
      </c>
      <c r="B1097" s="107" t="s">
        <v>327</v>
      </c>
      <c r="C1097" s="107" t="s">
        <v>319</v>
      </c>
      <c r="D1097" s="107" t="s">
        <v>320</v>
      </c>
      <c r="E1097" s="107" t="s">
        <v>346</v>
      </c>
      <c r="F1097" s="108">
        <v>11</v>
      </c>
      <c r="G1097" s="109">
        <v>6</v>
      </c>
      <c r="H1097" s="110">
        <f t="shared" si="35"/>
        <v>77</v>
      </c>
      <c r="I1097" s="111">
        <f t="shared" si="34"/>
        <v>4.62</v>
      </c>
    </row>
    <row r="1098" spans="1:9" x14ac:dyDescent="0.35">
      <c r="A1098" s="106">
        <v>45804</v>
      </c>
      <c r="B1098" s="107" t="s">
        <v>322</v>
      </c>
      <c r="C1098" s="107" t="s">
        <v>319</v>
      </c>
      <c r="D1098" s="107" t="s">
        <v>338</v>
      </c>
      <c r="E1098" s="107" t="s">
        <v>346</v>
      </c>
      <c r="F1098" s="108">
        <v>23</v>
      </c>
      <c r="G1098" s="109">
        <v>17</v>
      </c>
      <c r="H1098" s="110">
        <f t="shared" si="35"/>
        <v>414</v>
      </c>
      <c r="I1098" s="111">
        <f t="shared" si="34"/>
        <v>24.84</v>
      </c>
    </row>
    <row r="1099" spans="1:9" x14ac:dyDescent="0.35">
      <c r="A1099" s="106">
        <v>45804</v>
      </c>
      <c r="B1099" s="107" t="s">
        <v>422</v>
      </c>
      <c r="C1099" s="107" t="s">
        <v>332</v>
      </c>
      <c r="D1099" s="107" t="s">
        <v>338</v>
      </c>
      <c r="E1099" s="107" t="s">
        <v>416</v>
      </c>
      <c r="F1099" s="108">
        <v>50</v>
      </c>
      <c r="G1099" s="109">
        <v>24</v>
      </c>
      <c r="H1099" s="110">
        <f t="shared" si="35"/>
        <v>1400</v>
      </c>
      <c r="I1099" s="111">
        <f t="shared" si="34"/>
        <v>84</v>
      </c>
    </row>
    <row r="1100" spans="1:9" x14ac:dyDescent="0.35">
      <c r="A1100" s="106">
        <v>45805</v>
      </c>
      <c r="B1100" s="107" t="s">
        <v>313</v>
      </c>
      <c r="C1100" s="107" t="s">
        <v>393</v>
      </c>
      <c r="D1100" s="107" t="s">
        <v>333</v>
      </c>
      <c r="E1100" s="107" t="s">
        <v>348</v>
      </c>
      <c r="F1100" s="108">
        <v>13</v>
      </c>
      <c r="G1100" s="109">
        <v>13</v>
      </c>
      <c r="H1100" s="110">
        <f t="shared" si="35"/>
        <v>195</v>
      </c>
      <c r="I1100" s="111">
        <f t="shared" si="34"/>
        <v>9.75</v>
      </c>
    </row>
    <row r="1101" spans="1:9" x14ac:dyDescent="0.35">
      <c r="A1101" s="106">
        <v>45805</v>
      </c>
      <c r="B1101" s="107" t="s">
        <v>313</v>
      </c>
      <c r="C1101" s="107" t="s">
        <v>393</v>
      </c>
      <c r="D1101" s="107" t="s">
        <v>320</v>
      </c>
      <c r="E1101" s="107" t="s">
        <v>339</v>
      </c>
      <c r="F1101" s="108">
        <v>47</v>
      </c>
      <c r="G1101" s="109">
        <v>13</v>
      </c>
      <c r="H1101" s="110">
        <f t="shared" si="35"/>
        <v>705</v>
      </c>
      <c r="I1101" s="111">
        <f t="shared" si="34"/>
        <v>42.3</v>
      </c>
    </row>
    <row r="1102" spans="1:9" x14ac:dyDescent="0.35">
      <c r="A1102" s="106">
        <v>45805</v>
      </c>
      <c r="B1102" s="107" t="s">
        <v>318</v>
      </c>
      <c r="C1102" s="107" t="s">
        <v>319</v>
      </c>
      <c r="D1102" s="107" t="s">
        <v>324</v>
      </c>
      <c r="E1102" s="107" t="s">
        <v>454</v>
      </c>
      <c r="F1102" s="108">
        <v>14</v>
      </c>
      <c r="G1102" s="109">
        <v>4</v>
      </c>
      <c r="H1102" s="110">
        <f t="shared" si="35"/>
        <v>70</v>
      </c>
      <c r="I1102" s="111">
        <f t="shared" si="34"/>
        <v>3.5</v>
      </c>
    </row>
    <row r="1103" spans="1:9" x14ac:dyDescent="0.35">
      <c r="A1103" s="106">
        <v>45805</v>
      </c>
      <c r="B1103" s="107" t="s">
        <v>318</v>
      </c>
      <c r="C1103" s="107" t="s">
        <v>332</v>
      </c>
      <c r="D1103" s="107" t="s">
        <v>320</v>
      </c>
      <c r="E1103" s="107" t="s">
        <v>346</v>
      </c>
      <c r="F1103" s="108">
        <v>51</v>
      </c>
      <c r="G1103" s="109">
        <v>4</v>
      </c>
      <c r="H1103" s="110">
        <f t="shared" si="35"/>
        <v>408</v>
      </c>
      <c r="I1103" s="111">
        <f t="shared" si="34"/>
        <v>24.48</v>
      </c>
    </row>
    <row r="1104" spans="1:9" x14ac:dyDescent="0.35">
      <c r="A1104" s="106">
        <v>45806</v>
      </c>
      <c r="B1104" s="107" t="s">
        <v>313</v>
      </c>
      <c r="C1104" s="107" t="s">
        <v>332</v>
      </c>
      <c r="D1104" s="107" t="s">
        <v>320</v>
      </c>
      <c r="E1104" s="107" t="s">
        <v>400</v>
      </c>
      <c r="F1104" s="108">
        <v>13</v>
      </c>
      <c r="G1104" s="109">
        <v>13</v>
      </c>
      <c r="H1104" s="110">
        <f t="shared" si="35"/>
        <v>221</v>
      </c>
      <c r="I1104" s="111">
        <f t="shared" si="34"/>
        <v>13.26</v>
      </c>
    </row>
    <row r="1105" spans="1:9" x14ac:dyDescent="0.35">
      <c r="A1105" s="106">
        <v>45806</v>
      </c>
      <c r="B1105" s="107" t="s">
        <v>322</v>
      </c>
      <c r="C1105" s="107" t="s">
        <v>393</v>
      </c>
      <c r="D1105" s="107" t="s">
        <v>423</v>
      </c>
      <c r="E1105" s="107" t="s">
        <v>350</v>
      </c>
      <c r="F1105" s="108">
        <v>29</v>
      </c>
      <c r="G1105" s="109">
        <v>17</v>
      </c>
      <c r="H1105" s="110">
        <f t="shared" si="35"/>
        <v>551</v>
      </c>
      <c r="I1105" s="111">
        <f t="shared" si="34"/>
        <v>33.06</v>
      </c>
    </row>
    <row r="1106" spans="1:9" x14ac:dyDescent="0.35">
      <c r="A1106" s="106">
        <v>45807</v>
      </c>
      <c r="B1106" s="107" t="s">
        <v>313</v>
      </c>
      <c r="C1106" s="107" t="s">
        <v>314</v>
      </c>
      <c r="D1106" s="107" t="s">
        <v>333</v>
      </c>
      <c r="E1106" s="107" t="s">
        <v>341</v>
      </c>
      <c r="F1106" s="108">
        <v>15</v>
      </c>
      <c r="G1106" s="109">
        <v>13</v>
      </c>
      <c r="H1106" s="110">
        <f t="shared" si="35"/>
        <v>240</v>
      </c>
      <c r="I1106" s="111">
        <f t="shared" si="34"/>
        <v>12</v>
      </c>
    </row>
    <row r="1107" spans="1:9" x14ac:dyDescent="0.35">
      <c r="A1107" s="106">
        <v>45807</v>
      </c>
      <c r="B1107" s="107" t="s">
        <v>422</v>
      </c>
      <c r="C1107" s="107" t="s">
        <v>393</v>
      </c>
      <c r="D1107" s="107" t="s">
        <v>390</v>
      </c>
      <c r="E1107" s="107" t="s">
        <v>329</v>
      </c>
      <c r="F1107" s="108">
        <v>29</v>
      </c>
      <c r="G1107" s="109">
        <v>24</v>
      </c>
      <c r="H1107" s="110">
        <f t="shared" si="35"/>
        <v>754</v>
      </c>
      <c r="I1107" s="111">
        <f t="shared" si="34"/>
        <v>37.700000000000003</v>
      </c>
    </row>
    <row r="1108" spans="1:9" x14ac:dyDescent="0.35">
      <c r="A1108" s="106">
        <v>45808</v>
      </c>
      <c r="B1108" s="107" t="s">
        <v>327</v>
      </c>
      <c r="C1108" s="107" t="s">
        <v>332</v>
      </c>
      <c r="D1108" s="107" t="s">
        <v>315</v>
      </c>
      <c r="E1108" s="107" t="s">
        <v>341</v>
      </c>
      <c r="F1108" s="108">
        <v>55</v>
      </c>
      <c r="G1108" s="109">
        <v>6</v>
      </c>
      <c r="H1108" s="110">
        <f t="shared" si="35"/>
        <v>550</v>
      </c>
      <c r="I1108" s="111">
        <f t="shared" si="34"/>
        <v>27.5</v>
      </c>
    </row>
    <row r="1109" spans="1:9" x14ac:dyDescent="0.35">
      <c r="A1109" s="106">
        <v>45808</v>
      </c>
      <c r="B1109" s="107" t="s">
        <v>422</v>
      </c>
      <c r="C1109" s="107" t="s">
        <v>393</v>
      </c>
      <c r="D1109" s="107" t="s">
        <v>423</v>
      </c>
      <c r="E1109" s="107" t="s">
        <v>416</v>
      </c>
      <c r="F1109" s="108">
        <v>44</v>
      </c>
      <c r="G1109" s="109">
        <v>24</v>
      </c>
      <c r="H1109" s="110">
        <f t="shared" si="35"/>
        <v>1144</v>
      </c>
      <c r="I1109" s="111">
        <f t="shared" si="34"/>
        <v>68.64</v>
      </c>
    </row>
    <row r="1110" spans="1:9" x14ac:dyDescent="0.35">
      <c r="A1110" s="106">
        <v>45808</v>
      </c>
      <c r="B1110" s="107" t="s">
        <v>313</v>
      </c>
      <c r="C1110" s="107" t="s">
        <v>332</v>
      </c>
      <c r="D1110" s="107" t="s">
        <v>320</v>
      </c>
      <c r="E1110" s="107" t="s">
        <v>343</v>
      </c>
      <c r="F1110" s="108">
        <v>28</v>
      </c>
      <c r="G1110" s="109">
        <v>13</v>
      </c>
      <c r="H1110" s="110">
        <f t="shared" si="35"/>
        <v>476</v>
      </c>
      <c r="I1110" s="111">
        <f t="shared" si="34"/>
        <v>28.56</v>
      </c>
    </row>
    <row r="1111" spans="1:9" x14ac:dyDescent="0.35">
      <c r="A1111" s="106">
        <v>45809</v>
      </c>
      <c r="B1111" s="107" t="s">
        <v>422</v>
      </c>
      <c r="C1111" s="107" t="s">
        <v>393</v>
      </c>
      <c r="D1111" s="107" t="s">
        <v>320</v>
      </c>
      <c r="E1111" s="107" t="s">
        <v>388</v>
      </c>
      <c r="F1111" s="108">
        <v>12</v>
      </c>
      <c r="G1111" s="109">
        <v>24</v>
      </c>
      <c r="H1111" s="110">
        <f t="shared" si="35"/>
        <v>312</v>
      </c>
      <c r="I1111" s="111">
        <f t="shared" si="34"/>
        <v>18.72</v>
      </c>
    </row>
    <row r="1112" spans="1:9" x14ac:dyDescent="0.35">
      <c r="A1112" s="106">
        <v>45809</v>
      </c>
      <c r="B1112" s="107" t="s">
        <v>327</v>
      </c>
      <c r="C1112" s="107" t="s">
        <v>314</v>
      </c>
      <c r="D1112" s="107" t="s">
        <v>315</v>
      </c>
      <c r="E1112" s="107" t="s">
        <v>340</v>
      </c>
      <c r="F1112" s="108">
        <v>41</v>
      </c>
      <c r="G1112" s="109">
        <v>6</v>
      </c>
      <c r="H1112" s="110">
        <f t="shared" si="35"/>
        <v>369</v>
      </c>
      <c r="I1112" s="111">
        <f t="shared" si="34"/>
        <v>18.45</v>
      </c>
    </row>
    <row r="1113" spans="1:9" x14ac:dyDescent="0.35">
      <c r="A1113" s="106">
        <v>45809</v>
      </c>
      <c r="B1113" s="107" t="s">
        <v>313</v>
      </c>
      <c r="C1113" s="107" t="s">
        <v>332</v>
      </c>
      <c r="D1113" s="107" t="s">
        <v>324</v>
      </c>
      <c r="E1113" s="107" t="s">
        <v>339</v>
      </c>
      <c r="F1113" s="108">
        <v>40</v>
      </c>
      <c r="G1113" s="109">
        <v>13</v>
      </c>
      <c r="H1113" s="110">
        <f t="shared" si="35"/>
        <v>680</v>
      </c>
      <c r="I1113" s="111">
        <f t="shared" si="34"/>
        <v>34</v>
      </c>
    </row>
    <row r="1114" spans="1:9" x14ac:dyDescent="0.35">
      <c r="A1114" s="106">
        <v>45811</v>
      </c>
      <c r="B1114" s="107" t="s">
        <v>422</v>
      </c>
      <c r="C1114" s="107" t="s">
        <v>314</v>
      </c>
      <c r="D1114" s="107" t="s">
        <v>324</v>
      </c>
      <c r="E1114" s="107" t="s">
        <v>337</v>
      </c>
      <c r="F1114" s="108">
        <v>17</v>
      </c>
      <c r="G1114" s="109">
        <v>24</v>
      </c>
      <c r="H1114" s="110">
        <f t="shared" si="35"/>
        <v>459</v>
      </c>
      <c r="I1114" s="111">
        <f t="shared" si="34"/>
        <v>22.950000000000003</v>
      </c>
    </row>
    <row r="1115" spans="1:9" x14ac:dyDescent="0.35">
      <c r="A1115" s="106">
        <v>45811</v>
      </c>
      <c r="B1115" s="107" t="s">
        <v>327</v>
      </c>
      <c r="C1115" s="107" t="s">
        <v>393</v>
      </c>
      <c r="D1115" s="107" t="s">
        <v>315</v>
      </c>
      <c r="E1115" s="107" t="s">
        <v>344</v>
      </c>
      <c r="F1115" s="108">
        <v>30</v>
      </c>
      <c r="G1115" s="109">
        <v>6</v>
      </c>
      <c r="H1115" s="110">
        <f t="shared" si="35"/>
        <v>240</v>
      </c>
      <c r="I1115" s="111">
        <f t="shared" si="34"/>
        <v>12</v>
      </c>
    </row>
    <row r="1116" spans="1:9" x14ac:dyDescent="0.35">
      <c r="A1116" s="106">
        <v>45812</v>
      </c>
      <c r="B1116" s="107" t="s">
        <v>313</v>
      </c>
      <c r="C1116" s="107" t="s">
        <v>314</v>
      </c>
      <c r="D1116" s="107" t="s">
        <v>423</v>
      </c>
      <c r="E1116" s="107" t="s">
        <v>340</v>
      </c>
      <c r="F1116" s="108">
        <v>22</v>
      </c>
      <c r="G1116" s="109">
        <v>13</v>
      </c>
      <c r="H1116" s="110">
        <f t="shared" si="35"/>
        <v>352</v>
      </c>
      <c r="I1116" s="111">
        <f t="shared" si="34"/>
        <v>21.119999999999997</v>
      </c>
    </row>
    <row r="1117" spans="1:9" x14ac:dyDescent="0.35">
      <c r="A1117" s="106">
        <v>45812</v>
      </c>
      <c r="B1117" s="107" t="s">
        <v>327</v>
      </c>
      <c r="C1117" s="107" t="s">
        <v>314</v>
      </c>
      <c r="D1117" s="107" t="s">
        <v>320</v>
      </c>
      <c r="E1117" s="107" t="s">
        <v>347</v>
      </c>
      <c r="F1117" s="108">
        <v>20</v>
      </c>
      <c r="G1117" s="109">
        <v>6</v>
      </c>
      <c r="H1117" s="110">
        <f t="shared" si="35"/>
        <v>180</v>
      </c>
      <c r="I1117" s="111">
        <f t="shared" si="34"/>
        <v>10.799999999999999</v>
      </c>
    </row>
    <row r="1118" spans="1:9" x14ac:dyDescent="0.35">
      <c r="A1118" s="106">
        <v>45813</v>
      </c>
      <c r="B1118" s="107" t="s">
        <v>327</v>
      </c>
      <c r="C1118" s="107" t="s">
        <v>314</v>
      </c>
      <c r="D1118" s="107" t="s">
        <v>324</v>
      </c>
      <c r="E1118" s="107" t="s">
        <v>340</v>
      </c>
      <c r="F1118" s="108">
        <v>26</v>
      </c>
      <c r="G1118" s="109">
        <v>6</v>
      </c>
      <c r="H1118" s="110">
        <f t="shared" si="35"/>
        <v>234</v>
      </c>
      <c r="I1118" s="111">
        <f t="shared" si="34"/>
        <v>11.700000000000001</v>
      </c>
    </row>
    <row r="1119" spans="1:9" x14ac:dyDescent="0.35">
      <c r="A1119" s="106">
        <v>45813</v>
      </c>
      <c r="B1119" s="107" t="s">
        <v>327</v>
      </c>
      <c r="C1119" s="107" t="s">
        <v>314</v>
      </c>
      <c r="D1119" s="107" t="s">
        <v>423</v>
      </c>
      <c r="E1119" s="107" t="s">
        <v>340</v>
      </c>
      <c r="F1119" s="108">
        <v>39</v>
      </c>
      <c r="G1119" s="109">
        <v>6</v>
      </c>
      <c r="H1119" s="110">
        <f t="shared" si="35"/>
        <v>351</v>
      </c>
      <c r="I1119" s="111">
        <f t="shared" si="34"/>
        <v>21.06</v>
      </c>
    </row>
    <row r="1120" spans="1:9" x14ac:dyDescent="0.35">
      <c r="A1120" s="106">
        <v>45813</v>
      </c>
      <c r="B1120" s="107" t="s">
        <v>313</v>
      </c>
      <c r="C1120" s="107" t="s">
        <v>332</v>
      </c>
      <c r="D1120" s="107" t="s">
        <v>324</v>
      </c>
      <c r="E1120" s="107" t="s">
        <v>344</v>
      </c>
      <c r="F1120" s="108">
        <v>48</v>
      </c>
      <c r="G1120" s="109">
        <v>13</v>
      </c>
      <c r="H1120" s="110">
        <f t="shared" si="35"/>
        <v>816</v>
      </c>
      <c r="I1120" s="111">
        <f t="shared" si="34"/>
        <v>40.800000000000004</v>
      </c>
    </row>
    <row r="1121" spans="1:9" x14ac:dyDescent="0.35">
      <c r="A1121" s="106">
        <v>45813</v>
      </c>
      <c r="B1121" s="107" t="s">
        <v>322</v>
      </c>
      <c r="C1121" s="107" t="s">
        <v>332</v>
      </c>
      <c r="D1121" s="107" t="s">
        <v>333</v>
      </c>
      <c r="E1121" s="107" t="s">
        <v>335</v>
      </c>
      <c r="F1121" s="108">
        <v>58</v>
      </c>
      <c r="G1121" s="109">
        <v>17</v>
      </c>
      <c r="H1121" s="110">
        <f t="shared" si="35"/>
        <v>1218</v>
      </c>
      <c r="I1121" s="111">
        <f t="shared" si="34"/>
        <v>60.900000000000006</v>
      </c>
    </row>
    <row r="1122" spans="1:9" x14ac:dyDescent="0.35">
      <c r="A1122" s="106">
        <v>45814</v>
      </c>
      <c r="B1122" s="107" t="s">
        <v>422</v>
      </c>
      <c r="C1122" s="107" t="s">
        <v>314</v>
      </c>
      <c r="D1122" s="107" t="s">
        <v>324</v>
      </c>
      <c r="E1122" s="107" t="s">
        <v>346</v>
      </c>
      <c r="F1122" s="108">
        <v>61</v>
      </c>
      <c r="G1122" s="109">
        <v>24</v>
      </c>
      <c r="H1122" s="110">
        <f t="shared" si="35"/>
        <v>1647</v>
      </c>
      <c r="I1122" s="111">
        <f t="shared" si="34"/>
        <v>82.350000000000009</v>
      </c>
    </row>
    <row r="1123" spans="1:9" x14ac:dyDescent="0.35">
      <c r="A1123" s="106">
        <v>45814</v>
      </c>
      <c r="B1123" s="107" t="s">
        <v>322</v>
      </c>
      <c r="C1123" s="107" t="s">
        <v>314</v>
      </c>
      <c r="D1123" s="107" t="s">
        <v>315</v>
      </c>
      <c r="E1123" s="107" t="s">
        <v>343</v>
      </c>
      <c r="F1123" s="108">
        <v>20</v>
      </c>
      <c r="G1123" s="109">
        <v>17</v>
      </c>
      <c r="H1123" s="110">
        <f t="shared" si="35"/>
        <v>400</v>
      </c>
      <c r="I1123" s="111">
        <f t="shared" si="34"/>
        <v>20</v>
      </c>
    </row>
    <row r="1124" spans="1:9" x14ac:dyDescent="0.35">
      <c r="A1124" s="106">
        <v>45814</v>
      </c>
      <c r="B1124" s="107" t="s">
        <v>313</v>
      </c>
      <c r="C1124" s="107" t="s">
        <v>393</v>
      </c>
      <c r="D1124" s="107" t="s">
        <v>315</v>
      </c>
      <c r="E1124" s="107" t="s">
        <v>405</v>
      </c>
      <c r="F1124" s="108">
        <v>30</v>
      </c>
      <c r="G1124" s="109">
        <v>13</v>
      </c>
      <c r="H1124" s="110">
        <f t="shared" si="35"/>
        <v>450</v>
      </c>
      <c r="I1124" s="111">
        <f t="shared" si="34"/>
        <v>22.5</v>
      </c>
    </row>
    <row r="1125" spans="1:9" x14ac:dyDescent="0.35">
      <c r="A1125" s="106">
        <v>45815</v>
      </c>
      <c r="B1125" s="107" t="s">
        <v>322</v>
      </c>
      <c r="C1125" s="107" t="s">
        <v>314</v>
      </c>
      <c r="D1125" s="107" t="s">
        <v>333</v>
      </c>
      <c r="E1125" s="107" t="s">
        <v>348</v>
      </c>
      <c r="F1125" s="108">
        <v>64</v>
      </c>
      <c r="G1125" s="109">
        <v>17</v>
      </c>
      <c r="H1125" s="110">
        <f t="shared" si="35"/>
        <v>1280</v>
      </c>
      <c r="I1125" s="111">
        <f t="shared" si="34"/>
        <v>64</v>
      </c>
    </row>
    <row r="1126" spans="1:9" x14ac:dyDescent="0.35">
      <c r="A1126" s="106">
        <v>45815</v>
      </c>
      <c r="B1126" s="107" t="s">
        <v>322</v>
      </c>
      <c r="C1126" s="107" t="s">
        <v>319</v>
      </c>
      <c r="D1126" s="107" t="s">
        <v>333</v>
      </c>
      <c r="E1126" s="107" t="s">
        <v>339</v>
      </c>
      <c r="F1126" s="108">
        <v>26</v>
      </c>
      <c r="G1126" s="109">
        <v>17</v>
      </c>
      <c r="H1126" s="110">
        <f t="shared" si="35"/>
        <v>468</v>
      </c>
      <c r="I1126" s="111">
        <f t="shared" si="34"/>
        <v>23.400000000000002</v>
      </c>
    </row>
    <row r="1127" spans="1:9" x14ac:dyDescent="0.35">
      <c r="A1127" s="106">
        <v>45815</v>
      </c>
      <c r="B1127" s="107" t="s">
        <v>322</v>
      </c>
      <c r="C1127" s="107" t="s">
        <v>393</v>
      </c>
      <c r="D1127" s="107" t="s">
        <v>423</v>
      </c>
      <c r="E1127" s="107" t="s">
        <v>416</v>
      </c>
      <c r="F1127" s="108">
        <v>48</v>
      </c>
      <c r="G1127" s="109">
        <v>17</v>
      </c>
      <c r="H1127" s="110">
        <f t="shared" si="35"/>
        <v>912</v>
      </c>
      <c r="I1127" s="111">
        <f t="shared" si="34"/>
        <v>54.72</v>
      </c>
    </row>
    <row r="1128" spans="1:9" x14ac:dyDescent="0.35">
      <c r="A1128" s="106">
        <v>45815</v>
      </c>
      <c r="B1128" s="107" t="s">
        <v>327</v>
      </c>
      <c r="C1128" s="107" t="s">
        <v>314</v>
      </c>
      <c r="D1128" s="107" t="s">
        <v>324</v>
      </c>
      <c r="E1128" s="107" t="s">
        <v>344</v>
      </c>
      <c r="F1128" s="108">
        <v>29</v>
      </c>
      <c r="G1128" s="109">
        <v>6</v>
      </c>
      <c r="H1128" s="110">
        <f t="shared" si="35"/>
        <v>261</v>
      </c>
      <c r="I1128" s="111">
        <f t="shared" si="34"/>
        <v>13.05</v>
      </c>
    </row>
    <row r="1129" spans="1:9" x14ac:dyDescent="0.35">
      <c r="A1129" s="106">
        <v>45816</v>
      </c>
      <c r="B1129" s="107" t="s">
        <v>322</v>
      </c>
      <c r="C1129" s="107" t="s">
        <v>393</v>
      </c>
      <c r="D1129" s="107" t="s">
        <v>315</v>
      </c>
      <c r="E1129" s="107" t="s">
        <v>455</v>
      </c>
      <c r="F1129" s="108">
        <v>37</v>
      </c>
      <c r="G1129" s="109">
        <v>17</v>
      </c>
      <c r="H1129" s="110">
        <f t="shared" si="35"/>
        <v>703</v>
      </c>
      <c r="I1129" s="111">
        <f t="shared" si="34"/>
        <v>35.15</v>
      </c>
    </row>
    <row r="1130" spans="1:9" x14ac:dyDescent="0.35">
      <c r="A1130" s="106">
        <v>45816</v>
      </c>
      <c r="B1130" s="107" t="s">
        <v>318</v>
      </c>
      <c r="C1130" s="107" t="s">
        <v>332</v>
      </c>
      <c r="D1130" s="107" t="s">
        <v>333</v>
      </c>
      <c r="E1130" s="107" t="s">
        <v>341</v>
      </c>
      <c r="F1130" s="108">
        <v>65</v>
      </c>
      <c r="G1130" s="109">
        <v>4</v>
      </c>
      <c r="H1130" s="110">
        <f t="shared" si="35"/>
        <v>520</v>
      </c>
      <c r="I1130" s="111">
        <f t="shared" si="34"/>
        <v>26</v>
      </c>
    </row>
    <row r="1131" spans="1:9" x14ac:dyDescent="0.35">
      <c r="A1131" s="106">
        <v>45816</v>
      </c>
      <c r="B1131" s="107" t="s">
        <v>422</v>
      </c>
      <c r="C1131" s="107" t="s">
        <v>332</v>
      </c>
      <c r="D1131" s="107" t="s">
        <v>423</v>
      </c>
      <c r="E1131" s="107" t="s">
        <v>348</v>
      </c>
      <c r="F1131" s="108">
        <v>10</v>
      </c>
      <c r="G1131" s="109">
        <v>24</v>
      </c>
      <c r="H1131" s="110">
        <f t="shared" si="35"/>
        <v>280</v>
      </c>
      <c r="I1131" s="111">
        <f t="shared" si="34"/>
        <v>16.8</v>
      </c>
    </row>
    <row r="1132" spans="1:9" x14ac:dyDescent="0.35">
      <c r="A1132" s="106">
        <v>45816</v>
      </c>
      <c r="B1132" s="107" t="s">
        <v>422</v>
      </c>
      <c r="C1132" s="107" t="s">
        <v>319</v>
      </c>
      <c r="D1132" s="107" t="s">
        <v>423</v>
      </c>
      <c r="E1132" s="107" t="s">
        <v>454</v>
      </c>
      <c r="F1132" s="108">
        <v>63</v>
      </c>
      <c r="G1132" s="109">
        <v>24</v>
      </c>
      <c r="H1132" s="110">
        <f t="shared" si="35"/>
        <v>1575</v>
      </c>
      <c r="I1132" s="111">
        <f t="shared" si="34"/>
        <v>94.5</v>
      </c>
    </row>
    <row r="1133" spans="1:9" x14ac:dyDescent="0.35">
      <c r="A1133" s="106">
        <v>45817</v>
      </c>
      <c r="B1133" s="107" t="s">
        <v>318</v>
      </c>
      <c r="C1133" s="107" t="s">
        <v>314</v>
      </c>
      <c r="D1133" s="107" t="s">
        <v>320</v>
      </c>
      <c r="E1133" s="107" t="s">
        <v>348</v>
      </c>
      <c r="F1133" s="108">
        <v>50</v>
      </c>
      <c r="G1133" s="109">
        <v>4</v>
      </c>
      <c r="H1133" s="110">
        <f t="shared" si="35"/>
        <v>350</v>
      </c>
      <c r="I1133" s="111">
        <f t="shared" si="34"/>
        <v>21</v>
      </c>
    </row>
    <row r="1134" spans="1:9" x14ac:dyDescent="0.35">
      <c r="A1134" s="106">
        <v>45817</v>
      </c>
      <c r="B1134" s="107" t="s">
        <v>313</v>
      </c>
      <c r="C1134" s="107" t="s">
        <v>319</v>
      </c>
      <c r="D1134" s="107" t="s">
        <v>315</v>
      </c>
      <c r="E1134" s="107" t="s">
        <v>340</v>
      </c>
      <c r="F1134" s="108">
        <v>54</v>
      </c>
      <c r="G1134" s="109">
        <v>13</v>
      </c>
      <c r="H1134" s="110">
        <f t="shared" si="35"/>
        <v>756</v>
      </c>
      <c r="I1134" s="111">
        <f t="shared" si="34"/>
        <v>37.800000000000004</v>
      </c>
    </row>
    <row r="1135" spans="1:9" x14ac:dyDescent="0.35">
      <c r="A1135" s="106">
        <v>45817</v>
      </c>
      <c r="B1135" s="107" t="s">
        <v>318</v>
      </c>
      <c r="C1135" s="107" t="s">
        <v>332</v>
      </c>
      <c r="D1135" s="107" t="s">
        <v>423</v>
      </c>
      <c r="E1135" s="107" t="s">
        <v>316</v>
      </c>
      <c r="F1135" s="108">
        <v>44</v>
      </c>
      <c r="G1135" s="109">
        <v>4</v>
      </c>
      <c r="H1135" s="110">
        <f t="shared" si="35"/>
        <v>352</v>
      </c>
      <c r="I1135" s="111">
        <f t="shared" si="34"/>
        <v>21.119999999999997</v>
      </c>
    </row>
    <row r="1136" spans="1:9" x14ac:dyDescent="0.35">
      <c r="A1136" s="106">
        <v>45818</v>
      </c>
      <c r="B1136" s="107" t="s">
        <v>322</v>
      </c>
      <c r="C1136" s="107" t="s">
        <v>393</v>
      </c>
      <c r="D1136" s="107" t="s">
        <v>333</v>
      </c>
      <c r="E1136" s="107" t="s">
        <v>346</v>
      </c>
      <c r="F1136" s="108">
        <v>28</v>
      </c>
      <c r="G1136" s="109">
        <v>17</v>
      </c>
      <c r="H1136" s="110">
        <f t="shared" si="35"/>
        <v>532</v>
      </c>
      <c r="I1136" s="111">
        <f t="shared" si="34"/>
        <v>26.6</v>
      </c>
    </row>
    <row r="1137" spans="1:9" x14ac:dyDescent="0.35">
      <c r="A1137" s="106">
        <v>45818</v>
      </c>
      <c r="B1137" s="107" t="s">
        <v>318</v>
      </c>
      <c r="C1137" s="107" t="s">
        <v>332</v>
      </c>
      <c r="D1137" s="107" t="s">
        <v>423</v>
      </c>
      <c r="E1137" s="107" t="s">
        <v>394</v>
      </c>
      <c r="F1137" s="108">
        <v>46</v>
      </c>
      <c r="G1137" s="109">
        <v>4</v>
      </c>
      <c r="H1137" s="110">
        <f t="shared" si="35"/>
        <v>368</v>
      </c>
      <c r="I1137" s="111">
        <f t="shared" si="34"/>
        <v>22.08</v>
      </c>
    </row>
    <row r="1138" spans="1:9" x14ac:dyDescent="0.35">
      <c r="A1138" s="106">
        <v>45818</v>
      </c>
      <c r="B1138" s="107" t="s">
        <v>318</v>
      </c>
      <c r="C1138" s="107" t="s">
        <v>319</v>
      </c>
      <c r="D1138" s="107" t="s">
        <v>315</v>
      </c>
      <c r="E1138" s="107" t="s">
        <v>344</v>
      </c>
      <c r="F1138" s="108">
        <v>48</v>
      </c>
      <c r="G1138" s="109">
        <v>4</v>
      </c>
      <c r="H1138" s="110">
        <f t="shared" si="35"/>
        <v>240</v>
      </c>
      <c r="I1138" s="111">
        <f t="shared" si="34"/>
        <v>12</v>
      </c>
    </row>
    <row r="1139" spans="1:9" x14ac:dyDescent="0.35">
      <c r="A1139" s="106">
        <v>45820</v>
      </c>
      <c r="B1139" s="107" t="s">
        <v>327</v>
      </c>
      <c r="C1139" s="107" t="s">
        <v>332</v>
      </c>
      <c r="D1139" s="107" t="s">
        <v>324</v>
      </c>
      <c r="E1139" s="107" t="s">
        <v>329</v>
      </c>
      <c r="F1139" s="108">
        <v>8</v>
      </c>
      <c r="G1139" s="109">
        <v>6</v>
      </c>
      <c r="H1139" s="110">
        <f t="shared" si="35"/>
        <v>80</v>
      </c>
      <c r="I1139" s="111">
        <f t="shared" si="34"/>
        <v>4</v>
      </c>
    </row>
    <row r="1140" spans="1:9" x14ac:dyDescent="0.35">
      <c r="A1140" s="106">
        <v>45820</v>
      </c>
      <c r="B1140" s="107" t="s">
        <v>318</v>
      </c>
      <c r="C1140" s="107" t="s">
        <v>314</v>
      </c>
      <c r="D1140" s="107" t="s">
        <v>338</v>
      </c>
      <c r="E1140" s="107" t="s">
        <v>394</v>
      </c>
      <c r="F1140" s="108">
        <v>14</v>
      </c>
      <c r="G1140" s="109">
        <v>4</v>
      </c>
      <c r="H1140" s="110">
        <f t="shared" si="35"/>
        <v>98</v>
      </c>
      <c r="I1140" s="111">
        <f t="shared" si="34"/>
        <v>5.88</v>
      </c>
    </row>
    <row r="1141" spans="1:9" x14ac:dyDescent="0.35">
      <c r="A1141" s="106">
        <v>45821</v>
      </c>
      <c r="B1141" s="107" t="s">
        <v>422</v>
      </c>
      <c r="C1141" s="107" t="s">
        <v>332</v>
      </c>
      <c r="D1141" s="107" t="s">
        <v>423</v>
      </c>
      <c r="E1141" s="107" t="s">
        <v>455</v>
      </c>
      <c r="F1141" s="108">
        <v>65</v>
      </c>
      <c r="G1141" s="109">
        <v>24</v>
      </c>
      <c r="H1141" s="110">
        <f t="shared" si="35"/>
        <v>1820</v>
      </c>
      <c r="I1141" s="111">
        <f t="shared" si="34"/>
        <v>109.2</v>
      </c>
    </row>
    <row r="1142" spans="1:9" x14ac:dyDescent="0.35">
      <c r="A1142" s="106">
        <v>45821</v>
      </c>
      <c r="B1142" s="107" t="s">
        <v>422</v>
      </c>
      <c r="C1142" s="107" t="s">
        <v>319</v>
      </c>
      <c r="D1142" s="107" t="s">
        <v>324</v>
      </c>
      <c r="E1142" s="107" t="s">
        <v>341</v>
      </c>
      <c r="F1142" s="108">
        <v>51</v>
      </c>
      <c r="G1142" s="109">
        <v>24</v>
      </c>
      <c r="H1142" s="110">
        <f t="shared" si="35"/>
        <v>1275</v>
      </c>
      <c r="I1142" s="111">
        <f t="shared" si="34"/>
        <v>63.75</v>
      </c>
    </row>
    <row r="1143" spans="1:9" x14ac:dyDescent="0.35">
      <c r="A1143" s="106">
        <v>45821</v>
      </c>
      <c r="B1143" s="107" t="s">
        <v>322</v>
      </c>
      <c r="C1143" s="107" t="s">
        <v>393</v>
      </c>
      <c r="D1143" s="107" t="s">
        <v>338</v>
      </c>
      <c r="E1143" s="107" t="s">
        <v>345</v>
      </c>
      <c r="F1143" s="108">
        <v>48</v>
      </c>
      <c r="G1143" s="109">
        <v>17</v>
      </c>
      <c r="H1143" s="110">
        <f t="shared" si="35"/>
        <v>912</v>
      </c>
      <c r="I1143" s="111">
        <f t="shared" si="34"/>
        <v>54.72</v>
      </c>
    </row>
    <row r="1144" spans="1:9" x14ac:dyDescent="0.35">
      <c r="A1144" s="106">
        <v>45822</v>
      </c>
      <c r="B1144" s="107" t="s">
        <v>327</v>
      </c>
      <c r="C1144" s="107" t="s">
        <v>393</v>
      </c>
      <c r="D1144" s="107" t="s">
        <v>315</v>
      </c>
      <c r="E1144" s="107" t="s">
        <v>345</v>
      </c>
      <c r="F1144" s="108">
        <v>62</v>
      </c>
      <c r="G1144" s="109">
        <v>6</v>
      </c>
      <c r="H1144" s="110">
        <f t="shared" si="35"/>
        <v>496</v>
      </c>
      <c r="I1144" s="111">
        <f t="shared" si="34"/>
        <v>24.8</v>
      </c>
    </row>
    <row r="1145" spans="1:9" x14ac:dyDescent="0.35">
      <c r="A1145" s="106">
        <v>45822</v>
      </c>
      <c r="B1145" s="107" t="s">
        <v>318</v>
      </c>
      <c r="C1145" s="107" t="s">
        <v>393</v>
      </c>
      <c r="D1145" s="107" t="s">
        <v>333</v>
      </c>
      <c r="E1145" s="107" t="s">
        <v>343</v>
      </c>
      <c r="F1145" s="108">
        <v>21</v>
      </c>
      <c r="G1145" s="109">
        <v>4</v>
      </c>
      <c r="H1145" s="110">
        <f t="shared" si="35"/>
        <v>126</v>
      </c>
      <c r="I1145" s="111">
        <f t="shared" si="34"/>
        <v>6.3000000000000007</v>
      </c>
    </row>
    <row r="1146" spans="1:9" x14ac:dyDescent="0.35">
      <c r="A1146" s="106">
        <v>45822</v>
      </c>
      <c r="B1146" s="107" t="s">
        <v>322</v>
      </c>
      <c r="C1146" s="107" t="s">
        <v>314</v>
      </c>
      <c r="D1146" s="107" t="s">
        <v>423</v>
      </c>
      <c r="E1146" s="107" t="s">
        <v>343</v>
      </c>
      <c r="F1146" s="108">
        <v>6</v>
      </c>
      <c r="G1146" s="109">
        <v>17</v>
      </c>
      <c r="H1146" s="110">
        <f t="shared" si="35"/>
        <v>120</v>
      </c>
      <c r="I1146" s="111">
        <f t="shared" si="34"/>
        <v>7.1999999999999993</v>
      </c>
    </row>
    <row r="1147" spans="1:9" x14ac:dyDescent="0.35">
      <c r="A1147" s="106">
        <v>45823</v>
      </c>
      <c r="B1147" s="107" t="s">
        <v>422</v>
      </c>
      <c r="C1147" s="107" t="s">
        <v>319</v>
      </c>
      <c r="D1147" s="107" t="s">
        <v>423</v>
      </c>
      <c r="E1147" s="107" t="s">
        <v>346</v>
      </c>
      <c r="F1147" s="108">
        <v>39</v>
      </c>
      <c r="G1147" s="109">
        <v>24</v>
      </c>
      <c r="H1147" s="110">
        <f t="shared" si="35"/>
        <v>975</v>
      </c>
      <c r="I1147" s="111">
        <f t="shared" si="34"/>
        <v>58.5</v>
      </c>
    </row>
    <row r="1148" spans="1:9" x14ac:dyDescent="0.35">
      <c r="A1148" s="106">
        <v>45823</v>
      </c>
      <c r="B1148" s="107" t="s">
        <v>313</v>
      </c>
      <c r="C1148" s="107" t="s">
        <v>393</v>
      </c>
      <c r="D1148" s="107" t="s">
        <v>320</v>
      </c>
      <c r="E1148" s="107" t="s">
        <v>343</v>
      </c>
      <c r="F1148" s="108">
        <v>11</v>
      </c>
      <c r="G1148" s="109">
        <v>13</v>
      </c>
      <c r="H1148" s="110">
        <f t="shared" si="35"/>
        <v>165</v>
      </c>
      <c r="I1148" s="111">
        <f t="shared" si="34"/>
        <v>9.9</v>
      </c>
    </row>
    <row r="1149" spans="1:9" x14ac:dyDescent="0.35">
      <c r="A1149" s="106">
        <v>45824</v>
      </c>
      <c r="B1149" s="107" t="s">
        <v>327</v>
      </c>
      <c r="C1149" s="107" t="s">
        <v>393</v>
      </c>
      <c r="D1149" s="107" t="s">
        <v>423</v>
      </c>
      <c r="E1149" s="107" t="s">
        <v>342</v>
      </c>
      <c r="F1149" s="108">
        <v>30</v>
      </c>
      <c r="G1149" s="109">
        <v>6</v>
      </c>
      <c r="H1149" s="110">
        <f t="shared" si="35"/>
        <v>240</v>
      </c>
      <c r="I1149" s="111">
        <f t="shared" si="34"/>
        <v>14.399999999999999</v>
      </c>
    </row>
    <row r="1150" spans="1:9" x14ac:dyDescent="0.35">
      <c r="A1150" s="106">
        <v>45824</v>
      </c>
      <c r="B1150" s="107" t="s">
        <v>327</v>
      </c>
      <c r="C1150" s="107" t="s">
        <v>314</v>
      </c>
      <c r="D1150" s="107" t="s">
        <v>333</v>
      </c>
      <c r="E1150" s="107" t="s">
        <v>400</v>
      </c>
      <c r="F1150" s="108">
        <v>51</v>
      </c>
      <c r="G1150" s="109">
        <v>6</v>
      </c>
      <c r="H1150" s="110">
        <f t="shared" si="35"/>
        <v>459</v>
      </c>
      <c r="I1150" s="111">
        <f t="shared" si="34"/>
        <v>22.950000000000003</v>
      </c>
    </row>
    <row r="1151" spans="1:9" x14ac:dyDescent="0.35">
      <c r="A1151" s="106">
        <v>45824</v>
      </c>
      <c r="B1151" s="107" t="s">
        <v>322</v>
      </c>
      <c r="C1151" s="107" t="s">
        <v>393</v>
      </c>
      <c r="D1151" s="107" t="s">
        <v>320</v>
      </c>
      <c r="E1151" s="107" t="s">
        <v>331</v>
      </c>
      <c r="F1151" s="108">
        <v>40</v>
      </c>
      <c r="G1151" s="109">
        <v>17</v>
      </c>
      <c r="H1151" s="110">
        <f t="shared" si="35"/>
        <v>760</v>
      </c>
      <c r="I1151" s="111">
        <f t="shared" si="34"/>
        <v>45.6</v>
      </c>
    </row>
    <row r="1152" spans="1:9" x14ac:dyDescent="0.35">
      <c r="A1152" s="106">
        <v>45825</v>
      </c>
      <c r="B1152" s="107" t="s">
        <v>313</v>
      </c>
      <c r="C1152" s="107" t="s">
        <v>314</v>
      </c>
      <c r="D1152" s="107" t="s">
        <v>315</v>
      </c>
      <c r="E1152" s="107" t="s">
        <v>348</v>
      </c>
      <c r="F1152" s="108">
        <v>45</v>
      </c>
      <c r="G1152" s="109">
        <v>13</v>
      </c>
      <c r="H1152" s="110">
        <f t="shared" si="35"/>
        <v>720</v>
      </c>
      <c r="I1152" s="111">
        <f t="shared" si="34"/>
        <v>36</v>
      </c>
    </row>
    <row r="1153" spans="1:9" x14ac:dyDescent="0.35">
      <c r="A1153" s="106">
        <v>45825</v>
      </c>
      <c r="B1153" s="107" t="s">
        <v>422</v>
      </c>
      <c r="C1153" s="107" t="s">
        <v>393</v>
      </c>
      <c r="D1153" s="107" t="s">
        <v>320</v>
      </c>
      <c r="E1153" s="107" t="s">
        <v>346</v>
      </c>
      <c r="F1153" s="108">
        <v>51</v>
      </c>
      <c r="G1153" s="109">
        <v>24</v>
      </c>
      <c r="H1153" s="110">
        <f t="shared" si="35"/>
        <v>1326</v>
      </c>
      <c r="I1153" s="111">
        <f t="shared" si="34"/>
        <v>79.56</v>
      </c>
    </row>
    <row r="1154" spans="1:9" x14ac:dyDescent="0.35">
      <c r="A1154" s="106">
        <v>45825</v>
      </c>
      <c r="B1154" s="107" t="s">
        <v>422</v>
      </c>
      <c r="C1154" s="107" t="s">
        <v>393</v>
      </c>
      <c r="D1154" s="107" t="s">
        <v>423</v>
      </c>
      <c r="E1154" s="107" t="s">
        <v>350</v>
      </c>
      <c r="F1154" s="108">
        <v>23</v>
      </c>
      <c r="G1154" s="109">
        <v>24</v>
      </c>
      <c r="H1154" s="110">
        <f t="shared" si="35"/>
        <v>598</v>
      </c>
      <c r="I1154" s="111">
        <f t="shared" ref="I1154:I1217" si="36">H1154*VLOOKUP(D1154,$O$4:$P$10,2,TRUE)</f>
        <v>35.879999999999995</v>
      </c>
    </row>
    <row r="1155" spans="1:9" x14ac:dyDescent="0.35">
      <c r="A1155" s="106">
        <v>45825</v>
      </c>
      <c r="B1155" s="107" t="s">
        <v>318</v>
      </c>
      <c r="C1155" s="107" t="s">
        <v>393</v>
      </c>
      <c r="D1155" s="107" t="s">
        <v>423</v>
      </c>
      <c r="E1155" s="107" t="s">
        <v>316</v>
      </c>
      <c r="F1155" s="108">
        <v>27</v>
      </c>
      <c r="G1155" s="109">
        <v>4</v>
      </c>
      <c r="H1155" s="110">
        <f t="shared" ref="H1155:H1218" si="37">(F1155*G1155)+VLOOKUP(C1155,$K$11:$L$14,2,FALSE)*F1155</f>
        <v>162</v>
      </c>
      <c r="I1155" s="111">
        <f t="shared" si="36"/>
        <v>9.7199999999999989</v>
      </c>
    </row>
    <row r="1156" spans="1:9" x14ac:dyDescent="0.35">
      <c r="A1156" s="106">
        <v>45826</v>
      </c>
      <c r="B1156" s="107" t="s">
        <v>327</v>
      </c>
      <c r="C1156" s="107" t="s">
        <v>332</v>
      </c>
      <c r="D1156" s="107" t="s">
        <v>333</v>
      </c>
      <c r="E1156" s="107" t="s">
        <v>455</v>
      </c>
      <c r="F1156" s="108">
        <v>22</v>
      </c>
      <c r="G1156" s="109">
        <v>6</v>
      </c>
      <c r="H1156" s="110">
        <f t="shared" si="37"/>
        <v>220</v>
      </c>
      <c r="I1156" s="111">
        <f t="shared" si="36"/>
        <v>11</v>
      </c>
    </row>
    <row r="1157" spans="1:9" x14ac:dyDescent="0.35">
      <c r="A1157" s="106">
        <v>45826</v>
      </c>
      <c r="B1157" s="107" t="s">
        <v>327</v>
      </c>
      <c r="C1157" s="107" t="s">
        <v>332</v>
      </c>
      <c r="D1157" s="107" t="s">
        <v>423</v>
      </c>
      <c r="E1157" s="107" t="s">
        <v>341</v>
      </c>
      <c r="F1157" s="108">
        <v>23</v>
      </c>
      <c r="G1157" s="109">
        <v>6</v>
      </c>
      <c r="H1157" s="110">
        <f t="shared" si="37"/>
        <v>230</v>
      </c>
      <c r="I1157" s="111">
        <f t="shared" si="36"/>
        <v>13.799999999999999</v>
      </c>
    </row>
    <row r="1158" spans="1:9" x14ac:dyDescent="0.35">
      <c r="A1158" s="106">
        <v>45826</v>
      </c>
      <c r="B1158" s="107" t="s">
        <v>327</v>
      </c>
      <c r="C1158" s="107" t="s">
        <v>332</v>
      </c>
      <c r="D1158" s="107" t="s">
        <v>315</v>
      </c>
      <c r="E1158" s="107" t="s">
        <v>339</v>
      </c>
      <c r="F1158" s="108">
        <v>50</v>
      </c>
      <c r="G1158" s="109">
        <v>6</v>
      </c>
      <c r="H1158" s="110">
        <f t="shared" si="37"/>
        <v>500</v>
      </c>
      <c r="I1158" s="111">
        <f t="shared" si="36"/>
        <v>25</v>
      </c>
    </row>
    <row r="1159" spans="1:9" x14ac:dyDescent="0.35">
      <c r="A1159" s="106">
        <v>45826</v>
      </c>
      <c r="B1159" s="107" t="s">
        <v>422</v>
      </c>
      <c r="C1159" s="107" t="s">
        <v>314</v>
      </c>
      <c r="D1159" s="107" t="s">
        <v>423</v>
      </c>
      <c r="E1159" s="107" t="s">
        <v>405</v>
      </c>
      <c r="F1159" s="108">
        <v>53</v>
      </c>
      <c r="G1159" s="109">
        <v>24</v>
      </c>
      <c r="H1159" s="110">
        <f t="shared" si="37"/>
        <v>1431</v>
      </c>
      <c r="I1159" s="111">
        <f t="shared" si="36"/>
        <v>85.86</v>
      </c>
    </row>
    <row r="1160" spans="1:9" x14ac:dyDescent="0.35">
      <c r="A1160" s="106">
        <v>45827</v>
      </c>
      <c r="B1160" s="107" t="s">
        <v>313</v>
      </c>
      <c r="C1160" s="107" t="s">
        <v>393</v>
      </c>
      <c r="D1160" s="107" t="s">
        <v>423</v>
      </c>
      <c r="E1160" s="107" t="s">
        <v>455</v>
      </c>
      <c r="F1160" s="108">
        <v>28</v>
      </c>
      <c r="G1160" s="109">
        <v>13</v>
      </c>
      <c r="H1160" s="110">
        <f t="shared" si="37"/>
        <v>420</v>
      </c>
      <c r="I1160" s="111">
        <f t="shared" si="36"/>
        <v>25.2</v>
      </c>
    </row>
    <row r="1161" spans="1:9" x14ac:dyDescent="0.35">
      <c r="A1161" s="106">
        <v>45827</v>
      </c>
      <c r="B1161" s="107" t="s">
        <v>318</v>
      </c>
      <c r="C1161" s="107" t="s">
        <v>332</v>
      </c>
      <c r="D1161" s="107" t="s">
        <v>333</v>
      </c>
      <c r="E1161" s="107" t="s">
        <v>340</v>
      </c>
      <c r="F1161" s="108">
        <v>57</v>
      </c>
      <c r="G1161" s="109">
        <v>4</v>
      </c>
      <c r="H1161" s="110">
        <f t="shared" si="37"/>
        <v>456</v>
      </c>
      <c r="I1161" s="111">
        <f t="shared" si="36"/>
        <v>22.8</v>
      </c>
    </row>
    <row r="1162" spans="1:9" x14ac:dyDescent="0.35">
      <c r="A1162" s="106">
        <v>45827</v>
      </c>
      <c r="B1162" s="107" t="s">
        <v>327</v>
      </c>
      <c r="C1162" s="107" t="s">
        <v>332</v>
      </c>
      <c r="D1162" s="107" t="s">
        <v>333</v>
      </c>
      <c r="E1162" s="107" t="s">
        <v>395</v>
      </c>
      <c r="F1162" s="108">
        <v>14</v>
      </c>
      <c r="G1162" s="109">
        <v>6</v>
      </c>
      <c r="H1162" s="110">
        <f t="shared" si="37"/>
        <v>140</v>
      </c>
      <c r="I1162" s="111">
        <f t="shared" si="36"/>
        <v>7</v>
      </c>
    </row>
    <row r="1163" spans="1:9" x14ac:dyDescent="0.35">
      <c r="A1163" s="106">
        <v>45827</v>
      </c>
      <c r="B1163" s="107" t="s">
        <v>318</v>
      </c>
      <c r="C1163" s="107" t="s">
        <v>393</v>
      </c>
      <c r="D1163" s="107" t="s">
        <v>315</v>
      </c>
      <c r="E1163" s="107" t="s">
        <v>347</v>
      </c>
      <c r="F1163" s="108">
        <v>55</v>
      </c>
      <c r="G1163" s="109">
        <v>4</v>
      </c>
      <c r="H1163" s="110">
        <f t="shared" si="37"/>
        <v>330</v>
      </c>
      <c r="I1163" s="111">
        <f t="shared" si="36"/>
        <v>16.5</v>
      </c>
    </row>
    <row r="1164" spans="1:9" x14ac:dyDescent="0.35">
      <c r="A1164" s="106">
        <v>45827</v>
      </c>
      <c r="B1164" s="107" t="s">
        <v>422</v>
      </c>
      <c r="C1164" s="107" t="s">
        <v>319</v>
      </c>
      <c r="D1164" s="107" t="s">
        <v>333</v>
      </c>
      <c r="E1164" s="107" t="s">
        <v>350</v>
      </c>
      <c r="F1164" s="108">
        <v>24</v>
      </c>
      <c r="G1164" s="109">
        <v>24</v>
      </c>
      <c r="H1164" s="110">
        <f t="shared" si="37"/>
        <v>600</v>
      </c>
      <c r="I1164" s="111">
        <f t="shared" si="36"/>
        <v>30</v>
      </c>
    </row>
    <row r="1165" spans="1:9" x14ac:dyDescent="0.35">
      <c r="A1165" s="106">
        <v>45827</v>
      </c>
      <c r="B1165" s="107" t="s">
        <v>327</v>
      </c>
      <c r="C1165" s="107" t="s">
        <v>393</v>
      </c>
      <c r="D1165" s="107" t="s">
        <v>390</v>
      </c>
      <c r="E1165" s="107" t="s">
        <v>350</v>
      </c>
      <c r="F1165" s="108">
        <v>13</v>
      </c>
      <c r="G1165" s="109">
        <v>6</v>
      </c>
      <c r="H1165" s="110">
        <f t="shared" si="37"/>
        <v>104</v>
      </c>
      <c r="I1165" s="111">
        <f t="shared" si="36"/>
        <v>5.2</v>
      </c>
    </row>
    <row r="1166" spans="1:9" x14ac:dyDescent="0.35">
      <c r="A1166" s="106">
        <v>45827</v>
      </c>
      <c r="B1166" s="107" t="s">
        <v>327</v>
      </c>
      <c r="C1166" s="107" t="s">
        <v>332</v>
      </c>
      <c r="D1166" s="107" t="s">
        <v>423</v>
      </c>
      <c r="E1166" s="107" t="s">
        <v>335</v>
      </c>
      <c r="F1166" s="108">
        <v>26</v>
      </c>
      <c r="G1166" s="109">
        <v>6</v>
      </c>
      <c r="H1166" s="110">
        <f t="shared" si="37"/>
        <v>260</v>
      </c>
      <c r="I1166" s="111">
        <f t="shared" si="36"/>
        <v>15.6</v>
      </c>
    </row>
    <row r="1167" spans="1:9" x14ac:dyDescent="0.35">
      <c r="A1167" s="106">
        <v>45828</v>
      </c>
      <c r="B1167" s="107" t="s">
        <v>322</v>
      </c>
      <c r="C1167" s="107" t="s">
        <v>332</v>
      </c>
      <c r="D1167" s="107" t="s">
        <v>423</v>
      </c>
      <c r="E1167" s="107" t="s">
        <v>454</v>
      </c>
      <c r="F1167" s="108">
        <v>30</v>
      </c>
      <c r="G1167" s="109">
        <v>17</v>
      </c>
      <c r="H1167" s="110">
        <f t="shared" si="37"/>
        <v>630</v>
      </c>
      <c r="I1167" s="111">
        <f t="shared" si="36"/>
        <v>37.799999999999997</v>
      </c>
    </row>
    <row r="1168" spans="1:9" x14ac:dyDescent="0.35">
      <c r="A1168" s="106">
        <v>45828</v>
      </c>
      <c r="B1168" s="107" t="s">
        <v>327</v>
      </c>
      <c r="C1168" s="107" t="s">
        <v>314</v>
      </c>
      <c r="D1168" s="107" t="s">
        <v>315</v>
      </c>
      <c r="E1168" s="107" t="s">
        <v>343</v>
      </c>
      <c r="F1168" s="108">
        <v>9</v>
      </c>
      <c r="G1168" s="109">
        <v>6</v>
      </c>
      <c r="H1168" s="110">
        <f t="shared" si="37"/>
        <v>81</v>
      </c>
      <c r="I1168" s="111">
        <f t="shared" si="36"/>
        <v>4.05</v>
      </c>
    </row>
    <row r="1169" spans="1:9" x14ac:dyDescent="0.35">
      <c r="A1169" s="106">
        <v>45828</v>
      </c>
      <c r="B1169" s="107" t="s">
        <v>327</v>
      </c>
      <c r="C1169" s="107" t="s">
        <v>393</v>
      </c>
      <c r="D1169" s="107" t="s">
        <v>315</v>
      </c>
      <c r="E1169" s="107" t="s">
        <v>316</v>
      </c>
      <c r="F1169" s="108">
        <v>6</v>
      </c>
      <c r="G1169" s="109">
        <v>6</v>
      </c>
      <c r="H1169" s="110">
        <f t="shared" si="37"/>
        <v>48</v>
      </c>
      <c r="I1169" s="111">
        <f t="shared" si="36"/>
        <v>2.4000000000000004</v>
      </c>
    </row>
    <row r="1170" spans="1:9" x14ac:dyDescent="0.35">
      <c r="A1170" s="106">
        <v>45829</v>
      </c>
      <c r="B1170" s="107" t="s">
        <v>318</v>
      </c>
      <c r="C1170" s="107" t="s">
        <v>332</v>
      </c>
      <c r="D1170" s="107" t="s">
        <v>333</v>
      </c>
      <c r="E1170" s="107" t="s">
        <v>388</v>
      </c>
      <c r="F1170" s="108">
        <v>35</v>
      </c>
      <c r="G1170" s="109">
        <v>4</v>
      </c>
      <c r="H1170" s="110">
        <f t="shared" si="37"/>
        <v>280</v>
      </c>
      <c r="I1170" s="111">
        <f t="shared" si="36"/>
        <v>14</v>
      </c>
    </row>
    <row r="1171" spans="1:9" x14ac:dyDescent="0.35">
      <c r="A1171" s="106">
        <v>45829</v>
      </c>
      <c r="B1171" s="107" t="s">
        <v>313</v>
      </c>
      <c r="C1171" s="107" t="s">
        <v>332</v>
      </c>
      <c r="D1171" s="107" t="s">
        <v>390</v>
      </c>
      <c r="E1171" s="107" t="s">
        <v>400</v>
      </c>
      <c r="F1171" s="108">
        <v>30</v>
      </c>
      <c r="G1171" s="109">
        <v>13</v>
      </c>
      <c r="H1171" s="110">
        <f t="shared" si="37"/>
        <v>510</v>
      </c>
      <c r="I1171" s="111">
        <f t="shared" si="36"/>
        <v>25.5</v>
      </c>
    </row>
    <row r="1172" spans="1:9" x14ac:dyDescent="0.35">
      <c r="A1172" s="106">
        <v>45829</v>
      </c>
      <c r="B1172" s="107" t="s">
        <v>313</v>
      </c>
      <c r="C1172" s="107" t="s">
        <v>319</v>
      </c>
      <c r="D1172" s="107" t="s">
        <v>320</v>
      </c>
      <c r="E1172" s="107" t="s">
        <v>400</v>
      </c>
      <c r="F1172" s="108">
        <v>12</v>
      </c>
      <c r="G1172" s="109">
        <v>13</v>
      </c>
      <c r="H1172" s="110">
        <f t="shared" si="37"/>
        <v>168</v>
      </c>
      <c r="I1172" s="111">
        <f t="shared" si="36"/>
        <v>10.08</v>
      </c>
    </row>
    <row r="1173" spans="1:9" x14ac:dyDescent="0.35">
      <c r="A1173" s="106">
        <v>45830</v>
      </c>
      <c r="B1173" s="107" t="s">
        <v>322</v>
      </c>
      <c r="C1173" s="107" t="s">
        <v>393</v>
      </c>
      <c r="D1173" s="107" t="s">
        <v>390</v>
      </c>
      <c r="E1173" s="107" t="s">
        <v>340</v>
      </c>
      <c r="F1173" s="108">
        <v>55</v>
      </c>
      <c r="G1173" s="109">
        <v>17</v>
      </c>
      <c r="H1173" s="110">
        <f t="shared" si="37"/>
        <v>1045</v>
      </c>
      <c r="I1173" s="111">
        <f t="shared" si="36"/>
        <v>52.25</v>
      </c>
    </row>
    <row r="1174" spans="1:9" x14ac:dyDescent="0.35">
      <c r="A1174" s="106">
        <v>45831</v>
      </c>
      <c r="B1174" s="107" t="s">
        <v>318</v>
      </c>
      <c r="C1174" s="107" t="s">
        <v>319</v>
      </c>
      <c r="D1174" s="107" t="s">
        <v>324</v>
      </c>
      <c r="E1174" s="107" t="s">
        <v>339</v>
      </c>
      <c r="F1174" s="108">
        <v>28</v>
      </c>
      <c r="G1174" s="109">
        <v>4</v>
      </c>
      <c r="H1174" s="110">
        <f t="shared" si="37"/>
        <v>140</v>
      </c>
      <c r="I1174" s="111">
        <f t="shared" si="36"/>
        <v>7</v>
      </c>
    </row>
    <row r="1175" spans="1:9" x14ac:dyDescent="0.35">
      <c r="A1175" s="106">
        <v>45831</v>
      </c>
      <c r="B1175" s="107" t="s">
        <v>422</v>
      </c>
      <c r="C1175" s="107" t="s">
        <v>393</v>
      </c>
      <c r="D1175" s="107" t="s">
        <v>315</v>
      </c>
      <c r="E1175" s="107" t="s">
        <v>394</v>
      </c>
      <c r="F1175" s="108">
        <v>43</v>
      </c>
      <c r="G1175" s="109">
        <v>24</v>
      </c>
      <c r="H1175" s="110">
        <f t="shared" si="37"/>
        <v>1118</v>
      </c>
      <c r="I1175" s="111">
        <f t="shared" si="36"/>
        <v>55.900000000000006</v>
      </c>
    </row>
    <row r="1176" spans="1:9" x14ac:dyDescent="0.35">
      <c r="A1176" s="106">
        <v>45832</v>
      </c>
      <c r="B1176" s="107" t="s">
        <v>327</v>
      </c>
      <c r="C1176" s="107" t="s">
        <v>314</v>
      </c>
      <c r="D1176" s="107" t="s">
        <v>333</v>
      </c>
      <c r="E1176" s="107" t="s">
        <v>406</v>
      </c>
      <c r="F1176" s="108">
        <v>18</v>
      </c>
      <c r="G1176" s="109">
        <v>6</v>
      </c>
      <c r="H1176" s="110">
        <f t="shared" si="37"/>
        <v>162</v>
      </c>
      <c r="I1176" s="111">
        <f t="shared" si="36"/>
        <v>8.1</v>
      </c>
    </row>
    <row r="1177" spans="1:9" x14ac:dyDescent="0.35">
      <c r="A1177" s="106">
        <v>45832</v>
      </c>
      <c r="B1177" s="107" t="s">
        <v>313</v>
      </c>
      <c r="C1177" s="107" t="s">
        <v>314</v>
      </c>
      <c r="D1177" s="107" t="s">
        <v>320</v>
      </c>
      <c r="E1177" s="107" t="s">
        <v>340</v>
      </c>
      <c r="F1177" s="108">
        <v>17</v>
      </c>
      <c r="G1177" s="109">
        <v>13</v>
      </c>
      <c r="H1177" s="110">
        <f t="shared" si="37"/>
        <v>272</v>
      </c>
      <c r="I1177" s="111">
        <f t="shared" si="36"/>
        <v>16.32</v>
      </c>
    </row>
    <row r="1178" spans="1:9" x14ac:dyDescent="0.35">
      <c r="A1178" s="106">
        <v>45833</v>
      </c>
      <c r="B1178" s="107" t="s">
        <v>327</v>
      </c>
      <c r="C1178" s="107" t="s">
        <v>332</v>
      </c>
      <c r="D1178" s="107" t="s">
        <v>315</v>
      </c>
      <c r="E1178" s="107" t="s">
        <v>348</v>
      </c>
      <c r="F1178" s="108">
        <v>34</v>
      </c>
      <c r="G1178" s="109">
        <v>6</v>
      </c>
      <c r="H1178" s="110">
        <f t="shared" si="37"/>
        <v>340</v>
      </c>
      <c r="I1178" s="111">
        <f t="shared" si="36"/>
        <v>17</v>
      </c>
    </row>
    <row r="1179" spans="1:9" x14ac:dyDescent="0.35">
      <c r="A1179" s="106">
        <v>45833</v>
      </c>
      <c r="B1179" s="107" t="s">
        <v>327</v>
      </c>
      <c r="C1179" s="107" t="s">
        <v>319</v>
      </c>
      <c r="D1179" s="107" t="s">
        <v>315</v>
      </c>
      <c r="E1179" s="107" t="s">
        <v>454</v>
      </c>
      <c r="F1179" s="108">
        <v>47</v>
      </c>
      <c r="G1179" s="109">
        <v>6</v>
      </c>
      <c r="H1179" s="110">
        <f t="shared" si="37"/>
        <v>329</v>
      </c>
      <c r="I1179" s="111">
        <f t="shared" si="36"/>
        <v>16.45</v>
      </c>
    </row>
    <row r="1180" spans="1:9" x14ac:dyDescent="0.35">
      <c r="A1180" s="106">
        <v>45835</v>
      </c>
      <c r="B1180" s="107" t="s">
        <v>322</v>
      </c>
      <c r="C1180" s="107" t="s">
        <v>319</v>
      </c>
      <c r="D1180" s="107" t="s">
        <v>320</v>
      </c>
      <c r="E1180" s="107" t="s">
        <v>339</v>
      </c>
      <c r="F1180" s="108">
        <v>23</v>
      </c>
      <c r="G1180" s="109">
        <v>17</v>
      </c>
      <c r="H1180" s="110">
        <f t="shared" si="37"/>
        <v>414</v>
      </c>
      <c r="I1180" s="111">
        <f t="shared" si="36"/>
        <v>24.84</v>
      </c>
    </row>
    <row r="1181" spans="1:9" x14ac:dyDescent="0.35">
      <c r="A1181" s="106">
        <v>45835</v>
      </c>
      <c r="B1181" s="107" t="s">
        <v>422</v>
      </c>
      <c r="C1181" s="107" t="s">
        <v>314</v>
      </c>
      <c r="D1181" s="107" t="s">
        <v>423</v>
      </c>
      <c r="E1181" s="107" t="s">
        <v>454</v>
      </c>
      <c r="F1181" s="108">
        <v>59</v>
      </c>
      <c r="G1181" s="109">
        <v>24</v>
      </c>
      <c r="H1181" s="110">
        <f t="shared" si="37"/>
        <v>1593</v>
      </c>
      <c r="I1181" s="111">
        <f t="shared" si="36"/>
        <v>95.58</v>
      </c>
    </row>
    <row r="1182" spans="1:9" x14ac:dyDescent="0.35">
      <c r="A1182" s="106">
        <v>45835</v>
      </c>
      <c r="B1182" s="107" t="s">
        <v>318</v>
      </c>
      <c r="C1182" s="107" t="s">
        <v>332</v>
      </c>
      <c r="D1182" s="107" t="s">
        <v>423</v>
      </c>
      <c r="E1182" s="107" t="s">
        <v>394</v>
      </c>
      <c r="F1182" s="108">
        <v>54</v>
      </c>
      <c r="G1182" s="109">
        <v>4</v>
      </c>
      <c r="H1182" s="110">
        <f t="shared" si="37"/>
        <v>432</v>
      </c>
      <c r="I1182" s="111">
        <f t="shared" si="36"/>
        <v>25.919999999999998</v>
      </c>
    </row>
    <row r="1183" spans="1:9" x14ac:dyDescent="0.35">
      <c r="A1183" s="106">
        <v>45836</v>
      </c>
      <c r="B1183" s="107" t="s">
        <v>327</v>
      </c>
      <c r="C1183" s="107" t="s">
        <v>314</v>
      </c>
      <c r="D1183" s="107" t="s">
        <v>390</v>
      </c>
      <c r="E1183" s="107" t="s">
        <v>388</v>
      </c>
      <c r="F1183" s="108">
        <v>48</v>
      </c>
      <c r="G1183" s="109">
        <v>6</v>
      </c>
      <c r="H1183" s="110">
        <f t="shared" si="37"/>
        <v>432</v>
      </c>
      <c r="I1183" s="111">
        <f t="shared" si="36"/>
        <v>21.6</v>
      </c>
    </row>
    <row r="1184" spans="1:9" x14ac:dyDescent="0.35">
      <c r="A1184" s="106">
        <v>45836</v>
      </c>
      <c r="B1184" s="107" t="s">
        <v>327</v>
      </c>
      <c r="C1184" s="107" t="s">
        <v>332</v>
      </c>
      <c r="D1184" s="107" t="s">
        <v>333</v>
      </c>
      <c r="E1184" s="107" t="s">
        <v>388</v>
      </c>
      <c r="F1184" s="108">
        <v>50</v>
      </c>
      <c r="G1184" s="109">
        <v>6</v>
      </c>
      <c r="H1184" s="110">
        <f t="shared" si="37"/>
        <v>500</v>
      </c>
      <c r="I1184" s="111">
        <f t="shared" si="36"/>
        <v>25</v>
      </c>
    </row>
    <row r="1185" spans="1:9" x14ac:dyDescent="0.35">
      <c r="A1185" s="106">
        <v>45836</v>
      </c>
      <c r="B1185" s="107" t="s">
        <v>318</v>
      </c>
      <c r="C1185" s="107" t="s">
        <v>393</v>
      </c>
      <c r="D1185" s="107" t="s">
        <v>315</v>
      </c>
      <c r="E1185" s="107" t="s">
        <v>340</v>
      </c>
      <c r="F1185" s="108">
        <v>43</v>
      </c>
      <c r="G1185" s="109">
        <v>4</v>
      </c>
      <c r="H1185" s="110">
        <f t="shared" si="37"/>
        <v>258</v>
      </c>
      <c r="I1185" s="111">
        <f t="shared" si="36"/>
        <v>12.9</v>
      </c>
    </row>
    <row r="1186" spans="1:9" x14ac:dyDescent="0.35">
      <c r="A1186" s="106">
        <v>45836</v>
      </c>
      <c r="B1186" s="107" t="s">
        <v>318</v>
      </c>
      <c r="C1186" s="107" t="s">
        <v>319</v>
      </c>
      <c r="D1186" s="107" t="s">
        <v>423</v>
      </c>
      <c r="E1186" s="107" t="s">
        <v>346</v>
      </c>
      <c r="F1186" s="108">
        <v>56</v>
      </c>
      <c r="G1186" s="109">
        <v>4</v>
      </c>
      <c r="H1186" s="110">
        <f t="shared" si="37"/>
        <v>280</v>
      </c>
      <c r="I1186" s="111">
        <f t="shared" si="36"/>
        <v>16.8</v>
      </c>
    </row>
    <row r="1187" spans="1:9" x14ac:dyDescent="0.35">
      <c r="A1187" s="106">
        <v>45836</v>
      </c>
      <c r="B1187" s="107" t="s">
        <v>322</v>
      </c>
      <c r="C1187" s="107" t="s">
        <v>319</v>
      </c>
      <c r="D1187" s="107" t="s">
        <v>333</v>
      </c>
      <c r="E1187" s="107" t="s">
        <v>346</v>
      </c>
      <c r="F1187" s="108">
        <v>23</v>
      </c>
      <c r="G1187" s="109">
        <v>17</v>
      </c>
      <c r="H1187" s="110">
        <f t="shared" si="37"/>
        <v>414</v>
      </c>
      <c r="I1187" s="111">
        <f t="shared" si="36"/>
        <v>20.700000000000003</v>
      </c>
    </row>
    <row r="1188" spans="1:9" x14ac:dyDescent="0.35">
      <c r="A1188" s="106">
        <v>45836</v>
      </c>
      <c r="B1188" s="107" t="s">
        <v>318</v>
      </c>
      <c r="C1188" s="107" t="s">
        <v>319</v>
      </c>
      <c r="D1188" s="107" t="s">
        <v>315</v>
      </c>
      <c r="E1188" s="107" t="s">
        <v>335</v>
      </c>
      <c r="F1188" s="108">
        <v>14</v>
      </c>
      <c r="G1188" s="109">
        <v>4</v>
      </c>
      <c r="H1188" s="110">
        <f t="shared" si="37"/>
        <v>70</v>
      </c>
      <c r="I1188" s="111">
        <f t="shared" si="36"/>
        <v>3.5</v>
      </c>
    </row>
    <row r="1189" spans="1:9" x14ac:dyDescent="0.35">
      <c r="A1189" s="106">
        <v>45837</v>
      </c>
      <c r="B1189" s="107" t="s">
        <v>322</v>
      </c>
      <c r="C1189" s="107" t="s">
        <v>314</v>
      </c>
      <c r="D1189" s="107" t="s">
        <v>320</v>
      </c>
      <c r="E1189" s="107" t="s">
        <v>400</v>
      </c>
      <c r="F1189" s="108">
        <v>61</v>
      </c>
      <c r="G1189" s="109">
        <v>17</v>
      </c>
      <c r="H1189" s="110">
        <f t="shared" si="37"/>
        <v>1220</v>
      </c>
      <c r="I1189" s="111">
        <f t="shared" si="36"/>
        <v>73.2</v>
      </c>
    </row>
    <row r="1190" spans="1:9" x14ac:dyDescent="0.35">
      <c r="A1190" s="106">
        <v>45837</v>
      </c>
      <c r="B1190" s="107" t="s">
        <v>422</v>
      </c>
      <c r="C1190" s="107" t="s">
        <v>332</v>
      </c>
      <c r="D1190" s="107" t="s">
        <v>324</v>
      </c>
      <c r="E1190" s="107" t="s">
        <v>346</v>
      </c>
      <c r="F1190" s="108">
        <v>38</v>
      </c>
      <c r="G1190" s="109">
        <v>24</v>
      </c>
      <c r="H1190" s="110">
        <f t="shared" si="37"/>
        <v>1064</v>
      </c>
      <c r="I1190" s="111">
        <f t="shared" si="36"/>
        <v>53.2</v>
      </c>
    </row>
    <row r="1191" spans="1:9" x14ac:dyDescent="0.35">
      <c r="A1191" s="106">
        <v>45838</v>
      </c>
      <c r="B1191" s="107" t="s">
        <v>422</v>
      </c>
      <c r="C1191" s="107" t="s">
        <v>314</v>
      </c>
      <c r="D1191" s="107" t="s">
        <v>423</v>
      </c>
      <c r="E1191" s="107" t="s">
        <v>348</v>
      </c>
      <c r="F1191" s="108">
        <v>10</v>
      </c>
      <c r="G1191" s="109">
        <v>24</v>
      </c>
      <c r="H1191" s="110">
        <f t="shared" si="37"/>
        <v>270</v>
      </c>
      <c r="I1191" s="111">
        <f t="shared" si="36"/>
        <v>16.2</v>
      </c>
    </row>
    <row r="1192" spans="1:9" x14ac:dyDescent="0.35">
      <c r="A1192" s="106">
        <v>45838</v>
      </c>
      <c r="B1192" s="107" t="s">
        <v>322</v>
      </c>
      <c r="C1192" s="107" t="s">
        <v>319</v>
      </c>
      <c r="D1192" s="107" t="s">
        <v>423</v>
      </c>
      <c r="E1192" s="107" t="s">
        <v>340</v>
      </c>
      <c r="F1192" s="108">
        <v>52</v>
      </c>
      <c r="G1192" s="109">
        <v>17</v>
      </c>
      <c r="H1192" s="110">
        <f t="shared" si="37"/>
        <v>936</v>
      </c>
      <c r="I1192" s="111">
        <f t="shared" si="36"/>
        <v>56.16</v>
      </c>
    </row>
    <row r="1193" spans="1:9" x14ac:dyDescent="0.35">
      <c r="A1193" s="106">
        <v>45838</v>
      </c>
      <c r="B1193" s="107" t="s">
        <v>318</v>
      </c>
      <c r="C1193" s="107" t="s">
        <v>319</v>
      </c>
      <c r="D1193" s="107" t="s">
        <v>320</v>
      </c>
      <c r="E1193" s="107" t="s">
        <v>345</v>
      </c>
      <c r="F1193" s="108">
        <v>8</v>
      </c>
      <c r="G1193" s="109">
        <v>4</v>
      </c>
      <c r="H1193" s="110">
        <f t="shared" si="37"/>
        <v>40</v>
      </c>
      <c r="I1193" s="111">
        <f t="shared" si="36"/>
        <v>2.4</v>
      </c>
    </row>
    <row r="1194" spans="1:9" x14ac:dyDescent="0.35">
      <c r="A1194" s="106">
        <v>45838</v>
      </c>
      <c r="B1194" s="107" t="s">
        <v>313</v>
      </c>
      <c r="C1194" s="107" t="s">
        <v>393</v>
      </c>
      <c r="D1194" s="107" t="s">
        <v>320</v>
      </c>
      <c r="E1194" s="107" t="s">
        <v>346</v>
      </c>
      <c r="F1194" s="108">
        <v>6</v>
      </c>
      <c r="G1194" s="109">
        <v>13</v>
      </c>
      <c r="H1194" s="110">
        <f t="shared" si="37"/>
        <v>90</v>
      </c>
      <c r="I1194" s="111">
        <f t="shared" si="36"/>
        <v>5.3999999999999995</v>
      </c>
    </row>
    <row r="1195" spans="1:9" x14ac:dyDescent="0.35">
      <c r="A1195" s="106">
        <v>45838</v>
      </c>
      <c r="B1195" s="107" t="s">
        <v>327</v>
      </c>
      <c r="C1195" s="107" t="s">
        <v>319</v>
      </c>
      <c r="D1195" s="107" t="s">
        <v>333</v>
      </c>
      <c r="E1195" s="107" t="s">
        <v>344</v>
      </c>
      <c r="F1195" s="108">
        <v>11</v>
      </c>
      <c r="G1195" s="109">
        <v>6</v>
      </c>
      <c r="H1195" s="110">
        <f t="shared" si="37"/>
        <v>77</v>
      </c>
      <c r="I1195" s="111">
        <f t="shared" si="36"/>
        <v>3.85</v>
      </c>
    </row>
    <row r="1196" spans="1:9" x14ac:dyDescent="0.35">
      <c r="A1196" s="106">
        <v>45838</v>
      </c>
      <c r="B1196" s="107" t="s">
        <v>327</v>
      </c>
      <c r="C1196" s="107" t="s">
        <v>314</v>
      </c>
      <c r="D1196" s="107" t="s">
        <v>333</v>
      </c>
      <c r="E1196" s="107" t="s">
        <v>405</v>
      </c>
      <c r="F1196" s="108">
        <v>26</v>
      </c>
      <c r="G1196" s="109">
        <v>6</v>
      </c>
      <c r="H1196" s="110">
        <f t="shared" si="37"/>
        <v>234</v>
      </c>
      <c r="I1196" s="111">
        <f t="shared" si="36"/>
        <v>11.700000000000001</v>
      </c>
    </row>
    <row r="1197" spans="1:9" x14ac:dyDescent="0.35">
      <c r="A1197" s="106">
        <v>45839</v>
      </c>
      <c r="B1197" s="107" t="s">
        <v>422</v>
      </c>
      <c r="C1197" s="107" t="s">
        <v>332</v>
      </c>
      <c r="D1197" s="107" t="s">
        <v>320</v>
      </c>
      <c r="E1197" s="107" t="s">
        <v>395</v>
      </c>
      <c r="F1197" s="108">
        <v>56</v>
      </c>
      <c r="G1197" s="109">
        <v>24</v>
      </c>
      <c r="H1197" s="110">
        <f t="shared" si="37"/>
        <v>1568</v>
      </c>
      <c r="I1197" s="111">
        <f t="shared" si="36"/>
        <v>94.08</v>
      </c>
    </row>
    <row r="1198" spans="1:9" x14ac:dyDescent="0.35">
      <c r="A1198" s="106">
        <v>45839</v>
      </c>
      <c r="B1198" s="107" t="s">
        <v>422</v>
      </c>
      <c r="C1198" s="107" t="s">
        <v>319</v>
      </c>
      <c r="D1198" s="107" t="s">
        <v>315</v>
      </c>
      <c r="E1198" s="107" t="s">
        <v>395</v>
      </c>
      <c r="F1198" s="108">
        <v>9</v>
      </c>
      <c r="G1198" s="109">
        <v>24</v>
      </c>
      <c r="H1198" s="110">
        <f t="shared" si="37"/>
        <v>225</v>
      </c>
      <c r="I1198" s="111">
        <f t="shared" si="36"/>
        <v>11.25</v>
      </c>
    </row>
    <row r="1199" spans="1:9" x14ac:dyDescent="0.35">
      <c r="A1199" s="106">
        <v>45839</v>
      </c>
      <c r="B1199" s="107" t="s">
        <v>318</v>
      </c>
      <c r="C1199" s="107" t="s">
        <v>332</v>
      </c>
      <c r="D1199" s="107" t="s">
        <v>324</v>
      </c>
      <c r="E1199" s="107" t="s">
        <v>316</v>
      </c>
      <c r="F1199" s="108">
        <v>55</v>
      </c>
      <c r="G1199" s="109">
        <v>4</v>
      </c>
      <c r="H1199" s="110">
        <f t="shared" si="37"/>
        <v>440</v>
      </c>
      <c r="I1199" s="111">
        <f t="shared" si="36"/>
        <v>22</v>
      </c>
    </row>
    <row r="1200" spans="1:9" x14ac:dyDescent="0.35">
      <c r="A1200" s="106">
        <v>45840</v>
      </c>
      <c r="B1200" s="107" t="s">
        <v>322</v>
      </c>
      <c r="C1200" s="107" t="s">
        <v>319</v>
      </c>
      <c r="D1200" s="107" t="s">
        <v>315</v>
      </c>
      <c r="E1200" s="107" t="s">
        <v>341</v>
      </c>
      <c r="F1200" s="108">
        <v>12</v>
      </c>
      <c r="G1200" s="109">
        <v>17</v>
      </c>
      <c r="H1200" s="110">
        <f t="shared" si="37"/>
        <v>216</v>
      </c>
      <c r="I1200" s="111">
        <f t="shared" si="36"/>
        <v>10.8</v>
      </c>
    </row>
    <row r="1201" spans="1:9" x14ac:dyDescent="0.35">
      <c r="A1201" s="106">
        <v>45840</v>
      </c>
      <c r="B1201" s="107" t="s">
        <v>318</v>
      </c>
      <c r="C1201" s="107" t="s">
        <v>314</v>
      </c>
      <c r="D1201" s="107" t="s">
        <v>390</v>
      </c>
      <c r="E1201" s="107" t="s">
        <v>339</v>
      </c>
      <c r="F1201" s="108">
        <v>46</v>
      </c>
      <c r="G1201" s="109">
        <v>4</v>
      </c>
      <c r="H1201" s="110">
        <f t="shared" si="37"/>
        <v>322</v>
      </c>
      <c r="I1201" s="111">
        <f t="shared" si="36"/>
        <v>16.100000000000001</v>
      </c>
    </row>
    <row r="1202" spans="1:9" x14ac:dyDescent="0.35">
      <c r="A1202" s="106">
        <v>45840</v>
      </c>
      <c r="B1202" s="107" t="s">
        <v>322</v>
      </c>
      <c r="C1202" s="107" t="s">
        <v>393</v>
      </c>
      <c r="D1202" s="107" t="s">
        <v>320</v>
      </c>
      <c r="E1202" s="107" t="s">
        <v>344</v>
      </c>
      <c r="F1202" s="108">
        <v>28</v>
      </c>
      <c r="G1202" s="109">
        <v>17</v>
      </c>
      <c r="H1202" s="110">
        <f t="shared" si="37"/>
        <v>532</v>
      </c>
      <c r="I1202" s="111">
        <f t="shared" si="36"/>
        <v>31.919999999999998</v>
      </c>
    </row>
    <row r="1203" spans="1:9" x14ac:dyDescent="0.35">
      <c r="A1203" s="106">
        <v>45841</v>
      </c>
      <c r="B1203" s="107" t="s">
        <v>422</v>
      </c>
      <c r="C1203" s="107" t="s">
        <v>393</v>
      </c>
      <c r="D1203" s="107" t="s">
        <v>324</v>
      </c>
      <c r="E1203" s="107" t="s">
        <v>455</v>
      </c>
      <c r="F1203" s="108">
        <v>9</v>
      </c>
      <c r="G1203" s="109">
        <v>24</v>
      </c>
      <c r="H1203" s="110">
        <f t="shared" si="37"/>
        <v>234</v>
      </c>
      <c r="I1203" s="111">
        <f t="shared" si="36"/>
        <v>11.700000000000001</v>
      </c>
    </row>
    <row r="1204" spans="1:9" x14ac:dyDescent="0.35">
      <c r="A1204" s="106">
        <v>45841</v>
      </c>
      <c r="B1204" s="107" t="s">
        <v>422</v>
      </c>
      <c r="C1204" s="107" t="s">
        <v>393</v>
      </c>
      <c r="D1204" s="107" t="s">
        <v>324</v>
      </c>
      <c r="E1204" s="107" t="s">
        <v>345</v>
      </c>
      <c r="F1204" s="108">
        <v>40</v>
      </c>
      <c r="G1204" s="109">
        <v>24</v>
      </c>
      <c r="H1204" s="110">
        <f t="shared" si="37"/>
        <v>1040</v>
      </c>
      <c r="I1204" s="111">
        <f t="shared" si="36"/>
        <v>52</v>
      </c>
    </row>
    <row r="1205" spans="1:9" x14ac:dyDescent="0.35">
      <c r="A1205" s="106">
        <v>45842</v>
      </c>
      <c r="B1205" s="107" t="s">
        <v>322</v>
      </c>
      <c r="C1205" s="107" t="s">
        <v>332</v>
      </c>
      <c r="D1205" s="107" t="s">
        <v>324</v>
      </c>
      <c r="E1205" s="107" t="s">
        <v>342</v>
      </c>
      <c r="F1205" s="108">
        <v>52</v>
      </c>
      <c r="G1205" s="109">
        <v>17</v>
      </c>
      <c r="H1205" s="110">
        <f t="shared" si="37"/>
        <v>1092</v>
      </c>
      <c r="I1205" s="111">
        <f t="shared" si="36"/>
        <v>54.6</v>
      </c>
    </row>
    <row r="1206" spans="1:9" x14ac:dyDescent="0.35">
      <c r="A1206" s="106">
        <v>45842</v>
      </c>
      <c r="B1206" s="107" t="s">
        <v>313</v>
      </c>
      <c r="C1206" s="107" t="s">
        <v>332</v>
      </c>
      <c r="D1206" s="107" t="s">
        <v>390</v>
      </c>
      <c r="E1206" s="107" t="s">
        <v>340</v>
      </c>
      <c r="F1206" s="108">
        <v>20</v>
      </c>
      <c r="G1206" s="109">
        <v>13</v>
      </c>
      <c r="H1206" s="110">
        <f t="shared" si="37"/>
        <v>340</v>
      </c>
      <c r="I1206" s="111">
        <f t="shared" si="36"/>
        <v>17</v>
      </c>
    </row>
    <row r="1207" spans="1:9" x14ac:dyDescent="0.35">
      <c r="A1207" s="106">
        <v>45842</v>
      </c>
      <c r="B1207" s="107" t="s">
        <v>422</v>
      </c>
      <c r="C1207" s="107" t="s">
        <v>393</v>
      </c>
      <c r="D1207" s="107" t="s">
        <v>333</v>
      </c>
      <c r="E1207" s="107" t="s">
        <v>331</v>
      </c>
      <c r="F1207" s="108">
        <v>58</v>
      </c>
      <c r="G1207" s="109">
        <v>24</v>
      </c>
      <c r="H1207" s="110">
        <f t="shared" si="37"/>
        <v>1508</v>
      </c>
      <c r="I1207" s="111">
        <f t="shared" si="36"/>
        <v>75.400000000000006</v>
      </c>
    </row>
    <row r="1208" spans="1:9" x14ac:dyDescent="0.35">
      <c r="A1208" s="106">
        <v>45842</v>
      </c>
      <c r="B1208" s="107" t="s">
        <v>313</v>
      </c>
      <c r="C1208" s="107" t="s">
        <v>314</v>
      </c>
      <c r="D1208" s="107" t="s">
        <v>324</v>
      </c>
      <c r="E1208" s="107" t="s">
        <v>394</v>
      </c>
      <c r="F1208" s="108">
        <v>39</v>
      </c>
      <c r="G1208" s="109">
        <v>13</v>
      </c>
      <c r="H1208" s="110">
        <f t="shared" si="37"/>
        <v>624</v>
      </c>
      <c r="I1208" s="111">
        <f t="shared" si="36"/>
        <v>31.200000000000003</v>
      </c>
    </row>
    <row r="1209" spans="1:9" x14ac:dyDescent="0.35">
      <c r="A1209" s="106">
        <v>45843</v>
      </c>
      <c r="B1209" s="107" t="s">
        <v>327</v>
      </c>
      <c r="C1209" s="107" t="s">
        <v>314</v>
      </c>
      <c r="D1209" s="107" t="s">
        <v>324</v>
      </c>
      <c r="E1209" s="107" t="s">
        <v>341</v>
      </c>
      <c r="F1209" s="108">
        <v>50</v>
      </c>
      <c r="G1209" s="109">
        <v>6</v>
      </c>
      <c r="H1209" s="110">
        <f t="shared" si="37"/>
        <v>450</v>
      </c>
      <c r="I1209" s="111">
        <f t="shared" si="36"/>
        <v>22.5</v>
      </c>
    </row>
    <row r="1210" spans="1:9" x14ac:dyDescent="0.35">
      <c r="A1210" s="106">
        <v>45843</v>
      </c>
      <c r="B1210" s="107" t="s">
        <v>313</v>
      </c>
      <c r="C1210" s="107" t="s">
        <v>393</v>
      </c>
      <c r="D1210" s="107" t="s">
        <v>423</v>
      </c>
      <c r="E1210" s="107" t="s">
        <v>337</v>
      </c>
      <c r="F1210" s="108">
        <v>44</v>
      </c>
      <c r="G1210" s="109">
        <v>13</v>
      </c>
      <c r="H1210" s="110">
        <f t="shared" si="37"/>
        <v>660</v>
      </c>
      <c r="I1210" s="111">
        <f t="shared" si="36"/>
        <v>39.6</v>
      </c>
    </row>
    <row r="1211" spans="1:9" x14ac:dyDescent="0.35">
      <c r="A1211" s="106">
        <v>45843</v>
      </c>
      <c r="B1211" s="107" t="s">
        <v>327</v>
      </c>
      <c r="C1211" s="107" t="s">
        <v>314</v>
      </c>
      <c r="D1211" s="107" t="s">
        <v>324</v>
      </c>
      <c r="E1211" s="107" t="s">
        <v>329</v>
      </c>
      <c r="F1211" s="108">
        <v>14</v>
      </c>
      <c r="G1211" s="109">
        <v>6</v>
      </c>
      <c r="H1211" s="110">
        <f t="shared" si="37"/>
        <v>126</v>
      </c>
      <c r="I1211" s="111">
        <f t="shared" si="36"/>
        <v>6.3000000000000007</v>
      </c>
    </row>
    <row r="1212" spans="1:9" x14ac:dyDescent="0.35">
      <c r="A1212" s="106">
        <v>45844</v>
      </c>
      <c r="B1212" s="107" t="s">
        <v>318</v>
      </c>
      <c r="C1212" s="107" t="s">
        <v>319</v>
      </c>
      <c r="D1212" s="107" t="s">
        <v>423</v>
      </c>
      <c r="E1212" s="107" t="s">
        <v>455</v>
      </c>
      <c r="F1212" s="108">
        <v>65</v>
      </c>
      <c r="G1212" s="109">
        <v>4</v>
      </c>
      <c r="H1212" s="110">
        <f t="shared" si="37"/>
        <v>325</v>
      </c>
      <c r="I1212" s="111">
        <f t="shared" si="36"/>
        <v>19.5</v>
      </c>
    </row>
    <row r="1213" spans="1:9" x14ac:dyDescent="0.35">
      <c r="A1213" s="106">
        <v>45844</v>
      </c>
      <c r="B1213" s="107" t="s">
        <v>318</v>
      </c>
      <c r="C1213" s="107" t="s">
        <v>314</v>
      </c>
      <c r="D1213" s="107" t="s">
        <v>390</v>
      </c>
      <c r="E1213" s="107" t="s">
        <v>340</v>
      </c>
      <c r="F1213" s="108">
        <v>27</v>
      </c>
      <c r="G1213" s="109">
        <v>4</v>
      </c>
      <c r="H1213" s="110">
        <f t="shared" si="37"/>
        <v>189</v>
      </c>
      <c r="I1213" s="111">
        <f t="shared" si="36"/>
        <v>9.4500000000000011</v>
      </c>
    </row>
    <row r="1214" spans="1:9" x14ac:dyDescent="0.35">
      <c r="A1214" s="106">
        <v>45844</v>
      </c>
      <c r="B1214" s="107" t="s">
        <v>422</v>
      </c>
      <c r="C1214" s="107" t="s">
        <v>314</v>
      </c>
      <c r="D1214" s="107" t="s">
        <v>333</v>
      </c>
      <c r="E1214" s="107" t="s">
        <v>340</v>
      </c>
      <c r="F1214" s="108">
        <v>31</v>
      </c>
      <c r="G1214" s="109">
        <v>24</v>
      </c>
      <c r="H1214" s="110">
        <f t="shared" si="37"/>
        <v>837</v>
      </c>
      <c r="I1214" s="111">
        <f t="shared" si="36"/>
        <v>41.85</v>
      </c>
    </row>
    <row r="1215" spans="1:9" x14ac:dyDescent="0.35">
      <c r="A1215" s="106">
        <v>45844</v>
      </c>
      <c r="B1215" s="107" t="s">
        <v>318</v>
      </c>
      <c r="C1215" s="107" t="s">
        <v>393</v>
      </c>
      <c r="D1215" s="107" t="s">
        <v>390</v>
      </c>
      <c r="E1215" s="107" t="s">
        <v>346</v>
      </c>
      <c r="F1215" s="108">
        <v>21</v>
      </c>
      <c r="G1215" s="109">
        <v>4</v>
      </c>
      <c r="H1215" s="110">
        <f t="shared" si="37"/>
        <v>126</v>
      </c>
      <c r="I1215" s="111">
        <f t="shared" si="36"/>
        <v>6.3000000000000007</v>
      </c>
    </row>
    <row r="1216" spans="1:9" x14ac:dyDescent="0.35">
      <c r="A1216" s="106">
        <v>45844</v>
      </c>
      <c r="B1216" s="107" t="s">
        <v>322</v>
      </c>
      <c r="C1216" s="107" t="s">
        <v>319</v>
      </c>
      <c r="D1216" s="107" t="s">
        <v>324</v>
      </c>
      <c r="E1216" s="107" t="s">
        <v>331</v>
      </c>
      <c r="F1216" s="108">
        <v>38</v>
      </c>
      <c r="G1216" s="109">
        <v>17</v>
      </c>
      <c r="H1216" s="110">
        <f t="shared" si="37"/>
        <v>684</v>
      </c>
      <c r="I1216" s="111">
        <f t="shared" si="36"/>
        <v>34.200000000000003</v>
      </c>
    </row>
    <row r="1217" spans="1:9" x14ac:dyDescent="0.35">
      <c r="A1217" s="106">
        <v>45845</v>
      </c>
      <c r="B1217" s="107" t="s">
        <v>313</v>
      </c>
      <c r="C1217" s="107" t="s">
        <v>332</v>
      </c>
      <c r="D1217" s="107" t="s">
        <v>320</v>
      </c>
      <c r="E1217" s="107" t="s">
        <v>341</v>
      </c>
      <c r="F1217" s="108">
        <v>46</v>
      </c>
      <c r="G1217" s="109">
        <v>13</v>
      </c>
      <c r="H1217" s="110">
        <f t="shared" si="37"/>
        <v>782</v>
      </c>
      <c r="I1217" s="111">
        <f t="shared" si="36"/>
        <v>46.92</v>
      </c>
    </row>
    <row r="1218" spans="1:9" x14ac:dyDescent="0.35">
      <c r="A1218" s="106">
        <v>45845</v>
      </c>
      <c r="B1218" s="107" t="s">
        <v>318</v>
      </c>
      <c r="C1218" s="107" t="s">
        <v>314</v>
      </c>
      <c r="D1218" s="107" t="s">
        <v>315</v>
      </c>
      <c r="E1218" s="107" t="s">
        <v>340</v>
      </c>
      <c r="F1218" s="108">
        <v>42</v>
      </c>
      <c r="G1218" s="109">
        <v>4</v>
      </c>
      <c r="H1218" s="110">
        <f t="shared" si="37"/>
        <v>294</v>
      </c>
      <c r="I1218" s="111">
        <f t="shared" ref="I1218:I1236" si="38">H1218*VLOOKUP(D1218,$O$4:$P$10,2,TRUE)</f>
        <v>14.700000000000001</v>
      </c>
    </row>
    <row r="1219" spans="1:9" x14ac:dyDescent="0.35">
      <c r="A1219" s="106">
        <v>45845</v>
      </c>
      <c r="B1219" s="107" t="s">
        <v>322</v>
      </c>
      <c r="C1219" s="107" t="s">
        <v>393</v>
      </c>
      <c r="D1219" s="107" t="s">
        <v>324</v>
      </c>
      <c r="E1219" s="107" t="s">
        <v>395</v>
      </c>
      <c r="F1219" s="108">
        <v>30</v>
      </c>
      <c r="G1219" s="109">
        <v>17</v>
      </c>
      <c r="H1219" s="110">
        <f t="shared" ref="H1219:H1236" si="39">(F1219*G1219)+VLOOKUP(C1219,$K$11:$L$14,2,FALSE)*F1219</f>
        <v>570</v>
      </c>
      <c r="I1219" s="111">
        <f t="shared" si="38"/>
        <v>28.5</v>
      </c>
    </row>
    <row r="1220" spans="1:9" x14ac:dyDescent="0.35">
      <c r="A1220" s="106">
        <v>45845</v>
      </c>
      <c r="B1220" s="107" t="s">
        <v>313</v>
      </c>
      <c r="C1220" s="107" t="s">
        <v>319</v>
      </c>
      <c r="D1220" s="107" t="s">
        <v>333</v>
      </c>
      <c r="E1220" s="107" t="s">
        <v>345</v>
      </c>
      <c r="F1220" s="108">
        <v>18</v>
      </c>
      <c r="G1220" s="109">
        <v>13</v>
      </c>
      <c r="H1220" s="110">
        <f t="shared" si="39"/>
        <v>252</v>
      </c>
      <c r="I1220" s="111">
        <f t="shared" si="38"/>
        <v>12.600000000000001</v>
      </c>
    </row>
    <row r="1221" spans="1:9" x14ac:dyDescent="0.35">
      <c r="A1221" s="106">
        <v>45846</v>
      </c>
      <c r="B1221" s="107" t="s">
        <v>327</v>
      </c>
      <c r="C1221" s="107" t="s">
        <v>314</v>
      </c>
      <c r="D1221" s="107" t="s">
        <v>320</v>
      </c>
      <c r="E1221" s="107" t="s">
        <v>341</v>
      </c>
      <c r="F1221" s="108">
        <v>46</v>
      </c>
      <c r="G1221" s="109">
        <v>6</v>
      </c>
      <c r="H1221" s="110">
        <f t="shared" si="39"/>
        <v>414</v>
      </c>
      <c r="I1221" s="111">
        <f t="shared" si="38"/>
        <v>24.84</v>
      </c>
    </row>
    <row r="1222" spans="1:9" x14ac:dyDescent="0.35">
      <c r="A1222" s="106">
        <v>45846</v>
      </c>
      <c r="B1222" s="107" t="s">
        <v>313</v>
      </c>
      <c r="C1222" s="107" t="s">
        <v>314</v>
      </c>
      <c r="D1222" s="107" t="s">
        <v>315</v>
      </c>
      <c r="E1222" s="107" t="s">
        <v>341</v>
      </c>
      <c r="F1222" s="108">
        <v>57</v>
      </c>
      <c r="G1222" s="109">
        <v>13</v>
      </c>
      <c r="H1222" s="110">
        <f t="shared" si="39"/>
        <v>912</v>
      </c>
      <c r="I1222" s="111">
        <f t="shared" si="38"/>
        <v>45.6</v>
      </c>
    </row>
    <row r="1223" spans="1:9" x14ac:dyDescent="0.35">
      <c r="A1223" s="106">
        <v>45846</v>
      </c>
      <c r="B1223" s="107" t="s">
        <v>313</v>
      </c>
      <c r="C1223" s="107" t="s">
        <v>319</v>
      </c>
      <c r="D1223" s="107" t="s">
        <v>390</v>
      </c>
      <c r="E1223" s="107" t="s">
        <v>339</v>
      </c>
      <c r="F1223" s="108">
        <v>26</v>
      </c>
      <c r="G1223" s="109">
        <v>13</v>
      </c>
      <c r="H1223" s="110">
        <f t="shared" si="39"/>
        <v>364</v>
      </c>
      <c r="I1223" s="111">
        <f t="shared" si="38"/>
        <v>18.2</v>
      </c>
    </row>
    <row r="1224" spans="1:9" x14ac:dyDescent="0.35">
      <c r="A1224" s="106">
        <v>45846</v>
      </c>
      <c r="B1224" s="107" t="s">
        <v>322</v>
      </c>
      <c r="C1224" s="107" t="s">
        <v>314</v>
      </c>
      <c r="D1224" s="107" t="s">
        <v>324</v>
      </c>
      <c r="E1224" s="107" t="s">
        <v>346</v>
      </c>
      <c r="F1224" s="108">
        <v>9</v>
      </c>
      <c r="G1224" s="109">
        <v>17</v>
      </c>
      <c r="H1224" s="110">
        <f t="shared" si="39"/>
        <v>180</v>
      </c>
      <c r="I1224" s="111">
        <f t="shared" si="38"/>
        <v>9</v>
      </c>
    </row>
    <row r="1225" spans="1:9" x14ac:dyDescent="0.35">
      <c r="A1225" s="106">
        <v>45846</v>
      </c>
      <c r="B1225" s="107" t="s">
        <v>318</v>
      </c>
      <c r="C1225" s="107" t="s">
        <v>393</v>
      </c>
      <c r="D1225" s="107" t="s">
        <v>324</v>
      </c>
      <c r="E1225" s="107" t="s">
        <v>346</v>
      </c>
      <c r="F1225" s="108">
        <v>30</v>
      </c>
      <c r="G1225" s="109">
        <v>4</v>
      </c>
      <c r="H1225" s="110">
        <f t="shared" si="39"/>
        <v>180</v>
      </c>
      <c r="I1225" s="111">
        <f t="shared" si="38"/>
        <v>9</v>
      </c>
    </row>
    <row r="1226" spans="1:9" x14ac:dyDescent="0.35">
      <c r="A1226" s="106">
        <v>45846</v>
      </c>
      <c r="B1226" s="107" t="s">
        <v>313</v>
      </c>
      <c r="C1226" s="107" t="s">
        <v>314</v>
      </c>
      <c r="D1226" s="107" t="s">
        <v>315</v>
      </c>
      <c r="E1226" s="107" t="s">
        <v>416</v>
      </c>
      <c r="F1226" s="108">
        <v>7</v>
      </c>
      <c r="G1226" s="109">
        <v>13</v>
      </c>
      <c r="H1226" s="110">
        <f t="shared" si="39"/>
        <v>112</v>
      </c>
      <c r="I1226" s="111">
        <f t="shared" si="38"/>
        <v>5.6000000000000005</v>
      </c>
    </row>
    <row r="1227" spans="1:9" x14ac:dyDescent="0.35">
      <c r="A1227" s="106">
        <v>45846</v>
      </c>
      <c r="B1227" s="118" t="s">
        <v>327</v>
      </c>
      <c r="C1227" s="118" t="s">
        <v>314</v>
      </c>
      <c r="D1227" s="118" t="s">
        <v>320</v>
      </c>
      <c r="E1227" s="118" t="s">
        <v>343</v>
      </c>
      <c r="F1227" s="119">
        <v>26</v>
      </c>
      <c r="G1227" s="120">
        <v>6</v>
      </c>
      <c r="H1227" s="110">
        <f t="shared" si="39"/>
        <v>234</v>
      </c>
      <c r="I1227" s="111">
        <f t="shared" si="38"/>
        <v>14.04</v>
      </c>
    </row>
    <row r="1228" spans="1:9" x14ac:dyDescent="0.35">
      <c r="H1228" s="110" t="e">
        <f t="shared" si="39"/>
        <v>#N/A</v>
      </c>
      <c r="I1228" s="111" t="e">
        <f t="shared" si="38"/>
        <v>#N/A</v>
      </c>
    </row>
    <row r="1229" spans="1:9" x14ac:dyDescent="0.35">
      <c r="H1229" s="110" t="e">
        <f t="shared" si="39"/>
        <v>#N/A</v>
      </c>
      <c r="I1229" s="111" t="e">
        <f t="shared" si="38"/>
        <v>#N/A</v>
      </c>
    </row>
    <row r="1230" spans="1:9" x14ac:dyDescent="0.35">
      <c r="H1230" s="110" t="e">
        <f t="shared" si="39"/>
        <v>#N/A</v>
      </c>
      <c r="I1230" s="111" t="e">
        <f t="shared" si="38"/>
        <v>#N/A</v>
      </c>
    </row>
    <row r="1231" spans="1:9" x14ac:dyDescent="0.35">
      <c r="H1231" s="110" t="e">
        <f t="shared" si="39"/>
        <v>#N/A</v>
      </c>
      <c r="I1231" s="111" t="e">
        <f t="shared" si="38"/>
        <v>#N/A</v>
      </c>
    </row>
    <row r="1232" spans="1:9" x14ac:dyDescent="0.35">
      <c r="H1232" s="110" t="e">
        <f t="shared" si="39"/>
        <v>#N/A</v>
      </c>
      <c r="I1232" s="111" t="e">
        <f t="shared" si="38"/>
        <v>#N/A</v>
      </c>
    </row>
    <row r="1233" spans="2:9" x14ac:dyDescent="0.35">
      <c r="H1233" s="110" t="e">
        <f t="shared" si="39"/>
        <v>#N/A</v>
      </c>
      <c r="I1233" s="111" t="e">
        <f t="shared" si="38"/>
        <v>#N/A</v>
      </c>
    </row>
    <row r="1234" spans="2:9" x14ac:dyDescent="0.35">
      <c r="H1234" s="110" t="e">
        <f t="shared" si="39"/>
        <v>#N/A</v>
      </c>
      <c r="I1234" s="111" t="e">
        <f t="shared" si="38"/>
        <v>#N/A</v>
      </c>
    </row>
    <row r="1235" spans="2:9" x14ac:dyDescent="0.35">
      <c r="H1235" s="110" t="e">
        <f t="shared" si="39"/>
        <v>#N/A</v>
      </c>
      <c r="I1235" s="111" t="e">
        <f t="shared" si="38"/>
        <v>#N/A</v>
      </c>
    </row>
    <row r="1236" spans="2:9" x14ac:dyDescent="0.35">
      <c r="H1236" s="110" t="e">
        <f t="shared" si="39"/>
        <v>#N/A</v>
      </c>
      <c r="I1236" s="111" t="e">
        <f t="shared" si="38"/>
        <v>#N/A</v>
      </c>
    </row>
    <row r="1237" spans="2:9" x14ac:dyDescent="0.35">
      <c r="B1237" s="121"/>
      <c r="C1237" s="121"/>
      <c r="D1237" s="121"/>
      <c r="E1237" s="121"/>
      <c r="G1237" s="121"/>
      <c r="H1237" s="121"/>
    </row>
    <row r="1238" spans="2:9" x14ac:dyDescent="0.35">
      <c r="B1238" s="121"/>
      <c r="C1238" s="121"/>
      <c r="D1238" s="121"/>
      <c r="E1238" s="121"/>
      <c r="G1238" s="121"/>
      <c r="H1238" s="121"/>
    </row>
    <row r="1239" spans="2:9" x14ac:dyDescent="0.35">
      <c r="B1239" s="121"/>
      <c r="C1239" s="121"/>
      <c r="D1239" s="121"/>
      <c r="E1239" s="121"/>
      <c r="G1239" s="121"/>
      <c r="H1239" s="121"/>
    </row>
    <row r="1240" spans="2:9" x14ac:dyDescent="0.35">
      <c r="B1240" s="121"/>
      <c r="C1240" s="121"/>
      <c r="D1240" s="121"/>
      <c r="E1240" s="121"/>
      <c r="G1240" s="121"/>
      <c r="H1240" s="121"/>
    </row>
    <row r="1241" spans="2:9" x14ac:dyDescent="0.35">
      <c r="B1241" s="121"/>
      <c r="C1241" s="121"/>
      <c r="D1241" s="121"/>
      <c r="E1241" s="121"/>
      <c r="G1241" s="121"/>
      <c r="H1241" s="121"/>
    </row>
    <row r="1242" spans="2:9" x14ac:dyDescent="0.35">
      <c r="B1242" s="121"/>
      <c r="C1242" s="121"/>
      <c r="D1242" s="121"/>
      <c r="E1242" s="121"/>
      <c r="G1242" s="121"/>
      <c r="H1242" s="121"/>
    </row>
    <row r="1243" spans="2:9" x14ac:dyDescent="0.35">
      <c r="B1243" s="121"/>
      <c r="C1243" s="121"/>
      <c r="D1243" s="121"/>
      <c r="E1243" s="121"/>
      <c r="G1243" s="121"/>
      <c r="H1243" s="121"/>
    </row>
    <row r="1244" spans="2:9" x14ac:dyDescent="0.35">
      <c r="B1244" s="121"/>
      <c r="C1244" s="121"/>
      <c r="D1244" s="121"/>
      <c r="E1244" s="121"/>
      <c r="G1244" s="121"/>
      <c r="H1244" s="121"/>
    </row>
    <row r="1245" spans="2:9" x14ac:dyDescent="0.35">
      <c r="B1245" s="121"/>
      <c r="C1245" s="121"/>
      <c r="D1245" s="121"/>
      <c r="E1245" s="121"/>
      <c r="G1245" s="121"/>
      <c r="H1245" s="121"/>
    </row>
    <row r="1246" spans="2:9" x14ac:dyDescent="0.35">
      <c r="B1246" s="121"/>
      <c r="C1246" s="121"/>
      <c r="D1246" s="121"/>
      <c r="E1246" s="121"/>
      <c r="G1246" s="121"/>
      <c r="H1246" s="121"/>
    </row>
    <row r="1247" spans="2:9" x14ac:dyDescent="0.35">
      <c r="B1247" s="121"/>
      <c r="C1247" s="121"/>
      <c r="D1247" s="121"/>
      <c r="E1247" s="121"/>
      <c r="G1247" s="121"/>
      <c r="H1247" s="121"/>
    </row>
    <row r="1248" spans="2:9" x14ac:dyDescent="0.35">
      <c r="B1248" s="121"/>
      <c r="C1248" s="121"/>
      <c r="D1248" s="121"/>
      <c r="E1248" s="121"/>
      <c r="G1248" s="121"/>
      <c r="H1248" s="121"/>
    </row>
    <row r="1249" spans="2:8" x14ac:dyDescent="0.35">
      <c r="B1249" s="121"/>
      <c r="C1249" s="121"/>
      <c r="D1249" s="121"/>
      <c r="E1249" s="121"/>
      <c r="G1249" s="121"/>
      <c r="H1249" s="121"/>
    </row>
    <row r="1250" spans="2:8" x14ac:dyDescent="0.35">
      <c r="B1250" s="121"/>
      <c r="C1250" s="121"/>
      <c r="D1250" s="121"/>
      <c r="E1250" s="121"/>
      <c r="G1250" s="121"/>
      <c r="H1250" s="121"/>
    </row>
    <row r="1251" spans="2:8" x14ac:dyDescent="0.35">
      <c r="B1251" s="121"/>
      <c r="C1251" s="121"/>
      <c r="D1251" s="121"/>
      <c r="E1251" s="121"/>
      <c r="G1251" s="121"/>
      <c r="H1251" s="121"/>
    </row>
    <row r="1252" spans="2:8" x14ac:dyDescent="0.35">
      <c r="B1252" s="121"/>
      <c r="C1252" s="121"/>
      <c r="D1252" s="121"/>
      <c r="E1252" s="121"/>
      <c r="G1252" s="121"/>
      <c r="H1252" s="121"/>
    </row>
    <row r="1253" spans="2:8" x14ac:dyDescent="0.35">
      <c r="B1253" s="121"/>
      <c r="C1253" s="121"/>
      <c r="D1253" s="121"/>
      <c r="E1253" s="121"/>
      <c r="G1253" s="121"/>
      <c r="H1253" s="121"/>
    </row>
  </sheetData>
  <conditionalFormatting sqref="H2:H1236">
    <cfRule type="cellIs" dxfId="15" priority="1" operator="lessThan">
      <formula>600</formula>
    </cfRule>
    <cfRule type="cellIs" dxfId="14" priority="2" operator="greaterThan">
      <formula>1000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9217C-1458-4A3A-89C7-D0FADCC9E6F1}">
  <sheetPr codeName="Sheet9"/>
  <dimension ref="A1:R1227"/>
  <sheetViews>
    <sheetView topLeftCell="K1" workbookViewId="0">
      <selection activeCell="Y11" sqref="Y11"/>
    </sheetView>
  </sheetViews>
  <sheetFormatPr defaultRowHeight="15.5" x14ac:dyDescent="0.35"/>
  <cols>
    <col min="1" max="2" width="11.1640625" style="145" customWidth="1"/>
    <col min="3" max="3" width="9.1640625" style="146" customWidth="1"/>
    <col min="4" max="4" width="9.5" style="146" customWidth="1"/>
    <col min="5" max="5" width="10.83203125" style="146" customWidth="1"/>
    <col min="6" max="6" width="10.75" style="146" customWidth="1"/>
    <col min="7" max="7" width="7" style="145" customWidth="1"/>
    <col min="8" max="8" width="7.1640625" style="145" customWidth="1"/>
    <col min="9" max="10" width="11.5" style="146" customWidth="1"/>
    <col min="11" max="11" width="12.9140625" style="145" customWidth="1"/>
    <col min="12" max="12" width="9.9140625" bestFit="1" customWidth="1"/>
    <col min="14" max="14" width="12.25" bestFit="1" customWidth="1"/>
    <col min="15" max="15" width="15.08203125" bestFit="1" customWidth="1"/>
    <col min="16" max="16" width="16" bestFit="1" customWidth="1"/>
    <col min="17" max="17" width="16.1640625" bestFit="1" customWidth="1"/>
    <col min="18" max="18" width="20.75" bestFit="1" customWidth="1"/>
    <col min="19" max="19" width="11.4140625" bestFit="1" customWidth="1"/>
    <col min="20" max="20" width="16" bestFit="1" customWidth="1"/>
    <col min="21" max="21" width="11.4140625" bestFit="1" customWidth="1"/>
    <col min="22" max="22" width="16" bestFit="1" customWidth="1"/>
    <col min="23" max="23" width="11.4140625" bestFit="1" customWidth="1"/>
    <col min="24" max="24" width="16" bestFit="1" customWidth="1"/>
    <col min="25" max="25" width="11.4140625" bestFit="1" customWidth="1"/>
    <col min="26" max="26" width="16" bestFit="1" customWidth="1"/>
    <col min="27" max="27" width="11.4140625" bestFit="1" customWidth="1"/>
    <col min="28" max="28" width="16" bestFit="1" customWidth="1"/>
    <col min="29" max="29" width="16.1640625" bestFit="1" customWidth="1"/>
    <col min="30" max="30" width="20.75" bestFit="1" customWidth="1"/>
    <col min="31" max="31" width="11.1640625" bestFit="1" customWidth="1"/>
    <col min="32" max="32" width="16" bestFit="1" customWidth="1"/>
    <col min="33" max="33" width="11.4140625" bestFit="1" customWidth="1"/>
    <col min="34" max="34" width="11.1640625" bestFit="1" customWidth="1"/>
    <col min="35" max="35" width="16" bestFit="1" customWidth="1"/>
    <col min="36" max="36" width="16.1640625" bestFit="1" customWidth="1"/>
    <col min="37" max="37" width="15.9140625" bestFit="1" customWidth="1"/>
    <col min="38" max="38" width="20.75" bestFit="1" customWidth="1"/>
  </cols>
  <sheetData>
    <row r="1" spans="1:18" ht="16" thickBot="1" x14ac:dyDescent="0.4">
      <c r="A1" s="122" t="s">
        <v>456</v>
      </c>
      <c r="B1" s="123" t="s">
        <v>419</v>
      </c>
      <c r="C1" s="124" t="s">
        <v>304</v>
      </c>
      <c r="D1" s="124" t="s">
        <v>457</v>
      </c>
      <c r="E1" s="124" t="s">
        <v>306</v>
      </c>
      <c r="F1" s="124" t="s">
        <v>307</v>
      </c>
      <c r="G1" s="124" t="s">
        <v>308</v>
      </c>
      <c r="H1" s="124" t="s">
        <v>262</v>
      </c>
      <c r="I1" s="125" t="s">
        <v>458</v>
      </c>
      <c r="J1" s="124" t="s">
        <v>459</v>
      </c>
      <c r="K1" s="124" t="s">
        <v>460</v>
      </c>
      <c r="L1" s="123" t="s">
        <v>461</v>
      </c>
      <c r="N1" s="126" t="s">
        <v>462</v>
      </c>
    </row>
    <row r="2" spans="1:18" x14ac:dyDescent="0.35">
      <c r="A2" s="127">
        <v>45573</v>
      </c>
      <c r="B2" s="128" t="s">
        <v>463</v>
      </c>
      <c r="C2" s="129" t="s">
        <v>464</v>
      </c>
      <c r="D2" s="129" t="s">
        <v>465</v>
      </c>
      <c r="E2" s="129" t="s">
        <v>315</v>
      </c>
      <c r="F2" s="129" t="s">
        <v>454</v>
      </c>
      <c r="G2" s="129">
        <v>35</v>
      </c>
      <c r="H2" s="130">
        <v>22</v>
      </c>
      <c r="I2" s="131">
        <f>G2*H2</f>
        <v>770</v>
      </c>
      <c r="J2" s="132" t="s">
        <v>466</v>
      </c>
      <c r="K2" s="133">
        <v>19.25</v>
      </c>
      <c r="L2">
        <f>Table13[[#This Row],[Price]]*Table13[[#This Row],[Units]]</f>
        <v>770</v>
      </c>
      <c r="O2" t="s">
        <v>467</v>
      </c>
    </row>
    <row r="3" spans="1:18" x14ac:dyDescent="0.35">
      <c r="A3" s="134">
        <v>45573</v>
      </c>
      <c r="B3" s="135" t="s">
        <v>468</v>
      </c>
      <c r="C3" s="136" t="s">
        <v>469</v>
      </c>
      <c r="D3" s="136" t="s">
        <v>470</v>
      </c>
      <c r="E3" s="136" t="s">
        <v>320</v>
      </c>
      <c r="F3" s="136" t="s">
        <v>471</v>
      </c>
      <c r="G3" s="136">
        <v>45</v>
      </c>
      <c r="H3" s="137">
        <v>29</v>
      </c>
      <c r="I3" s="138">
        <f t="shared" ref="I3:I66" si="0">G3*H3</f>
        <v>1305</v>
      </c>
      <c r="J3" s="139" t="s">
        <v>472</v>
      </c>
      <c r="K3" s="140">
        <v>27.405000000000001</v>
      </c>
      <c r="L3">
        <f>Table13[[#This Row],[Price]]*Table13[[#This Row],[Units]]</f>
        <v>1305</v>
      </c>
      <c r="O3" t="s">
        <v>315</v>
      </c>
      <c r="Q3" t="s">
        <v>473</v>
      </c>
      <c r="R3" t="s">
        <v>474</v>
      </c>
    </row>
    <row r="4" spans="1:18" x14ac:dyDescent="0.35">
      <c r="A4" s="134">
        <v>45573</v>
      </c>
      <c r="B4" s="135" t="s">
        <v>475</v>
      </c>
      <c r="C4" s="136" t="s">
        <v>476</v>
      </c>
      <c r="D4" s="136" t="s">
        <v>477</v>
      </c>
      <c r="E4" s="136" t="s">
        <v>324</v>
      </c>
      <c r="F4" s="136" t="s">
        <v>478</v>
      </c>
      <c r="G4" s="136">
        <v>59</v>
      </c>
      <c r="H4" s="137">
        <v>52</v>
      </c>
      <c r="I4" s="138">
        <f t="shared" si="0"/>
        <v>3068</v>
      </c>
      <c r="J4" s="139" t="s">
        <v>472</v>
      </c>
      <c r="K4" s="140">
        <v>79.768000000000001</v>
      </c>
      <c r="L4">
        <f>Table13[[#This Row],[Price]]*Table13[[#This Row],[Units]]</f>
        <v>3068</v>
      </c>
      <c r="N4" t="s">
        <v>479</v>
      </c>
      <c r="O4" t="s">
        <v>480</v>
      </c>
      <c r="P4" t="s">
        <v>481</v>
      </c>
    </row>
    <row r="5" spans="1:18" x14ac:dyDescent="0.35">
      <c r="A5" s="134">
        <v>45573</v>
      </c>
      <c r="B5" s="135" t="s">
        <v>482</v>
      </c>
      <c r="C5" s="136" t="s">
        <v>469</v>
      </c>
      <c r="D5" s="136" t="s">
        <v>477</v>
      </c>
      <c r="E5" s="136" t="s">
        <v>483</v>
      </c>
      <c r="F5" s="136" t="s">
        <v>471</v>
      </c>
      <c r="G5" s="136">
        <v>11</v>
      </c>
      <c r="H5" s="137">
        <v>58</v>
      </c>
      <c r="I5" s="138">
        <f t="shared" si="0"/>
        <v>638</v>
      </c>
      <c r="J5" s="139" t="s">
        <v>472</v>
      </c>
      <c r="K5" s="140">
        <v>13.398</v>
      </c>
      <c r="L5">
        <f>Table13[[#This Row],[Price]]*Table13[[#This Row],[Units]]</f>
        <v>638</v>
      </c>
      <c r="N5" s="141" t="s">
        <v>484</v>
      </c>
      <c r="O5">
        <v>721</v>
      </c>
      <c r="P5" s="142">
        <v>31394</v>
      </c>
      <c r="Q5">
        <v>721</v>
      </c>
      <c r="R5" s="142">
        <v>31394</v>
      </c>
    </row>
    <row r="6" spans="1:18" x14ac:dyDescent="0.35">
      <c r="A6" s="134">
        <v>45574</v>
      </c>
      <c r="B6" s="135" t="s">
        <v>485</v>
      </c>
      <c r="C6" s="136" t="s">
        <v>469</v>
      </c>
      <c r="D6" s="136" t="s">
        <v>486</v>
      </c>
      <c r="E6" s="136" t="s">
        <v>320</v>
      </c>
      <c r="F6" s="136" t="s">
        <v>487</v>
      </c>
      <c r="G6" s="136">
        <v>12</v>
      </c>
      <c r="H6" s="137">
        <v>51</v>
      </c>
      <c r="I6" s="138">
        <f t="shared" si="0"/>
        <v>612</v>
      </c>
      <c r="J6" s="139" t="s">
        <v>466</v>
      </c>
      <c r="K6" s="140">
        <v>18.36</v>
      </c>
      <c r="L6">
        <f>Table13[[#This Row],[Price]]*Table13[[#This Row],[Units]]</f>
        <v>612</v>
      </c>
      <c r="N6" s="141" t="s">
        <v>469</v>
      </c>
      <c r="O6">
        <v>471</v>
      </c>
      <c r="P6" s="142">
        <v>17746</v>
      </c>
      <c r="Q6">
        <v>471</v>
      </c>
      <c r="R6" s="142">
        <v>17746</v>
      </c>
    </row>
    <row r="7" spans="1:18" x14ac:dyDescent="0.35">
      <c r="A7" s="134">
        <v>45574</v>
      </c>
      <c r="B7" s="135" t="s">
        <v>488</v>
      </c>
      <c r="C7" s="136" t="s">
        <v>489</v>
      </c>
      <c r="D7" s="136" t="s">
        <v>490</v>
      </c>
      <c r="E7" s="136" t="s">
        <v>333</v>
      </c>
      <c r="F7" s="136" t="s">
        <v>491</v>
      </c>
      <c r="G7" s="136">
        <v>54</v>
      </c>
      <c r="H7" s="137">
        <v>39</v>
      </c>
      <c r="I7" s="138">
        <f t="shared" si="0"/>
        <v>2106</v>
      </c>
      <c r="J7" s="139" t="s">
        <v>466</v>
      </c>
      <c r="K7" s="140">
        <v>56.862000000000002</v>
      </c>
      <c r="L7">
        <f>Table13[[#This Row],[Price]]*Table13[[#This Row],[Units]]</f>
        <v>2106</v>
      </c>
      <c r="N7" s="141" t="s">
        <v>492</v>
      </c>
      <c r="O7">
        <v>591</v>
      </c>
      <c r="P7" s="142">
        <v>24868</v>
      </c>
      <c r="Q7">
        <v>591</v>
      </c>
      <c r="R7" s="142">
        <v>24868</v>
      </c>
    </row>
    <row r="8" spans="1:18" x14ac:dyDescent="0.35">
      <c r="A8" s="134">
        <v>45574</v>
      </c>
      <c r="B8" s="135" t="s">
        <v>493</v>
      </c>
      <c r="C8" s="136" t="s">
        <v>322</v>
      </c>
      <c r="D8" s="136" t="s">
        <v>490</v>
      </c>
      <c r="E8" s="136" t="s">
        <v>315</v>
      </c>
      <c r="F8" s="136" t="s">
        <v>471</v>
      </c>
      <c r="G8" s="136">
        <v>38</v>
      </c>
      <c r="H8" s="137">
        <v>32</v>
      </c>
      <c r="I8" s="138">
        <f t="shared" si="0"/>
        <v>1216</v>
      </c>
      <c r="J8" s="139" t="s">
        <v>466</v>
      </c>
      <c r="K8" s="140">
        <v>34.048000000000002</v>
      </c>
      <c r="L8">
        <f>Table13[[#This Row],[Price]]*Table13[[#This Row],[Units]]</f>
        <v>1216</v>
      </c>
      <c r="N8" s="141" t="s">
        <v>494</v>
      </c>
      <c r="O8">
        <v>1182</v>
      </c>
      <c r="P8" s="142">
        <v>47484</v>
      </c>
      <c r="Q8">
        <v>1182</v>
      </c>
      <c r="R8" s="142">
        <v>47484</v>
      </c>
    </row>
    <row r="9" spans="1:18" x14ac:dyDescent="0.35">
      <c r="A9" s="134">
        <v>45575</v>
      </c>
      <c r="B9" s="135" t="s">
        <v>495</v>
      </c>
      <c r="C9" s="136" t="s">
        <v>464</v>
      </c>
      <c r="D9" s="136" t="s">
        <v>477</v>
      </c>
      <c r="E9" s="136" t="s">
        <v>483</v>
      </c>
      <c r="F9" s="136" t="s">
        <v>491</v>
      </c>
      <c r="G9" s="136">
        <v>17</v>
      </c>
      <c r="H9" s="137">
        <v>53</v>
      </c>
      <c r="I9" s="138">
        <f t="shared" si="0"/>
        <v>901</v>
      </c>
      <c r="J9" s="139" t="s">
        <v>472</v>
      </c>
      <c r="K9" s="140">
        <v>25.228000000000002</v>
      </c>
      <c r="L9">
        <f>Table13[[#This Row],[Price]]*Table13[[#This Row],[Units]]</f>
        <v>901</v>
      </c>
      <c r="N9" s="141" t="s">
        <v>464</v>
      </c>
      <c r="O9">
        <v>914</v>
      </c>
      <c r="P9" s="142">
        <v>34581</v>
      </c>
      <c r="Q9">
        <v>914</v>
      </c>
      <c r="R9" s="142">
        <v>34581</v>
      </c>
    </row>
    <row r="10" spans="1:18" x14ac:dyDescent="0.35">
      <c r="A10" s="134">
        <v>45575</v>
      </c>
      <c r="B10" s="135" t="s">
        <v>496</v>
      </c>
      <c r="C10" s="136" t="s">
        <v>476</v>
      </c>
      <c r="D10" s="136" t="s">
        <v>470</v>
      </c>
      <c r="E10" s="136" t="s">
        <v>412</v>
      </c>
      <c r="F10" s="136" t="s">
        <v>497</v>
      </c>
      <c r="G10" s="136">
        <v>41</v>
      </c>
      <c r="H10" s="137">
        <v>43</v>
      </c>
      <c r="I10" s="138">
        <f t="shared" si="0"/>
        <v>1763</v>
      </c>
      <c r="J10" s="139" t="s">
        <v>466</v>
      </c>
      <c r="K10" s="140">
        <v>49.363999999999997</v>
      </c>
      <c r="L10">
        <f>Table13[[#This Row],[Price]]*Table13[[#This Row],[Units]]</f>
        <v>1763</v>
      </c>
      <c r="N10" s="141" t="s">
        <v>476</v>
      </c>
      <c r="O10">
        <v>442</v>
      </c>
      <c r="P10" s="142">
        <v>19141</v>
      </c>
      <c r="Q10">
        <v>442</v>
      </c>
      <c r="R10" s="142">
        <v>19141</v>
      </c>
    </row>
    <row r="11" spans="1:18" x14ac:dyDescent="0.35">
      <c r="A11" s="134">
        <v>45575</v>
      </c>
      <c r="B11" s="135" t="s">
        <v>498</v>
      </c>
      <c r="C11" s="136" t="s">
        <v>322</v>
      </c>
      <c r="D11" s="136" t="s">
        <v>470</v>
      </c>
      <c r="E11" s="136" t="s">
        <v>324</v>
      </c>
      <c r="F11" s="136" t="s">
        <v>497</v>
      </c>
      <c r="G11" s="136">
        <v>20</v>
      </c>
      <c r="H11" s="137">
        <v>20</v>
      </c>
      <c r="I11" s="138">
        <f t="shared" si="0"/>
        <v>400</v>
      </c>
      <c r="J11" s="139" t="s">
        <v>466</v>
      </c>
      <c r="K11" s="140">
        <v>10.4</v>
      </c>
      <c r="L11">
        <f>Table13[[#This Row],[Price]]*Table13[[#This Row],[Units]]</f>
        <v>400</v>
      </c>
      <c r="N11" s="141" t="s">
        <v>489</v>
      </c>
      <c r="O11">
        <v>684</v>
      </c>
      <c r="P11" s="142">
        <v>31697</v>
      </c>
      <c r="Q11">
        <v>684</v>
      </c>
      <c r="R11" s="142">
        <v>31697</v>
      </c>
    </row>
    <row r="12" spans="1:18" x14ac:dyDescent="0.35">
      <c r="A12" s="134">
        <v>45575</v>
      </c>
      <c r="B12" s="135" t="s">
        <v>499</v>
      </c>
      <c r="C12" s="136" t="s">
        <v>476</v>
      </c>
      <c r="D12" s="136" t="s">
        <v>465</v>
      </c>
      <c r="E12" s="136" t="s">
        <v>333</v>
      </c>
      <c r="F12" s="136" t="s">
        <v>500</v>
      </c>
      <c r="G12" s="136">
        <v>48</v>
      </c>
      <c r="H12" s="137">
        <v>38</v>
      </c>
      <c r="I12" s="138">
        <f t="shared" si="0"/>
        <v>1824</v>
      </c>
      <c r="J12" s="139" t="s">
        <v>472</v>
      </c>
      <c r="K12" s="140">
        <v>52.896000000000001</v>
      </c>
      <c r="L12">
        <f>Table13[[#This Row],[Price]]*Table13[[#This Row],[Units]]</f>
        <v>1824</v>
      </c>
      <c r="N12" s="141" t="s">
        <v>501</v>
      </c>
      <c r="O12">
        <v>555</v>
      </c>
      <c r="P12" s="142">
        <v>24807</v>
      </c>
      <c r="Q12">
        <v>555</v>
      </c>
      <c r="R12" s="142">
        <v>24807</v>
      </c>
    </row>
    <row r="13" spans="1:18" x14ac:dyDescent="0.35">
      <c r="A13" s="134">
        <v>45575</v>
      </c>
      <c r="B13" s="135" t="s">
        <v>502</v>
      </c>
      <c r="C13" s="136" t="s">
        <v>489</v>
      </c>
      <c r="D13" s="136" t="s">
        <v>465</v>
      </c>
      <c r="E13" s="136" t="s">
        <v>320</v>
      </c>
      <c r="F13" s="136" t="s">
        <v>454</v>
      </c>
      <c r="G13" s="136">
        <v>57</v>
      </c>
      <c r="H13" s="137">
        <v>46</v>
      </c>
      <c r="I13" s="138">
        <f t="shared" si="0"/>
        <v>2622</v>
      </c>
      <c r="J13" s="139" t="s">
        <v>503</v>
      </c>
      <c r="K13" s="140">
        <v>52.44</v>
      </c>
      <c r="L13">
        <f>Table13[[#This Row],[Price]]*Table13[[#This Row],[Units]]</f>
        <v>2622</v>
      </c>
      <c r="N13" s="141" t="s">
        <v>322</v>
      </c>
      <c r="O13">
        <v>1286</v>
      </c>
      <c r="P13" s="142">
        <v>52699</v>
      </c>
      <c r="Q13">
        <v>1286</v>
      </c>
      <c r="R13" s="142">
        <v>52699</v>
      </c>
    </row>
    <row r="14" spans="1:18" x14ac:dyDescent="0.35">
      <c r="A14" s="134">
        <v>45575</v>
      </c>
      <c r="B14" s="135" t="s">
        <v>504</v>
      </c>
      <c r="C14" s="136" t="s">
        <v>489</v>
      </c>
      <c r="D14" s="136" t="s">
        <v>486</v>
      </c>
      <c r="E14" s="136" t="s">
        <v>320</v>
      </c>
      <c r="F14" s="136" t="s">
        <v>505</v>
      </c>
      <c r="G14" s="136">
        <v>57</v>
      </c>
      <c r="H14" s="137">
        <v>54</v>
      </c>
      <c r="I14" s="138">
        <f t="shared" si="0"/>
        <v>3078</v>
      </c>
      <c r="J14" s="139" t="s">
        <v>466</v>
      </c>
      <c r="K14" s="140">
        <v>89.262</v>
      </c>
      <c r="L14">
        <f>Table13[[#This Row],[Price]]*Table13[[#This Row],[Units]]</f>
        <v>3078</v>
      </c>
      <c r="N14" s="141" t="s">
        <v>506</v>
      </c>
      <c r="O14">
        <v>6846</v>
      </c>
      <c r="P14" s="142">
        <v>284417</v>
      </c>
      <c r="Q14">
        <v>6846</v>
      </c>
      <c r="R14" s="142">
        <v>284417</v>
      </c>
    </row>
    <row r="15" spans="1:18" x14ac:dyDescent="0.35">
      <c r="A15" s="134">
        <v>45575</v>
      </c>
      <c r="B15" s="135" t="s">
        <v>507</v>
      </c>
      <c r="C15" s="136" t="s">
        <v>501</v>
      </c>
      <c r="D15" s="136" t="s">
        <v>490</v>
      </c>
      <c r="E15" s="136" t="s">
        <v>483</v>
      </c>
      <c r="F15" s="136" t="s">
        <v>497</v>
      </c>
      <c r="G15" s="136">
        <v>53</v>
      </c>
      <c r="H15" s="137">
        <v>46</v>
      </c>
      <c r="I15" s="138">
        <f t="shared" si="0"/>
        <v>2438</v>
      </c>
      <c r="J15" s="139" t="s">
        <v>503</v>
      </c>
      <c r="K15" s="140">
        <v>48.76</v>
      </c>
      <c r="L15">
        <f>Table13[[#This Row],[Price]]*Table13[[#This Row],[Units]]</f>
        <v>2438</v>
      </c>
    </row>
    <row r="16" spans="1:18" x14ac:dyDescent="0.35">
      <c r="A16" s="134">
        <v>45576</v>
      </c>
      <c r="B16" s="135" t="s">
        <v>508</v>
      </c>
      <c r="C16" s="136" t="s">
        <v>484</v>
      </c>
      <c r="D16" s="136" t="s">
        <v>477</v>
      </c>
      <c r="E16" s="136" t="s">
        <v>333</v>
      </c>
      <c r="F16" s="136" t="s">
        <v>491</v>
      </c>
      <c r="G16" s="136">
        <v>42</v>
      </c>
      <c r="H16" s="137">
        <v>36</v>
      </c>
      <c r="I16" s="138">
        <f t="shared" si="0"/>
        <v>1512</v>
      </c>
      <c r="J16" s="139" t="s">
        <v>466</v>
      </c>
      <c r="K16" s="140">
        <v>43.847999999999999</v>
      </c>
      <c r="L16">
        <f>Table13[[#This Row],[Price]]*Table13[[#This Row],[Units]]</f>
        <v>1512</v>
      </c>
    </row>
    <row r="17" spans="1:12" x14ac:dyDescent="0.35">
      <c r="A17" s="134">
        <v>45576</v>
      </c>
      <c r="B17" s="135" t="s">
        <v>509</v>
      </c>
      <c r="C17" s="136" t="s">
        <v>489</v>
      </c>
      <c r="D17" s="136" t="s">
        <v>477</v>
      </c>
      <c r="E17" s="136" t="s">
        <v>320</v>
      </c>
      <c r="F17" s="136" t="s">
        <v>510</v>
      </c>
      <c r="G17" s="136">
        <v>49</v>
      </c>
      <c r="H17" s="137">
        <v>20</v>
      </c>
      <c r="I17" s="138">
        <f t="shared" si="0"/>
        <v>980</v>
      </c>
      <c r="J17" s="139" t="s">
        <v>472</v>
      </c>
      <c r="K17" s="140">
        <v>20.58</v>
      </c>
      <c r="L17">
        <f>Table13[[#This Row],[Price]]*Table13[[#This Row],[Units]]</f>
        <v>980</v>
      </c>
    </row>
    <row r="18" spans="1:12" x14ac:dyDescent="0.35">
      <c r="A18" s="134">
        <v>45576</v>
      </c>
      <c r="B18" s="135" t="s">
        <v>511</v>
      </c>
      <c r="C18" s="136" t="s">
        <v>494</v>
      </c>
      <c r="D18" s="136" t="s">
        <v>512</v>
      </c>
      <c r="E18" s="136" t="s">
        <v>315</v>
      </c>
      <c r="F18" s="136" t="s">
        <v>513</v>
      </c>
      <c r="G18" s="136">
        <v>10</v>
      </c>
      <c r="H18" s="137">
        <v>54</v>
      </c>
      <c r="I18" s="138">
        <f t="shared" si="0"/>
        <v>540</v>
      </c>
      <c r="J18" s="139" t="s">
        <v>466</v>
      </c>
      <c r="K18" s="140">
        <v>16.2</v>
      </c>
      <c r="L18">
        <f>Table13[[#This Row],[Price]]*Table13[[#This Row],[Units]]</f>
        <v>540</v>
      </c>
    </row>
    <row r="19" spans="1:12" x14ac:dyDescent="0.35">
      <c r="A19" s="134">
        <v>45576</v>
      </c>
      <c r="B19" s="135" t="s">
        <v>514</v>
      </c>
      <c r="C19" s="136" t="s">
        <v>476</v>
      </c>
      <c r="D19" s="136" t="s">
        <v>477</v>
      </c>
      <c r="E19" s="136" t="s">
        <v>333</v>
      </c>
      <c r="F19" s="136" t="s">
        <v>497</v>
      </c>
      <c r="G19" s="136">
        <v>35</v>
      </c>
      <c r="H19" s="137">
        <v>20</v>
      </c>
      <c r="I19" s="138">
        <f t="shared" si="0"/>
        <v>700</v>
      </c>
      <c r="J19" s="139" t="s">
        <v>515</v>
      </c>
      <c r="K19" s="140">
        <v>18.2</v>
      </c>
      <c r="L19">
        <f>Table13[[#This Row],[Price]]*Table13[[#This Row],[Units]]</f>
        <v>700</v>
      </c>
    </row>
    <row r="20" spans="1:12" x14ac:dyDescent="0.35">
      <c r="A20" s="134">
        <v>45576</v>
      </c>
      <c r="B20" s="135" t="s">
        <v>516</v>
      </c>
      <c r="C20" s="136" t="s">
        <v>492</v>
      </c>
      <c r="D20" s="136" t="s">
        <v>465</v>
      </c>
      <c r="E20" s="136" t="s">
        <v>315</v>
      </c>
      <c r="F20" s="136" t="s">
        <v>517</v>
      </c>
      <c r="G20" s="136">
        <v>24</v>
      </c>
      <c r="H20" s="137">
        <v>39</v>
      </c>
      <c r="I20" s="138">
        <f t="shared" si="0"/>
        <v>936</v>
      </c>
      <c r="J20" s="139" t="s">
        <v>503</v>
      </c>
      <c r="K20" s="140">
        <v>25.271999999999998</v>
      </c>
      <c r="L20">
        <f>Table13[[#This Row],[Price]]*Table13[[#This Row],[Units]]</f>
        <v>936</v>
      </c>
    </row>
    <row r="21" spans="1:12" x14ac:dyDescent="0.35">
      <c r="A21" s="134">
        <v>45576</v>
      </c>
      <c r="B21" s="135" t="s">
        <v>518</v>
      </c>
      <c r="C21" s="136" t="s">
        <v>464</v>
      </c>
      <c r="D21" s="136" t="s">
        <v>519</v>
      </c>
      <c r="E21" s="136" t="s">
        <v>320</v>
      </c>
      <c r="F21" s="136" t="s">
        <v>520</v>
      </c>
      <c r="G21" s="136">
        <v>30</v>
      </c>
      <c r="H21" s="137">
        <v>45</v>
      </c>
      <c r="I21" s="138">
        <f t="shared" si="0"/>
        <v>1350</v>
      </c>
      <c r="J21" s="139" t="s">
        <v>466</v>
      </c>
      <c r="K21" s="140">
        <v>31.05</v>
      </c>
      <c r="L21">
        <f>Table13[[#This Row],[Price]]*Table13[[#This Row],[Units]]</f>
        <v>1350</v>
      </c>
    </row>
    <row r="22" spans="1:12" x14ac:dyDescent="0.35">
      <c r="A22" s="134">
        <v>45577</v>
      </c>
      <c r="B22" s="135" t="s">
        <v>521</v>
      </c>
      <c r="C22" s="136" t="s">
        <v>322</v>
      </c>
      <c r="D22" s="136" t="s">
        <v>470</v>
      </c>
      <c r="E22" s="136" t="s">
        <v>315</v>
      </c>
      <c r="F22" s="136" t="s">
        <v>505</v>
      </c>
      <c r="G22" s="136">
        <v>51</v>
      </c>
      <c r="H22" s="137">
        <v>36</v>
      </c>
      <c r="I22" s="138">
        <f t="shared" si="0"/>
        <v>1836</v>
      </c>
      <c r="J22" s="139" t="s">
        <v>466</v>
      </c>
      <c r="K22" s="140">
        <v>47.735999999999997</v>
      </c>
      <c r="L22">
        <f>Table13[[#This Row],[Price]]*Table13[[#This Row],[Units]]</f>
        <v>1836</v>
      </c>
    </row>
    <row r="23" spans="1:12" x14ac:dyDescent="0.35">
      <c r="A23" s="134">
        <v>45577</v>
      </c>
      <c r="B23" s="135" t="s">
        <v>522</v>
      </c>
      <c r="C23" s="136" t="s">
        <v>322</v>
      </c>
      <c r="D23" s="136" t="s">
        <v>477</v>
      </c>
      <c r="E23" s="136" t="s">
        <v>412</v>
      </c>
      <c r="F23" s="136" t="s">
        <v>523</v>
      </c>
      <c r="G23" s="136">
        <v>51</v>
      </c>
      <c r="H23" s="137">
        <v>54</v>
      </c>
      <c r="I23" s="138">
        <f t="shared" si="0"/>
        <v>2754</v>
      </c>
      <c r="J23" s="139" t="s">
        <v>466</v>
      </c>
      <c r="K23" s="140">
        <v>60.588000000000001</v>
      </c>
      <c r="L23">
        <f>Table13[[#This Row],[Price]]*Table13[[#This Row],[Units]]</f>
        <v>2754</v>
      </c>
    </row>
    <row r="24" spans="1:12" x14ac:dyDescent="0.35">
      <c r="A24" s="134">
        <v>45577</v>
      </c>
      <c r="B24" s="135" t="s">
        <v>524</v>
      </c>
      <c r="C24" s="136" t="s">
        <v>492</v>
      </c>
      <c r="D24" s="136" t="s">
        <v>490</v>
      </c>
      <c r="E24" s="136" t="s">
        <v>333</v>
      </c>
      <c r="F24" s="136" t="s">
        <v>497</v>
      </c>
      <c r="G24" s="136">
        <v>38</v>
      </c>
      <c r="H24" s="137">
        <v>41</v>
      </c>
      <c r="I24" s="138">
        <f t="shared" si="0"/>
        <v>1558</v>
      </c>
      <c r="J24" s="139" t="s">
        <v>472</v>
      </c>
      <c r="K24" s="140">
        <v>34.276000000000003</v>
      </c>
      <c r="L24">
        <f>Table13[[#This Row],[Price]]*Table13[[#This Row],[Units]]</f>
        <v>1558</v>
      </c>
    </row>
    <row r="25" spans="1:12" x14ac:dyDescent="0.35">
      <c r="A25" s="134">
        <v>45577</v>
      </c>
      <c r="B25" s="135" t="s">
        <v>525</v>
      </c>
      <c r="C25" s="136" t="s">
        <v>322</v>
      </c>
      <c r="D25" s="136" t="s">
        <v>470</v>
      </c>
      <c r="E25" s="136" t="s">
        <v>315</v>
      </c>
      <c r="F25" s="136" t="s">
        <v>513</v>
      </c>
      <c r="G25" s="136">
        <v>31</v>
      </c>
      <c r="H25" s="137">
        <v>33</v>
      </c>
      <c r="I25" s="138">
        <f t="shared" si="0"/>
        <v>1023</v>
      </c>
      <c r="J25" s="139" t="s">
        <v>466</v>
      </c>
      <c r="K25" s="140">
        <v>21.483000000000001</v>
      </c>
      <c r="L25">
        <f>Table13[[#This Row],[Price]]*Table13[[#This Row],[Units]]</f>
        <v>1023</v>
      </c>
    </row>
    <row r="26" spans="1:12" x14ac:dyDescent="0.35">
      <c r="A26" s="134">
        <v>45577</v>
      </c>
      <c r="B26" s="135" t="s">
        <v>526</v>
      </c>
      <c r="C26" s="136" t="s">
        <v>322</v>
      </c>
      <c r="D26" s="136" t="s">
        <v>477</v>
      </c>
      <c r="E26" s="136" t="s">
        <v>333</v>
      </c>
      <c r="F26" s="136" t="s">
        <v>520</v>
      </c>
      <c r="G26" s="136">
        <v>13</v>
      </c>
      <c r="H26" s="137">
        <v>39</v>
      </c>
      <c r="I26" s="138">
        <f t="shared" si="0"/>
        <v>507</v>
      </c>
      <c r="J26" s="139" t="s">
        <v>466</v>
      </c>
      <c r="K26" s="140">
        <v>10.647</v>
      </c>
      <c r="L26">
        <f>Table13[[#This Row],[Price]]*Table13[[#This Row],[Units]]</f>
        <v>507</v>
      </c>
    </row>
    <row r="27" spans="1:12" x14ac:dyDescent="0.35">
      <c r="A27" s="134">
        <v>45577</v>
      </c>
      <c r="B27" s="135" t="s">
        <v>527</v>
      </c>
      <c r="C27" s="136" t="s">
        <v>492</v>
      </c>
      <c r="D27" s="136" t="s">
        <v>470</v>
      </c>
      <c r="E27" s="136" t="s">
        <v>483</v>
      </c>
      <c r="F27" s="136" t="s">
        <v>528</v>
      </c>
      <c r="G27" s="136">
        <v>59</v>
      </c>
      <c r="H27" s="137">
        <v>21</v>
      </c>
      <c r="I27" s="138">
        <f t="shared" si="0"/>
        <v>1239</v>
      </c>
      <c r="J27" s="139" t="s">
        <v>515</v>
      </c>
      <c r="K27" s="140">
        <v>35.930999999999997</v>
      </c>
      <c r="L27">
        <f>Table13[[#This Row],[Price]]*Table13[[#This Row],[Units]]</f>
        <v>1239</v>
      </c>
    </row>
    <row r="28" spans="1:12" x14ac:dyDescent="0.35">
      <c r="A28" s="134">
        <v>45577</v>
      </c>
      <c r="B28" s="135" t="s">
        <v>529</v>
      </c>
      <c r="C28" s="136" t="s">
        <v>322</v>
      </c>
      <c r="D28" s="136" t="s">
        <v>477</v>
      </c>
      <c r="E28" s="136" t="s">
        <v>315</v>
      </c>
      <c r="F28" s="136" t="s">
        <v>497</v>
      </c>
      <c r="G28" s="136">
        <v>15</v>
      </c>
      <c r="H28" s="137">
        <v>36</v>
      </c>
      <c r="I28" s="138">
        <f t="shared" si="0"/>
        <v>540</v>
      </c>
      <c r="J28" s="139" t="s">
        <v>466</v>
      </c>
      <c r="K28" s="140">
        <v>13.5</v>
      </c>
      <c r="L28">
        <f>Table13[[#This Row],[Price]]*Table13[[#This Row],[Units]]</f>
        <v>540</v>
      </c>
    </row>
    <row r="29" spans="1:12" x14ac:dyDescent="0.35">
      <c r="A29" s="134">
        <v>45577</v>
      </c>
      <c r="B29" s="135" t="s">
        <v>530</v>
      </c>
      <c r="C29" s="136" t="s">
        <v>489</v>
      </c>
      <c r="D29" s="136" t="s">
        <v>465</v>
      </c>
      <c r="E29" s="136" t="s">
        <v>333</v>
      </c>
      <c r="F29" s="136" t="s">
        <v>491</v>
      </c>
      <c r="G29" s="136">
        <v>10</v>
      </c>
      <c r="H29" s="137">
        <v>27</v>
      </c>
      <c r="I29" s="138">
        <f t="shared" si="0"/>
        <v>270</v>
      </c>
      <c r="J29" s="139" t="s">
        <v>515</v>
      </c>
      <c r="K29" s="140">
        <v>5.94</v>
      </c>
      <c r="L29">
        <f>Table13[[#This Row],[Price]]*Table13[[#This Row],[Units]]</f>
        <v>270</v>
      </c>
    </row>
    <row r="30" spans="1:12" x14ac:dyDescent="0.35">
      <c r="A30" s="134">
        <v>45577</v>
      </c>
      <c r="B30" s="135" t="s">
        <v>531</v>
      </c>
      <c r="C30" s="136" t="s">
        <v>476</v>
      </c>
      <c r="D30" s="136" t="s">
        <v>490</v>
      </c>
      <c r="E30" s="136" t="s">
        <v>483</v>
      </c>
      <c r="F30" s="136" t="s">
        <v>487</v>
      </c>
      <c r="G30" s="136">
        <v>58</v>
      </c>
      <c r="H30" s="137">
        <v>49</v>
      </c>
      <c r="I30" s="138">
        <f t="shared" si="0"/>
        <v>2842</v>
      </c>
      <c r="J30" s="139" t="s">
        <v>472</v>
      </c>
      <c r="K30" s="140">
        <v>85.26</v>
      </c>
      <c r="L30">
        <f>Table13[[#This Row],[Price]]*Table13[[#This Row],[Units]]</f>
        <v>2842</v>
      </c>
    </row>
    <row r="31" spans="1:12" x14ac:dyDescent="0.35">
      <c r="A31" s="134">
        <v>45578</v>
      </c>
      <c r="B31" s="135" t="s">
        <v>532</v>
      </c>
      <c r="C31" s="136" t="s">
        <v>501</v>
      </c>
      <c r="D31" s="136" t="s">
        <v>477</v>
      </c>
      <c r="E31" s="136" t="s">
        <v>483</v>
      </c>
      <c r="F31" s="136" t="s">
        <v>517</v>
      </c>
      <c r="G31" s="136">
        <v>16</v>
      </c>
      <c r="H31" s="137">
        <v>50</v>
      </c>
      <c r="I31" s="138">
        <f t="shared" si="0"/>
        <v>800</v>
      </c>
      <c r="J31" s="139" t="s">
        <v>515</v>
      </c>
      <c r="K31" s="140">
        <v>16.8</v>
      </c>
      <c r="L31">
        <f>Table13[[#This Row],[Price]]*Table13[[#This Row],[Units]]</f>
        <v>800</v>
      </c>
    </row>
    <row r="32" spans="1:12" x14ac:dyDescent="0.35">
      <c r="A32" s="134">
        <v>45578</v>
      </c>
      <c r="B32" s="135" t="s">
        <v>533</v>
      </c>
      <c r="C32" s="136" t="s">
        <v>492</v>
      </c>
      <c r="D32" s="136" t="s">
        <v>477</v>
      </c>
      <c r="E32" s="136" t="s">
        <v>483</v>
      </c>
      <c r="F32" s="136" t="s">
        <v>471</v>
      </c>
      <c r="G32" s="136">
        <v>14</v>
      </c>
      <c r="H32" s="137">
        <v>53</v>
      </c>
      <c r="I32" s="138">
        <f t="shared" si="0"/>
        <v>742</v>
      </c>
      <c r="J32" s="139" t="s">
        <v>466</v>
      </c>
      <c r="K32" s="140">
        <v>20.033999999999999</v>
      </c>
      <c r="L32">
        <f>Table13[[#This Row],[Price]]*Table13[[#This Row],[Units]]</f>
        <v>742</v>
      </c>
    </row>
    <row r="33" spans="1:12" x14ac:dyDescent="0.35">
      <c r="A33" s="134">
        <v>45578</v>
      </c>
      <c r="B33" s="135" t="s">
        <v>534</v>
      </c>
      <c r="C33" s="136" t="s">
        <v>492</v>
      </c>
      <c r="D33" s="136" t="s">
        <v>519</v>
      </c>
      <c r="E33" s="136" t="s">
        <v>483</v>
      </c>
      <c r="F33" s="136" t="s">
        <v>510</v>
      </c>
      <c r="G33" s="136">
        <v>32</v>
      </c>
      <c r="H33" s="137">
        <v>44</v>
      </c>
      <c r="I33" s="138">
        <f t="shared" si="0"/>
        <v>1408</v>
      </c>
      <c r="J33" s="139" t="s">
        <v>466</v>
      </c>
      <c r="K33" s="140">
        <v>30.975999999999999</v>
      </c>
      <c r="L33">
        <f>Table13[[#This Row],[Price]]*Table13[[#This Row],[Units]]</f>
        <v>1408</v>
      </c>
    </row>
    <row r="34" spans="1:12" x14ac:dyDescent="0.35">
      <c r="A34" s="134">
        <v>45578</v>
      </c>
      <c r="B34" s="135" t="s">
        <v>535</v>
      </c>
      <c r="C34" s="136" t="s">
        <v>494</v>
      </c>
      <c r="D34" s="136" t="s">
        <v>477</v>
      </c>
      <c r="E34" s="136" t="s">
        <v>324</v>
      </c>
      <c r="F34" s="136" t="s">
        <v>536</v>
      </c>
      <c r="G34" s="136">
        <v>43</v>
      </c>
      <c r="H34" s="137">
        <v>54</v>
      </c>
      <c r="I34" s="138">
        <f t="shared" si="0"/>
        <v>2322</v>
      </c>
      <c r="J34" s="139" t="s">
        <v>503</v>
      </c>
      <c r="K34" s="140">
        <v>53.405999999999999</v>
      </c>
      <c r="L34">
        <f>Table13[[#This Row],[Price]]*Table13[[#This Row],[Units]]</f>
        <v>2322</v>
      </c>
    </row>
    <row r="35" spans="1:12" x14ac:dyDescent="0.35">
      <c r="A35" s="134">
        <v>45578</v>
      </c>
      <c r="B35" s="135" t="s">
        <v>537</v>
      </c>
      <c r="C35" s="136" t="s">
        <v>322</v>
      </c>
      <c r="D35" s="136" t="s">
        <v>470</v>
      </c>
      <c r="E35" s="136" t="s">
        <v>390</v>
      </c>
      <c r="F35" s="136" t="s">
        <v>497</v>
      </c>
      <c r="G35" s="136">
        <v>40</v>
      </c>
      <c r="H35" s="137">
        <v>43</v>
      </c>
      <c r="I35" s="138">
        <f t="shared" si="0"/>
        <v>1720</v>
      </c>
      <c r="J35" s="139" t="s">
        <v>472</v>
      </c>
      <c r="K35" s="140">
        <v>43</v>
      </c>
      <c r="L35">
        <f>Table13[[#This Row],[Price]]*Table13[[#This Row],[Units]]</f>
        <v>1720</v>
      </c>
    </row>
    <row r="36" spans="1:12" x14ac:dyDescent="0.35">
      <c r="A36" s="134">
        <v>45578</v>
      </c>
      <c r="B36" s="135" t="s">
        <v>538</v>
      </c>
      <c r="C36" s="136" t="s">
        <v>494</v>
      </c>
      <c r="D36" s="136" t="s">
        <v>486</v>
      </c>
      <c r="E36" s="136" t="s">
        <v>483</v>
      </c>
      <c r="F36" s="136" t="s">
        <v>539</v>
      </c>
      <c r="G36" s="136">
        <v>43</v>
      </c>
      <c r="H36" s="137">
        <v>33</v>
      </c>
      <c r="I36" s="138">
        <f t="shared" si="0"/>
        <v>1419</v>
      </c>
      <c r="J36" s="139" t="s">
        <v>466</v>
      </c>
      <c r="K36" s="140">
        <v>31.218</v>
      </c>
      <c r="L36">
        <f>Table13[[#This Row],[Price]]*Table13[[#This Row],[Units]]</f>
        <v>1419</v>
      </c>
    </row>
    <row r="37" spans="1:12" x14ac:dyDescent="0.35">
      <c r="A37" s="134">
        <v>45578</v>
      </c>
      <c r="B37" s="135" t="s">
        <v>540</v>
      </c>
      <c r="C37" s="136" t="s">
        <v>322</v>
      </c>
      <c r="D37" s="136" t="s">
        <v>490</v>
      </c>
      <c r="E37" s="136" t="s">
        <v>315</v>
      </c>
      <c r="F37" s="136" t="s">
        <v>520</v>
      </c>
      <c r="G37" s="136">
        <v>57</v>
      </c>
      <c r="H37" s="137">
        <v>51</v>
      </c>
      <c r="I37" s="138">
        <f t="shared" si="0"/>
        <v>2907</v>
      </c>
      <c r="J37" s="139" t="s">
        <v>472</v>
      </c>
      <c r="K37" s="140">
        <v>63.954000000000001</v>
      </c>
      <c r="L37">
        <f>Table13[[#This Row],[Price]]*Table13[[#This Row],[Units]]</f>
        <v>2907</v>
      </c>
    </row>
    <row r="38" spans="1:12" x14ac:dyDescent="0.35">
      <c r="A38" s="134">
        <v>45578</v>
      </c>
      <c r="B38" s="135" t="s">
        <v>541</v>
      </c>
      <c r="C38" s="136" t="s">
        <v>494</v>
      </c>
      <c r="D38" s="136" t="s">
        <v>512</v>
      </c>
      <c r="E38" s="136" t="s">
        <v>333</v>
      </c>
      <c r="F38" s="136" t="s">
        <v>523</v>
      </c>
      <c r="G38" s="136">
        <v>38</v>
      </c>
      <c r="H38" s="137">
        <v>48</v>
      </c>
      <c r="I38" s="138">
        <f t="shared" si="0"/>
        <v>1824</v>
      </c>
      <c r="J38" s="139" t="s">
        <v>472</v>
      </c>
      <c r="K38" s="140">
        <v>52.896000000000001</v>
      </c>
      <c r="L38">
        <f>Table13[[#This Row],[Price]]*Table13[[#This Row],[Units]]</f>
        <v>1824</v>
      </c>
    </row>
    <row r="39" spans="1:12" x14ac:dyDescent="0.35">
      <c r="A39" s="134">
        <v>45578</v>
      </c>
      <c r="B39" s="135" t="s">
        <v>542</v>
      </c>
      <c r="C39" s="136" t="s">
        <v>484</v>
      </c>
      <c r="D39" s="136" t="s">
        <v>470</v>
      </c>
      <c r="E39" s="136" t="s">
        <v>320</v>
      </c>
      <c r="F39" s="136" t="s">
        <v>513</v>
      </c>
      <c r="G39" s="136">
        <v>48</v>
      </c>
      <c r="H39" s="137">
        <v>56</v>
      </c>
      <c r="I39" s="138">
        <f t="shared" si="0"/>
        <v>2688</v>
      </c>
      <c r="J39" s="139" t="s">
        <v>466</v>
      </c>
      <c r="K39" s="140">
        <v>77.951999999999998</v>
      </c>
      <c r="L39">
        <f>Table13[[#This Row],[Price]]*Table13[[#This Row],[Units]]</f>
        <v>2688</v>
      </c>
    </row>
    <row r="40" spans="1:12" x14ac:dyDescent="0.35">
      <c r="A40" s="134">
        <v>45578</v>
      </c>
      <c r="B40" s="135" t="s">
        <v>543</v>
      </c>
      <c r="C40" s="136" t="s">
        <v>501</v>
      </c>
      <c r="D40" s="136" t="s">
        <v>470</v>
      </c>
      <c r="E40" s="136" t="s">
        <v>483</v>
      </c>
      <c r="F40" s="136" t="s">
        <v>491</v>
      </c>
      <c r="G40" s="136">
        <v>30</v>
      </c>
      <c r="H40" s="137">
        <v>46</v>
      </c>
      <c r="I40" s="138">
        <f t="shared" si="0"/>
        <v>1380</v>
      </c>
      <c r="J40" s="139" t="s">
        <v>472</v>
      </c>
      <c r="K40" s="140">
        <v>40.020000000000003</v>
      </c>
      <c r="L40">
        <f>Table13[[#This Row],[Price]]*Table13[[#This Row],[Units]]</f>
        <v>1380</v>
      </c>
    </row>
    <row r="41" spans="1:12" x14ac:dyDescent="0.35">
      <c r="A41" s="134">
        <v>45578</v>
      </c>
      <c r="B41" s="135" t="s">
        <v>544</v>
      </c>
      <c r="C41" s="136" t="s">
        <v>494</v>
      </c>
      <c r="D41" s="136" t="s">
        <v>470</v>
      </c>
      <c r="E41" s="136" t="s">
        <v>333</v>
      </c>
      <c r="F41" s="136" t="s">
        <v>513</v>
      </c>
      <c r="G41" s="136">
        <v>32</v>
      </c>
      <c r="H41" s="137">
        <v>44</v>
      </c>
      <c r="I41" s="138">
        <f t="shared" si="0"/>
        <v>1408</v>
      </c>
      <c r="J41" s="139" t="s">
        <v>466</v>
      </c>
      <c r="K41" s="140">
        <v>40.832000000000001</v>
      </c>
      <c r="L41">
        <f>Table13[[#This Row],[Price]]*Table13[[#This Row],[Units]]</f>
        <v>1408</v>
      </c>
    </row>
    <row r="42" spans="1:12" x14ac:dyDescent="0.35">
      <c r="A42" s="134">
        <v>45579</v>
      </c>
      <c r="B42" s="135" t="s">
        <v>545</v>
      </c>
      <c r="C42" s="136" t="s">
        <v>476</v>
      </c>
      <c r="D42" s="136" t="s">
        <v>490</v>
      </c>
      <c r="E42" s="136" t="s">
        <v>483</v>
      </c>
      <c r="F42" s="136" t="s">
        <v>523</v>
      </c>
      <c r="G42" s="136">
        <v>14</v>
      </c>
      <c r="H42" s="137">
        <v>60</v>
      </c>
      <c r="I42" s="138">
        <f t="shared" si="0"/>
        <v>840</v>
      </c>
      <c r="J42" s="139" t="s">
        <v>466</v>
      </c>
      <c r="K42" s="140">
        <v>16.8</v>
      </c>
      <c r="L42">
        <f>Table13[[#This Row],[Price]]*Table13[[#This Row],[Units]]</f>
        <v>840</v>
      </c>
    </row>
    <row r="43" spans="1:12" x14ac:dyDescent="0.35">
      <c r="A43" s="134">
        <v>45579</v>
      </c>
      <c r="B43" s="135" t="s">
        <v>546</v>
      </c>
      <c r="C43" s="136" t="s">
        <v>489</v>
      </c>
      <c r="D43" s="136" t="s">
        <v>465</v>
      </c>
      <c r="E43" s="136" t="s">
        <v>324</v>
      </c>
      <c r="F43" s="136" t="s">
        <v>510</v>
      </c>
      <c r="G43" s="136">
        <v>34</v>
      </c>
      <c r="H43" s="137">
        <v>25</v>
      </c>
      <c r="I43" s="138">
        <f t="shared" si="0"/>
        <v>850</v>
      </c>
      <c r="J43" s="139" t="s">
        <v>466</v>
      </c>
      <c r="K43" s="140">
        <v>19.55</v>
      </c>
      <c r="L43">
        <f>Table13[[#This Row],[Price]]*Table13[[#This Row],[Units]]</f>
        <v>850</v>
      </c>
    </row>
    <row r="44" spans="1:12" x14ac:dyDescent="0.35">
      <c r="A44" s="134">
        <v>45579</v>
      </c>
      <c r="B44" s="135" t="s">
        <v>547</v>
      </c>
      <c r="C44" s="136" t="s">
        <v>469</v>
      </c>
      <c r="D44" s="136" t="s">
        <v>486</v>
      </c>
      <c r="E44" s="136" t="s">
        <v>483</v>
      </c>
      <c r="F44" s="136" t="s">
        <v>505</v>
      </c>
      <c r="G44" s="136">
        <v>25</v>
      </c>
      <c r="H44" s="137">
        <v>29</v>
      </c>
      <c r="I44" s="138">
        <f t="shared" si="0"/>
        <v>725</v>
      </c>
      <c r="J44" s="139" t="s">
        <v>466</v>
      </c>
      <c r="K44" s="140">
        <v>21.024999999999999</v>
      </c>
      <c r="L44">
        <f>Table13[[#This Row],[Price]]*Table13[[#This Row],[Units]]</f>
        <v>725</v>
      </c>
    </row>
    <row r="45" spans="1:12" x14ac:dyDescent="0.35">
      <c r="A45" s="134">
        <v>45579</v>
      </c>
      <c r="B45" s="135" t="s">
        <v>548</v>
      </c>
      <c r="C45" s="136" t="s">
        <v>494</v>
      </c>
      <c r="D45" s="136" t="s">
        <v>519</v>
      </c>
      <c r="E45" s="136" t="s">
        <v>390</v>
      </c>
      <c r="F45" s="136" t="s">
        <v>536</v>
      </c>
      <c r="G45" s="136">
        <v>59</v>
      </c>
      <c r="H45" s="137">
        <v>41</v>
      </c>
      <c r="I45" s="138">
        <f t="shared" si="0"/>
        <v>2419</v>
      </c>
      <c r="J45" s="139" t="s">
        <v>466</v>
      </c>
      <c r="K45" s="140">
        <v>65.313000000000002</v>
      </c>
      <c r="L45">
        <f>Table13[[#This Row],[Price]]*Table13[[#This Row],[Units]]</f>
        <v>2419</v>
      </c>
    </row>
    <row r="46" spans="1:12" x14ac:dyDescent="0.35">
      <c r="A46" s="134">
        <v>45579</v>
      </c>
      <c r="B46" s="135" t="s">
        <v>549</v>
      </c>
      <c r="C46" s="136" t="s">
        <v>322</v>
      </c>
      <c r="D46" s="136" t="s">
        <v>470</v>
      </c>
      <c r="E46" s="136" t="s">
        <v>412</v>
      </c>
      <c r="F46" s="136" t="s">
        <v>491</v>
      </c>
      <c r="G46" s="136">
        <v>42</v>
      </c>
      <c r="H46" s="137">
        <v>43</v>
      </c>
      <c r="I46" s="138">
        <f t="shared" si="0"/>
        <v>1806</v>
      </c>
      <c r="J46" s="139" t="s">
        <v>515</v>
      </c>
      <c r="K46" s="140">
        <v>36.119999999999997</v>
      </c>
      <c r="L46">
        <f>Table13[[#This Row],[Price]]*Table13[[#This Row],[Units]]</f>
        <v>1806</v>
      </c>
    </row>
    <row r="47" spans="1:12" x14ac:dyDescent="0.35">
      <c r="A47" s="134">
        <v>45580</v>
      </c>
      <c r="B47" s="135" t="s">
        <v>550</v>
      </c>
      <c r="C47" s="136" t="s">
        <v>322</v>
      </c>
      <c r="D47" s="136" t="s">
        <v>490</v>
      </c>
      <c r="E47" s="136" t="s">
        <v>412</v>
      </c>
      <c r="F47" s="136" t="s">
        <v>487</v>
      </c>
      <c r="G47" s="136">
        <v>33</v>
      </c>
      <c r="H47" s="137">
        <v>57</v>
      </c>
      <c r="I47" s="138">
        <f t="shared" si="0"/>
        <v>1881</v>
      </c>
      <c r="J47" s="139" t="s">
        <v>466</v>
      </c>
      <c r="K47" s="140">
        <v>47.024999999999999</v>
      </c>
      <c r="L47">
        <f>Table13[[#This Row],[Price]]*Table13[[#This Row],[Units]]</f>
        <v>1881</v>
      </c>
    </row>
    <row r="48" spans="1:12" x14ac:dyDescent="0.35">
      <c r="A48" s="134">
        <v>45580</v>
      </c>
      <c r="B48" s="135" t="s">
        <v>551</v>
      </c>
      <c r="C48" s="136" t="s">
        <v>464</v>
      </c>
      <c r="D48" s="136" t="s">
        <v>490</v>
      </c>
      <c r="E48" s="136" t="s">
        <v>483</v>
      </c>
      <c r="F48" s="136" t="s">
        <v>491</v>
      </c>
      <c r="G48" s="136">
        <v>27</v>
      </c>
      <c r="H48" s="137">
        <v>46</v>
      </c>
      <c r="I48" s="138">
        <f t="shared" si="0"/>
        <v>1242</v>
      </c>
      <c r="J48" s="139" t="s">
        <v>472</v>
      </c>
      <c r="K48" s="140">
        <v>36.018000000000001</v>
      </c>
      <c r="L48">
        <f>Table13[[#This Row],[Price]]*Table13[[#This Row],[Units]]</f>
        <v>1242</v>
      </c>
    </row>
    <row r="49" spans="1:12" x14ac:dyDescent="0.35">
      <c r="A49" s="134">
        <v>45580</v>
      </c>
      <c r="B49" s="135" t="s">
        <v>552</v>
      </c>
      <c r="C49" s="136" t="s">
        <v>464</v>
      </c>
      <c r="D49" s="136" t="s">
        <v>470</v>
      </c>
      <c r="E49" s="136" t="s">
        <v>412</v>
      </c>
      <c r="F49" s="136" t="s">
        <v>497</v>
      </c>
      <c r="G49" s="136">
        <v>30</v>
      </c>
      <c r="H49" s="137">
        <v>58</v>
      </c>
      <c r="I49" s="138">
        <f t="shared" si="0"/>
        <v>1740</v>
      </c>
      <c r="J49" s="139" t="s">
        <v>466</v>
      </c>
      <c r="K49" s="140">
        <v>34.799999999999997</v>
      </c>
      <c r="L49">
        <f>Table13[[#This Row],[Price]]*Table13[[#This Row],[Units]]</f>
        <v>1740</v>
      </c>
    </row>
    <row r="50" spans="1:12" x14ac:dyDescent="0.35">
      <c r="A50" s="134">
        <v>45581</v>
      </c>
      <c r="B50" s="135" t="s">
        <v>553</v>
      </c>
      <c r="C50" s="136" t="s">
        <v>464</v>
      </c>
      <c r="D50" s="136" t="s">
        <v>512</v>
      </c>
      <c r="E50" s="136" t="s">
        <v>315</v>
      </c>
      <c r="F50" s="136" t="s">
        <v>523</v>
      </c>
      <c r="G50" s="136">
        <v>25</v>
      </c>
      <c r="H50" s="137">
        <v>48</v>
      </c>
      <c r="I50" s="138">
        <f t="shared" si="0"/>
        <v>1200</v>
      </c>
      <c r="J50" s="139" t="s">
        <v>472</v>
      </c>
      <c r="K50" s="140">
        <v>34.799999999999997</v>
      </c>
      <c r="L50">
        <f>Table13[[#This Row],[Price]]*Table13[[#This Row],[Units]]</f>
        <v>1200</v>
      </c>
    </row>
    <row r="51" spans="1:12" x14ac:dyDescent="0.35">
      <c r="A51" s="134">
        <v>45581</v>
      </c>
      <c r="B51" s="135" t="s">
        <v>554</v>
      </c>
      <c r="C51" s="136" t="s">
        <v>494</v>
      </c>
      <c r="D51" s="136" t="s">
        <v>486</v>
      </c>
      <c r="E51" s="136" t="s">
        <v>412</v>
      </c>
      <c r="F51" s="136" t="s">
        <v>517</v>
      </c>
      <c r="G51" s="136">
        <v>52</v>
      </c>
      <c r="H51" s="137">
        <v>53</v>
      </c>
      <c r="I51" s="138">
        <f t="shared" si="0"/>
        <v>2756</v>
      </c>
      <c r="J51" s="139" t="s">
        <v>466</v>
      </c>
      <c r="K51" s="140">
        <v>77.168000000000006</v>
      </c>
      <c r="L51">
        <f>Table13[[#This Row],[Price]]*Table13[[#This Row],[Units]]</f>
        <v>2756</v>
      </c>
    </row>
    <row r="52" spans="1:12" x14ac:dyDescent="0.35">
      <c r="A52" s="134">
        <v>45581</v>
      </c>
      <c r="B52" s="135" t="s">
        <v>555</v>
      </c>
      <c r="C52" s="136" t="s">
        <v>494</v>
      </c>
      <c r="D52" s="136" t="s">
        <v>490</v>
      </c>
      <c r="E52" s="136" t="s">
        <v>324</v>
      </c>
      <c r="F52" s="136" t="s">
        <v>505</v>
      </c>
      <c r="G52" s="136">
        <v>41</v>
      </c>
      <c r="H52" s="137">
        <v>22</v>
      </c>
      <c r="I52" s="138">
        <f t="shared" si="0"/>
        <v>902</v>
      </c>
      <c r="J52" s="139" t="s">
        <v>466</v>
      </c>
      <c r="K52" s="140">
        <v>19.844000000000001</v>
      </c>
      <c r="L52">
        <f>Table13[[#This Row],[Price]]*Table13[[#This Row],[Units]]</f>
        <v>902</v>
      </c>
    </row>
    <row r="53" spans="1:12" x14ac:dyDescent="0.35">
      <c r="A53" s="134">
        <v>45581</v>
      </c>
      <c r="B53" s="135" t="s">
        <v>556</v>
      </c>
      <c r="C53" s="136" t="s">
        <v>464</v>
      </c>
      <c r="D53" s="136" t="s">
        <v>465</v>
      </c>
      <c r="E53" s="136" t="s">
        <v>333</v>
      </c>
      <c r="F53" s="136" t="s">
        <v>487</v>
      </c>
      <c r="G53" s="136">
        <v>19</v>
      </c>
      <c r="H53" s="137">
        <v>58</v>
      </c>
      <c r="I53" s="138">
        <f t="shared" si="0"/>
        <v>1102</v>
      </c>
      <c r="J53" s="139" t="s">
        <v>466</v>
      </c>
      <c r="K53" s="140">
        <v>25.346</v>
      </c>
      <c r="L53">
        <f>Table13[[#This Row],[Price]]*Table13[[#This Row],[Units]]</f>
        <v>1102</v>
      </c>
    </row>
    <row r="54" spans="1:12" x14ac:dyDescent="0.35">
      <c r="A54" s="134">
        <v>45581</v>
      </c>
      <c r="B54" s="135" t="s">
        <v>557</v>
      </c>
      <c r="C54" s="136" t="s">
        <v>494</v>
      </c>
      <c r="D54" s="136" t="s">
        <v>519</v>
      </c>
      <c r="E54" s="136" t="s">
        <v>483</v>
      </c>
      <c r="F54" s="136" t="s">
        <v>528</v>
      </c>
      <c r="G54" s="136">
        <v>10</v>
      </c>
      <c r="H54" s="137">
        <v>23</v>
      </c>
      <c r="I54" s="138">
        <f t="shared" si="0"/>
        <v>230</v>
      </c>
      <c r="J54" s="139" t="s">
        <v>466</v>
      </c>
      <c r="K54" s="140">
        <v>5.29</v>
      </c>
      <c r="L54">
        <f>Table13[[#This Row],[Price]]*Table13[[#This Row],[Units]]</f>
        <v>230</v>
      </c>
    </row>
    <row r="55" spans="1:12" x14ac:dyDescent="0.35">
      <c r="A55" s="134">
        <v>45581</v>
      </c>
      <c r="B55" s="135" t="s">
        <v>558</v>
      </c>
      <c r="C55" s="136" t="s">
        <v>501</v>
      </c>
      <c r="D55" s="136" t="s">
        <v>477</v>
      </c>
      <c r="E55" s="136" t="s">
        <v>390</v>
      </c>
      <c r="F55" s="136" t="s">
        <v>536</v>
      </c>
      <c r="G55" s="136">
        <v>17</v>
      </c>
      <c r="H55" s="137">
        <v>56</v>
      </c>
      <c r="I55" s="138">
        <f t="shared" si="0"/>
        <v>952</v>
      </c>
      <c r="J55" s="139" t="s">
        <v>466</v>
      </c>
      <c r="K55" s="140">
        <v>23.8</v>
      </c>
      <c r="L55">
        <f>Table13[[#This Row],[Price]]*Table13[[#This Row],[Units]]</f>
        <v>952</v>
      </c>
    </row>
    <row r="56" spans="1:12" x14ac:dyDescent="0.35">
      <c r="A56" s="134">
        <v>45581</v>
      </c>
      <c r="B56" s="135" t="s">
        <v>559</v>
      </c>
      <c r="C56" s="136" t="s">
        <v>489</v>
      </c>
      <c r="D56" s="136" t="s">
        <v>512</v>
      </c>
      <c r="E56" s="136" t="s">
        <v>315</v>
      </c>
      <c r="F56" s="136" t="s">
        <v>513</v>
      </c>
      <c r="G56" s="136">
        <v>49</v>
      </c>
      <c r="H56" s="137">
        <v>24</v>
      </c>
      <c r="I56" s="138">
        <f t="shared" si="0"/>
        <v>1176</v>
      </c>
      <c r="J56" s="139" t="s">
        <v>466</v>
      </c>
      <c r="K56" s="140">
        <v>32.927999999999997</v>
      </c>
      <c r="L56">
        <f>Table13[[#This Row],[Price]]*Table13[[#This Row],[Units]]</f>
        <v>1176</v>
      </c>
    </row>
    <row r="57" spans="1:12" x14ac:dyDescent="0.35">
      <c r="A57" s="134">
        <v>45581</v>
      </c>
      <c r="B57" s="135" t="s">
        <v>560</v>
      </c>
      <c r="C57" s="136" t="s">
        <v>484</v>
      </c>
      <c r="D57" s="136" t="s">
        <v>477</v>
      </c>
      <c r="E57" s="136" t="s">
        <v>333</v>
      </c>
      <c r="F57" s="136" t="s">
        <v>454</v>
      </c>
      <c r="G57" s="136">
        <v>18</v>
      </c>
      <c r="H57" s="137">
        <v>58</v>
      </c>
      <c r="I57" s="138">
        <f t="shared" si="0"/>
        <v>1044</v>
      </c>
      <c r="J57" s="139" t="s">
        <v>466</v>
      </c>
      <c r="K57" s="140">
        <v>22.968</v>
      </c>
      <c r="L57">
        <f>Table13[[#This Row],[Price]]*Table13[[#This Row],[Units]]</f>
        <v>1044</v>
      </c>
    </row>
    <row r="58" spans="1:12" x14ac:dyDescent="0.35">
      <c r="A58" s="134">
        <v>45581</v>
      </c>
      <c r="B58" s="135" t="s">
        <v>561</v>
      </c>
      <c r="C58" s="136" t="s">
        <v>484</v>
      </c>
      <c r="D58" s="136" t="s">
        <v>486</v>
      </c>
      <c r="E58" s="136" t="s">
        <v>390</v>
      </c>
      <c r="F58" s="136" t="s">
        <v>517</v>
      </c>
      <c r="G58" s="136">
        <v>11</v>
      </c>
      <c r="H58" s="137">
        <v>21</v>
      </c>
      <c r="I58" s="138">
        <f t="shared" si="0"/>
        <v>231</v>
      </c>
      <c r="J58" s="139" t="s">
        <v>466</v>
      </c>
      <c r="K58" s="140">
        <v>5.3129999999999997</v>
      </c>
      <c r="L58">
        <f>Table13[[#This Row],[Price]]*Table13[[#This Row],[Units]]</f>
        <v>231</v>
      </c>
    </row>
    <row r="59" spans="1:12" x14ac:dyDescent="0.35">
      <c r="A59" s="134">
        <v>45581</v>
      </c>
      <c r="B59" s="135" t="s">
        <v>562</v>
      </c>
      <c r="C59" s="136" t="s">
        <v>322</v>
      </c>
      <c r="D59" s="136" t="s">
        <v>486</v>
      </c>
      <c r="E59" s="136" t="s">
        <v>333</v>
      </c>
      <c r="F59" s="136" t="s">
        <v>491</v>
      </c>
      <c r="G59" s="136">
        <v>56</v>
      </c>
      <c r="H59" s="137">
        <v>31</v>
      </c>
      <c r="I59" s="138">
        <f t="shared" si="0"/>
        <v>1736</v>
      </c>
      <c r="J59" s="139" t="s">
        <v>466</v>
      </c>
      <c r="K59" s="140">
        <v>41.664000000000001</v>
      </c>
      <c r="L59">
        <f>Table13[[#This Row],[Price]]*Table13[[#This Row],[Units]]</f>
        <v>1736</v>
      </c>
    </row>
    <row r="60" spans="1:12" x14ac:dyDescent="0.35">
      <c r="A60" s="134">
        <v>45582</v>
      </c>
      <c r="B60" s="135" t="s">
        <v>563</v>
      </c>
      <c r="C60" s="136" t="s">
        <v>492</v>
      </c>
      <c r="D60" s="136" t="s">
        <v>519</v>
      </c>
      <c r="E60" s="136" t="s">
        <v>390</v>
      </c>
      <c r="F60" s="136" t="s">
        <v>520</v>
      </c>
      <c r="G60" s="136">
        <v>33</v>
      </c>
      <c r="H60" s="137">
        <v>58</v>
      </c>
      <c r="I60" s="138">
        <f t="shared" si="0"/>
        <v>1914</v>
      </c>
      <c r="J60" s="139" t="s">
        <v>466</v>
      </c>
      <c r="K60" s="140">
        <v>57.42</v>
      </c>
      <c r="L60">
        <f>Table13[[#This Row],[Price]]*Table13[[#This Row],[Units]]</f>
        <v>1914</v>
      </c>
    </row>
    <row r="61" spans="1:12" x14ac:dyDescent="0.35">
      <c r="A61" s="134">
        <v>45582</v>
      </c>
      <c r="B61" s="135" t="s">
        <v>564</v>
      </c>
      <c r="C61" s="136" t="s">
        <v>469</v>
      </c>
      <c r="D61" s="136" t="s">
        <v>490</v>
      </c>
      <c r="E61" s="136" t="s">
        <v>315</v>
      </c>
      <c r="F61" s="136" t="s">
        <v>491</v>
      </c>
      <c r="G61" s="136">
        <v>17</v>
      </c>
      <c r="H61" s="137">
        <v>26</v>
      </c>
      <c r="I61" s="138">
        <f t="shared" si="0"/>
        <v>442</v>
      </c>
      <c r="J61" s="139" t="s">
        <v>466</v>
      </c>
      <c r="K61" s="140">
        <v>10.166</v>
      </c>
      <c r="L61">
        <f>Table13[[#This Row],[Price]]*Table13[[#This Row],[Units]]</f>
        <v>442</v>
      </c>
    </row>
    <row r="62" spans="1:12" x14ac:dyDescent="0.35">
      <c r="A62" s="134">
        <v>45582</v>
      </c>
      <c r="B62" s="135" t="s">
        <v>565</v>
      </c>
      <c r="C62" s="136" t="s">
        <v>484</v>
      </c>
      <c r="D62" s="136" t="s">
        <v>477</v>
      </c>
      <c r="E62" s="136" t="s">
        <v>483</v>
      </c>
      <c r="F62" s="136" t="s">
        <v>513</v>
      </c>
      <c r="G62" s="136">
        <v>58</v>
      </c>
      <c r="H62" s="137">
        <v>47</v>
      </c>
      <c r="I62" s="138">
        <f t="shared" si="0"/>
        <v>2726</v>
      </c>
      <c r="J62" s="139" t="s">
        <v>515</v>
      </c>
      <c r="K62" s="140">
        <v>68.150000000000006</v>
      </c>
      <c r="L62">
        <f>Table13[[#This Row],[Price]]*Table13[[#This Row],[Units]]</f>
        <v>2726</v>
      </c>
    </row>
    <row r="63" spans="1:12" x14ac:dyDescent="0.35">
      <c r="A63" s="134">
        <v>45582</v>
      </c>
      <c r="B63" s="135" t="s">
        <v>566</v>
      </c>
      <c r="C63" s="136" t="s">
        <v>492</v>
      </c>
      <c r="D63" s="136" t="s">
        <v>470</v>
      </c>
      <c r="E63" s="136" t="s">
        <v>390</v>
      </c>
      <c r="F63" s="136" t="s">
        <v>567</v>
      </c>
      <c r="G63" s="136">
        <v>16</v>
      </c>
      <c r="H63" s="137">
        <v>60</v>
      </c>
      <c r="I63" s="138">
        <f t="shared" si="0"/>
        <v>960</v>
      </c>
      <c r="J63" s="139" t="s">
        <v>503</v>
      </c>
      <c r="K63" s="140">
        <v>20.16</v>
      </c>
      <c r="L63">
        <f>Table13[[#This Row],[Price]]*Table13[[#This Row],[Units]]</f>
        <v>960</v>
      </c>
    </row>
    <row r="64" spans="1:12" x14ac:dyDescent="0.35">
      <c r="A64" s="134">
        <v>45582</v>
      </c>
      <c r="B64" s="135" t="s">
        <v>568</v>
      </c>
      <c r="C64" s="136" t="s">
        <v>492</v>
      </c>
      <c r="D64" s="136" t="s">
        <v>470</v>
      </c>
      <c r="E64" s="136" t="s">
        <v>320</v>
      </c>
      <c r="F64" s="136" t="s">
        <v>528</v>
      </c>
      <c r="G64" s="136">
        <v>47</v>
      </c>
      <c r="H64" s="137">
        <v>38</v>
      </c>
      <c r="I64" s="138">
        <f t="shared" si="0"/>
        <v>1786</v>
      </c>
      <c r="J64" s="139" t="s">
        <v>466</v>
      </c>
      <c r="K64" s="140">
        <v>48.222000000000001</v>
      </c>
      <c r="L64">
        <f>Table13[[#This Row],[Price]]*Table13[[#This Row],[Units]]</f>
        <v>1786</v>
      </c>
    </row>
    <row r="65" spans="1:12" x14ac:dyDescent="0.35">
      <c r="A65" s="134">
        <v>45582</v>
      </c>
      <c r="B65" s="135" t="s">
        <v>569</v>
      </c>
      <c r="C65" s="136" t="s">
        <v>494</v>
      </c>
      <c r="D65" s="136" t="s">
        <v>470</v>
      </c>
      <c r="E65" s="136" t="s">
        <v>315</v>
      </c>
      <c r="F65" s="136" t="s">
        <v>497</v>
      </c>
      <c r="G65" s="136">
        <v>20</v>
      </c>
      <c r="H65" s="137">
        <v>52</v>
      </c>
      <c r="I65" s="138">
        <f t="shared" si="0"/>
        <v>1040</v>
      </c>
      <c r="J65" s="139" t="s">
        <v>515</v>
      </c>
      <c r="K65" s="140">
        <v>22.88</v>
      </c>
      <c r="L65">
        <f>Table13[[#This Row],[Price]]*Table13[[#This Row],[Units]]</f>
        <v>1040</v>
      </c>
    </row>
    <row r="66" spans="1:12" x14ac:dyDescent="0.35">
      <c r="A66" s="134">
        <v>45582</v>
      </c>
      <c r="B66" s="135" t="s">
        <v>570</v>
      </c>
      <c r="C66" s="136" t="s">
        <v>494</v>
      </c>
      <c r="D66" s="136" t="s">
        <v>490</v>
      </c>
      <c r="E66" s="136" t="s">
        <v>333</v>
      </c>
      <c r="F66" s="136" t="s">
        <v>505</v>
      </c>
      <c r="G66" s="136">
        <v>50</v>
      </c>
      <c r="H66" s="137">
        <v>48</v>
      </c>
      <c r="I66" s="138">
        <f t="shared" si="0"/>
        <v>2400</v>
      </c>
      <c r="J66" s="139" t="s">
        <v>466</v>
      </c>
      <c r="K66" s="140">
        <v>64.8</v>
      </c>
      <c r="L66">
        <f>Table13[[#This Row],[Price]]*Table13[[#This Row],[Units]]</f>
        <v>2400</v>
      </c>
    </row>
    <row r="67" spans="1:12" x14ac:dyDescent="0.35">
      <c r="A67" s="134">
        <v>45582</v>
      </c>
      <c r="B67" s="135" t="s">
        <v>571</v>
      </c>
      <c r="C67" s="136" t="s">
        <v>322</v>
      </c>
      <c r="D67" s="136" t="s">
        <v>519</v>
      </c>
      <c r="E67" s="136" t="s">
        <v>315</v>
      </c>
      <c r="F67" s="136" t="s">
        <v>471</v>
      </c>
      <c r="G67" s="136">
        <v>21</v>
      </c>
      <c r="H67" s="137">
        <v>24</v>
      </c>
      <c r="I67" s="138">
        <f t="shared" ref="I67:I130" si="1">G67*H67</f>
        <v>504</v>
      </c>
      <c r="J67" s="139" t="s">
        <v>515</v>
      </c>
      <c r="K67" s="140">
        <v>15.12</v>
      </c>
      <c r="L67">
        <f>Table13[[#This Row],[Price]]*Table13[[#This Row],[Units]]</f>
        <v>504</v>
      </c>
    </row>
    <row r="68" spans="1:12" x14ac:dyDescent="0.35">
      <c r="A68" s="134">
        <v>45582</v>
      </c>
      <c r="B68" s="135" t="s">
        <v>572</v>
      </c>
      <c r="C68" s="136" t="s">
        <v>494</v>
      </c>
      <c r="D68" s="136" t="s">
        <v>490</v>
      </c>
      <c r="E68" s="136" t="s">
        <v>324</v>
      </c>
      <c r="F68" s="136" t="s">
        <v>478</v>
      </c>
      <c r="G68" s="136">
        <v>22</v>
      </c>
      <c r="H68" s="137">
        <v>41</v>
      </c>
      <c r="I68" s="138">
        <f t="shared" si="1"/>
        <v>902</v>
      </c>
      <c r="J68" s="139" t="s">
        <v>466</v>
      </c>
      <c r="K68" s="140">
        <v>22.55</v>
      </c>
      <c r="L68">
        <f>Table13[[#This Row],[Price]]*Table13[[#This Row],[Units]]</f>
        <v>902</v>
      </c>
    </row>
    <row r="69" spans="1:12" x14ac:dyDescent="0.35">
      <c r="A69" s="134">
        <v>45582</v>
      </c>
      <c r="B69" s="135" t="s">
        <v>573</v>
      </c>
      <c r="C69" s="136" t="s">
        <v>322</v>
      </c>
      <c r="D69" s="136" t="s">
        <v>519</v>
      </c>
      <c r="E69" s="136" t="s">
        <v>320</v>
      </c>
      <c r="F69" s="136" t="s">
        <v>536</v>
      </c>
      <c r="G69" s="136">
        <v>34</v>
      </c>
      <c r="H69" s="137">
        <v>57</v>
      </c>
      <c r="I69" s="138">
        <f t="shared" si="1"/>
        <v>1938</v>
      </c>
      <c r="J69" s="139" t="s">
        <v>503</v>
      </c>
      <c r="K69" s="140">
        <v>50.387999999999998</v>
      </c>
      <c r="L69">
        <f>Table13[[#This Row],[Price]]*Table13[[#This Row],[Units]]</f>
        <v>1938</v>
      </c>
    </row>
    <row r="70" spans="1:12" x14ac:dyDescent="0.35">
      <c r="A70" s="134">
        <v>45582</v>
      </c>
      <c r="B70" s="135" t="s">
        <v>574</v>
      </c>
      <c r="C70" s="136" t="s">
        <v>484</v>
      </c>
      <c r="D70" s="136" t="s">
        <v>486</v>
      </c>
      <c r="E70" s="136" t="s">
        <v>483</v>
      </c>
      <c r="F70" s="136" t="s">
        <v>536</v>
      </c>
      <c r="G70" s="136">
        <v>56</v>
      </c>
      <c r="H70" s="137">
        <v>52</v>
      </c>
      <c r="I70" s="138">
        <f t="shared" si="1"/>
        <v>2912</v>
      </c>
      <c r="J70" s="139" t="s">
        <v>466</v>
      </c>
      <c r="K70" s="140">
        <v>87.36</v>
      </c>
      <c r="L70">
        <f>Table13[[#This Row],[Price]]*Table13[[#This Row],[Units]]</f>
        <v>2912</v>
      </c>
    </row>
    <row r="71" spans="1:12" x14ac:dyDescent="0.35">
      <c r="A71" s="134">
        <v>45582</v>
      </c>
      <c r="B71" s="135" t="s">
        <v>575</v>
      </c>
      <c r="C71" s="136" t="s">
        <v>322</v>
      </c>
      <c r="D71" s="136" t="s">
        <v>519</v>
      </c>
      <c r="E71" s="136" t="s">
        <v>390</v>
      </c>
      <c r="F71" s="136" t="s">
        <v>523</v>
      </c>
      <c r="G71" s="136">
        <v>44</v>
      </c>
      <c r="H71" s="137">
        <v>44</v>
      </c>
      <c r="I71" s="138">
        <f t="shared" si="1"/>
        <v>1936</v>
      </c>
      <c r="J71" s="139" t="s">
        <v>515</v>
      </c>
      <c r="K71" s="140">
        <v>46.463999999999999</v>
      </c>
      <c r="L71">
        <f>Table13[[#This Row],[Price]]*Table13[[#This Row],[Units]]</f>
        <v>1936</v>
      </c>
    </row>
    <row r="72" spans="1:12" x14ac:dyDescent="0.35">
      <c r="A72" s="134">
        <v>45582</v>
      </c>
      <c r="B72" s="135" t="s">
        <v>576</v>
      </c>
      <c r="C72" s="136" t="s">
        <v>494</v>
      </c>
      <c r="D72" s="136" t="s">
        <v>512</v>
      </c>
      <c r="E72" s="136" t="s">
        <v>333</v>
      </c>
      <c r="F72" s="136" t="s">
        <v>520</v>
      </c>
      <c r="G72" s="136">
        <v>21</v>
      </c>
      <c r="H72" s="137">
        <v>44</v>
      </c>
      <c r="I72" s="138">
        <f t="shared" si="1"/>
        <v>924</v>
      </c>
      <c r="J72" s="139" t="s">
        <v>466</v>
      </c>
      <c r="K72" s="140">
        <v>24.948</v>
      </c>
      <c r="L72">
        <f>Table13[[#This Row],[Price]]*Table13[[#This Row],[Units]]</f>
        <v>924</v>
      </c>
    </row>
    <row r="73" spans="1:12" x14ac:dyDescent="0.35">
      <c r="A73" s="134">
        <v>45582</v>
      </c>
      <c r="B73" s="135" t="s">
        <v>577</v>
      </c>
      <c r="C73" s="136" t="s">
        <v>464</v>
      </c>
      <c r="D73" s="136" t="s">
        <v>490</v>
      </c>
      <c r="E73" s="136" t="s">
        <v>324</v>
      </c>
      <c r="F73" s="136" t="s">
        <v>454</v>
      </c>
      <c r="G73" s="136">
        <v>31</v>
      </c>
      <c r="H73" s="137">
        <v>29</v>
      </c>
      <c r="I73" s="138">
        <f t="shared" si="1"/>
        <v>899</v>
      </c>
      <c r="J73" s="139" t="s">
        <v>466</v>
      </c>
      <c r="K73" s="140">
        <v>22.475000000000001</v>
      </c>
      <c r="L73">
        <f>Table13[[#This Row],[Price]]*Table13[[#This Row],[Units]]</f>
        <v>899</v>
      </c>
    </row>
    <row r="74" spans="1:12" x14ac:dyDescent="0.35">
      <c r="A74" s="134">
        <v>45582</v>
      </c>
      <c r="B74" s="135" t="s">
        <v>578</v>
      </c>
      <c r="C74" s="136" t="s">
        <v>464</v>
      </c>
      <c r="D74" s="136" t="s">
        <v>477</v>
      </c>
      <c r="E74" s="136" t="s">
        <v>320</v>
      </c>
      <c r="F74" s="136" t="s">
        <v>497</v>
      </c>
      <c r="G74" s="136">
        <v>33</v>
      </c>
      <c r="H74" s="137">
        <v>35</v>
      </c>
      <c r="I74" s="138">
        <f t="shared" si="1"/>
        <v>1155</v>
      </c>
      <c r="J74" s="139" t="s">
        <v>472</v>
      </c>
      <c r="K74" s="140">
        <v>30.03</v>
      </c>
      <c r="L74">
        <f>Table13[[#This Row],[Price]]*Table13[[#This Row],[Units]]</f>
        <v>1155</v>
      </c>
    </row>
    <row r="75" spans="1:12" x14ac:dyDescent="0.35">
      <c r="A75" s="134">
        <v>45582</v>
      </c>
      <c r="B75" s="135" t="s">
        <v>579</v>
      </c>
      <c r="C75" s="136" t="s">
        <v>469</v>
      </c>
      <c r="D75" s="136" t="s">
        <v>477</v>
      </c>
      <c r="E75" s="136" t="s">
        <v>324</v>
      </c>
      <c r="F75" s="136" t="s">
        <v>510</v>
      </c>
      <c r="G75" s="136">
        <v>51</v>
      </c>
      <c r="H75" s="137">
        <v>60</v>
      </c>
      <c r="I75" s="138">
        <f t="shared" si="1"/>
        <v>3060</v>
      </c>
      <c r="J75" s="139" t="s">
        <v>466</v>
      </c>
      <c r="K75" s="140">
        <v>70.38</v>
      </c>
      <c r="L75">
        <f>Table13[[#This Row],[Price]]*Table13[[#This Row],[Units]]</f>
        <v>3060</v>
      </c>
    </row>
    <row r="76" spans="1:12" x14ac:dyDescent="0.35">
      <c r="A76" s="134">
        <v>45582</v>
      </c>
      <c r="B76" s="135" t="s">
        <v>580</v>
      </c>
      <c r="C76" s="136" t="s">
        <v>492</v>
      </c>
      <c r="D76" s="136" t="s">
        <v>470</v>
      </c>
      <c r="E76" s="136" t="s">
        <v>333</v>
      </c>
      <c r="F76" s="136" t="s">
        <v>505</v>
      </c>
      <c r="G76" s="136">
        <v>39</v>
      </c>
      <c r="H76" s="137">
        <v>58</v>
      </c>
      <c r="I76" s="138">
        <f t="shared" si="1"/>
        <v>2262</v>
      </c>
      <c r="J76" s="139" t="s">
        <v>515</v>
      </c>
      <c r="K76" s="140">
        <v>47.502000000000002</v>
      </c>
      <c r="L76">
        <f>Table13[[#This Row],[Price]]*Table13[[#This Row],[Units]]</f>
        <v>2262</v>
      </c>
    </row>
    <row r="77" spans="1:12" x14ac:dyDescent="0.35">
      <c r="A77" s="134">
        <v>45582</v>
      </c>
      <c r="B77" s="135" t="s">
        <v>581</v>
      </c>
      <c r="C77" s="136" t="s">
        <v>322</v>
      </c>
      <c r="D77" s="136" t="s">
        <v>470</v>
      </c>
      <c r="E77" s="136" t="s">
        <v>324</v>
      </c>
      <c r="F77" s="136" t="s">
        <v>471</v>
      </c>
      <c r="G77" s="136">
        <v>45</v>
      </c>
      <c r="H77" s="137">
        <v>53</v>
      </c>
      <c r="I77" s="138">
        <f t="shared" si="1"/>
        <v>2385</v>
      </c>
      <c r="J77" s="139" t="s">
        <v>472</v>
      </c>
      <c r="K77" s="140">
        <v>62.01</v>
      </c>
      <c r="L77">
        <f>Table13[[#This Row],[Price]]*Table13[[#This Row],[Units]]</f>
        <v>2385</v>
      </c>
    </row>
    <row r="78" spans="1:12" x14ac:dyDescent="0.35">
      <c r="A78" s="134">
        <v>45582</v>
      </c>
      <c r="B78" s="135" t="s">
        <v>582</v>
      </c>
      <c r="C78" s="136" t="s">
        <v>489</v>
      </c>
      <c r="D78" s="136" t="s">
        <v>512</v>
      </c>
      <c r="E78" s="136" t="s">
        <v>324</v>
      </c>
      <c r="F78" s="136" t="s">
        <v>536</v>
      </c>
      <c r="G78" s="136">
        <v>18</v>
      </c>
      <c r="H78" s="137">
        <v>36</v>
      </c>
      <c r="I78" s="138">
        <f t="shared" si="1"/>
        <v>648</v>
      </c>
      <c r="J78" s="139" t="s">
        <v>472</v>
      </c>
      <c r="K78" s="140">
        <v>16.2</v>
      </c>
      <c r="L78">
        <f>Table13[[#This Row],[Price]]*Table13[[#This Row],[Units]]</f>
        <v>648</v>
      </c>
    </row>
    <row r="79" spans="1:12" x14ac:dyDescent="0.35">
      <c r="A79" s="134">
        <v>45582</v>
      </c>
      <c r="B79" s="135" t="s">
        <v>583</v>
      </c>
      <c r="C79" s="136" t="s">
        <v>492</v>
      </c>
      <c r="D79" s="136" t="s">
        <v>486</v>
      </c>
      <c r="E79" s="136" t="s">
        <v>483</v>
      </c>
      <c r="F79" s="136" t="s">
        <v>487</v>
      </c>
      <c r="G79" s="136">
        <v>36</v>
      </c>
      <c r="H79" s="137">
        <v>46</v>
      </c>
      <c r="I79" s="138">
        <f t="shared" si="1"/>
        <v>1656</v>
      </c>
      <c r="J79" s="139" t="s">
        <v>466</v>
      </c>
      <c r="K79" s="140">
        <v>46.368000000000002</v>
      </c>
      <c r="L79">
        <f>Table13[[#This Row],[Price]]*Table13[[#This Row],[Units]]</f>
        <v>1656</v>
      </c>
    </row>
    <row r="80" spans="1:12" x14ac:dyDescent="0.35">
      <c r="A80" s="134">
        <v>45582</v>
      </c>
      <c r="B80" s="135" t="s">
        <v>584</v>
      </c>
      <c r="C80" s="136" t="s">
        <v>484</v>
      </c>
      <c r="D80" s="136" t="s">
        <v>512</v>
      </c>
      <c r="E80" s="136" t="s">
        <v>320</v>
      </c>
      <c r="F80" s="136" t="s">
        <v>471</v>
      </c>
      <c r="G80" s="136">
        <v>50</v>
      </c>
      <c r="H80" s="137">
        <v>37</v>
      </c>
      <c r="I80" s="138">
        <f t="shared" si="1"/>
        <v>1850</v>
      </c>
      <c r="J80" s="139" t="s">
        <v>515</v>
      </c>
      <c r="K80" s="140">
        <v>44.4</v>
      </c>
      <c r="L80">
        <f>Table13[[#This Row],[Price]]*Table13[[#This Row],[Units]]</f>
        <v>1850</v>
      </c>
    </row>
    <row r="81" spans="1:12" x14ac:dyDescent="0.35">
      <c r="A81" s="134">
        <v>45582</v>
      </c>
      <c r="B81" s="135" t="s">
        <v>585</v>
      </c>
      <c r="C81" s="136" t="s">
        <v>322</v>
      </c>
      <c r="D81" s="136" t="s">
        <v>512</v>
      </c>
      <c r="E81" s="136" t="s">
        <v>483</v>
      </c>
      <c r="F81" s="136" t="s">
        <v>478</v>
      </c>
      <c r="G81" s="136">
        <v>53</v>
      </c>
      <c r="H81" s="137">
        <v>55</v>
      </c>
      <c r="I81" s="138">
        <f t="shared" si="1"/>
        <v>2915</v>
      </c>
      <c r="J81" s="139" t="s">
        <v>515</v>
      </c>
      <c r="K81" s="140">
        <v>72.875</v>
      </c>
      <c r="L81">
        <f>Table13[[#This Row],[Price]]*Table13[[#This Row],[Units]]</f>
        <v>2915</v>
      </c>
    </row>
    <row r="82" spans="1:12" x14ac:dyDescent="0.35">
      <c r="A82" s="134">
        <v>45583</v>
      </c>
      <c r="B82" s="135" t="s">
        <v>586</v>
      </c>
      <c r="C82" s="136" t="s">
        <v>476</v>
      </c>
      <c r="D82" s="136" t="s">
        <v>486</v>
      </c>
      <c r="E82" s="136" t="s">
        <v>333</v>
      </c>
      <c r="F82" s="136" t="s">
        <v>487</v>
      </c>
      <c r="G82" s="136">
        <v>22</v>
      </c>
      <c r="H82" s="137">
        <v>34</v>
      </c>
      <c r="I82" s="138">
        <f t="shared" si="1"/>
        <v>748</v>
      </c>
      <c r="J82" s="139" t="s">
        <v>472</v>
      </c>
      <c r="K82" s="140">
        <v>22.44</v>
      </c>
      <c r="L82">
        <f>Table13[[#This Row],[Price]]*Table13[[#This Row],[Units]]</f>
        <v>748</v>
      </c>
    </row>
    <row r="83" spans="1:12" x14ac:dyDescent="0.35">
      <c r="A83" s="134">
        <v>45584</v>
      </c>
      <c r="B83" s="135" t="s">
        <v>587</v>
      </c>
      <c r="C83" s="136" t="s">
        <v>322</v>
      </c>
      <c r="D83" s="136" t="s">
        <v>512</v>
      </c>
      <c r="E83" s="136" t="s">
        <v>483</v>
      </c>
      <c r="F83" s="136" t="s">
        <v>497</v>
      </c>
      <c r="G83" s="136">
        <v>53</v>
      </c>
      <c r="H83" s="137">
        <v>44</v>
      </c>
      <c r="I83" s="138">
        <f t="shared" si="1"/>
        <v>2332</v>
      </c>
      <c r="J83" s="139" t="s">
        <v>503</v>
      </c>
      <c r="K83" s="140">
        <v>58.3</v>
      </c>
      <c r="L83">
        <f>Table13[[#This Row],[Price]]*Table13[[#This Row],[Units]]</f>
        <v>2332</v>
      </c>
    </row>
    <row r="84" spans="1:12" x14ac:dyDescent="0.35">
      <c r="A84" s="134">
        <v>45584</v>
      </c>
      <c r="B84" s="135" t="s">
        <v>588</v>
      </c>
      <c r="C84" s="136" t="s">
        <v>476</v>
      </c>
      <c r="D84" s="136" t="s">
        <v>490</v>
      </c>
      <c r="E84" s="136" t="s">
        <v>320</v>
      </c>
      <c r="F84" s="136" t="s">
        <v>539</v>
      </c>
      <c r="G84" s="136">
        <v>10</v>
      </c>
      <c r="H84" s="137">
        <v>36</v>
      </c>
      <c r="I84" s="138">
        <f t="shared" si="1"/>
        <v>360</v>
      </c>
      <c r="J84" s="139" t="s">
        <v>466</v>
      </c>
      <c r="K84" s="140">
        <v>8.64</v>
      </c>
      <c r="L84">
        <f>Table13[[#This Row],[Price]]*Table13[[#This Row],[Units]]</f>
        <v>360</v>
      </c>
    </row>
    <row r="85" spans="1:12" x14ac:dyDescent="0.35">
      <c r="A85" s="134">
        <v>45584</v>
      </c>
      <c r="B85" s="135" t="s">
        <v>589</v>
      </c>
      <c r="C85" s="136" t="s">
        <v>494</v>
      </c>
      <c r="D85" s="136" t="s">
        <v>477</v>
      </c>
      <c r="E85" s="136" t="s">
        <v>483</v>
      </c>
      <c r="F85" s="136" t="s">
        <v>539</v>
      </c>
      <c r="G85" s="136">
        <v>43</v>
      </c>
      <c r="H85" s="137">
        <v>34</v>
      </c>
      <c r="I85" s="138">
        <f t="shared" si="1"/>
        <v>1462</v>
      </c>
      <c r="J85" s="139" t="s">
        <v>466</v>
      </c>
      <c r="K85" s="140">
        <v>39.473999999999997</v>
      </c>
      <c r="L85">
        <f>Table13[[#This Row],[Price]]*Table13[[#This Row],[Units]]</f>
        <v>1462</v>
      </c>
    </row>
    <row r="86" spans="1:12" x14ac:dyDescent="0.35">
      <c r="A86" s="134">
        <v>45584</v>
      </c>
      <c r="B86" s="135" t="s">
        <v>590</v>
      </c>
      <c r="C86" s="136" t="s">
        <v>469</v>
      </c>
      <c r="D86" s="136" t="s">
        <v>512</v>
      </c>
      <c r="E86" s="136" t="s">
        <v>315</v>
      </c>
      <c r="F86" s="136" t="s">
        <v>487</v>
      </c>
      <c r="G86" s="136">
        <v>50</v>
      </c>
      <c r="H86" s="137">
        <v>59</v>
      </c>
      <c r="I86" s="138">
        <f t="shared" si="1"/>
        <v>2950</v>
      </c>
      <c r="J86" s="139" t="s">
        <v>466</v>
      </c>
      <c r="K86" s="140">
        <v>64.900000000000006</v>
      </c>
      <c r="L86">
        <f>Table13[[#This Row],[Price]]*Table13[[#This Row],[Units]]</f>
        <v>2950</v>
      </c>
    </row>
    <row r="87" spans="1:12" x14ac:dyDescent="0.35">
      <c r="A87" s="134">
        <v>45584</v>
      </c>
      <c r="B87" s="135" t="s">
        <v>591</v>
      </c>
      <c r="C87" s="136" t="s">
        <v>501</v>
      </c>
      <c r="D87" s="136" t="s">
        <v>477</v>
      </c>
      <c r="E87" s="136" t="s">
        <v>315</v>
      </c>
      <c r="F87" s="136" t="s">
        <v>500</v>
      </c>
      <c r="G87" s="136">
        <v>58</v>
      </c>
      <c r="H87" s="137">
        <v>52</v>
      </c>
      <c r="I87" s="138">
        <f t="shared" si="1"/>
        <v>3016</v>
      </c>
      <c r="J87" s="139" t="s">
        <v>515</v>
      </c>
      <c r="K87" s="140">
        <v>84.447999999999993</v>
      </c>
      <c r="L87">
        <f>Table13[[#This Row],[Price]]*Table13[[#This Row],[Units]]</f>
        <v>3016</v>
      </c>
    </row>
    <row r="88" spans="1:12" x14ac:dyDescent="0.35">
      <c r="A88" s="134">
        <v>45584</v>
      </c>
      <c r="B88" s="135" t="s">
        <v>592</v>
      </c>
      <c r="C88" s="136" t="s">
        <v>494</v>
      </c>
      <c r="D88" s="136" t="s">
        <v>465</v>
      </c>
      <c r="E88" s="136" t="s">
        <v>315</v>
      </c>
      <c r="F88" s="136" t="s">
        <v>523</v>
      </c>
      <c r="G88" s="136">
        <v>11</v>
      </c>
      <c r="H88" s="137">
        <v>28</v>
      </c>
      <c r="I88" s="138">
        <f t="shared" si="1"/>
        <v>308</v>
      </c>
      <c r="J88" s="139" t="s">
        <v>466</v>
      </c>
      <c r="K88" s="140">
        <v>8.3160000000000007</v>
      </c>
      <c r="L88">
        <f>Table13[[#This Row],[Price]]*Table13[[#This Row],[Units]]</f>
        <v>308</v>
      </c>
    </row>
    <row r="89" spans="1:12" x14ac:dyDescent="0.35">
      <c r="A89" s="134">
        <v>45585</v>
      </c>
      <c r="B89" s="135" t="s">
        <v>593</v>
      </c>
      <c r="C89" s="136" t="s">
        <v>501</v>
      </c>
      <c r="D89" s="136" t="s">
        <v>512</v>
      </c>
      <c r="E89" s="136" t="s">
        <v>390</v>
      </c>
      <c r="F89" s="136" t="s">
        <v>505</v>
      </c>
      <c r="G89" s="136">
        <v>28</v>
      </c>
      <c r="H89" s="137">
        <v>22</v>
      </c>
      <c r="I89" s="138">
        <f t="shared" si="1"/>
        <v>616</v>
      </c>
      <c r="J89" s="139" t="s">
        <v>515</v>
      </c>
      <c r="K89" s="140">
        <v>13.552</v>
      </c>
      <c r="L89">
        <f>Table13[[#This Row],[Price]]*Table13[[#This Row],[Units]]</f>
        <v>616</v>
      </c>
    </row>
    <row r="90" spans="1:12" x14ac:dyDescent="0.35">
      <c r="A90" s="134">
        <v>45585</v>
      </c>
      <c r="B90" s="135" t="s">
        <v>594</v>
      </c>
      <c r="C90" s="136" t="s">
        <v>489</v>
      </c>
      <c r="D90" s="136" t="s">
        <v>519</v>
      </c>
      <c r="E90" s="136" t="s">
        <v>483</v>
      </c>
      <c r="F90" s="136" t="s">
        <v>500</v>
      </c>
      <c r="G90" s="136">
        <v>33</v>
      </c>
      <c r="H90" s="137">
        <v>43</v>
      </c>
      <c r="I90" s="138">
        <f t="shared" si="1"/>
        <v>1419</v>
      </c>
      <c r="J90" s="139" t="s">
        <v>515</v>
      </c>
      <c r="K90" s="140">
        <v>42.57</v>
      </c>
      <c r="L90">
        <f>Table13[[#This Row],[Price]]*Table13[[#This Row],[Units]]</f>
        <v>1419</v>
      </c>
    </row>
    <row r="91" spans="1:12" x14ac:dyDescent="0.35">
      <c r="A91" s="134">
        <v>45585</v>
      </c>
      <c r="B91" s="135" t="s">
        <v>595</v>
      </c>
      <c r="C91" s="136" t="s">
        <v>484</v>
      </c>
      <c r="D91" s="136" t="s">
        <v>486</v>
      </c>
      <c r="E91" s="136" t="s">
        <v>483</v>
      </c>
      <c r="F91" s="136" t="s">
        <v>478</v>
      </c>
      <c r="G91" s="136">
        <v>38</v>
      </c>
      <c r="H91" s="137">
        <v>20</v>
      </c>
      <c r="I91" s="138">
        <f t="shared" si="1"/>
        <v>760</v>
      </c>
      <c r="J91" s="139" t="s">
        <v>466</v>
      </c>
      <c r="K91" s="140">
        <v>15.2</v>
      </c>
      <c r="L91">
        <f>Table13[[#This Row],[Price]]*Table13[[#This Row],[Units]]</f>
        <v>760</v>
      </c>
    </row>
    <row r="92" spans="1:12" x14ac:dyDescent="0.35">
      <c r="A92" s="134">
        <v>45586</v>
      </c>
      <c r="B92" s="135" t="s">
        <v>596</v>
      </c>
      <c r="C92" s="136" t="s">
        <v>469</v>
      </c>
      <c r="D92" s="136" t="s">
        <v>519</v>
      </c>
      <c r="E92" s="136" t="s">
        <v>333</v>
      </c>
      <c r="F92" s="136" t="s">
        <v>517</v>
      </c>
      <c r="G92" s="136">
        <v>38</v>
      </c>
      <c r="H92" s="137">
        <v>24</v>
      </c>
      <c r="I92" s="138">
        <f t="shared" si="1"/>
        <v>912</v>
      </c>
      <c r="J92" s="139" t="s">
        <v>515</v>
      </c>
      <c r="K92" s="140">
        <v>24.623999999999999</v>
      </c>
      <c r="L92">
        <f>Table13[[#This Row],[Price]]*Table13[[#This Row],[Units]]</f>
        <v>912</v>
      </c>
    </row>
    <row r="93" spans="1:12" x14ac:dyDescent="0.35">
      <c r="A93" s="134">
        <v>45586</v>
      </c>
      <c r="B93" s="135" t="s">
        <v>597</v>
      </c>
      <c r="C93" s="136" t="s">
        <v>492</v>
      </c>
      <c r="D93" s="136" t="s">
        <v>477</v>
      </c>
      <c r="E93" s="136" t="s">
        <v>315</v>
      </c>
      <c r="F93" s="136" t="s">
        <v>520</v>
      </c>
      <c r="G93" s="136">
        <v>22</v>
      </c>
      <c r="H93" s="137">
        <v>51</v>
      </c>
      <c r="I93" s="138">
        <f t="shared" si="1"/>
        <v>1122</v>
      </c>
      <c r="J93" s="139" t="s">
        <v>503</v>
      </c>
      <c r="K93" s="140">
        <v>23.562000000000001</v>
      </c>
      <c r="L93">
        <f>Table13[[#This Row],[Price]]*Table13[[#This Row],[Units]]</f>
        <v>1122</v>
      </c>
    </row>
    <row r="94" spans="1:12" x14ac:dyDescent="0.35">
      <c r="A94" s="134">
        <v>45586</v>
      </c>
      <c r="B94" s="135" t="s">
        <v>598</v>
      </c>
      <c r="C94" s="136" t="s">
        <v>492</v>
      </c>
      <c r="D94" s="136" t="s">
        <v>490</v>
      </c>
      <c r="E94" s="136" t="s">
        <v>315</v>
      </c>
      <c r="F94" s="136" t="s">
        <v>510</v>
      </c>
      <c r="G94" s="136">
        <v>16</v>
      </c>
      <c r="H94" s="137">
        <v>46</v>
      </c>
      <c r="I94" s="138">
        <f t="shared" si="1"/>
        <v>736</v>
      </c>
      <c r="J94" s="139" t="s">
        <v>472</v>
      </c>
      <c r="K94" s="140">
        <v>15.456</v>
      </c>
      <c r="L94">
        <f>Table13[[#This Row],[Price]]*Table13[[#This Row],[Units]]</f>
        <v>736</v>
      </c>
    </row>
    <row r="95" spans="1:12" x14ac:dyDescent="0.35">
      <c r="A95" s="134">
        <v>45586</v>
      </c>
      <c r="B95" s="135" t="s">
        <v>599</v>
      </c>
      <c r="C95" s="136" t="s">
        <v>501</v>
      </c>
      <c r="D95" s="136" t="s">
        <v>519</v>
      </c>
      <c r="E95" s="136" t="s">
        <v>315</v>
      </c>
      <c r="F95" s="136" t="s">
        <v>536</v>
      </c>
      <c r="G95" s="136">
        <v>46</v>
      </c>
      <c r="H95" s="137">
        <v>44</v>
      </c>
      <c r="I95" s="138">
        <f t="shared" si="1"/>
        <v>2024</v>
      </c>
      <c r="J95" s="139" t="s">
        <v>466</v>
      </c>
      <c r="K95" s="140">
        <v>60.72</v>
      </c>
      <c r="L95">
        <f>Table13[[#This Row],[Price]]*Table13[[#This Row],[Units]]</f>
        <v>2024</v>
      </c>
    </row>
    <row r="96" spans="1:12" x14ac:dyDescent="0.35">
      <c r="A96" s="134">
        <v>45587</v>
      </c>
      <c r="B96" s="135" t="s">
        <v>600</v>
      </c>
      <c r="C96" s="136" t="s">
        <v>476</v>
      </c>
      <c r="D96" s="136" t="s">
        <v>512</v>
      </c>
      <c r="E96" s="136" t="s">
        <v>320</v>
      </c>
      <c r="F96" s="136" t="s">
        <v>497</v>
      </c>
      <c r="G96" s="136">
        <v>15</v>
      </c>
      <c r="H96" s="137">
        <v>22</v>
      </c>
      <c r="I96" s="138">
        <f t="shared" si="1"/>
        <v>330</v>
      </c>
      <c r="J96" s="139" t="s">
        <v>472</v>
      </c>
      <c r="K96" s="140">
        <v>9.9</v>
      </c>
      <c r="L96">
        <f>Table13[[#This Row],[Price]]*Table13[[#This Row],[Units]]</f>
        <v>330</v>
      </c>
    </row>
    <row r="97" spans="1:12" x14ac:dyDescent="0.35">
      <c r="A97" s="134">
        <v>45587</v>
      </c>
      <c r="B97" s="135" t="s">
        <v>601</v>
      </c>
      <c r="C97" s="136" t="s">
        <v>501</v>
      </c>
      <c r="D97" s="136" t="s">
        <v>470</v>
      </c>
      <c r="E97" s="136" t="s">
        <v>390</v>
      </c>
      <c r="F97" s="136" t="s">
        <v>520</v>
      </c>
      <c r="G97" s="136">
        <v>50</v>
      </c>
      <c r="H97" s="137">
        <v>37</v>
      </c>
      <c r="I97" s="138">
        <f t="shared" si="1"/>
        <v>1850</v>
      </c>
      <c r="J97" s="139" t="s">
        <v>466</v>
      </c>
      <c r="K97" s="140">
        <v>37</v>
      </c>
      <c r="L97">
        <f>Table13[[#This Row],[Price]]*Table13[[#This Row],[Units]]</f>
        <v>1850</v>
      </c>
    </row>
    <row r="98" spans="1:12" x14ac:dyDescent="0.35">
      <c r="A98" s="134">
        <v>45587</v>
      </c>
      <c r="B98" s="135" t="s">
        <v>602</v>
      </c>
      <c r="C98" s="136" t="s">
        <v>469</v>
      </c>
      <c r="D98" s="136" t="s">
        <v>470</v>
      </c>
      <c r="E98" s="136" t="s">
        <v>315</v>
      </c>
      <c r="F98" s="136" t="s">
        <v>505</v>
      </c>
      <c r="G98" s="136">
        <v>27</v>
      </c>
      <c r="H98" s="137">
        <v>44</v>
      </c>
      <c r="I98" s="138">
        <f t="shared" si="1"/>
        <v>1188</v>
      </c>
      <c r="J98" s="139" t="s">
        <v>466</v>
      </c>
      <c r="K98" s="140">
        <v>28.512</v>
      </c>
      <c r="L98">
        <f>Table13[[#This Row],[Price]]*Table13[[#This Row],[Units]]</f>
        <v>1188</v>
      </c>
    </row>
    <row r="99" spans="1:12" x14ac:dyDescent="0.35">
      <c r="A99" s="134">
        <v>45587</v>
      </c>
      <c r="B99" s="135" t="s">
        <v>603</v>
      </c>
      <c r="C99" s="136" t="s">
        <v>494</v>
      </c>
      <c r="D99" s="136" t="s">
        <v>477</v>
      </c>
      <c r="E99" s="136" t="s">
        <v>412</v>
      </c>
      <c r="F99" s="136" t="s">
        <v>505</v>
      </c>
      <c r="G99" s="136">
        <v>16</v>
      </c>
      <c r="H99" s="137">
        <v>52</v>
      </c>
      <c r="I99" s="138">
        <f t="shared" si="1"/>
        <v>832</v>
      </c>
      <c r="J99" s="139" t="s">
        <v>472</v>
      </c>
      <c r="K99" s="140">
        <v>24.96</v>
      </c>
      <c r="L99">
        <f>Table13[[#This Row],[Price]]*Table13[[#This Row],[Units]]</f>
        <v>832</v>
      </c>
    </row>
    <row r="100" spans="1:12" x14ac:dyDescent="0.35">
      <c r="A100" s="134">
        <v>45587</v>
      </c>
      <c r="B100" s="135" t="s">
        <v>604</v>
      </c>
      <c r="C100" s="136" t="s">
        <v>501</v>
      </c>
      <c r="D100" s="136" t="s">
        <v>470</v>
      </c>
      <c r="E100" s="136" t="s">
        <v>483</v>
      </c>
      <c r="F100" s="136" t="s">
        <v>505</v>
      </c>
      <c r="G100" s="136">
        <v>44</v>
      </c>
      <c r="H100" s="137">
        <v>51</v>
      </c>
      <c r="I100" s="138">
        <f t="shared" si="1"/>
        <v>2244</v>
      </c>
      <c r="J100" s="139" t="s">
        <v>515</v>
      </c>
      <c r="K100" s="140">
        <v>58.344000000000001</v>
      </c>
      <c r="L100">
        <f>Table13[[#This Row],[Price]]*Table13[[#This Row],[Units]]</f>
        <v>2244</v>
      </c>
    </row>
    <row r="101" spans="1:12" x14ac:dyDescent="0.35">
      <c r="A101" s="134">
        <v>45587</v>
      </c>
      <c r="B101" s="135" t="s">
        <v>605</v>
      </c>
      <c r="C101" s="136" t="s">
        <v>494</v>
      </c>
      <c r="D101" s="136" t="s">
        <v>477</v>
      </c>
      <c r="E101" s="136" t="s">
        <v>324</v>
      </c>
      <c r="F101" s="136" t="s">
        <v>520</v>
      </c>
      <c r="G101" s="136">
        <v>39</v>
      </c>
      <c r="H101" s="137">
        <v>53</v>
      </c>
      <c r="I101" s="138">
        <f t="shared" si="1"/>
        <v>2067</v>
      </c>
      <c r="J101" s="139" t="s">
        <v>515</v>
      </c>
      <c r="K101" s="140">
        <v>62.01</v>
      </c>
      <c r="L101">
        <f>Table13[[#This Row],[Price]]*Table13[[#This Row],[Units]]</f>
        <v>2067</v>
      </c>
    </row>
    <row r="102" spans="1:12" x14ac:dyDescent="0.35">
      <c r="A102" s="134">
        <v>45587</v>
      </c>
      <c r="B102" s="135" t="s">
        <v>606</v>
      </c>
      <c r="C102" s="136" t="s">
        <v>476</v>
      </c>
      <c r="D102" s="136" t="s">
        <v>512</v>
      </c>
      <c r="E102" s="136" t="s">
        <v>412</v>
      </c>
      <c r="F102" s="136" t="s">
        <v>528</v>
      </c>
      <c r="G102" s="136">
        <v>55</v>
      </c>
      <c r="H102" s="137">
        <v>48</v>
      </c>
      <c r="I102" s="138">
        <f t="shared" si="1"/>
        <v>2640</v>
      </c>
      <c r="J102" s="139" t="s">
        <v>472</v>
      </c>
      <c r="K102" s="140">
        <v>76.56</v>
      </c>
      <c r="L102">
        <f>Table13[[#This Row],[Price]]*Table13[[#This Row],[Units]]</f>
        <v>2640</v>
      </c>
    </row>
    <row r="103" spans="1:12" x14ac:dyDescent="0.35">
      <c r="A103" s="134">
        <v>45587</v>
      </c>
      <c r="B103" s="135" t="s">
        <v>607</v>
      </c>
      <c r="C103" s="136" t="s">
        <v>322</v>
      </c>
      <c r="D103" s="136" t="s">
        <v>470</v>
      </c>
      <c r="E103" s="136" t="s">
        <v>324</v>
      </c>
      <c r="F103" s="136" t="s">
        <v>567</v>
      </c>
      <c r="G103" s="136">
        <v>16</v>
      </c>
      <c r="H103" s="137">
        <v>45</v>
      </c>
      <c r="I103" s="138">
        <f t="shared" si="1"/>
        <v>720</v>
      </c>
      <c r="J103" s="139" t="s">
        <v>466</v>
      </c>
      <c r="K103" s="140">
        <v>20.16</v>
      </c>
      <c r="L103">
        <f>Table13[[#This Row],[Price]]*Table13[[#This Row],[Units]]</f>
        <v>720</v>
      </c>
    </row>
    <row r="104" spans="1:12" x14ac:dyDescent="0.35">
      <c r="A104" s="134">
        <v>45587</v>
      </c>
      <c r="B104" s="135" t="s">
        <v>608</v>
      </c>
      <c r="C104" s="136" t="s">
        <v>492</v>
      </c>
      <c r="D104" s="136" t="s">
        <v>470</v>
      </c>
      <c r="E104" s="136" t="s">
        <v>333</v>
      </c>
      <c r="F104" s="136" t="s">
        <v>454</v>
      </c>
      <c r="G104" s="136">
        <v>59</v>
      </c>
      <c r="H104" s="137">
        <v>47</v>
      </c>
      <c r="I104" s="138">
        <f t="shared" si="1"/>
        <v>2773</v>
      </c>
      <c r="J104" s="139" t="s">
        <v>472</v>
      </c>
      <c r="K104" s="140">
        <v>69.325000000000003</v>
      </c>
      <c r="L104">
        <f>Table13[[#This Row],[Price]]*Table13[[#This Row],[Units]]</f>
        <v>2773</v>
      </c>
    </row>
    <row r="105" spans="1:12" x14ac:dyDescent="0.35">
      <c r="A105" s="134">
        <v>45588</v>
      </c>
      <c r="B105" s="135" t="s">
        <v>609</v>
      </c>
      <c r="C105" s="136" t="s">
        <v>494</v>
      </c>
      <c r="D105" s="136" t="s">
        <v>477</v>
      </c>
      <c r="E105" s="136" t="s">
        <v>333</v>
      </c>
      <c r="F105" s="136" t="s">
        <v>487</v>
      </c>
      <c r="G105" s="136">
        <v>28</v>
      </c>
      <c r="H105" s="137">
        <v>29</v>
      </c>
      <c r="I105" s="138">
        <f t="shared" si="1"/>
        <v>812</v>
      </c>
      <c r="J105" s="139" t="s">
        <v>472</v>
      </c>
      <c r="K105" s="140">
        <v>17.864000000000001</v>
      </c>
      <c r="L105">
        <f>Table13[[#This Row],[Price]]*Table13[[#This Row],[Units]]</f>
        <v>812</v>
      </c>
    </row>
    <row r="106" spans="1:12" x14ac:dyDescent="0.35">
      <c r="A106" s="134">
        <v>45588</v>
      </c>
      <c r="B106" s="135" t="s">
        <v>610</v>
      </c>
      <c r="C106" s="136" t="s">
        <v>464</v>
      </c>
      <c r="D106" s="136" t="s">
        <v>490</v>
      </c>
      <c r="E106" s="136" t="s">
        <v>315</v>
      </c>
      <c r="F106" s="136" t="s">
        <v>528</v>
      </c>
      <c r="G106" s="136">
        <v>45</v>
      </c>
      <c r="H106" s="137">
        <v>46</v>
      </c>
      <c r="I106" s="138">
        <f t="shared" si="1"/>
        <v>2070</v>
      </c>
      <c r="J106" s="139" t="s">
        <v>466</v>
      </c>
      <c r="K106" s="140">
        <v>45.54</v>
      </c>
      <c r="L106">
        <f>Table13[[#This Row],[Price]]*Table13[[#This Row],[Units]]</f>
        <v>2070</v>
      </c>
    </row>
    <row r="107" spans="1:12" x14ac:dyDescent="0.35">
      <c r="A107" s="134">
        <v>45588</v>
      </c>
      <c r="B107" s="135" t="s">
        <v>611</v>
      </c>
      <c r="C107" s="136" t="s">
        <v>469</v>
      </c>
      <c r="D107" s="136" t="s">
        <v>490</v>
      </c>
      <c r="E107" s="136" t="s">
        <v>390</v>
      </c>
      <c r="F107" s="136" t="s">
        <v>517</v>
      </c>
      <c r="G107" s="136">
        <v>29</v>
      </c>
      <c r="H107" s="137">
        <v>59</v>
      </c>
      <c r="I107" s="138">
        <f t="shared" si="1"/>
        <v>1711</v>
      </c>
      <c r="J107" s="139" t="s">
        <v>515</v>
      </c>
      <c r="K107" s="140">
        <v>46.197000000000003</v>
      </c>
      <c r="L107">
        <f>Table13[[#This Row],[Price]]*Table13[[#This Row],[Units]]</f>
        <v>1711</v>
      </c>
    </row>
    <row r="108" spans="1:12" x14ac:dyDescent="0.35">
      <c r="A108" s="134">
        <v>45588</v>
      </c>
      <c r="B108" s="135" t="s">
        <v>612</v>
      </c>
      <c r="C108" s="136" t="s">
        <v>494</v>
      </c>
      <c r="D108" s="136" t="s">
        <v>490</v>
      </c>
      <c r="E108" s="136" t="s">
        <v>483</v>
      </c>
      <c r="F108" s="136" t="s">
        <v>471</v>
      </c>
      <c r="G108" s="136">
        <v>53</v>
      </c>
      <c r="H108" s="137">
        <v>47</v>
      </c>
      <c r="I108" s="138">
        <f t="shared" si="1"/>
        <v>2491</v>
      </c>
      <c r="J108" s="139" t="s">
        <v>466</v>
      </c>
      <c r="K108" s="140">
        <v>64.766000000000005</v>
      </c>
      <c r="L108">
        <f>Table13[[#This Row],[Price]]*Table13[[#This Row],[Units]]</f>
        <v>2491</v>
      </c>
    </row>
    <row r="109" spans="1:12" x14ac:dyDescent="0.35">
      <c r="A109" s="134">
        <v>45588</v>
      </c>
      <c r="B109" s="135" t="s">
        <v>613</v>
      </c>
      <c r="C109" s="136" t="s">
        <v>489</v>
      </c>
      <c r="D109" s="136" t="s">
        <v>486</v>
      </c>
      <c r="E109" s="136" t="s">
        <v>390</v>
      </c>
      <c r="F109" s="136" t="s">
        <v>478</v>
      </c>
      <c r="G109" s="136">
        <v>16</v>
      </c>
      <c r="H109" s="137">
        <v>29</v>
      </c>
      <c r="I109" s="138">
        <f t="shared" si="1"/>
        <v>464</v>
      </c>
      <c r="J109" s="139" t="s">
        <v>472</v>
      </c>
      <c r="K109" s="140">
        <v>10.208</v>
      </c>
      <c r="L109">
        <f>Table13[[#This Row],[Price]]*Table13[[#This Row],[Units]]</f>
        <v>464</v>
      </c>
    </row>
    <row r="110" spans="1:12" x14ac:dyDescent="0.35">
      <c r="A110" s="134">
        <v>45589</v>
      </c>
      <c r="B110" s="135" t="s">
        <v>614</v>
      </c>
      <c r="C110" s="136" t="s">
        <v>492</v>
      </c>
      <c r="D110" s="136" t="s">
        <v>470</v>
      </c>
      <c r="E110" s="136" t="s">
        <v>333</v>
      </c>
      <c r="F110" s="136" t="s">
        <v>536</v>
      </c>
      <c r="G110" s="136">
        <v>60</v>
      </c>
      <c r="H110" s="137">
        <v>57</v>
      </c>
      <c r="I110" s="138">
        <f t="shared" si="1"/>
        <v>3420</v>
      </c>
      <c r="J110" s="139" t="s">
        <v>466</v>
      </c>
      <c r="K110" s="140">
        <v>99.18</v>
      </c>
      <c r="L110">
        <f>Table13[[#This Row],[Price]]*Table13[[#This Row],[Units]]</f>
        <v>3420</v>
      </c>
    </row>
    <row r="111" spans="1:12" x14ac:dyDescent="0.35">
      <c r="A111" s="134">
        <v>45589</v>
      </c>
      <c r="B111" s="135" t="s">
        <v>615</v>
      </c>
      <c r="C111" s="136" t="s">
        <v>489</v>
      </c>
      <c r="D111" s="136" t="s">
        <v>519</v>
      </c>
      <c r="E111" s="136" t="s">
        <v>320</v>
      </c>
      <c r="F111" s="136" t="s">
        <v>539</v>
      </c>
      <c r="G111" s="136">
        <v>18</v>
      </c>
      <c r="H111" s="137">
        <v>56</v>
      </c>
      <c r="I111" s="138">
        <f t="shared" si="1"/>
        <v>1008</v>
      </c>
      <c r="J111" s="139" t="s">
        <v>466</v>
      </c>
      <c r="K111" s="140">
        <v>30.24</v>
      </c>
      <c r="L111">
        <f>Table13[[#This Row],[Price]]*Table13[[#This Row],[Units]]</f>
        <v>1008</v>
      </c>
    </row>
    <row r="112" spans="1:12" x14ac:dyDescent="0.35">
      <c r="A112" s="134">
        <v>45589</v>
      </c>
      <c r="B112" s="135" t="s">
        <v>616</v>
      </c>
      <c r="C112" s="136" t="s">
        <v>469</v>
      </c>
      <c r="D112" s="136" t="s">
        <v>465</v>
      </c>
      <c r="E112" s="136" t="s">
        <v>320</v>
      </c>
      <c r="F112" s="136" t="s">
        <v>513</v>
      </c>
      <c r="G112" s="136">
        <v>25</v>
      </c>
      <c r="H112" s="137">
        <v>43</v>
      </c>
      <c r="I112" s="138">
        <f t="shared" si="1"/>
        <v>1075</v>
      </c>
      <c r="J112" s="139" t="s">
        <v>466</v>
      </c>
      <c r="K112" s="140">
        <v>32.25</v>
      </c>
      <c r="L112">
        <f>Table13[[#This Row],[Price]]*Table13[[#This Row],[Units]]</f>
        <v>1075</v>
      </c>
    </row>
    <row r="113" spans="1:12" x14ac:dyDescent="0.35">
      <c r="A113" s="134">
        <v>45589</v>
      </c>
      <c r="B113" s="135" t="s">
        <v>617</v>
      </c>
      <c r="C113" s="136" t="s">
        <v>469</v>
      </c>
      <c r="D113" s="136" t="s">
        <v>519</v>
      </c>
      <c r="E113" s="136" t="s">
        <v>390</v>
      </c>
      <c r="F113" s="136" t="s">
        <v>491</v>
      </c>
      <c r="G113" s="136">
        <v>53</v>
      </c>
      <c r="H113" s="137">
        <v>36</v>
      </c>
      <c r="I113" s="138">
        <f t="shared" si="1"/>
        <v>1908</v>
      </c>
      <c r="J113" s="139" t="s">
        <v>466</v>
      </c>
      <c r="K113" s="140">
        <v>51.515999999999998</v>
      </c>
      <c r="L113">
        <f>Table13[[#This Row],[Price]]*Table13[[#This Row],[Units]]</f>
        <v>1908</v>
      </c>
    </row>
    <row r="114" spans="1:12" x14ac:dyDescent="0.35">
      <c r="A114" s="134">
        <v>45590</v>
      </c>
      <c r="B114" s="135" t="s">
        <v>618</v>
      </c>
      <c r="C114" s="136" t="s">
        <v>476</v>
      </c>
      <c r="D114" s="136" t="s">
        <v>465</v>
      </c>
      <c r="E114" s="136" t="s">
        <v>320</v>
      </c>
      <c r="F114" s="136" t="s">
        <v>487</v>
      </c>
      <c r="G114" s="136">
        <v>50</v>
      </c>
      <c r="H114" s="137">
        <v>47</v>
      </c>
      <c r="I114" s="138">
        <f t="shared" si="1"/>
        <v>2350</v>
      </c>
      <c r="J114" s="139" t="s">
        <v>515</v>
      </c>
      <c r="K114" s="140">
        <v>61.1</v>
      </c>
      <c r="L114">
        <f>Table13[[#This Row],[Price]]*Table13[[#This Row],[Units]]</f>
        <v>2350</v>
      </c>
    </row>
    <row r="115" spans="1:12" x14ac:dyDescent="0.35">
      <c r="A115" s="134">
        <v>45590</v>
      </c>
      <c r="B115" s="135" t="s">
        <v>619</v>
      </c>
      <c r="C115" s="136" t="s">
        <v>494</v>
      </c>
      <c r="D115" s="136" t="s">
        <v>486</v>
      </c>
      <c r="E115" s="136" t="s">
        <v>483</v>
      </c>
      <c r="F115" s="136" t="s">
        <v>567</v>
      </c>
      <c r="G115" s="136">
        <v>33</v>
      </c>
      <c r="H115" s="137">
        <v>55</v>
      </c>
      <c r="I115" s="138">
        <f t="shared" si="1"/>
        <v>1815</v>
      </c>
      <c r="J115" s="139" t="s">
        <v>472</v>
      </c>
      <c r="K115" s="140">
        <v>54.45</v>
      </c>
      <c r="L115">
        <f>Table13[[#This Row],[Price]]*Table13[[#This Row],[Units]]</f>
        <v>1815</v>
      </c>
    </row>
    <row r="116" spans="1:12" x14ac:dyDescent="0.35">
      <c r="A116" s="134">
        <v>45590</v>
      </c>
      <c r="B116" s="135" t="s">
        <v>620</v>
      </c>
      <c r="C116" s="136" t="s">
        <v>476</v>
      </c>
      <c r="D116" s="136" t="s">
        <v>477</v>
      </c>
      <c r="E116" s="136" t="s">
        <v>324</v>
      </c>
      <c r="F116" s="136" t="s">
        <v>528</v>
      </c>
      <c r="G116" s="136">
        <v>12</v>
      </c>
      <c r="H116" s="137">
        <v>35</v>
      </c>
      <c r="I116" s="138">
        <f t="shared" si="1"/>
        <v>420</v>
      </c>
      <c r="J116" s="139" t="s">
        <v>472</v>
      </c>
      <c r="K116" s="140">
        <v>9.66</v>
      </c>
      <c r="L116">
        <f>Table13[[#This Row],[Price]]*Table13[[#This Row],[Units]]</f>
        <v>420</v>
      </c>
    </row>
    <row r="117" spans="1:12" x14ac:dyDescent="0.35">
      <c r="A117" s="134">
        <v>45590</v>
      </c>
      <c r="B117" s="135" t="s">
        <v>621</v>
      </c>
      <c r="C117" s="136" t="s">
        <v>494</v>
      </c>
      <c r="D117" s="136" t="s">
        <v>470</v>
      </c>
      <c r="E117" s="136" t="s">
        <v>315</v>
      </c>
      <c r="F117" s="136" t="s">
        <v>523</v>
      </c>
      <c r="G117" s="136">
        <v>60</v>
      </c>
      <c r="H117" s="137">
        <v>35</v>
      </c>
      <c r="I117" s="138">
        <f t="shared" si="1"/>
        <v>2100</v>
      </c>
      <c r="J117" s="139" t="s">
        <v>472</v>
      </c>
      <c r="K117" s="140">
        <v>60.9</v>
      </c>
      <c r="L117">
        <f>Table13[[#This Row],[Price]]*Table13[[#This Row],[Units]]</f>
        <v>2100</v>
      </c>
    </row>
    <row r="118" spans="1:12" x14ac:dyDescent="0.35">
      <c r="A118" s="134">
        <v>45590</v>
      </c>
      <c r="B118" s="135" t="s">
        <v>622</v>
      </c>
      <c r="C118" s="136" t="s">
        <v>476</v>
      </c>
      <c r="D118" s="136" t="s">
        <v>490</v>
      </c>
      <c r="E118" s="136" t="s">
        <v>320</v>
      </c>
      <c r="F118" s="136" t="s">
        <v>528</v>
      </c>
      <c r="G118" s="136">
        <v>26</v>
      </c>
      <c r="H118" s="137">
        <v>36</v>
      </c>
      <c r="I118" s="138">
        <f t="shared" si="1"/>
        <v>936</v>
      </c>
      <c r="J118" s="139" t="s">
        <v>515</v>
      </c>
      <c r="K118" s="140">
        <v>20.591999999999999</v>
      </c>
      <c r="L118">
        <f>Table13[[#This Row],[Price]]*Table13[[#This Row],[Units]]</f>
        <v>936</v>
      </c>
    </row>
    <row r="119" spans="1:12" x14ac:dyDescent="0.35">
      <c r="A119" s="134">
        <v>45590</v>
      </c>
      <c r="B119" s="135" t="s">
        <v>623</v>
      </c>
      <c r="C119" s="136" t="s">
        <v>322</v>
      </c>
      <c r="D119" s="136" t="s">
        <v>465</v>
      </c>
      <c r="E119" s="136" t="s">
        <v>320</v>
      </c>
      <c r="F119" s="136" t="s">
        <v>567</v>
      </c>
      <c r="G119" s="136">
        <v>24</v>
      </c>
      <c r="H119" s="137">
        <v>53</v>
      </c>
      <c r="I119" s="138">
        <f t="shared" si="1"/>
        <v>1272</v>
      </c>
      <c r="J119" s="139" t="s">
        <v>466</v>
      </c>
      <c r="K119" s="140">
        <v>29.256</v>
      </c>
      <c r="L119">
        <f>Table13[[#This Row],[Price]]*Table13[[#This Row],[Units]]</f>
        <v>1272</v>
      </c>
    </row>
    <row r="120" spans="1:12" x14ac:dyDescent="0.35">
      <c r="A120" s="134">
        <v>45590</v>
      </c>
      <c r="B120" s="135" t="s">
        <v>624</v>
      </c>
      <c r="C120" s="136" t="s">
        <v>489</v>
      </c>
      <c r="D120" s="136" t="s">
        <v>512</v>
      </c>
      <c r="E120" s="136" t="s">
        <v>320</v>
      </c>
      <c r="F120" s="136" t="s">
        <v>517</v>
      </c>
      <c r="G120" s="136">
        <v>43</v>
      </c>
      <c r="H120" s="137">
        <v>33</v>
      </c>
      <c r="I120" s="138">
        <f t="shared" si="1"/>
        <v>1419</v>
      </c>
      <c r="J120" s="139" t="s">
        <v>472</v>
      </c>
      <c r="K120" s="140">
        <v>31.218</v>
      </c>
      <c r="L120">
        <f>Table13[[#This Row],[Price]]*Table13[[#This Row],[Units]]</f>
        <v>1419</v>
      </c>
    </row>
    <row r="121" spans="1:12" x14ac:dyDescent="0.35">
      <c r="A121" s="134">
        <v>45590</v>
      </c>
      <c r="B121" s="135" t="s">
        <v>625</v>
      </c>
      <c r="C121" s="136" t="s">
        <v>464</v>
      </c>
      <c r="D121" s="136" t="s">
        <v>477</v>
      </c>
      <c r="E121" s="136" t="s">
        <v>412</v>
      </c>
      <c r="F121" s="136" t="s">
        <v>510</v>
      </c>
      <c r="G121" s="136">
        <v>13</v>
      </c>
      <c r="H121" s="137">
        <v>58</v>
      </c>
      <c r="I121" s="138">
        <f t="shared" si="1"/>
        <v>754</v>
      </c>
      <c r="J121" s="139" t="s">
        <v>515</v>
      </c>
      <c r="K121" s="140">
        <v>21.111999999999998</v>
      </c>
      <c r="L121">
        <f>Table13[[#This Row],[Price]]*Table13[[#This Row],[Units]]</f>
        <v>754</v>
      </c>
    </row>
    <row r="122" spans="1:12" x14ac:dyDescent="0.35">
      <c r="A122" s="134">
        <v>45590</v>
      </c>
      <c r="B122" s="135" t="s">
        <v>626</v>
      </c>
      <c r="C122" s="136" t="s">
        <v>484</v>
      </c>
      <c r="D122" s="136" t="s">
        <v>490</v>
      </c>
      <c r="E122" s="136" t="s">
        <v>315</v>
      </c>
      <c r="F122" s="136" t="s">
        <v>497</v>
      </c>
      <c r="G122" s="136">
        <v>12</v>
      </c>
      <c r="H122" s="137">
        <v>58</v>
      </c>
      <c r="I122" s="138">
        <f t="shared" si="1"/>
        <v>696</v>
      </c>
      <c r="J122" s="139" t="s">
        <v>515</v>
      </c>
      <c r="K122" s="140">
        <v>20.184000000000001</v>
      </c>
      <c r="L122">
        <f>Table13[[#This Row],[Price]]*Table13[[#This Row],[Units]]</f>
        <v>696</v>
      </c>
    </row>
    <row r="123" spans="1:12" x14ac:dyDescent="0.35">
      <c r="A123" s="134">
        <v>45590</v>
      </c>
      <c r="B123" s="135" t="s">
        <v>627</v>
      </c>
      <c r="C123" s="136" t="s">
        <v>501</v>
      </c>
      <c r="D123" s="136" t="s">
        <v>465</v>
      </c>
      <c r="E123" s="136" t="s">
        <v>324</v>
      </c>
      <c r="F123" s="136" t="s">
        <v>471</v>
      </c>
      <c r="G123" s="136">
        <v>26</v>
      </c>
      <c r="H123" s="137">
        <v>39</v>
      </c>
      <c r="I123" s="138">
        <f t="shared" si="1"/>
        <v>1014</v>
      </c>
      <c r="J123" s="139" t="s">
        <v>472</v>
      </c>
      <c r="K123" s="140">
        <v>27.378</v>
      </c>
      <c r="L123">
        <f>Table13[[#This Row],[Price]]*Table13[[#This Row],[Units]]</f>
        <v>1014</v>
      </c>
    </row>
    <row r="124" spans="1:12" x14ac:dyDescent="0.35">
      <c r="A124" s="134">
        <v>45590</v>
      </c>
      <c r="B124" s="135" t="s">
        <v>628</v>
      </c>
      <c r="C124" s="136" t="s">
        <v>494</v>
      </c>
      <c r="D124" s="136" t="s">
        <v>470</v>
      </c>
      <c r="E124" s="136" t="s">
        <v>320</v>
      </c>
      <c r="F124" s="136" t="s">
        <v>478</v>
      </c>
      <c r="G124" s="136">
        <v>23</v>
      </c>
      <c r="H124" s="137">
        <v>30</v>
      </c>
      <c r="I124" s="138">
        <f t="shared" si="1"/>
        <v>690</v>
      </c>
      <c r="J124" s="139" t="s">
        <v>466</v>
      </c>
      <c r="K124" s="140">
        <v>15.18</v>
      </c>
      <c r="L124">
        <f>Table13[[#This Row],[Price]]*Table13[[#This Row],[Units]]</f>
        <v>690</v>
      </c>
    </row>
    <row r="125" spans="1:12" x14ac:dyDescent="0.35">
      <c r="A125" s="134">
        <v>45590</v>
      </c>
      <c r="B125" s="135" t="s">
        <v>629</v>
      </c>
      <c r="C125" s="136" t="s">
        <v>494</v>
      </c>
      <c r="D125" s="136" t="s">
        <v>512</v>
      </c>
      <c r="E125" s="136" t="s">
        <v>315</v>
      </c>
      <c r="F125" s="136" t="s">
        <v>487</v>
      </c>
      <c r="G125" s="136">
        <v>40</v>
      </c>
      <c r="H125" s="137">
        <v>47</v>
      </c>
      <c r="I125" s="138">
        <f t="shared" si="1"/>
        <v>1880</v>
      </c>
      <c r="J125" s="139" t="s">
        <v>503</v>
      </c>
      <c r="K125" s="140">
        <v>52.64</v>
      </c>
      <c r="L125">
        <f>Table13[[#This Row],[Price]]*Table13[[#This Row],[Units]]</f>
        <v>1880</v>
      </c>
    </row>
    <row r="126" spans="1:12" x14ac:dyDescent="0.35">
      <c r="A126" s="134">
        <v>45590</v>
      </c>
      <c r="B126" s="135" t="s">
        <v>630</v>
      </c>
      <c r="C126" s="136" t="s">
        <v>322</v>
      </c>
      <c r="D126" s="136" t="s">
        <v>486</v>
      </c>
      <c r="E126" s="136" t="s">
        <v>390</v>
      </c>
      <c r="F126" s="136" t="s">
        <v>528</v>
      </c>
      <c r="G126" s="136">
        <v>18</v>
      </c>
      <c r="H126" s="137">
        <v>25</v>
      </c>
      <c r="I126" s="138">
        <f t="shared" si="1"/>
        <v>450</v>
      </c>
      <c r="J126" s="139" t="s">
        <v>472</v>
      </c>
      <c r="K126" s="140">
        <v>13.5</v>
      </c>
      <c r="L126">
        <f>Table13[[#This Row],[Price]]*Table13[[#This Row],[Units]]</f>
        <v>450</v>
      </c>
    </row>
    <row r="127" spans="1:12" x14ac:dyDescent="0.35">
      <c r="A127" s="134">
        <v>45590</v>
      </c>
      <c r="B127" s="135" t="s">
        <v>631</v>
      </c>
      <c r="C127" s="136" t="s">
        <v>494</v>
      </c>
      <c r="D127" s="136" t="s">
        <v>470</v>
      </c>
      <c r="E127" s="136" t="s">
        <v>333</v>
      </c>
      <c r="F127" s="136" t="s">
        <v>500</v>
      </c>
      <c r="G127" s="136">
        <v>18</v>
      </c>
      <c r="H127" s="137">
        <v>23</v>
      </c>
      <c r="I127" s="138">
        <f t="shared" si="1"/>
        <v>414</v>
      </c>
      <c r="J127" s="139" t="s">
        <v>472</v>
      </c>
      <c r="K127" s="140">
        <v>10.763999999999999</v>
      </c>
      <c r="L127">
        <f>Table13[[#This Row],[Price]]*Table13[[#This Row],[Units]]</f>
        <v>414</v>
      </c>
    </row>
    <row r="128" spans="1:12" x14ac:dyDescent="0.35">
      <c r="A128" s="134">
        <v>45590</v>
      </c>
      <c r="B128" s="135" t="s">
        <v>632</v>
      </c>
      <c r="C128" s="136" t="s">
        <v>501</v>
      </c>
      <c r="D128" s="136" t="s">
        <v>477</v>
      </c>
      <c r="E128" s="136" t="s">
        <v>412</v>
      </c>
      <c r="F128" s="136" t="s">
        <v>491</v>
      </c>
      <c r="G128" s="136">
        <v>50</v>
      </c>
      <c r="H128" s="137">
        <v>30</v>
      </c>
      <c r="I128" s="138">
        <f t="shared" si="1"/>
        <v>1500</v>
      </c>
      <c r="J128" s="139" t="s">
        <v>472</v>
      </c>
      <c r="K128" s="140">
        <v>30</v>
      </c>
      <c r="L128">
        <f>Table13[[#This Row],[Price]]*Table13[[#This Row],[Units]]</f>
        <v>1500</v>
      </c>
    </row>
    <row r="129" spans="1:12" x14ac:dyDescent="0.35">
      <c r="A129" s="134">
        <v>45590</v>
      </c>
      <c r="B129" s="135" t="s">
        <v>633</v>
      </c>
      <c r="C129" s="136" t="s">
        <v>501</v>
      </c>
      <c r="D129" s="136" t="s">
        <v>519</v>
      </c>
      <c r="E129" s="136" t="s">
        <v>390</v>
      </c>
      <c r="F129" s="136" t="s">
        <v>471</v>
      </c>
      <c r="G129" s="136">
        <v>19</v>
      </c>
      <c r="H129" s="137">
        <v>23</v>
      </c>
      <c r="I129" s="138">
        <f t="shared" si="1"/>
        <v>437</v>
      </c>
      <c r="J129" s="139" t="s">
        <v>503</v>
      </c>
      <c r="K129" s="140">
        <v>9.6140000000000008</v>
      </c>
      <c r="L129">
        <f>Table13[[#This Row],[Price]]*Table13[[#This Row],[Units]]</f>
        <v>437</v>
      </c>
    </row>
    <row r="130" spans="1:12" x14ac:dyDescent="0.35">
      <c r="A130" s="134">
        <v>45590</v>
      </c>
      <c r="B130" s="135" t="s">
        <v>634</v>
      </c>
      <c r="C130" s="136" t="s">
        <v>494</v>
      </c>
      <c r="D130" s="136" t="s">
        <v>519</v>
      </c>
      <c r="E130" s="136" t="s">
        <v>390</v>
      </c>
      <c r="F130" s="136" t="s">
        <v>510</v>
      </c>
      <c r="G130" s="136">
        <v>31</v>
      </c>
      <c r="H130" s="137">
        <v>56</v>
      </c>
      <c r="I130" s="138">
        <f t="shared" si="1"/>
        <v>1736</v>
      </c>
      <c r="J130" s="139" t="s">
        <v>472</v>
      </c>
      <c r="K130" s="140">
        <v>43.4</v>
      </c>
      <c r="L130">
        <f>Table13[[#This Row],[Price]]*Table13[[#This Row],[Units]]</f>
        <v>1736</v>
      </c>
    </row>
    <row r="131" spans="1:12" x14ac:dyDescent="0.35">
      <c r="A131" s="134">
        <v>45590</v>
      </c>
      <c r="B131" s="135" t="s">
        <v>635</v>
      </c>
      <c r="C131" s="136" t="s">
        <v>492</v>
      </c>
      <c r="D131" s="136" t="s">
        <v>477</v>
      </c>
      <c r="E131" s="136" t="s">
        <v>412</v>
      </c>
      <c r="F131" s="136" t="s">
        <v>528</v>
      </c>
      <c r="G131" s="136">
        <v>31</v>
      </c>
      <c r="H131" s="137">
        <v>39</v>
      </c>
      <c r="I131" s="138">
        <f t="shared" ref="I131:I194" si="2">G131*H131</f>
        <v>1209</v>
      </c>
      <c r="J131" s="139" t="s">
        <v>472</v>
      </c>
      <c r="K131" s="140">
        <v>36.270000000000003</v>
      </c>
      <c r="L131">
        <f>Table13[[#This Row],[Price]]*Table13[[#This Row],[Units]]</f>
        <v>1209</v>
      </c>
    </row>
    <row r="132" spans="1:12" x14ac:dyDescent="0.35">
      <c r="A132" s="134">
        <v>45590</v>
      </c>
      <c r="B132" s="135" t="s">
        <v>636</v>
      </c>
      <c r="C132" s="136" t="s">
        <v>494</v>
      </c>
      <c r="D132" s="136" t="s">
        <v>486</v>
      </c>
      <c r="E132" s="136" t="s">
        <v>483</v>
      </c>
      <c r="F132" s="136" t="s">
        <v>454</v>
      </c>
      <c r="G132" s="136">
        <v>45</v>
      </c>
      <c r="H132" s="137">
        <v>52</v>
      </c>
      <c r="I132" s="138">
        <f t="shared" si="2"/>
        <v>2340</v>
      </c>
      <c r="J132" s="139" t="s">
        <v>466</v>
      </c>
      <c r="K132" s="140">
        <v>56.16</v>
      </c>
      <c r="L132">
        <f>Table13[[#This Row],[Price]]*Table13[[#This Row],[Units]]</f>
        <v>2340</v>
      </c>
    </row>
    <row r="133" spans="1:12" x14ac:dyDescent="0.35">
      <c r="A133" s="134">
        <v>45590</v>
      </c>
      <c r="B133" s="135" t="s">
        <v>637</v>
      </c>
      <c r="C133" s="136" t="s">
        <v>464</v>
      </c>
      <c r="D133" s="136" t="s">
        <v>465</v>
      </c>
      <c r="E133" s="136" t="s">
        <v>412</v>
      </c>
      <c r="F133" s="136" t="s">
        <v>539</v>
      </c>
      <c r="G133" s="136">
        <v>11</v>
      </c>
      <c r="H133" s="137">
        <v>40</v>
      </c>
      <c r="I133" s="138">
        <f t="shared" si="2"/>
        <v>440</v>
      </c>
      <c r="J133" s="139" t="s">
        <v>515</v>
      </c>
      <c r="K133" s="140">
        <v>12.32</v>
      </c>
      <c r="L133">
        <f>Table13[[#This Row],[Price]]*Table13[[#This Row],[Units]]</f>
        <v>440</v>
      </c>
    </row>
    <row r="134" spans="1:12" x14ac:dyDescent="0.35">
      <c r="A134" s="134">
        <v>45590</v>
      </c>
      <c r="B134" s="135" t="s">
        <v>638</v>
      </c>
      <c r="C134" s="136" t="s">
        <v>492</v>
      </c>
      <c r="D134" s="136" t="s">
        <v>486</v>
      </c>
      <c r="E134" s="136" t="s">
        <v>483</v>
      </c>
      <c r="F134" s="136" t="s">
        <v>478</v>
      </c>
      <c r="G134" s="136">
        <v>50</v>
      </c>
      <c r="H134" s="137">
        <v>24</v>
      </c>
      <c r="I134" s="138">
        <f t="shared" si="2"/>
        <v>1200</v>
      </c>
      <c r="J134" s="139" t="s">
        <v>503</v>
      </c>
      <c r="K134" s="140">
        <v>27.6</v>
      </c>
      <c r="L134">
        <f>Table13[[#This Row],[Price]]*Table13[[#This Row],[Units]]</f>
        <v>1200</v>
      </c>
    </row>
    <row r="135" spans="1:12" x14ac:dyDescent="0.35">
      <c r="A135" s="134">
        <v>45590</v>
      </c>
      <c r="B135" s="135" t="s">
        <v>639</v>
      </c>
      <c r="C135" s="136" t="s">
        <v>322</v>
      </c>
      <c r="D135" s="136" t="s">
        <v>512</v>
      </c>
      <c r="E135" s="136" t="s">
        <v>390</v>
      </c>
      <c r="F135" s="136" t="s">
        <v>513</v>
      </c>
      <c r="G135" s="136">
        <v>56</v>
      </c>
      <c r="H135" s="137">
        <v>59</v>
      </c>
      <c r="I135" s="138">
        <f t="shared" si="2"/>
        <v>3304</v>
      </c>
      <c r="J135" s="139" t="s">
        <v>515</v>
      </c>
      <c r="K135" s="140">
        <v>99.12</v>
      </c>
      <c r="L135">
        <f>Table13[[#This Row],[Price]]*Table13[[#This Row],[Units]]</f>
        <v>3304</v>
      </c>
    </row>
    <row r="136" spans="1:12" x14ac:dyDescent="0.35">
      <c r="A136" s="134">
        <v>45590</v>
      </c>
      <c r="B136" s="135" t="s">
        <v>640</v>
      </c>
      <c r="C136" s="136" t="s">
        <v>322</v>
      </c>
      <c r="D136" s="136" t="s">
        <v>477</v>
      </c>
      <c r="E136" s="136" t="s">
        <v>324</v>
      </c>
      <c r="F136" s="136" t="s">
        <v>491</v>
      </c>
      <c r="G136" s="136">
        <v>22</v>
      </c>
      <c r="H136" s="137">
        <v>50</v>
      </c>
      <c r="I136" s="138">
        <f t="shared" si="2"/>
        <v>1100</v>
      </c>
      <c r="J136" s="139" t="s">
        <v>466</v>
      </c>
      <c r="K136" s="140">
        <v>30.8</v>
      </c>
      <c r="L136">
        <f>Table13[[#This Row],[Price]]*Table13[[#This Row],[Units]]</f>
        <v>1100</v>
      </c>
    </row>
    <row r="137" spans="1:12" x14ac:dyDescent="0.35">
      <c r="A137" s="134">
        <v>45591</v>
      </c>
      <c r="B137" s="135" t="s">
        <v>641</v>
      </c>
      <c r="C137" s="136" t="s">
        <v>489</v>
      </c>
      <c r="D137" s="136" t="s">
        <v>519</v>
      </c>
      <c r="E137" s="136" t="s">
        <v>483</v>
      </c>
      <c r="F137" s="136" t="s">
        <v>539</v>
      </c>
      <c r="G137" s="136">
        <v>31</v>
      </c>
      <c r="H137" s="137">
        <v>48</v>
      </c>
      <c r="I137" s="138">
        <f t="shared" si="2"/>
        <v>1488</v>
      </c>
      <c r="J137" s="139" t="s">
        <v>466</v>
      </c>
      <c r="K137" s="140">
        <v>37.200000000000003</v>
      </c>
      <c r="L137">
        <f>Table13[[#This Row],[Price]]*Table13[[#This Row],[Units]]</f>
        <v>1488</v>
      </c>
    </row>
    <row r="138" spans="1:12" x14ac:dyDescent="0.35">
      <c r="A138" s="134">
        <v>45591</v>
      </c>
      <c r="B138" s="135" t="s">
        <v>642</v>
      </c>
      <c r="C138" s="136" t="s">
        <v>469</v>
      </c>
      <c r="D138" s="136" t="s">
        <v>465</v>
      </c>
      <c r="E138" s="136" t="s">
        <v>320</v>
      </c>
      <c r="F138" s="136" t="s">
        <v>471</v>
      </c>
      <c r="G138" s="136">
        <v>20</v>
      </c>
      <c r="H138" s="137">
        <v>57</v>
      </c>
      <c r="I138" s="138">
        <f t="shared" si="2"/>
        <v>1140</v>
      </c>
      <c r="J138" s="139" t="s">
        <v>466</v>
      </c>
      <c r="K138" s="140">
        <v>31.92</v>
      </c>
      <c r="L138">
        <f>Table13[[#This Row],[Price]]*Table13[[#This Row],[Units]]</f>
        <v>1140</v>
      </c>
    </row>
    <row r="139" spans="1:12" x14ac:dyDescent="0.35">
      <c r="A139" s="134">
        <v>45592</v>
      </c>
      <c r="B139" s="135" t="s">
        <v>643</v>
      </c>
      <c r="C139" s="136" t="s">
        <v>492</v>
      </c>
      <c r="D139" s="136" t="s">
        <v>519</v>
      </c>
      <c r="E139" s="136" t="s">
        <v>483</v>
      </c>
      <c r="F139" s="136" t="s">
        <v>497</v>
      </c>
      <c r="G139" s="136">
        <v>38</v>
      </c>
      <c r="H139" s="137">
        <v>51</v>
      </c>
      <c r="I139" s="138">
        <f t="shared" si="2"/>
        <v>1938</v>
      </c>
      <c r="J139" s="139" t="s">
        <v>466</v>
      </c>
      <c r="K139" s="140">
        <v>58.14</v>
      </c>
      <c r="L139">
        <f>Table13[[#This Row],[Price]]*Table13[[#This Row],[Units]]</f>
        <v>1938</v>
      </c>
    </row>
    <row r="140" spans="1:12" x14ac:dyDescent="0.35">
      <c r="A140" s="134">
        <v>45592</v>
      </c>
      <c r="B140" s="135" t="s">
        <v>644</v>
      </c>
      <c r="C140" s="136" t="s">
        <v>501</v>
      </c>
      <c r="D140" s="136" t="s">
        <v>470</v>
      </c>
      <c r="E140" s="136" t="s">
        <v>324</v>
      </c>
      <c r="F140" s="136" t="s">
        <v>487</v>
      </c>
      <c r="G140" s="136">
        <v>16</v>
      </c>
      <c r="H140" s="137">
        <v>57</v>
      </c>
      <c r="I140" s="138">
        <f t="shared" si="2"/>
        <v>912</v>
      </c>
      <c r="J140" s="139" t="s">
        <v>503</v>
      </c>
      <c r="K140" s="140">
        <v>19.152000000000001</v>
      </c>
      <c r="L140">
        <f>Table13[[#This Row],[Price]]*Table13[[#This Row],[Units]]</f>
        <v>912</v>
      </c>
    </row>
    <row r="141" spans="1:12" x14ac:dyDescent="0.35">
      <c r="A141" s="134">
        <v>45593</v>
      </c>
      <c r="B141" s="135" t="s">
        <v>645</v>
      </c>
      <c r="C141" s="136" t="s">
        <v>501</v>
      </c>
      <c r="D141" s="136" t="s">
        <v>486</v>
      </c>
      <c r="E141" s="136" t="s">
        <v>333</v>
      </c>
      <c r="F141" s="136" t="s">
        <v>510</v>
      </c>
      <c r="G141" s="136">
        <v>49</v>
      </c>
      <c r="H141" s="137">
        <v>41</v>
      </c>
      <c r="I141" s="138">
        <f t="shared" si="2"/>
        <v>2009</v>
      </c>
      <c r="J141" s="139" t="s">
        <v>472</v>
      </c>
      <c r="K141" s="140">
        <v>58.261000000000003</v>
      </c>
      <c r="L141">
        <f>Table13[[#This Row],[Price]]*Table13[[#This Row],[Units]]</f>
        <v>2009</v>
      </c>
    </row>
    <row r="142" spans="1:12" x14ac:dyDescent="0.35">
      <c r="A142" s="134">
        <v>45594</v>
      </c>
      <c r="B142" s="135" t="s">
        <v>646</v>
      </c>
      <c r="C142" s="136" t="s">
        <v>494</v>
      </c>
      <c r="D142" s="136" t="s">
        <v>512</v>
      </c>
      <c r="E142" s="136" t="s">
        <v>333</v>
      </c>
      <c r="F142" s="136" t="s">
        <v>478</v>
      </c>
      <c r="G142" s="136">
        <v>35</v>
      </c>
      <c r="H142" s="137">
        <v>55</v>
      </c>
      <c r="I142" s="138">
        <f t="shared" si="2"/>
        <v>1925</v>
      </c>
      <c r="J142" s="139" t="s">
        <v>472</v>
      </c>
      <c r="K142" s="140">
        <v>46.2</v>
      </c>
      <c r="L142">
        <f>Table13[[#This Row],[Price]]*Table13[[#This Row],[Units]]</f>
        <v>1925</v>
      </c>
    </row>
    <row r="143" spans="1:12" x14ac:dyDescent="0.35">
      <c r="A143" s="134">
        <v>45594</v>
      </c>
      <c r="B143" s="135" t="s">
        <v>647</v>
      </c>
      <c r="C143" s="136" t="s">
        <v>476</v>
      </c>
      <c r="D143" s="136" t="s">
        <v>470</v>
      </c>
      <c r="E143" s="136" t="s">
        <v>315</v>
      </c>
      <c r="F143" s="136" t="s">
        <v>539</v>
      </c>
      <c r="G143" s="136">
        <v>43</v>
      </c>
      <c r="H143" s="137">
        <v>37</v>
      </c>
      <c r="I143" s="138">
        <f t="shared" si="2"/>
        <v>1591</v>
      </c>
      <c r="J143" s="139" t="s">
        <v>466</v>
      </c>
      <c r="K143" s="140">
        <v>31.82</v>
      </c>
      <c r="L143">
        <f>Table13[[#This Row],[Price]]*Table13[[#This Row],[Units]]</f>
        <v>1591</v>
      </c>
    </row>
    <row r="144" spans="1:12" x14ac:dyDescent="0.35">
      <c r="A144" s="134">
        <v>45594</v>
      </c>
      <c r="B144" s="135" t="s">
        <v>648</v>
      </c>
      <c r="C144" s="136" t="s">
        <v>494</v>
      </c>
      <c r="D144" s="136" t="s">
        <v>470</v>
      </c>
      <c r="E144" s="136" t="s">
        <v>324</v>
      </c>
      <c r="F144" s="136" t="s">
        <v>471</v>
      </c>
      <c r="G144" s="136">
        <v>42</v>
      </c>
      <c r="H144" s="137">
        <v>22</v>
      </c>
      <c r="I144" s="138">
        <f t="shared" si="2"/>
        <v>924</v>
      </c>
      <c r="J144" s="139" t="s">
        <v>466</v>
      </c>
      <c r="K144" s="140">
        <v>19.404</v>
      </c>
      <c r="L144">
        <f>Table13[[#This Row],[Price]]*Table13[[#This Row],[Units]]</f>
        <v>924</v>
      </c>
    </row>
    <row r="145" spans="1:12" x14ac:dyDescent="0.35">
      <c r="A145" s="134">
        <v>45594</v>
      </c>
      <c r="B145" s="135" t="s">
        <v>649</v>
      </c>
      <c r="C145" s="136" t="s">
        <v>322</v>
      </c>
      <c r="D145" s="136" t="s">
        <v>490</v>
      </c>
      <c r="E145" s="136" t="s">
        <v>320</v>
      </c>
      <c r="F145" s="136" t="s">
        <v>471</v>
      </c>
      <c r="G145" s="136">
        <v>24</v>
      </c>
      <c r="H145" s="137">
        <v>41</v>
      </c>
      <c r="I145" s="138">
        <f t="shared" si="2"/>
        <v>984</v>
      </c>
      <c r="J145" s="139" t="s">
        <v>466</v>
      </c>
      <c r="K145" s="140">
        <v>28.536000000000001</v>
      </c>
      <c r="L145">
        <f>Table13[[#This Row],[Price]]*Table13[[#This Row],[Units]]</f>
        <v>984</v>
      </c>
    </row>
    <row r="146" spans="1:12" x14ac:dyDescent="0.35">
      <c r="A146" s="134">
        <v>45594</v>
      </c>
      <c r="B146" s="135" t="s">
        <v>650</v>
      </c>
      <c r="C146" s="136" t="s">
        <v>494</v>
      </c>
      <c r="D146" s="136" t="s">
        <v>519</v>
      </c>
      <c r="E146" s="136" t="s">
        <v>315</v>
      </c>
      <c r="F146" s="136" t="s">
        <v>520</v>
      </c>
      <c r="G146" s="136">
        <v>33</v>
      </c>
      <c r="H146" s="137">
        <v>43</v>
      </c>
      <c r="I146" s="138">
        <f t="shared" si="2"/>
        <v>1419</v>
      </c>
      <c r="J146" s="139" t="s">
        <v>472</v>
      </c>
      <c r="K146" s="140">
        <v>38.313000000000002</v>
      </c>
      <c r="L146">
        <f>Table13[[#This Row],[Price]]*Table13[[#This Row],[Units]]</f>
        <v>1419</v>
      </c>
    </row>
    <row r="147" spans="1:12" x14ac:dyDescent="0.35">
      <c r="A147" s="134">
        <v>45595</v>
      </c>
      <c r="B147" s="135" t="s">
        <v>651</v>
      </c>
      <c r="C147" s="136" t="s">
        <v>501</v>
      </c>
      <c r="D147" s="136" t="s">
        <v>490</v>
      </c>
      <c r="E147" s="136" t="s">
        <v>412</v>
      </c>
      <c r="F147" s="136" t="s">
        <v>536</v>
      </c>
      <c r="G147" s="136">
        <v>16</v>
      </c>
      <c r="H147" s="137">
        <v>51</v>
      </c>
      <c r="I147" s="138">
        <f t="shared" si="2"/>
        <v>816</v>
      </c>
      <c r="J147" s="139" t="s">
        <v>466</v>
      </c>
      <c r="K147" s="140">
        <v>19.584</v>
      </c>
      <c r="L147">
        <f>Table13[[#This Row],[Price]]*Table13[[#This Row],[Units]]</f>
        <v>816</v>
      </c>
    </row>
    <row r="148" spans="1:12" x14ac:dyDescent="0.35">
      <c r="A148" s="134">
        <v>45595</v>
      </c>
      <c r="B148" s="135" t="s">
        <v>652</v>
      </c>
      <c r="C148" s="136" t="s">
        <v>322</v>
      </c>
      <c r="D148" s="136" t="s">
        <v>486</v>
      </c>
      <c r="E148" s="136" t="s">
        <v>483</v>
      </c>
      <c r="F148" s="136" t="s">
        <v>500</v>
      </c>
      <c r="G148" s="136">
        <v>23</v>
      </c>
      <c r="H148" s="137">
        <v>41</v>
      </c>
      <c r="I148" s="138">
        <f t="shared" si="2"/>
        <v>943</v>
      </c>
      <c r="J148" s="139" t="s">
        <v>466</v>
      </c>
      <c r="K148" s="140">
        <v>28.29</v>
      </c>
      <c r="L148">
        <f>Table13[[#This Row],[Price]]*Table13[[#This Row],[Units]]</f>
        <v>943</v>
      </c>
    </row>
    <row r="149" spans="1:12" x14ac:dyDescent="0.35">
      <c r="A149" s="134">
        <v>45595</v>
      </c>
      <c r="B149" s="135" t="s">
        <v>653</v>
      </c>
      <c r="C149" s="136" t="s">
        <v>322</v>
      </c>
      <c r="D149" s="136" t="s">
        <v>512</v>
      </c>
      <c r="E149" s="136" t="s">
        <v>483</v>
      </c>
      <c r="F149" s="136" t="s">
        <v>497</v>
      </c>
      <c r="G149" s="136">
        <v>36</v>
      </c>
      <c r="H149" s="137">
        <v>26</v>
      </c>
      <c r="I149" s="138">
        <f t="shared" si="2"/>
        <v>936</v>
      </c>
      <c r="J149" s="139" t="s">
        <v>472</v>
      </c>
      <c r="K149" s="140">
        <v>21.527999999999999</v>
      </c>
      <c r="L149">
        <f>Table13[[#This Row],[Price]]*Table13[[#This Row],[Units]]</f>
        <v>936</v>
      </c>
    </row>
    <row r="150" spans="1:12" x14ac:dyDescent="0.35">
      <c r="A150" s="134">
        <v>45595</v>
      </c>
      <c r="B150" s="135" t="s">
        <v>654</v>
      </c>
      <c r="C150" s="136" t="s">
        <v>501</v>
      </c>
      <c r="D150" s="136" t="s">
        <v>486</v>
      </c>
      <c r="E150" s="136" t="s">
        <v>483</v>
      </c>
      <c r="F150" s="136" t="s">
        <v>497</v>
      </c>
      <c r="G150" s="136">
        <v>22</v>
      </c>
      <c r="H150" s="137">
        <v>35</v>
      </c>
      <c r="I150" s="138">
        <f t="shared" si="2"/>
        <v>770</v>
      </c>
      <c r="J150" s="139" t="s">
        <v>466</v>
      </c>
      <c r="K150" s="140">
        <v>19.25</v>
      </c>
      <c r="L150">
        <f>Table13[[#This Row],[Price]]*Table13[[#This Row],[Units]]</f>
        <v>770</v>
      </c>
    </row>
    <row r="151" spans="1:12" x14ac:dyDescent="0.35">
      <c r="A151" s="134">
        <v>45595</v>
      </c>
      <c r="B151" s="135" t="s">
        <v>655</v>
      </c>
      <c r="C151" s="136" t="s">
        <v>494</v>
      </c>
      <c r="D151" s="136" t="s">
        <v>486</v>
      </c>
      <c r="E151" s="136" t="s">
        <v>324</v>
      </c>
      <c r="F151" s="136" t="s">
        <v>536</v>
      </c>
      <c r="G151" s="136">
        <v>42</v>
      </c>
      <c r="H151" s="137">
        <v>54</v>
      </c>
      <c r="I151" s="138">
        <f t="shared" si="2"/>
        <v>2268</v>
      </c>
      <c r="J151" s="139" t="s">
        <v>466</v>
      </c>
      <c r="K151" s="140">
        <v>61.235999999999997</v>
      </c>
      <c r="L151">
        <f>Table13[[#This Row],[Price]]*Table13[[#This Row],[Units]]</f>
        <v>2268</v>
      </c>
    </row>
    <row r="152" spans="1:12" x14ac:dyDescent="0.35">
      <c r="A152" s="134">
        <v>45595</v>
      </c>
      <c r="B152" s="135" t="s">
        <v>656</v>
      </c>
      <c r="C152" s="136" t="s">
        <v>501</v>
      </c>
      <c r="D152" s="136" t="s">
        <v>512</v>
      </c>
      <c r="E152" s="136" t="s">
        <v>324</v>
      </c>
      <c r="F152" s="136" t="s">
        <v>505</v>
      </c>
      <c r="G152" s="136">
        <v>52</v>
      </c>
      <c r="H152" s="137">
        <v>40</v>
      </c>
      <c r="I152" s="138">
        <f t="shared" si="2"/>
        <v>2080</v>
      </c>
      <c r="J152" s="139" t="s">
        <v>466</v>
      </c>
      <c r="K152" s="140">
        <v>49.92</v>
      </c>
      <c r="L152">
        <f>Table13[[#This Row],[Price]]*Table13[[#This Row],[Units]]</f>
        <v>2080</v>
      </c>
    </row>
    <row r="153" spans="1:12" x14ac:dyDescent="0.35">
      <c r="A153" s="134">
        <v>45595</v>
      </c>
      <c r="B153" s="135" t="s">
        <v>657</v>
      </c>
      <c r="C153" s="136" t="s">
        <v>469</v>
      </c>
      <c r="D153" s="136" t="s">
        <v>477</v>
      </c>
      <c r="E153" s="136" t="s">
        <v>483</v>
      </c>
      <c r="F153" s="136" t="s">
        <v>520</v>
      </c>
      <c r="G153" s="136">
        <v>17</v>
      </c>
      <c r="H153" s="137">
        <v>24</v>
      </c>
      <c r="I153" s="138">
        <f t="shared" si="2"/>
        <v>408</v>
      </c>
      <c r="J153" s="139" t="s">
        <v>466</v>
      </c>
      <c r="K153" s="140">
        <v>9.7919999999999998</v>
      </c>
      <c r="L153">
        <f>Table13[[#This Row],[Price]]*Table13[[#This Row],[Units]]</f>
        <v>408</v>
      </c>
    </row>
    <row r="154" spans="1:12" x14ac:dyDescent="0.35">
      <c r="A154" s="134">
        <v>45595</v>
      </c>
      <c r="B154" s="135" t="s">
        <v>658</v>
      </c>
      <c r="C154" s="136" t="s">
        <v>492</v>
      </c>
      <c r="D154" s="136" t="s">
        <v>519</v>
      </c>
      <c r="E154" s="136" t="s">
        <v>320</v>
      </c>
      <c r="F154" s="136" t="s">
        <v>491</v>
      </c>
      <c r="G154" s="136">
        <v>37</v>
      </c>
      <c r="H154" s="137">
        <v>60</v>
      </c>
      <c r="I154" s="138">
        <f t="shared" si="2"/>
        <v>2220</v>
      </c>
      <c r="J154" s="139" t="s">
        <v>472</v>
      </c>
      <c r="K154" s="140">
        <v>62.16</v>
      </c>
      <c r="L154">
        <f>Table13[[#This Row],[Price]]*Table13[[#This Row],[Units]]</f>
        <v>2220</v>
      </c>
    </row>
    <row r="155" spans="1:12" x14ac:dyDescent="0.35">
      <c r="A155" s="134">
        <v>45595</v>
      </c>
      <c r="B155" s="135" t="s">
        <v>659</v>
      </c>
      <c r="C155" s="136" t="s">
        <v>484</v>
      </c>
      <c r="D155" s="136" t="s">
        <v>490</v>
      </c>
      <c r="E155" s="136" t="s">
        <v>333</v>
      </c>
      <c r="F155" s="136" t="s">
        <v>487</v>
      </c>
      <c r="G155" s="136">
        <v>52</v>
      </c>
      <c r="H155" s="137">
        <v>20</v>
      </c>
      <c r="I155" s="138">
        <f t="shared" si="2"/>
        <v>1040</v>
      </c>
      <c r="J155" s="139" t="s">
        <v>466</v>
      </c>
      <c r="K155" s="140">
        <v>31.2</v>
      </c>
      <c r="L155">
        <f>Table13[[#This Row],[Price]]*Table13[[#This Row],[Units]]</f>
        <v>1040</v>
      </c>
    </row>
    <row r="156" spans="1:12" x14ac:dyDescent="0.35">
      <c r="A156" s="134">
        <v>45595</v>
      </c>
      <c r="B156" s="135" t="s">
        <v>660</v>
      </c>
      <c r="C156" s="136" t="s">
        <v>489</v>
      </c>
      <c r="D156" s="136" t="s">
        <v>486</v>
      </c>
      <c r="E156" s="136" t="s">
        <v>320</v>
      </c>
      <c r="F156" s="136" t="s">
        <v>497</v>
      </c>
      <c r="G156" s="136">
        <v>18</v>
      </c>
      <c r="H156" s="137">
        <v>39</v>
      </c>
      <c r="I156" s="138">
        <f t="shared" si="2"/>
        <v>702</v>
      </c>
      <c r="J156" s="139" t="s">
        <v>472</v>
      </c>
      <c r="K156" s="140">
        <v>15.444000000000001</v>
      </c>
      <c r="L156">
        <f>Table13[[#This Row],[Price]]*Table13[[#This Row],[Units]]</f>
        <v>702</v>
      </c>
    </row>
    <row r="157" spans="1:12" x14ac:dyDescent="0.35">
      <c r="A157" s="134">
        <v>45595</v>
      </c>
      <c r="B157" s="135" t="s">
        <v>661</v>
      </c>
      <c r="C157" s="136" t="s">
        <v>494</v>
      </c>
      <c r="D157" s="136" t="s">
        <v>477</v>
      </c>
      <c r="E157" s="136" t="s">
        <v>333</v>
      </c>
      <c r="F157" s="136" t="s">
        <v>510</v>
      </c>
      <c r="G157" s="136">
        <v>34</v>
      </c>
      <c r="H157" s="137">
        <v>38</v>
      </c>
      <c r="I157" s="138">
        <f t="shared" si="2"/>
        <v>1292</v>
      </c>
      <c r="J157" s="139" t="s">
        <v>515</v>
      </c>
      <c r="K157" s="140">
        <v>36.176000000000002</v>
      </c>
      <c r="L157">
        <f>Table13[[#This Row],[Price]]*Table13[[#This Row],[Units]]</f>
        <v>1292</v>
      </c>
    </row>
    <row r="158" spans="1:12" x14ac:dyDescent="0.35">
      <c r="A158" s="134">
        <v>45595</v>
      </c>
      <c r="B158" s="135" t="s">
        <v>662</v>
      </c>
      <c r="C158" s="136" t="s">
        <v>322</v>
      </c>
      <c r="D158" s="136" t="s">
        <v>470</v>
      </c>
      <c r="E158" s="136" t="s">
        <v>390</v>
      </c>
      <c r="F158" s="136" t="s">
        <v>567</v>
      </c>
      <c r="G158" s="136">
        <v>11</v>
      </c>
      <c r="H158" s="137">
        <v>26</v>
      </c>
      <c r="I158" s="138">
        <f t="shared" si="2"/>
        <v>286</v>
      </c>
      <c r="J158" s="139" t="s">
        <v>466</v>
      </c>
      <c r="K158" s="140">
        <v>8.0079999999999991</v>
      </c>
      <c r="L158">
        <f>Table13[[#This Row],[Price]]*Table13[[#This Row],[Units]]</f>
        <v>286</v>
      </c>
    </row>
    <row r="159" spans="1:12" x14ac:dyDescent="0.35">
      <c r="A159" s="134">
        <v>45595</v>
      </c>
      <c r="B159" s="135" t="s">
        <v>663</v>
      </c>
      <c r="C159" s="136" t="s">
        <v>494</v>
      </c>
      <c r="D159" s="136" t="s">
        <v>470</v>
      </c>
      <c r="E159" s="136" t="s">
        <v>390</v>
      </c>
      <c r="F159" s="136" t="s">
        <v>520</v>
      </c>
      <c r="G159" s="136">
        <v>24</v>
      </c>
      <c r="H159" s="137">
        <v>20</v>
      </c>
      <c r="I159" s="138">
        <f t="shared" si="2"/>
        <v>480</v>
      </c>
      <c r="J159" s="139" t="s">
        <v>466</v>
      </c>
      <c r="K159" s="140">
        <v>12</v>
      </c>
      <c r="L159">
        <f>Table13[[#This Row],[Price]]*Table13[[#This Row],[Units]]</f>
        <v>480</v>
      </c>
    </row>
    <row r="160" spans="1:12" x14ac:dyDescent="0.35">
      <c r="A160" s="134">
        <v>45595</v>
      </c>
      <c r="B160" s="135" t="s">
        <v>664</v>
      </c>
      <c r="C160" s="136" t="s">
        <v>492</v>
      </c>
      <c r="D160" s="136" t="s">
        <v>490</v>
      </c>
      <c r="E160" s="136" t="s">
        <v>324</v>
      </c>
      <c r="F160" s="136" t="s">
        <v>454</v>
      </c>
      <c r="G160" s="136">
        <v>57</v>
      </c>
      <c r="H160" s="137">
        <v>41</v>
      </c>
      <c r="I160" s="138">
        <f t="shared" si="2"/>
        <v>2337</v>
      </c>
      <c r="J160" s="139" t="s">
        <v>515</v>
      </c>
      <c r="K160" s="140">
        <v>58.424999999999997</v>
      </c>
      <c r="L160">
        <f>Table13[[#This Row],[Price]]*Table13[[#This Row],[Units]]</f>
        <v>2337</v>
      </c>
    </row>
    <row r="161" spans="1:12" x14ac:dyDescent="0.35">
      <c r="A161" s="134">
        <v>45595</v>
      </c>
      <c r="B161" s="135" t="s">
        <v>665</v>
      </c>
      <c r="C161" s="136" t="s">
        <v>492</v>
      </c>
      <c r="D161" s="136" t="s">
        <v>477</v>
      </c>
      <c r="E161" s="136" t="s">
        <v>324</v>
      </c>
      <c r="F161" s="136" t="s">
        <v>513</v>
      </c>
      <c r="G161" s="136">
        <v>47</v>
      </c>
      <c r="H161" s="137">
        <v>58</v>
      </c>
      <c r="I161" s="138">
        <f t="shared" si="2"/>
        <v>2726</v>
      </c>
      <c r="J161" s="139" t="s">
        <v>466</v>
      </c>
      <c r="K161" s="140">
        <v>81.78</v>
      </c>
      <c r="L161">
        <f>Table13[[#This Row],[Price]]*Table13[[#This Row],[Units]]</f>
        <v>2726</v>
      </c>
    </row>
    <row r="162" spans="1:12" x14ac:dyDescent="0.35">
      <c r="A162" s="134">
        <v>45595</v>
      </c>
      <c r="B162" s="135" t="s">
        <v>666</v>
      </c>
      <c r="C162" s="136" t="s">
        <v>489</v>
      </c>
      <c r="D162" s="136" t="s">
        <v>465</v>
      </c>
      <c r="E162" s="136" t="s">
        <v>412</v>
      </c>
      <c r="F162" s="136" t="s">
        <v>505</v>
      </c>
      <c r="G162" s="136">
        <v>28</v>
      </c>
      <c r="H162" s="137">
        <v>45</v>
      </c>
      <c r="I162" s="138">
        <f t="shared" si="2"/>
        <v>1260</v>
      </c>
      <c r="J162" s="139" t="s">
        <v>466</v>
      </c>
      <c r="K162" s="140">
        <v>32.76</v>
      </c>
      <c r="L162">
        <f>Table13[[#This Row],[Price]]*Table13[[#This Row],[Units]]</f>
        <v>1260</v>
      </c>
    </row>
    <row r="163" spans="1:12" x14ac:dyDescent="0.35">
      <c r="A163" s="134">
        <v>45595</v>
      </c>
      <c r="B163" s="135" t="s">
        <v>667</v>
      </c>
      <c r="C163" s="136" t="s">
        <v>494</v>
      </c>
      <c r="D163" s="136" t="s">
        <v>486</v>
      </c>
      <c r="E163" s="136" t="s">
        <v>333</v>
      </c>
      <c r="F163" s="136" t="s">
        <v>520</v>
      </c>
      <c r="G163" s="136">
        <v>35</v>
      </c>
      <c r="H163" s="137">
        <v>36</v>
      </c>
      <c r="I163" s="138">
        <f t="shared" si="2"/>
        <v>1260</v>
      </c>
      <c r="J163" s="139" t="s">
        <v>466</v>
      </c>
      <c r="K163" s="140">
        <v>31.5</v>
      </c>
      <c r="L163">
        <f>Table13[[#This Row],[Price]]*Table13[[#This Row],[Units]]</f>
        <v>1260</v>
      </c>
    </row>
    <row r="164" spans="1:12" x14ac:dyDescent="0.35">
      <c r="A164" s="134">
        <v>45595</v>
      </c>
      <c r="B164" s="135" t="s">
        <v>668</v>
      </c>
      <c r="C164" s="136" t="s">
        <v>501</v>
      </c>
      <c r="D164" s="136" t="s">
        <v>477</v>
      </c>
      <c r="E164" s="136" t="s">
        <v>324</v>
      </c>
      <c r="F164" s="136" t="s">
        <v>491</v>
      </c>
      <c r="G164" s="136">
        <v>34</v>
      </c>
      <c r="H164" s="137">
        <v>30</v>
      </c>
      <c r="I164" s="138">
        <f t="shared" si="2"/>
        <v>1020</v>
      </c>
      <c r="J164" s="139" t="s">
        <v>515</v>
      </c>
      <c r="K164" s="140">
        <v>25.5</v>
      </c>
      <c r="L164">
        <f>Table13[[#This Row],[Price]]*Table13[[#This Row],[Units]]</f>
        <v>1020</v>
      </c>
    </row>
    <row r="165" spans="1:12" x14ac:dyDescent="0.35">
      <c r="A165" s="134">
        <v>45595</v>
      </c>
      <c r="B165" s="135" t="s">
        <v>669</v>
      </c>
      <c r="C165" s="136" t="s">
        <v>322</v>
      </c>
      <c r="D165" s="136" t="s">
        <v>470</v>
      </c>
      <c r="E165" s="136" t="s">
        <v>320</v>
      </c>
      <c r="F165" s="136" t="s">
        <v>567</v>
      </c>
      <c r="G165" s="136">
        <v>41</v>
      </c>
      <c r="H165" s="137">
        <v>39</v>
      </c>
      <c r="I165" s="138">
        <f t="shared" si="2"/>
        <v>1599</v>
      </c>
      <c r="J165" s="139" t="s">
        <v>466</v>
      </c>
      <c r="K165" s="140">
        <v>33.579000000000001</v>
      </c>
      <c r="L165">
        <f>Table13[[#This Row],[Price]]*Table13[[#This Row],[Units]]</f>
        <v>1599</v>
      </c>
    </row>
    <row r="166" spans="1:12" x14ac:dyDescent="0.35">
      <c r="A166" s="134">
        <v>45595</v>
      </c>
      <c r="B166" s="135" t="s">
        <v>670</v>
      </c>
      <c r="C166" s="136" t="s">
        <v>476</v>
      </c>
      <c r="D166" s="136" t="s">
        <v>465</v>
      </c>
      <c r="E166" s="136" t="s">
        <v>483</v>
      </c>
      <c r="F166" s="136" t="s">
        <v>500</v>
      </c>
      <c r="G166" s="136">
        <v>26</v>
      </c>
      <c r="H166" s="137">
        <v>31</v>
      </c>
      <c r="I166" s="138">
        <f t="shared" si="2"/>
        <v>806</v>
      </c>
      <c r="J166" s="139" t="s">
        <v>472</v>
      </c>
      <c r="K166" s="140">
        <v>24.18</v>
      </c>
      <c r="L166">
        <f>Table13[[#This Row],[Price]]*Table13[[#This Row],[Units]]</f>
        <v>806</v>
      </c>
    </row>
    <row r="167" spans="1:12" x14ac:dyDescent="0.35">
      <c r="A167" s="134">
        <v>45596</v>
      </c>
      <c r="B167" s="135" t="s">
        <v>671</v>
      </c>
      <c r="C167" s="136" t="s">
        <v>494</v>
      </c>
      <c r="D167" s="136" t="s">
        <v>490</v>
      </c>
      <c r="E167" s="136" t="s">
        <v>333</v>
      </c>
      <c r="F167" s="136" t="s">
        <v>454</v>
      </c>
      <c r="G167" s="136">
        <v>30</v>
      </c>
      <c r="H167" s="137">
        <v>35</v>
      </c>
      <c r="I167" s="138">
        <f t="shared" si="2"/>
        <v>1050</v>
      </c>
      <c r="J167" s="139" t="s">
        <v>466</v>
      </c>
      <c r="K167" s="140">
        <v>26.25</v>
      </c>
      <c r="L167">
        <f>Table13[[#This Row],[Price]]*Table13[[#This Row],[Units]]</f>
        <v>1050</v>
      </c>
    </row>
    <row r="168" spans="1:12" x14ac:dyDescent="0.35">
      <c r="A168" s="134">
        <v>45597</v>
      </c>
      <c r="B168" s="135" t="s">
        <v>672</v>
      </c>
      <c r="C168" s="136" t="s">
        <v>322</v>
      </c>
      <c r="D168" s="136" t="s">
        <v>519</v>
      </c>
      <c r="E168" s="136" t="s">
        <v>320</v>
      </c>
      <c r="F168" s="136" t="s">
        <v>520</v>
      </c>
      <c r="G168" s="136">
        <v>43</v>
      </c>
      <c r="H168" s="137">
        <v>43</v>
      </c>
      <c r="I168" s="138">
        <f t="shared" si="2"/>
        <v>1849</v>
      </c>
      <c r="J168" s="139" t="s">
        <v>472</v>
      </c>
      <c r="K168" s="140">
        <v>38.829000000000001</v>
      </c>
      <c r="L168">
        <f>Table13[[#This Row],[Price]]*Table13[[#This Row],[Units]]</f>
        <v>1849</v>
      </c>
    </row>
    <row r="169" spans="1:12" x14ac:dyDescent="0.35">
      <c r="A169" s="134">
        <v>45597</v>
      </c>
      <c r="B169" s="135" t="s">
        <v>673</v>
      </c>
      <c r="C169" s="136" t="s">
        <v>322</v>
      </c>
      <c r="D169" s="136" t="s">
        <v>470</v>
      </c>
      <c r="E169" s="136" t="s">
        <v>333</v>
      </c>
      <c r="F169" s="136" t="s">
        <v>523</v>
      </c>
      <c r="G169" s="136">
        <v>14</v>
      </c>
      <c r="H169" s="137">
        <v>42</v>
      </c>
      <c r="I169" s="138">
        <f t="shared" si="2"/>
        <v>588</v>
      </c>
      <c r="J169" s="139" t="s">
        <v>466</v>
      </c>
      <c r="K169" s="140">
        <v>11.76</v>
      </c>
      <c r="L169">
        <f>Table13[[#This Row],[Price]]*Table13[[#This Row],[Units]]</f>
        <v>588</v>
      </c>
    </row>
    <row r="170" spans="1:12" x14ac:dyDescent="0.35">
      <c r="A170" s="134">
        <v>45597</v>
      </c>
      <c r="B170" s="135" t="s">
        <v>674</v>
      </c>
      <c r="C170" s="136" t="s">
        <v>484</v>
      </c>
      <c r="D170" s="136" t="s">
        <v>470</v>
      </c>
      <c r="E170" s="136" t="s">
        <v>315</v>
      </c>
      <c r="F170" s="136" t="s">
        <v>454</v>
      </c>
      <c r="G170" s="136">
        <v>15</v>
      </c>
      <c r="H170" s="137">
        <v>24</v>
      </c>
      <c r="I170" s="138">
        <f t="shared" si="2"/>
        <v>360</v>
      </c>
      <c r="J170" s="139" t="s">
        <v>472</v>
      </c>
      <c r="K170" s="140">
        <v>9</v>
      </c>
      <c r="L170">
        <f>Table13[[#This Row],[Price]]*Table13[[#This Row],[Units]]</f>
        <v>360</v>
      </c>
    </row>
    <row r="171" spans="1:12" x14ac:dyDescent="0.35">
      <c r="A171" s="134">
        <v>45597</v>
      </c>
      <c r="B171" s="135" t="s">
        <v>675</v>
      </c>
      <c r="C171" s="136" t="s">
        <v>322</v>
      </c>
      <c r="D171" s="136" t="s">
        <v>477</v>
      </c>
      <c r="E171" s="136" t="s">
        <v>320</v>
      </c>
      <c r="F171" s="136" t="s">
        <v>500</v>
      </c>
      <c r="G171" s="136">
        <v>54</v>
      </c>
      <c r="H171" s="137">
        <v>54</v>
      </c>
      <c r="I171" s="138">
        <f t="shared" si="2"/>
        <v>2916</v>
      </c>
      <c r="J171" s="139" t="s">
        <v>472</v>
      </c>
      <c r="K171" s="140">
        <v>87.48</v>
      </c>
      <c r="L171">
        <f>Table13[[#This Row],[Price]]*Table13[[#This Row],[Units]]</f>
        <v>2916</v>
      </c>
    </row>
    <row r="172" spans="1:12" x14ac:dyDescent="0.35">
      <c r="A172" s="134">
        <v>45598</v>
      </c>
      <c r="B172" s="135" t="s">
        <v>676</v>
      </c>
      <c r="C172" s="136" t="s">
        <v>494</v>
      </c>
      <c r="D172" s="136" t="s">
        <v>512</v>
      </c>
      <c r="E172" s="136" t="s">
        <v>320</v>
      </c>
      <c r="F172" s="136" t="s">
        <v>478</v>
      </c>
      <c r="G172" s="136">
        <v>38</v>
      </c>
      <c r="H172" s="137">
        <v>39</v>
      </c>
      <c r="I172" s="138">
        <f t="shared" si="2"/>
        <v>1482</v>
      </c>
      <c r="J172" s="139" t="s">
        <v>515</v>
      </c>
      <c r="K172" s="140">
        <v>41.496000000000002</v>
      </c>
      <c r="L172">
        <f>Table13[[#This Row],[Price]]*Table13[[#This Row],[Units]]</f>
        <v>1482</v>
      </c>
    </row>
    <row r="173" spans="1:12" x14ac:dyDescent="0.35">
      <c r="A173" s="134">
        <v>45599</v>
      </c>
      <c r="B173" s="135" t="s">
        <v>677</v>
      </c>
      <c r="C173" s="136" t="s">
        <v>501</v>
      </c>
      <c r="D173" s="136" t="s">
        <v>465</v>
      </c>
      <c r="E173" s="136" t="s">
        <v>315</v>
      </c>
      <c r="F173" s="136" t="s">
        <v>505</v>
      </c>
      <c r="G173" s="136">
        <v>47</v>
      </c>
      <c r="H173" s="137">
        <v>25</v>
      </c>
      <c r="I173" s="138">
        <f t="shared" si="2"/>
        <v>1175</v>
      </c>
      <c r="J173" s="139" t="s">
        <v>466</v>
      </c>
      <c r="K173" s="140">
        <v>35.25</v>
      </c>
      <c r="L173">
        <f>Table13[[#This Row],[Price]]*Table13[[#This Row],[Units]]</f>
        <v>1175</v>
      </c>
    </row>
    <row r="174" spans="1:12" x14ac:dyDescent="0.35">
      <c r="A174" s="134">
        <v>45599</v>
      </c>
      <c r="B174" s="135" t="s">
        <v>678</v>
      </c>
      <c r="C174" s="136" t="s">
        <v>464</v>
      </c>
      <c r="D174" s="136" t="s">
        <v>477</v>
      </c>
      <c r="E174" s="136" t="s">
        <v>315</v>
      </c>
      <c r="F174" s="136" t="s">
        <v>517</v>
      </c>
      <c r="G174" s="136">
        <v>44</v>
      </c>
      <c r="H174" s="137">
        <v>29</v>
      </c>
      <c r="I174" s="138">
        <f t="shared" si="2"/>
        <v>1276</v>
      </c>
      <c r="J174" s="139" t="s">
        <v>503</v>
      </c>
      <c r="K174" s="140">
        <v>25.52</v>
      </c>
      <c r="L174">
        <f>Table13[[#This Row],[Price]]*Table13[[#This Row],[Units]]</f>
        <v>1276</v>
      </c>
    </row>
    <row r="175" spans="1:12" x14ac:dyDescent="0.35">
      <c r="A175" s="134">
        <v>45599</v>
      </c>
      <c r="B175" s="135" t="s">
        <v>679</v>
      </c>
      <c r="C175" s="136" t="s">
        <v>469</v>
      </c>
      <c r="D175" s="136" t="s">
        <v>490</v>
      </c>
      <c r="E175" s="136" t="s">
        <v>324</v>
      </c>
      <c r="F175" s="136" t="s">
        <v>478</v>
      </c>
      <c r="G175" s="136">
        <v>31</v>
      </c>
      <c r="H175" s="137">
        <v>45</v>
      </c>
      <c r="I175" s="138">
        <f t="shared" si="2"/>
        <v>1395</v>
      </c>
      <c r="J175" s="139" t="s">
        <v>515</v>
      </c>
      <c r="K175" s="140">
        <v>40.454999999999998</v>
      </c>
      <c r="L175">
        <f>Table13[[#This Row],[Price]]*Table13[[#This Row],[Units]]</f>
        <v>1395</v>
      </c>
    </row>
    <row r="176" spans="1:12" x14ac:dyDescent="0.35">
      <c r="A176" s="134">
        <v>45599</v>
      </c>
      <c r="B176" s="135" t="s">
        <v>680</v>
      </c>
      <c r="C176" s="136" t="s">
        <v>464</v>
      </c>
      <c r="D176" s="136" t="s">
        <v>477</v>
      </c>
      <c r="E176" s="136" t="s">
        <v>483</v>
      </c>
      <c r="F176" s="136" t="s">
        <v>517</v>
      </c>
      <c r="G176" s="136">
        <v>52</v>
      </c>
      <c r="H176" s="137">
        <v>55</v>
      </c>
      <c r="I176" s="138">
        <f t="shared" si="2"/>
        <v>2860</v>
      </c>
      <c r="J176" s="139" t="s">
        <v>515</v>
      </c>
      <c r="K176" s="140">
        <v>60.06</v>
      </c>
      <c r="L176">
        <f>Table13[[#This Row],[Price]]*Table13[[#This Row],[Units]]</f>
        <v>2860</v>
      </c>
    </row>
    <row r="177" spans="1:12" x14ac:dyDescent="0.35">
      <c r="A177" s="134">
        <v>45599</v>
      </c>
      <c r="B177" s="135" t="s">
        <v>681</v>
      </c>
      <c r="C177" s="136" t="s">
        <v>464</v>
      </c>
      <c r="D177" s="136" t="s">
        <v>519</v>
      </c>
      <c r="E177" s="136" t="s">
        <v>412</v>
      </c>
      <c r="F177" s="136" t="s">
        <v>478</v>
      </c>
      <c r="G177" s="136">
        <v>60</v>
      </c>
      <c r="H177" s="137">
        <v>26</v>
      </c>
      <c r="I177" s="138">
        <f t="shared" si="2"/>
        <v>1560</v>
      </c>
      <c r="J177" s="139" t="s">
        <v>466</v>
      </c>
      <c r="K177" s="140">
        <v>45.24</v>
      </c>
      <c r="L177">
        <f>Table13[[#This Row],[Price]]*Table13[[#This Row],[Units]]</f>
        <v>1560</v>
      </c>
    </row>
    <row r="178" spans="1:12" x14ac:dyDescent="0.35">
      <c r="A178" s="134">
        <v>45599</v>
      </c>
      <c r="B178" s="135" t="s">
        <v>682</v>
      </c>
      <c r="C178" s="136" t="s">
        <v>476</v>
      </c>
      <c r="D178" s="136" t="s">
        <v>519</v>
      </c>
      <c r="E178" s="136" t="s">
        <v>333</v>
      </c>
      <c r="F178" s="136" t="s">
        <v>528</v>
      </c>
      <c r="G178" s="136">
        <v>28</v>
      </c>
      <c r="H178" s="137">
        <v>35</v>
      </c>
      <c r="I178" s="138">
        <f t="shared" si="2"/>
        <v>980</v>
      </c>
      <c r="J178" s="139" t="s">
        <v>466</v>
      </c>
      <c r="K178" s="140">
        <v>26.46</v>
      </c>
      <c r="L178">
        <f>Table13[[#This Row],[Price]]*Table13[[#This Row],[Units]]</f>
        <v>980</v>
      </c>
    </row>
    <row r="179" spans="1:12" x14ac:dyDescent="0.35">
      <c r="A179" s="134">
        <v>45599</v>
      </c>
      <c r="B179" s="135" t="s">
        <v>683</v>
      </c>
      <c r="C179" s="136" t="s">
        <v>464</v>
      </c>
      <c r="D179" s="136" t="s">
        <v>490</v>
      </c>
      <c r="E179" s="136" t="s">
        <v>315</v>
      </c>
      <c r="F179" s="136" t="s">
        <v>523</v>
      </c>
      <c r="G179" s="136">
        <v>38</v>
      </c>
      <c r="H179" s="137">
        <v>29</v>
      </c>
      <c r="I179" s="138">
        <f t="shared" si="2"/>
        <v>1102</v>
      </c>
      <c r="J179" s="139" t="s">
        <v>472</v>
      </c>
      <c r="K179" s="140">
        <v>23.141999999999999</v>
      </c>
      <c r="L179">
        <f>Table13[[#This Row],[Price]]*Table13[[#This Row],[Units]]</f>
        <v>1102</v>
      </c>
    </row>
    <row r="180" spans="1:12" x14ac:dyDescent="0.35">
      <c r="A180" s="134">
        <v>45599</v>
      </c>
      <c r="B180" s="135" t="s">
        <v>684</v>
      </c>
      <c r="C180" s="136" t="s">
        <v>322</v>
      </c>
      <c r="D180" s="136" t="s">
        <v>470</v>
      </c>
      <c r="E180" s="136" t="s">
        <v>320</v>
      </c>
      <c r="F180" s="136" t="s">
        <v>505</v>
      </c>
      <c r="G180" s="136">
        <v>36</v>
      </c>
      <c r="H180" s="137">
        <v>50</v>
      </c>
      <c r="I180" s="138">
        <f t="shared" si="2"/>
        <v>1800</v>
      </c>
      <c r="J180" s="139" t="s">
        <v>466</v>
      </c>
      <c r="K180" s="140">
        <v>52.2</v>
      </c>
      <c r="L180">
        <f>Table13[[#This Row],[Price]]*Table13[[#This Row],[Units]]</f>
        <v>1800</v>
      </c>
    </row>
    <row r="181" spans="1:12" x14ac:dyDescent="0.35">
      <c r="A181" s="134">
        <v>45599</v>
      </c>
      <c r="B181" s="135" t="s">
        <v>685</v>
      </c>
      <c r="C181" s="136" t="s">
        <v>501</v>
      </c>
      <c r="D181" s="136" t="s">
        <v>477</v>
      </c>
      <c r="E181" s="136" t="s">
        <v>412</v>
      </c>
      <c r="F181" s="136" t="s">
        <v>536</v>
      </c>
      <c r="G181" s="136">
        <v>32</v>
      </c>
      <c r="H181" s="137">
        <v>58</v>
      </c>
      <c r="I181" s="138">
        <f t="shared" si="2"/>
        <v>1856</v>
      </c>
      <c r="J181" s="139" t="s">
        <v>515</v>
      </c>
      <c r="K181" s="140">
        <v>46.4</v>
      </c>
      <c r="L181">
        <f>Table13[[#This Row],[Price]]*Table13[[#This Row],[Units]]</f>
        <v>1856</v>
      </c>
    </row>
    <row r="182" spans="1:12" x14ac:dyDescent="0.35">
      <c r="A182" s="134">
        <v>45599</v>
      </c>
      <c r="B182" s="135" t="s">
        <v>686</v>
      </c>
      <c r="C182" s="136" t="s">
        <v>501</v>
      </c>
      <c r="D182" s="136" t="s">
        <v>470</v>
      </c>
      <c r="E182" s="136" t="s">
        <v>333</v>
      </c>
      <c r="F182" s="136" t="s">
        <v>510</v>
      </c>
      <c r="G182" s="136">
        <v>20</v>
      </c>
      <c r="H182" s="137">
        <v>55</v>
      </c>
      <c r="I182" s="138">
        <f t="shared" si="2"/>
        <v>1100</v>
      </c>
      <c r="J182" s="139" t="s">
        <v>466</v>
      </c>
      <c r="K182" s="140">
        <v>26.4</v>
      </c>
      <c r="L182">
        <f>Table13[[#This Row],[Price]]*Table13[[#This Row],[Units]]</f>
        <v>1100</v>
      </c>
    </row>
    <row r="183" spans="1:12" x14ac:dyDescent="0.35">
      <c r="A183" s="134">
        <v>45599</v>
      </c>
      <c r="B183" s="135" t="s">
        <v>687</v>
      </c>
      <c r="C183" s="136" t="s">
        <v>489</v>
      </c>
      <c r="D183" s="136" t="s">
        <v>490</v>
      </c>
      <c r="E183" s="136" t="s">
        <v>390</v>
      </c>
      <c r="F183" s="136" t="s">
        <v>520</v>
      </c>
      <c r="G183" s="136">
        <v>33</v>
      </c>
      <c r="H183" s="137">
        <v>45</v>
      </c>
      <c r="I183" s="138">
        <f t="shared" si="2"/>
        <v>1485</v>
      </c>
      <c r="J183" s="139" t="s">
        <v>466</v>
      </c>
      <c r="K183" s="140">
        <v>40.094999999999999</v>
      </c>
      <c r="L183">
        <f>Table13[[#This Row],[Price]]*Table13[[#This Row],[Units]]</f>
        <v>1485</v>
      </c>
    </row>
    <row r="184" spans="1:12" x14ac:dyDescent="0.35">
      <c r="A184" s="134">
        <v>45599</v>
      </c>
      <c r="B184" s="135" t="s">
        <v>688</v>
      </c>
      <c r="C184" s="136" t="s">
        <v>484</v>
      </c>
      <c r="D184" s="136" t="s">
        <v>519</v>
      </c>
      <c r="E184" s="136" t="s">
        <v>324</v>
      </c>
      <c r="F184" s="136" t="s">
        <v>513</v>
      </c>
      <c r="G184" s="136">
        <v>38</v>
      </c>
      <c r="H184" s="137">
        <v>35</v>
      </c>
      <c r="I184" s="138">
        <f t="shared" si="2"/>
        <v>1330</v>
      </c>
      <c r="J184" s="139" t="s">
        <v>466</v>
      </c>
      <c r="K184" s="140">
        <v>31.92</v>
      </c>
      <c r="L184">
        <f>Table13[[#This Row],[Price]]*Table13[[#This Row],[Units]]</f>
        <v>1330</v>
      </c>
    </row>
    <row r="185" spans="1:12" x14ac:dyDescent="0.35">
      <c r="A185" s="134">
        <v>45599</v>
      </c>
      <c r="B185" s="135" t="s">
        <v>689</v>
      </c>
      <c r="C185" s="136" t="s">
        <v>476</v>
      </c>
      <c r="D185" s="136" t="s">
        <v>465</v>
      </c>
      <c r="E185" s="136" t="s">
        <v>324</v>
      </c>
      <c r="F185" s="136" t="s">
        <v>510</v>
      </c>
      <c r="G185" s="136">
        <v>40</v>
      </c>
      <c r="H185" s="137">
        <v>46</v>
      </c>
      <c r="I185" s="138">
        <f t="shared" si="2"/>
        <v>1840</v>
      </c>
      <c r="J185" s="139" t="s">
        <v>466</v>
      </c>
      <c r="K185" s="140">
        <v>36.799999999999997</v>
      </c>
      <c r="L185">
        <f>Table13[[#This Row],[Price]]*Table13[[#This Row],[Units]]</f>
        <v>1840</v>
      </c>
    </row>
    <row r="186" spans="1:12" x14ac:dyDescent="0.35">
      <c r="A186" s="134">
        <v>45599</v>
      </c>
      <c r="B186" s="135" t="s">
        <v>690</v>
      </c>
      <c r="C186" s="136" t="s">
        <v>494</v>
      </c>
      <c r="D186" s="136" t="s">
        <v>486</v>
      </c>
      <c r="E186" s="136" t="s">
        <v>320</v>
      </c>
      <c r="F186" s="136" t="s">
        <v>471</v>
      </c>
      <c r="G186" s="136">
        <v>28</v>
      </c>
      <c r="H186" s="137">
        <v>21</v>
      </c>
      <c r="I186" s="138">
        <f t="shared" si="2"/>
        <v>588</v>
      </c>
      <c r="J186" s="139" t="s">
        <v>472</v>
      </c>
      <c r="K186" s="140">
        <v>15.288</v>
      </c>
      <c r="L186">
        <f>Table13[[#This Row],[Price]]*Table13[[#This Row],[Units]]</f>
        <v>588</v>
      </c>
    </row>
    <row r="187" spans="1:12" x14ac:dyDescent="0.35">
      <c r="A187" s="134">
        <v>45599</v>
      </c>
      <c r="B187" s="135" t="s">
        <v>691</v>
      </c>
      <c r="C187" s="136" t="s">
        <v>464</v>
      </c>
      <c r="D187" s="136" t="s">
        <v>519</v>
      </c>
      <c r="E187" s="136" t="s">
        <v>315</v>
      </c>
      <c r="F187" s="136" t="s">
        <v>513</v>
      </c>
      <c r="G187" s="136">
        <v>57</v>
      </c>
      <c r="H187" s="137">
        <v>48</v>
      </c>
      <c r="I187" s="138">
        <f t="shared" si="2"/>
        <v>2736</v>
      </c>
      <c r="J187" s="139" t="s">
        <v>472</v>
      </c>
      <c r="K187" s="140">
        <v>79.343999999999994</v>
      </c>
      <c r="L187">
        <f>Table13[[#This Row],[Price]]*Table13[[#This Row],[Units]]</f>
        <v>2736</v>
      </c>
    </row>
    <row r="188" spans="1:12" x14ac:dyDescent="0.35">
      <c r="A188" s="134">
        <v>45599</v>
      </c>
      <c r="B188" s="135" t="s">
        <v>692</v>
      </c>
      <c r="C188" s="136" t="s">
        <v>476</v>
      </c>
      <c r="D188" s="136" t="s">
        <v>512</v>
      </c>
      <c r="E188" s="136" t="s">
        <v>483</v>
      </c>
      <c r="F188" s="136" t="s">
        <v>478</v>
      </c>
      <c r="G188" s="136">
        <v>21</v>
      </c>
      <c r="H188" s="137">
        <v>28</v>
      </c>
      <c r="I188" s="138">
        <f t="shared" si="2"/>
        <v>588</v>
      </c>
      <c r="J188" s="139" t="s">
        <v>503</v>
      </c>
      <c r="K188" s="140">
        <v>11.76</v>
      </c>
      <c r="L188">
        <f>Table13[[#This Row],[Price]]*Table13[[#This Row],[Units]]</f>
        <v>588</v>
      </c>
    </row>
    <row r="189" spans="1:12" x14ac:dyDescent="0.35">
      <c r="A189" s="134">
        <v>45599</v>
      </c>
      <c r="B189" s="135" t="s">
        <v>693</v>
      </c>
      <c r="C189" s="136" t="s">
        <v>494</v>
      </c>
      <c r="D189" s="136" t="s">
        <v>470</v>
      </c>
      <c r="E189" s="136" t="s">
        <v>412</v>
      </c>
      <c r="F189" s="136" t="s">
        <v>505</v>
      </c>
      <c r="G189" s="136">
        <v>59</v>
      </c>
      <c r="H189" s="137">
        <v>21</v>
      </c>
      <c r="I189" s="138">
        <f t="shared" si="2"/>
        <v>1239</v>
      </c>
      <c r="J189" s="139" t="s">
        <v>472</v>
      </c>
      <c r="K189" s="140">
        <v>24.78</v>
      </c>
      <c r="L189">
        <f>Table13[[#This Row],[Price]]*Table13[[#This Row],[Units]]</f>
        <v>1239</v>
      </c>
    </row>
    <row r="190" spans="1:12" x14ac:dyDescent="0.35">
      <c r="A190" s="134">
        <v>45599</v>
      </c>
      <c r="B190" s="135" t="s">
        <v>694</v>
      </c>
      <c r="C190" s="136" t="s">
        <v>494</v>
      </c>
      <c r="D190" s="136" t="s">
        <v>470</v>
      </c>
      <c r="E190" s="136" t="s">
        <v>315</v>
      </c>
      <c r="F190" s="136" t="s">
        <v>478</v>
      </c>
      <c r="G190" s="136">
        <v>19</v>
      </c>
      <c r="H190" s="137">
        <v>25</v>
      </c>
      <c r="I190" s="138">
        <f t="shared" si="2"/>
        <v>475</v>
      </c>
      <c r="J190" s="139" t="s">
        <v>515</v>
      </c>
      <c r="K190" s="140">
        <v>14.25</v>
      </c>
      <c r="L190">
        <f>Table13[[#This Row],[Price]]*Table13[[#This Row],[Units]]</f>
        <v>475</v>
      </c>
    </row>
    <row r="191" spans="1:12" x14ac:dyDescent="0.35">
      <c r="A191" s="134">
        <v>45599</v>
      </c>
      <c r="B191" s="135" t="s">
        <v>695</v>
      </c>
      <c r="C191" s="136" t="s">
        <v>492</v>
      </c>
      <c r="D191" s="136" t="s">
        <v>470</v>
      </c>
      <c r="E191" s="136" t="s">
        <v>324</v>
      </c>
      <c r="F191" s="136" t="s">
        <v>478</v>
      </c>
      <c r="G191" s="136">
        <v>22</v>
      </c>
      <c r="H191" s="137">
        <v>55</v>
      </c>
      <c r="I191" s="138">
        <f t="shared" si="2"/>
        <v>1210</v>
      </c>
      <c r="J191" s="139" t="s">
        <v>503</v>
      </c>
      <c r="K191" s="140">
        <v>27.83</v>
      </c>
      <c r="L191">
        <f>Table13[[#This Row],[Price]]*Table13[[#This Row],[Units]]</f>
        <v>1210</v>
      </c>
    </row>
    <row r="192" spans="1:12" x14ac:dyDescent="0.35">
      <c r="A192" s="134">
        <v>45599</v>
      </c>
      <c r="B192" s="135" t="s">
        <v>696</v>
      </c>
      <c r="C192" s="136" t="s">
        <v>322</v>
      </c>
      <c r="D192" s="136" t="s">
        <v>512</v>
      </c>
      <c r="E192" s="136" t="s">
        <v>315</v>
      </c>
      <c r="F192" s="136" t="s">
        <v>513</v>
      </c>
      <c r="G192" s="136">
        <v>60</v>
      </c>
      <c r="H192" s="137">
        <v>30</v>
      </c>
      <c r="I192" s="138">
        <f t="shared" si="2"/>
        <v>1800</v>
      </c>
      <c r="J192" s="139" t="s">
        <v>466</v>
      </c>
      <c r="K192" s="140">
        <v>41.4</v>
      </c>
      <c r="L192">
        <f>Table13[[#This Row],[Price]]*Table13[[#This Row],[Units]]</f>
        <v>1800</v>
      </c>
    </row>
    <row r="193" spans="1:12" x14ac:dyDescent="0.35">
      <c r="A193" s="134">
        <v>45599</v>
      </c>
      <c r="B193" s="135" t="s">
        <v>697</v>
      </c>
      <c r="C193" s="136" t="s">
        <v>494</v>
      </c>
      <c r="D193" s="136" t="s">
        <v>519</v>
      </c>
      <c r="E193" s="136" t="s">
        <v>390</v>
      </c>
      <c r="F193" s="136" t="s">
        <v>487</v>
      </c>
      <c r="G193" s="136">
        <v>52</v>
      </c>
      <c r="H193" s="137">
        <v>41</v>
      </c>
      <c r="I193" s="138">
        <f t="shared" si="2"/>
        <v>2132</v>
      </c>
      <c r="J193" s="139" t="s">
        <v>472</v>
      </c>
      <c r="K193" s="140">
        <v>63.96</v>
      </c>
      <c r="L193">
        <f>Table13[[#This Row],[Price]]*Table13[[#This Row],[Units]]</f>
        <v>2132</v>
      </c>
    </row>
    <row r="194" spans="1:12" x14ac:dyDescent="0.35">
      <c r="A194" s="134">
        <v>45599</v>
      </c>
      <c r="B194" s="135" t="s">
        <v>698</v>
      </c>
      <c r="C194" s="136" t="s">
        <v>469</v>
      </c>
      <c r="D194" s="136" t="s">
        <v>465</v>
      </c>
      <c r="E194" s="136" t="s">
        <v>483</v>
      </c>
      <c r="F194" s="136" t="s">
        <v>536</v>
      </c>
      <c r="G194" s="136">
        <v>25</v>
      </c>
      <c r="H194" s="137">
        <v>21</v>
      </c>
      <c r="I194" s="138">
        <f t="shared" si="2"/>
        <v>525</v>
      </c>
      <c r="J194" s="139" t="s">
        <v>472</v>
      </c>
      <c r="K194" s="140">
        <v>15.225</v>
      </c>
      <c r="L194">
        <f>Table13[[#This Row],[Price]]*Table13[[#This Row],[Units]]</f>
        <v>525</v>
      </c>
    </row>
    <row r="195" spans="1:12" x14ac:dyDescent="0.35">
      <c r="A195" s="134">
        <v>45599</v>
      </c>
      <c r="B195" s="135" t="s">
        <v>699</v>
      </c>
      <c r="C195" s="136" t="s">
        <v>494</v>
      </c>
      <c r="D195" s="136" t="s">
        <v>519</v>
      </c>
      <c r="E195" s="136" t="s">
        <v>324</v>
      </c>
      <c r="F195" s="136" t="s">
        <v>536</v>
      </c>
      <c r="G195" s="136">
        <v>53</v>
      </c>
      <c r="H195" s="137">
        <v>25</v>
      </c>
      <c r="I195" s="138">
        <f t="shared" ref="I195:I258" si="3">G195*H195</f>
        <v>1325</v>
      </c>
      <c r="J195" s="139" t="s">
        <v>515</v>
      </c>
      <c r="K195" s="140">
        <v>34.450000000000003</v>
      </c>
      <c r="L195">
        <f>Table13[[#This Row],[Price]]*Table13[[#This Row],[Units]]</f>
        <v>1325</v>
      </c>
    </row>
    <row r="196" spans="1:12" x14ac:dyDescent="0.35">
      <c r="A196" s="134">
        <v>45599</v>
      </c>
      <c r="B196" s="135" t="s">
        <v>700</v>
      </c>
      <c r="C196" s="136" t="s">
        <v>484</v>
      </c>
      <c r="D196" s="136" t="s">
        <v>477</v>
      </c>
      <c r="E196" s="136" t="s">
        <v>324</v>
      </c>
      <c r="F196" s="136" t="s">
        <v>536</v>
      </c>
      <c r="G196" s="136">
        <v>59</v>
      </c>
      <c r="H196" s="137">
        <v>24</v>
      </c>
      <c r="I196" s="138">
        <f t="shared" si="3"/>
        <v>1416</v>
      </c>
      <c r="J196" s="139" t="s">
        <v>515</v>
      </c>
      <c r="K196" s="140">
        <v>32.567999999999998</v>
      </c>
      <c r="L196">
        <f>Table13[[#This Row],[Price]]*Table13[[#This Row],[Units]]</f>
        <v>1416</v>
      </c>
    </row>
    <row r="197" spans="1:12" x14ac:dyDescent="0.35">
      <c r="A197" s="134">
        <v>45599</v>
      </c>
      <c r="B197" s="135" t="s">
        <v>701</v>
      </c>
      <c r="C197" s="136" t="s">
        <v>464</v>
      </c>
      <c r="D197" s="136" t="s">
        <v>519</v>
      </c>
      <c r="E197" s="136" t="s">
        <v>315</v>
      </c>
      <c r="F197" s="136" t="s">
        <v>523</v>
      </c>
      <c r="G197" s="136">
        <v>51</v>
      </c>
      <c r="H197" s="137">
        <v>32</v>
      </c>
      <c r="I197" s="138">
        <f t="shared" si="3"/>
        <v>1632</v>
      </c>
      <c r="J197" s="139" t="s">
        <v>472</v>
      </c>
      <c r="K197" s="140">
        <v>44.064</v>
      </c>
      <c r="L197">
        <f>Table13[[#This Row],[Price]]*Table13[[#This Row],[Units]]</f>
        <v>1632</v>
      </c>
    </row>
    <row r="198" spans="1:12" x14ac:dyDescent="0.35">
      <c r="A198" s="134">
        <v>45599</v>
      </c>
      <c r="B198" s="135" t="s">
        <v>702</v>
      </c>
      <c r="C198" s="136" t="s">
        <v>492</v>
      </c>
      <c r="D198" s="136" t="s">
        <v>519</v>
      </c>
      <c r="E198" s="136" t="s">
        <v>320</v>
      </c>
      <c r="F198" s="136" t="s">
        <v>497</v>
      </c>
      <c r="G198" s="136">
        <v>20</v>
      </c>
      <c r="H198" s="137">
        <v>37</v>
      </c>
      <c r="I198" s="138">
        <f t="shared" si="3"/>
        <v>740</v>
      </c>
      <c r="J198" s="139" t="s">
        <v>472</v>
      </c>
      <c r="K198" s="140">
        <v>15.54</v>
      </c>
      <c r="L198">
        <f>Table13[[#This Row],[Price]]*Table13[[#This Row],[Units]]</f>
        <v>740</v>
      </c>
    </row>
    <row r="199" spans="1:12" x14ac:dyDescent="0.35">
      <c r="A199" s="134">
        <v>45599</v>
      </c>
      <c r="B199" s="135" t="s">
        <v>703</v>
      </c>
      <c r="C199" s="136" t="s">
        <v>322</v>
      </c>
      <c r="D199" s="136" t="s">
        <v>465</v>
      </c>
      <c r="E199" s="136" t="s">
        <v>333</v>
      </c>
      <c r="F199" s="136" t="s">
        <v>478</v>
      </c>
      <c r="G199" s="136">
        <v>53</v>
      </c>
      <c r="H199" s="137">
        <v>48</v>
      </c>
      <c r="I199" s="138">
        <f t="shared" si="3"/>
        <v>2544</v>
      </c>
      <c r="J199" s="139" t="s">
        <v>472</v>
      </c>
      <c r="K199" s="140">
        <v>53.423999999999999</v>
      </c>
      <c r="L199">
        <f>Table13[[#This Row],[Price]]*Table13[[#This Row],[Units]]</f>
        <v>2544</v>
      </c>
    </row>
    <row r="200" spans="1:12" x14ac:dyDescent="0.35">
      <c r="A200" s="134">
        <v>45599</v>
      </c>
      <c r="B200" s="135" t="s">
        <v>704</v>
      </c>
      <c r="C200" s="136" t="s">
        <v>476</v>
      </c>
      <c r="D200" s="136" t="s">
        <v>519</v>
      </c>
      <c r="E200" s="136" t="s">
        <v>412</v>
      </c>
      <c r="F200" s="136" t="s">
        <v>513</v>
      </c>
      <c r="G200" s="136">
        <v>30</v>
      </c>
      <c r="H200" s="137">
        <v>40</v>
      </c>
      <c r="I200" s="138">
        <f t="shared" si="3"/>
        <v>1200</v>
      </c>
      <c r="J200" s="139" t="s">
        <v>466</v>
      </c>
      <c r="K200" s="140">
        <v>34.799999999999997</v>
      </c>
      <c r="L200">
        <f>Table13[[#This Row],[Price]]*Table13[[#This Row],[Units]]</f>
        <v>1200</v>
      </c>
    </row>
    <row r="201" spans="1:12" x14ac:dyDescent="0.35">
      <c r="A201" s="134">
        <v>45599</v>
      </c>
      <c r="B201" s="135" t="s">
        <v>705</v>
      </c>
      <c r="C201" s="136" t="s">
        <v>492</v>
      </c>
      <c r="D201" s="136" t="s">
        <v>486</v>
      </c>
      <c r="E201" s="136" t="s">
        <v>483</v>
      </c>
      <c r="F201" s="136" t="s">
        <v>478</v>
      </c>
      <c r="G201" s="136">
        <v>27</v>
      </c>
      <c r="H201" s="137">
        <v>56</v>
      </c>
      <c r="I201" s="138">
        <f t="shared" si="3"/>
        <v>1512</v>
      </c>
      <c r="J201" s="139" t="s">
        <v>515</v>
      </c>
      <c r="K201" s="140">
        <v>30.24</v>
      </c>
      <c r="L201">
        <f>Table13[[#This Row],[Price]]*Table13[[#This Row],[Units]]</f>
        <v>1512</v>
      </c>
    </row>
    <row r="202" spans="1:12" x14ac:dyDescent="0.35">
      <c r="A202" s="134">
        <v>45600</v>
      </c>
      <c r="B202" s="135" t="s">
        <v>706</v>
      </c>
      <c r="C202" s="136" t="s">
        <v>484</v>
      </c>
      <c r="D202" s="136" t="s">
        <v>519</v>
      </c>
      <c r="E202" s="136" t="s">
        <v>483</v>
      </c>
      <c r="F202" s="136" t="s">
        <v>510</v>
      </c>
      <c r="G202" s="136">
        <v>28</v>
      </c>
      <c r="H202" s="137">
        <v>41</v>
      </c>
      <c r="I202" s="138">
        <f t="shared" si="3"/>
        <v>1148</v>
      </c>
      <c r="J202" s="139" t="s">
        <v>466</v>
      </c>
      <c r="K202" s="140">
        <v>27.552</v>
      </c>
      <c r="L202">
        <f>Table13[[#This Row],[Price]]*Table13[[#This Row],[Units]]</f>
        <v>1148</v>
      </c>
    </row>
    <row r="203" spans="1:12" x14ac:dyDescent="0.35">
      <c r="A203" s="134">
        <v>45600</v>
      </c>
      <c r="B203" s="135" t="s">
        <v>707</v>
      </c>
      <c r="C203" s="136" t="s">
        <v>469</v>
      </c>
      <c r="D203" s="136" t="s">
        <v>519</v>
      </c>
      <c r="E203" s="136" t="s">
        <v>320</v>
      </c>
      <c r="F203" s="136" t="s">
        <v>505</v>
      </c>
      <c r="G203" s="136">
        <v>38</v>
      </c>
      <c r="H203" s="137">
        <v>54</v>
      </c>
      <c r="I203" s="138">
        <f t="shared" si="3"/>
        <v>2052</v>
      </c>
      <c r="J203" s="139" t="s">
        <v>472</v>
      </c>
      <c r="K203" s="140">
        <v>49.247999999999998</v>
      </c>
      <c r="L203">
        <f>Table13[[#This Row],[Price]]*Table13[[#This Row],[Units]]</f>
        <v>2052</v>
      </c>
    </row>
    <row r="204" spans="1:12" x14ac:dyDescent="0.35">
      <c r="A204" s="134">
        <v>45600</v>
      </c>
      <c r="B204" s="135" t="s">
        <v>708</v>
      </c>
      <c r="C204" s="136" t="s">
        <v>492</v>
      </c>
      <c r="D204" s="136" t="s">
        <v>470</v>
      </c>
      <c r="E204" s="136" t="s">
        <v>333</v>
      </c>
      <c r="F204" s="136" t="s">
        <v>528</v>
      </c>
      <c r="G204" s="136">
        <v>59</v>
      </c>
      <c r="H204" s="137">
        <v>31</v>
      </c>
      <c r="I204" s="138">
        <f t="shared" si="3"/>
        <v>1829</v>
      </c>
      <c r="J204" s="139" t="s">
        <v>466</v>
      </c>
      <c r="K204" s="140">
        <v>42.067</v>
      </c>
      <c r="L204">
        <f>Table13[[#This Row],[Price]]*Table13[[#This Row],[Units]]</f>
        <v>1829</v>
      </c>
    </row>
    <row r="205" spans="1:12" x14ac:dyDescent="0.35">
      <c r="A205" s="134">
        <v>45600</v>
      </c>
      <c r="B205" s="135" t="s">
        <v>709</v>
      </c>
      <c r="C205" s="136" t="s">
        <v>494</v>
      </c>
      <c r="D205" s="136" t="s">
        <v>477</v>
      </c>
      <c r="E205" s="136" t="s">
        <v>320</v>
      </c>
      <c r="F205" s="136" t="s">
        <v>536</v>
      </c>
      <c r="G205" s="136">
        <v>12</v>
      </c>
      <c r="H205" s="137">
        <v>32</v>
      </c>
      <c r="I205" s="138">
        <f t="shared" si="3"/>
        <v>384</v>
      </c>
      <c r="J205" s="139" t="s">
        <v>466</v>
      </c>
      <c r="K205" s="140">
        <v>7.68</v>
      </c>
      <c r="L205">
        <f>Table13[[#This Row],[Price]]*Table13[[#This Row],[Units]]</f>
        <v>384</v>
      </c>
    </row>
    <row r="206" spans="1:12" x14ac:dyDescent="0.35">
      <c r="A206" s="134">
        <v>45601</v>
      </c>
      <c r="B206" s="135" t="s">
        <v>710</v>
      </c>
      <c r="C206" s="136" t="s">
        <v>494</v>
      </c>
      <c r="D206" s="136" t="s">
        <v>470</v>
      </c>
      <c r="E206" s="136" t="s">
        <v>315</v>
      </c>
      <c r="F206" s="136" t="s">
        <v>510</v>
      </c>
      <c r="G206" s="136">
        <v>17</v>
      </c>
      <c r="H206" s="137">
        <v>32</v>
      </c>
      <c r="I206" s="138">
        <f t="shared" si="3"/>
        <v>544</v>
      </c>
      <c r="J206" s="139" t="s">
        <v>472</v>
      </c>
      <c r="K206" s="140">
        <v>12.512</v>
      </c>
      <c r="L206">
        <f>Table13[[#This Row],[Price]]*Table13[[#This Row],[Units]]</f>
        <v>544</v>
      </c>
    </row>
    <row r="207" spans="1:12" x14ac:dyDescent="0.35">
      <c r="A207" s="134">
        <v>45601</v>
      </c>
      <c r="B207" s="135" t="s">
        <v>711</v>
      </c>
      <c r="C207" s="136" t="s">
        <v>489</v>
      </c>
      <c r="D207" s="136" t="s">
        <v>477</v>
      </c>
      <c r="E207" s="136" t="s">
        <v>320</v>
      </c>
      <c r="F207" s="136" t="s">
        <v>539</v>
      </c>
      <c r="G207" s="136">
        <v>28</v>
      </c>
      <c r="H207" s="137">
        <v>25</v>
      </c>
      <c r="I207" s="138">
        <f t="shared" si="3"/>
        <v>700</v>
      </c>
      <c r="J207" s="139" t="s">
        <v>466</v>
      </c>
      <c r="K207" s="140">
        <v>15.4</v>
      </c>
      <c r="L207">
        <f>Table13[[#This Row],[Price]]*Table13[[#This Row],[Units]]</f>
        <v>700</v>
      </c>
    </row>
    <row r="208" spans="1:12" x14ac:dyDescent="0.35">
      <c r="A208" s="134">
        <v>45601</v>
      </c>
      <c r="B208" s="135" t="s">
        <v>712</v>
      </c>
      <c r="C208" s="136" t="s">
        <v>322</v>
      </c>
      <c r="D208" s="136" t="s">
        <v>512</v>
      </c>
      <c r="E208" s="136" t="s">
        <v>333</v>
      </c>
      <c r="F208" s="136" t="s">
        <v>517</v>
      </c>
      <c r="G208" s="136">
        <v>45</v>
      </c>
      <c r="H208" s="137">
        <v>44</v>
      </c>
      <c r="I208" s="138">
        <f t="shared" si="3"/>
        <v>1980</v>
      </c>
      <c r="J208" s="139" t="s">
        <v>503</v>
      </c>
      <c r="K208" s="140">
        <v>53.46</v>
      </c>
      <c r="L208">
        <f>Table13[[#This Row],[Price]]*Table13[[#This Row],[Units]]</f>
        <v>1980</v>
      </c>
    </row>
    <row r="209" spans="1:12" x14ac:dyDescent="0.35">
      <c r="A209" s="134">
        <v>45601</v>
      </c>
      <c r="B209" s="135" t="s">
        <v>713</v>
      </c>
      <c r="C209" s="136" t="s">
        <v>494</v>
      </c>
      <c r="D209" s="136" t="s">
        <v>477</v>
      </c>
      <c r="E209" s="136" t="s">
        <v>315</v>
      </c>
      <c r="F209" s="136" t="s">
        <v>454</v>
      </c>
      <c r="G209" s="136">
        <v>38</v>
      </c>
      <c r="H209" s="137">
        <v>48</v>
      </c>
      <c r="I209" s="138">
        <f t="shared" si="3"/>
        <v>1824</v>
      </c>
      <c r="J209" s="139" t="s">
        <v>515</v>
      </c>
      <c r="K209" s="140">
        <v>40.128</v>
      </c>
      <c r="L209">
        <f>Table13[[#This Row],[Price]]*Table13[[#This Row],[Units]]</f>
        <v>1824</v>
      </c>
    </row>
    <row r="210" spans="1:12" x14ac:dyDescent="0.35">
      <c r="A210" s="134">
        <v>45601</v>
      </c>
      <c r="B210" s="135" t="s">
        <v>714</v>
      </c>
      <c r="C210" s="136" t="s">
        <v>476</v>
      </c>
      <c r="D210" s="136" t="s">
        <v>477</v>
      </c>
      <c r="E210" s="136" t="s">
        <v>324</v>
      </c>
      <c r="F210" s="136" t="s">
        <v>510</v>
      </c>
      <c r="G210" s="136">
        <v>21</v>
      </c>
      <c r="H210" s="137">
        <v>42</v>
      </c>
      <c r="I210" s="138">
        <f t="shared" si="3"/>
        <v>882</v>
      </c>
      <c r="J210" s="139" t="s">
        <v>472</v>
      </c>
      <c r="K210" s="140">
        <v>23.814</v>
      </c>
      <c r="L210">
        <f>Table13[[#This Row],[Price]]*Table13[[#This Row],[Units]]</f>
        <v>882</v>
      </c>
    </row>
    <row r="211" spans="1:12" x14ac:dyDescent="0.35">
      <c r="A211" s="134">
        <v>45601</v>
      </c>
      <c r="B211" s="135" t="s">
        <v>715</v>
      </c>
      <c r="C211" s="136" t="s">
        <v>484</v>
      </c>
      <c r="D211" s="136" t="s">
        <v>490</v>
      </c>
      <c r="E211" s="136" t="s">
        <v>483</v>
      </c>
      <c r="F211" s="136" t="s">
        <v>471</v>
      </c>
      <c r="G211" s="136">
        <v>42</v>
      </c>
      <c r="H211" s="137">
        <v>57</v>
      </c>
      <c r="I211" s="138">
        <f t="shared" si="3"/>
        <v>2394</v>
      </c>
      <c r="J211" s="139" t="s">
        <v>515</v>
      </c>
      <c r="K211" s="140">
        <v>67.031999999999996</v>
      </c>
      <c r="L211">
        <f>Table13[[#This Row],[Price]]*Table13[[#This Row],[Units]]</f>
        <v>2394</v>
      </c>
    </row>
    <row r="212" spans="1:12" x14ac:dyDescent="0.35">
      <c r="A212" s="134">
        <v>45601</v>
      </c>
      <c r="B212" s="135" t="s">
        <v>716</v>
      </c>
      <c r="C212" s="136" t="s">
        <v>322</v>
      </c>
      <c r="D212" s="136" t="s">
        <v>477</v>
      </c>
      <c r="E212" s="136" t="s">
        <v>324</v>
      </c>
      <c r="F212" s="136" t="s">
        <v>505</v>
      </c>
      <c r="G212" s="136">
        <v>24</v>
      </c>
      <c r="H212" s="137">
        <v>37</v>
      </c>
      <c r="I212" s="138">
        <f t="shared" si="3"/>
        <v>888</v>
      </c>
      <c r="J212" s="139" t="s">
        <v>466</v>
      </c>
      <c r="K212" s="140">
        <v>19.536000000000001</v>
      </c>
      <c r="L212">
        <f>Table13[[#This Row],[Price]]*Table13[[#This Row],[Units]]</f>
        <v>888</v>
      </c>
    </row>
    <row r="213" spans="1:12" x14ac:dyDescent="0.35">
      <c r="A213" s="134">
        <v>45601</v>
      </c>
      <c r="B213" s="135" t="s">
        <v>717</v>
      </c>
      <c r="C213" s="136" t="s">
        <v>501</v>
      </c>
      <c r="D213" s="136" t="s">
        <v>470</v>
      </c>
      <c r="E213" s="136" t="s">
        <v>320</v>
      </c>
      <c r="F213" s="136" t="s">
        <v>567</v>
      </c>
      <c r="G213" s="136">
        <v>33</v>
      </c>
      <c r="H213" s="137">
        <v>39</v>
      </c>
      <c r="I213" s="138">
        <f t="shared" si="3"/>
        <v>1287</v>
      </c>
      <c r="J213" s="139" t="s">
        <v>472</v>
      </c>
      <c r="K213" s="140">
        <v>38.61</v>
      </c>
      <c r="L213">
        <f>Table13[[#This Row],[Price]]*Table13[[#This Row],[Units]]</f>
        <v>1287</v>
      </c>
    </row>
    <row r="214" spans="1:12" x14ac:dyDescent="0.35">
      <c r="A214" s="134">
        <v>45601</v>
      </c>
      <c r="B214" s="135" t="s">
        <v>718</v>
      </c>
      <c r="C214" s="136" t="s">
        <v>469</v>
      </c>
      <c r="D214" s="136" t="s">
        <v>519</v>
      </c>
      <c r="E214" s="136" t="s">
        <v>333</v>
      </c>
      <c r="F214" s="136" t="s">
        <v>539</v>
      </c>
      <c r="G214" s="136">
        <v>24</v>
      </c>
      <c r="H214" s="137">
        <v>27</v>
      </c>
      <c r="I214" s="138">
        <f t="shared" si="3"/>
        <v>648</v>
      </c>
      <c r="J214" s="139" t="s">
        <v>515</v>
      </c>
      <c r="K214" s="140">
        <v>13.608000000000001</v>
      </c>
      <c r="L214">
        <f>Table13[[#This Row],[Price]]*Table13[[#This Row],[Units]]</f>
        <v>648</v>
      </c>
    </row>
    <row r="215" spans="1:12" x14ac:dyDescent="0.35">
      <c r="A215" s="134">
        <v>45602</v>
      </c>
      <c r="B215" s="135" t="s">
        <v>719</v>
      </c>
      <c r="C215" s="136" t="s">
        <v>494</v>
      </c>
      <c r="D215" s="136" t="s">
        <v>470</v>
      </c>
      <c r="E215" s="136" t="s">
        <v>324</v>
      </c>
      <c r="F215" s="136" t="s">
        <v>505</v>
      </c>
      <c r="G215" s="136">
        <v>51</v>
      </c>
      <c r="H215" s="137">
        <v>20</v>
      </c>
      <c r="I215" s="138">
        <f t="shared" si="3"/>
        <v>1020</v>
      </c>
      <c r="J215" s="139" t="s">
        <v>515</v>
      </c>
      <c r="K215" s="140">
        <v>29.58</v>
      </c>
      <c r="L215">
        <f>Table13[[#This Row],[Price]]*Table13[[#This Row],[Units]]</f>
        <v>1020</v>
      </c>
    </row>
    <row r="216" spans="1:12" x14ac:dyDescent="0.35">
      <c r="A216" s="134">
        <v>45602</v>
      </c>
      <c r="B216" s="135" t="s">
        <v>720</v>
      </c>
      <c r="C216" s="136" t="s">
        <v>489</v>
      </c>
      <c r="D216" s="136" t="s">
        <v>512</v>
      </c>
      <c r="E216" s="136" t="s">
        <v>315</v>
      </c>
      <c r="F216" s="136" t="s">
        <v>513</v>
      </c>
      <c r="G216" s="136">
        <v>11</v>
      </c>
      <c r="H216" s="137">
        <v>43</v>
      </c>
      <c r="I216" s="138">
        <f t="shared" si="3"/>
        <v>473</v>
      </c>
      <c r="J216" s="139" t="s">
        <v>503</v>
      </c>
      <c r="K216" s="140">
        <v>10.406000000000001</v>
      </c>
      <c r="L216">
        <f>Table13[[#This Row],[Price]]*Table13[[#This Row],[Units]]</f>
        <v>473</v>
      </c>
    </row>
    <row r="217" spans="1:12" x14ac:dyDescent="0.35">
      <c r="A217" s="134">
        <v>45602</v>
      </c>
      <c r="B217" s="135" t="s">
        <v>721</v>
      </c>
      <c r="C217" s="136" t="s">
        <v>501</v>
      </c>
      <c r="D217" s="136" t="s">
        <v>470</v>
      </c>
      <c r="E217" s="136" t="s">
        <v>320</v>
      </c>
      <c r="F217" s="136" t="s">
        <v>567</v>
      </c>
      <c r="G217" s="136">
        <v>19</v>
      </c>
      <c r="H217" s="137">
        <v>53</v>
      </c>
      <c r="I217" s="138">
        <f t="shared" si="3"/>
        <v>1007</v>
      </c>
      <c r="J217" s="139" t="s">
        <v>466</v>
      </c>
      <c r="K217" s="140">
        <v>23.161000000000001</v>
      </c>
      <c r="L217">
        <f>Table13[[#This Row],[Price]]*Table13[[#This Row],[Units]]</f>
        <v>1007</v>
      </c>
    </row>
    <row r="218" spans="1:12" x14ac:dyDescent="0.35">
      <c r="A218" s="134">
        <v>45602</v>
      </c>
      <c r="B218" s="135" t="s">
        <v>722</v>
      </c>
      <c r="C218" s="136" t="s">
        <v>322</v>
      </c>
      <c r="D218" s="136" t="s">
        <v>477</v>
      </c>
      <c r="E218" s="136" t="s">
        <v>320</v>
      </c>
      <c r="F218" s="136" t="s">
        <v>491</v>
      </c>
      <c r="G218" s="136">
        <v>42</v>
      </c>
      <c r="H218" s="137">
        <v>35</v>
      </c>
      <c r="I218" s="138">
        <f t="shared" si="3"/>
        <v>1470</v>
      </c>
      <c r="J218" s="139" t="s">
        <v>503</v>
      </c>
      <c r="K218" s="140">
        <v>29.4</v>
      </c>
      <c r="L218">
        <f>Table13[[#This Row],[Price]]*Table13[[#This Row],[Units]]</f>
        <v>1470</v>
      </c>
    </row>
    <row r="219" spans="1:12" x14ac:dyDescent="0.35">
      <c r="A219" s="134">
        <v>45603</v>
      </c>
      <c r="B219" s="135" t="s">
        <v>723</v>
      </c>
      <c r="C219" s="136" t="s">
        <v>494</v>
      </c>
      <c r="D219" s="136" t="s">
        <v>470</v>
      </c>
      <c r="E219" s="136" t="s">
        <v>320</v>
      </c>
      <c r="F219" s="136" t="s">
        <v>478</v>
      </c>
      <c r="G219" s="136">
        <v>25</v>
      </c>
      <c r="H219" s="137">
        <v>45</v>
      </c>
      <c r="I219" s="138">
        <f t="shared" si="3"/>
        <v>1125</v>
      </c>
      <c r="J219" s="139" t="s">
        <v>466</v>
      </c>
      <c r="K219" s="140">
        <v>27</v>
      </c>
      <c r="L219">
        <f>Table13[[#This Row],[Price]]*Table13[[#This Row],[Units]]</f>
        <v>1125</v>
      </c>
    </row>
    <row r="220" spans="1:12" x14ac:dyDescent="0.35">
      <c r="A220" s="134">
        <v>45603</v>
      </c>
      <c r="B220" s="135" t="s">
        <v>724</v>
      </c>
      <c r="C220" s="136" t="s">
        <v>322</v>
      </c>
      <c r="D220" s="136" t="s">
        <v>470</v>
      </c>
      <c r="E220" s="136" t="s">
        <v>324</v>
      </c>
      <c r="F220" s="136" t="s">
        <v>454</v>
      </c>
      <c r="G220" s="136">
        <v>15</v>
      </c>
      <c r="H220" s="137">
        <v>22</v>
      </c>
      <c r="I220" s="138">
        <f t="shared" si="3"/>
        <v>330</v>
      </c>
      <c r="J220" s="139" t="s">
        <v>472</v>
      </c>
      <c r="K220" s="140">
        <v>8.58</v>
      </c>
      <c r="L220">
        <f>Table13[[#This Row],[Price]]*Table13[[#This Row],[Units]]</f>
        <v>330</v>
      </c>
    </row>
    <row r="221" spans="1:12" x14ac:dyDescent="0.35">
      <c r="A221" s="134">
        <v>45604</v>
      </c>
      <c r="B221" s="135" t="s">
        <v>725</v>
      </c>
      <c r="C221" s="136" t="s">
        <v>484</v>
      </c>
      <c r="D221" s="136" t="s">
        <v>470</v>
      </c>
      <c r="E221" s="136" t="s">
        <v>483</v>
      </c>
      <c r="F221" s="136" t="s">
        <v>510</v>
      </c>
      <c r="G221" s="136">
        <v>37</v>
      </c>
      <c r="H221" s="137">
        <v>44</v>
      </c>
      <c r="I221" s="138">
        <f t="shared" si="3"/>
        <v>1628</v>
      </c>
      <c r="J221" s="139" t="s">
        <v>472</v>
      </c>
      <c r="K221" s="140">
        <v>48.84</v>
      </c>
      <c r="L221">
        <f>Table13[[#This Row],[Price]]*Table13[[#This Row],[Units]]</f>
        <v>1628</v>
      </c>
    </row>
    <row r="222" spans="1:12" x14ac:dyDescent="0.35">
      <c r="A222" s="134">
        <v>45605</v>
      </c>
      <c r="B222" s="135" t="s">
        <v>726</v>
      </c>
      <c r="C222" s="136" t="s">
        <v>484</v>
      </c>
      <c r="D222" s="136" t="s">
        <v>486</v>
      </c>
      <c r="E222" s="136" t="s">
        <v>390</v>
      </c>
      <c r="F222" s="136" t="s">
        <v>520</v>
      </c>
      <c r="G222" s="136">
        <v>28</v>
      </c>
      <c r="H222" s="137">
        <v>32</v>
      </c>
      <c r="I222" s="138">
        <f t="shared" si="3"/>
        <v>896</v>
      </c>
      <c r="J222" s="139" t="s">
        <v>503</v>
      </c>
      <c r="K222" s="140">
        <v>26.88</v>
      </c>
      <c r="L222">
        <f>Table13[[#This Row],[Price]]*Table13[[#This Row],[Units]]</f>
        <v>896</v>
      </c>
    </row>
    <row r="223" spans="1:12" x14ac:dyDescent="0.35">
      <c r="A223" s="134">
        <v>45605</v>
      </c>
      <c r="B223" s="135" t="s">
        <v>727</v>
      </c>
      <c r="C223" s="136" t="s">
        <v>322</v>
      </c>
      <c r="D223" s="136" t="s">
        <v>470</v>
      </c>
      <c r="E223" s="136" t="s">
        <v>390</v>
      </c>
      <c r="F223" s="136" t="s">
        <v>478</v>
      </c>
      <c r="G223" s="136">
        <v>25</v>
      </c>
      <c r="H223" s="137">
        <v>44</v>
      </c>
      <c r="I223" s="138">
        <f t="shared" si="3"/>
        <v>1100</v>
      </c>
      <c r="J223" s="139" t="s">
        <v>515</v>
      </c>
      <c r="K223" s="140">
        <v>27.5</v>
      </c>
      <c r="L223">
        <f>Table13[[#This Row],[Price]]*Table13[[#This Row],[Units]]</f>
        <v>1100</v>
      </c>
    </row>
    <row r="224" spans="1:12" x14ac:dyDescent="0.35">
      <c r="A224" s="134">
        <v>45605</v>
      </c>
      <c r="B224" s="135" t="s">
        <v>728</v>
      </c>
      <c r="C224" s="136" t="s">
        <v>322</v>
      </c>
      <c r="D224" s="136" t="s">
        <v>470</v>
      </c>
      <c r="E224" s="136" t="s">
        <v>324</v>
      </c>
      <c r="F224" s="136" t="s">
        <v>497</v>
      </c>
      <c r="G224" s="136">
        <v>42</v>
      </c>
      <c r="H224" s="137">
        <v>40</v>
      </c>
      <c r="I224" s="138">
        <f t="shared" si="3"/>
        <v>1680</v>
      </c>
      <c r="J224" s="139" t="s">
        <v>466</v>
      </c>
      <c r="K224" s="140">
        <v>47.04</v>
      </c>
      <c r="L224">
        <f>Table13[[#This Row],[Price]]*Table13[[#This Row],[Units]]</f>
        <v>1680</v>
      </c>
    </row>
    <row r="225" spans="1:12" x14ac:dyDescent="0.35">
      <c r="A225" s="134">
        <v>45606</v>
      </c>
      <c r="B225" s="135" t="s">
        <v>729</v>
      </c>
      <c r="C225" s="136" t="s">
        <v>322</v>
      </c>
      <c r="D225" s="136" t="s">
        <v>477</v>
      </c>
      <c r="E225" s="136" t="s">
        <v>483</v>
      </c>
      <c r="F225" s="136" t="s">
        <v>539</v>
      </c>
      <c r="G225" s="136">
        <v>15</v>
      </c>
      <c r="H225" s="137">
        <v>54</v>
      </c>
      <c r="I225" s="138">
        <f t="shared" si="3"/>
        <v>810</v>
      </c>
      <c r="J225" s="139" t="s">
        <v>466</v>
      </c>
      <c r="K225" s="140">
        <v>20.25</v>
      </c>
      <c r="L225">
        <f>Table13[[#This Row],[Price]]*Table13[[#This Row],[Units]]</f>
        <v>810</v>
      </c>
    </row>
    <row r="226" spans="1:12" x14ac:dyDescent="0.35">
      <c r="A226" s="134">
        <v>45606</v>
      </c>
      <c r="B226" s="135" t="s">
        <v>730</v>
      </c>
      <c r="C226" s="136" t="s">
        <v>494</v>
      </c>
      <c r="D226" s="136" t="s">
        <v>477</v>
      </c>
      <c r="E226" s="136" t="s">
        <v>320</v>
      </c>
      <c r="F226" s="136" t="s">
        <v>478</v>
      </c>
      <c r="G226" s="136">
        <v>48</v>
      </c>
      <c r="H226" s="137">
        <v>50</v>
      </c>
      <c r="I226" s="138">
        <f t="shared" si="3"/>
        <v>2400</v>
      </c>
      <c r="J226" s="139" t="s">
        <v>466</v>
      </c>
      <c r="K226" s="140">
        <v>62.4</v>
      </c>
      <c r="L226">
        <f>Table13[[#This Row],[Price]]*Table13[[#This Row],[Units]]</f>
        <v>2400</v>
      </c>
    </row>
    <row r="227" spans="1:12" x14ac:dyDescent="0.35">
      <c r="A227" s="134">
        <v>45606</v>
      </c>
      <c r="B227" s="135" t="s">
        <v>731</v>
      </c>
      <c r="C227" s="136" t="s">
        <v>469</v>
      </c>
      <c r="D227" s="136" t="s">
        <v>477</v>
      </c>
      <c r="E227" s="136" t="s">
        <v>315</v>
      </c>
      <c r="F227" s="136" t="s">
        <v>539</v>
      </c>
      <c r="G227" s="136">
        <v>50</v>
      </c>
      <c r="H227" s="137">
        <v>24</v>
      </c>
      <c r="I227" s="138">
        <f t="shared" si="3"/>
        <v>1200</v>
      </c>
      <c r="J227" s="139" t="s">
        <v>472</v>
      </c>
      <c r="K227" s="140">
        <v>27.6</v>
      </c>
      <c r="L227">
        <f>Table13[[#This Row],[Price]]*Table13[[#This Row],[Units]]</f>
        <v>1200</v>
      </c>
    </row>
    <row r="228" spans="1:12" x14ac:dyDescent="0.35">
      <c r="A228" s="134">
        <v>45606</v>
      </c>
      <c r="B228" s="135" t="s">
        <v>732</v>
      </c>
      <c r="C228" s="136" t="s">
        <v>501</v>
      </c>
      <c r="D228" s="136" t="s">
        <v>486</v>
      </c>
      <c r="E228" s="136" t="s">
        <v>483</v>
      </c>
      <c r="F228" s="136" t="s">
        <v>478</v>
      </c>
      <c r="G228" s="136">
        <v>58</v>
      </c>
      <c r="H228" s="137">
        <v>57</v>
      </c>
      <c r="I228" s="138">
        <f t="shared" si="3"/>
        <v>3306</v>
      </c>
      <c r="J228" s="139" t="s">
        <v>466</v>
      </c>
      <c r="K228" s="140">
        <v>69.426000000000002</v>
      </c>
      <c r="L228">
        <f>Table13[[#This Row],[Price]]*Table13[[#This Row],[Units]]</f>
        <v>3306</v>
      </c>
    </row>
    <row r="229" spans="1:12" x14ac:dyDescent="0.35">
      <c r="A229" s="134">
        <v>45606</v>
      </c>
      <c r="B229" s="135" t="s">
        <v>733</v>
      </c>
      <c r="C229" s="136" t="s">
        <v>484</v>
      </c>
      <c r="D229" s="136" t="s">
        <v>512</v>
      </c>
      <c r="E229" s="136" t="s">
        <v>483</v>
      </c>
      <c r="F229" s="136" t="s">
        <v>513</v>
      </c>
      <c r="G229" s="136">
        <v>31</v>
      </c>
      <c r="H229" s="137">
        <v>40</v>
      </c>
      <c r="I229" s="138">
        <f t="shared" si="3"/>
        <v>1240</v>
      </c>
      <c r="J229" s="139" t="s">
        <v>515</v>
      </c>
      <c r="K229" s="140">
        <v>31</v>
      </c>
      <c r="L229">
        <f>Table13[[#This Row],[Price]]*Table13[[#This Row],[Units]]</f>
        <v>1240</v>
      </c>
    </row>
    <row r="230" spans="1:12" x14ac:dyDescent="0.35">
      <c r="A230" s="134">
        <v>45606</v>
      </c>
      <c r="B230" s="135" t="s">
        <v>734</v>
      </c>
      <c r="C230" s="136" t="s">
        <v>469</v>
      </c>
      <c r="D230" s="136" t="s">
        <v>477</v>
      </c>
      <c r="E230" s="136" t="s">
        <v>333</v>
      </c>
      <c r="F230" s="136" t="s">
        <v>505</v>
      </c>
      <c r="G230" s="136">
        <v>48</v>
      </c>
      <c r="H230" s="137">
        <v>53</v>
      </c>
      <c r="I230" s="138">
        <f t="shared" si="3"/>
        <v>2544</v>
      </c>
      <c r="J230" s="139" t="s">
        <v>466</v>
      </c>
      <c r="K230" s="140">
        <v>66.144000000000005</v>
      </c>
      <c r="L230">
        <f>Table13[[#This Row],[Price]]*Table13[[#This Row],[Units]]</f>
        <v>2544</v>
      </c>
    </row>
    <row r="231" spans="1:12" x14ac:dyDescent="0.35">
      <c r="A231" s="134">
        <v>45606</v>
      </c>
      <c r="B231" s="135" t="s">
        <v>735</v>
      </c>
      <c r="C231" s="136" t="s">
        <v>484</v>
      </c>
      <c r="D231" s="136" t="s">
        <v>486</v>
      </c>
      <c r="E231" s="136" t="s">
        <v>324</v>
      </c>
      <c r="F231" s="136" t="s">
        <v>487</v>
      </c>
      <c r="G231" s="136">
        <v>51</v>
      </c>
      <c r="H231" s="137">
        <v>32</v>
      </c>
      <c r="I231" s="138">
        <f t="shared" si="3"/>
        <v>1632</v>
      </c>
      <c r="J231" s="139" t="s">
        <v>472</v>
      </c>
      <c r="K231" s="140">
        <v>35.904000000000003</v>
      </c>
      <c r="L231">
        <f>Table13[[#This Row],[Price]]*Table13[[#This Row],[Units]]</f>
        <v>1632</v>
      </c>
    </row>
    <row r="232" spans="1:12" x14ac:dyDescent="0.35">
      <c r="A232" s="134">
        <v>45607</v>
      </c>
      <c r="B232" s="135" t="s">
        <v>736</v>
      </c>
      <c r="C232" s="136" t="s">
        <v>469</v>
      </c>
      <c r="D232" s="136" t="s">
        <v>490</v>
      </c>
      <c r="E232" s="136" t="s">
        <v>315</v>
      </c>
      <c r="F232" s="136" t="s">
        <v>528</v>
      </c>
      <c r="G232" s="136">
        <v>33</v>
      </c>
      <c r="H232" s="137">
        <v>43</v>
      </c>
      <c r="I232" s="138">
        <f t="shared" si="3"/>
        <v>1419</v>
      </c>
      <c r="J232" s="139" t="s">
        <v>466</v>
      </c>
      <c r="K232" s="140">
        <v>38.313000000000002</v>
      </c>
      <c r="L232">
        <f>Table13[[#This Row],[Price]]*Table13[[#This Row],[Units]]</f>
        <v>1419</v>
      </c>
    </row>
    <row r="233" spans="1:12" x14ac:dyDescent="0.35">
      <c r="A233" s="134">
        <v>45607</v>
      </c>
      <c r="B233" s="135" t="s">
        <v>737</v>
      </c>
      <c r="C233" s="136" t="s">
        <v>322</v>
      </c>
      <c r="D233" s="136" t="s">
        <v>486</v>
      </c>
      <c r="E233" s="136" t="s">
        <v>390</v>
      </c>
      <c r="F233" s="136" t="s">
        <v>500</v>
      </c>
      <c r="G233" s="136">
        <v>47</v>
      </c>
      <c r="H233" s="137">
        <v>55</v>
      </c>
      <c r="I233" s="138">
        <f t="shared" si="3"/>
        <v>2585</v>
      </c>
      <c r="J233" s="139" t="s">
        <v>466</v>
      </c>
      <c r="K233" s="140">
        <v>59.454999999999998</v>
      </c>
      <c r="L233">
        <f>Table13[[#This Row],[Price]]*Table13[[#This Row],[Units]]</f>
        <v>2585</v>
      </c>
    </row>
    <row r="234" spans="1:12" x14ac:dyDescent="0.35">
      <c r="A234" s="134">
        <v>45607</v>
      </c>
      <c r="B234" s="135" t="s">
        <v>738</v>
      </c>
      <c r="C234" s="136" t="s">
        <v>489</v>
      </c>
      <c r="D234" s="136" t="s">
        <v>490</v>
      </c>
      <c r="E234" s="136" t="s">
        <v>333</v>
      </c>
      <c r="F234" s="136" t="s">
        <v>567</v>
      </c>
      <c r="G234" s="136">
        <v>27</v>
      </c>
      <c r="H234" s="137">
        <v>38</v>
      </c>
      <c r="I234" s="138">
        <f t="shared" si="3"/>
        <v>1026</v>
      </c>
      <c r="J234" s="139" t="s">
        <v>472</v>
      </c>
      <c r="K234" s="140">
        <v>22.571999999999999</v>
      </c>
      <c r="L234">
        <f>Table13[[#This Row],[Price]]*Table13[[#This Row],[Units]]</f>
        <v>1026</v>
      </c>
    </row>
    <row r="235" spans="1:12" x14ac:dyDescent="0.35">
      <c r="A235" s="134">
        <v>45607</v>
      </c>
      <c r="B235" s="135" t="s">
        <v>739</v>
      </c>
      <c r="C235" s="136" t="s">
        <v>489</v>
      </c>
      <c r="D235" s="136" t="s">
        <v>486</v>
      </c>
      <c r="E235" s="136" t="s">
        <v>324</v>
      </c>
      <c r="F235" s="136" t="s">
        <v>536</v>
      </c>
      <c r="G235" s="136">
        <v>48</v>
      </c>
      <c r="H235" s="137">
        <v>44</v>
      </c>
      <c r="I235" s="138">
        <f t="shared" si="3"/>
        <v>2112</v>
      </c>
      <c r="J235" s="139" t="s">
        <v>466</v>
      </c>
      <c r="K235" s="140">
        <v>52.8</v>
      </c>
      <c r="L235">
        <f>Table13[[#This Row],[Price]]*Table13[[#This Row],[Units]]</f>
        <v>2112</v>
      </c>
    </row>
    <row r="236" spans="1:12" x14ac:dyDescent="0.35">
      <c r="A236" s="134">
        <v>45607</v>
      </c>
      <c r="B236" s="135" t="s">
        <v>740</v>
      </c>
      <c r="C236" s="136" t="s">
        <v>492</v>
      </c>
      <c r="D236" s="136" t="s">
        <v>477</v>
      </c>
      <c r="E236" s="136" t="s">
        <v>320</v>
      </c>
      <c r="F236" s="136" t="s">
        <v>567</v>
      </c>
      <c r="G236" s="136">
        <v>40</v>
      </c>
      <c r="H236" s="137">
        <v>25</v>
      </c>
      <c r="I236" s="138">
        <f t="shared" si="3"/>
        <v>1000</v>
      </c>
      <c r="J236" s="139" t="s">
        <v>472</v>
      </c>
      <c r="K236" s="140">
        <v>28</v>
      </c>
      <c r="L236">
        <f>Table13[[#This Row],[Price]]*Table13[[#This Row],[Units]]</f>
        <v>1000</v>
      </c>
    </row>
    <row r="237" spans="1:12" x14ac:dyDescent="0.35">
      <c r="A237" s="134">
        <v>45607</v>
      </c>
      <c r="B237" s="135" t="s">
        <v>741</v>
      </c>
      <c r="C237" s="136" t="s">
        <v>464</v>
      </c>
      <c r="D237" s="136" t="s">
        <v>477</v>
      </c>
      <c r="E237" s="136" t="s">
        <v>324</v>
      </c>
      <c r="F237" s="136" t="s">
        <v>520</v>
      </c>
      <c r="G237" s="136">
        <v>40</v>
      </c>
      <c r="H237" s="137">
        <v>36</v>
      </c>
      <c r="I237" s="138">
        <f t="shared" si="3"/>
        <v>1440</v>
      </c>
      <c r="J237" s="139" t="s">
        <v>515</v>
      </c>
      <c r="K237" s="140">
        <v>28.8</v>
      </c>
      <c r="L237">
        <f>Table13[[#This Row],[Price]]*Table13[[#This Row],[Units]]</f>
        <v>1440</v>
      </c>
    </row>
    <row r="238" spans="1:12" x14ac:dyDescent="0.35">
      <c r="A238" s="134">
        <v>45607</v>
      </c>
      <c r="B238" s="135" t="s">
        <v>742</v>
      </c>
      <c r="C238" s="136" t="s">
        <v>492</v>
      </c>
      <c r="D238" s="136" t="s">
        <v>470</v>
      </c>
      <c r="E238" s="136" t="s">
        <v>390</v>
      </c>
      <c r="F238" s="136" t="s">
        <v>536</v>
      </c>
      <c r="G238" s="136">
        <v>31</v>
      </c>
      <c r="H238" s="137">
        <v>50</v>
      </c>
      <c r="I238" s="138">
        <f t="shared" si="3"/>
        <v>1550</v>
      </c>
      <c r="J238" s="139" t="s">
        <v>515</v>
      </c>
      <c r="K238" s="140">
        <v>34.1</v>
      </c>
      <c r="L238">
        <f>Table13[[#This Row],[Price]]*Table13[[#This Row],[Units]]</f>
        <v>1550</v>
      </c>
    </row>
    <row r="239" spans="1:12" x14ac:dyDescent="0.35">
      <c r="A239" s="134">
        <v>45607</v>
      </c>
      <c r="B239" s="135" t="s">
        <v>743</v>
      </c>
      <c r="C239" s="136" t="s">
        <v>476</v>
      </c>
      <c r="D239" s="136" t="s">
        <v>486</v>
      </c>
      <c r="E239" s="136" t="s">
        <v>324</v>
      </c>
      <c r="F239" s="136" t="s">
        <v>536</v>
      </c>
      <c r="G239" s="136">
        <v>38</v>
      </c>
      <c r="H239" s="137">
        <v>29</v>
      </c>
      <c r="I239" s="138">
        <f t="shared" si="3"/>
        <v>1102</v>
      </c>
      <c r="J239" s="139" t="s">
        <v>472</v>
      </c>
      <c r="K239" s="140">
        <v>26.448</v>
      </c>
      <c r="L239">
        <f>Table13[[#This Row],[Price]]*Table13[[#This Row],[Units]]</f>
        <v>1102</v>
      </c>
    </row>
    <row r="240" spans="1:12" x14ac:dyDescent="0.35">
      <c r="A240" s="134">
        <v>45607</v>
      </c>
      <c r="B240" s="135" t="s">
        <v>744</v>
      </c>
      <c r="C240" s="136" t="s">
        <v>476</v>
      </c>
      <c r="D240" s="136" t="s">
        <v>477</v>
      </c>
      <c r="E240" s="136" t="s">
        <v>483</v>
      </c>
      <c r="F240" s="136" t="s">
        <v>497</v>
      </c>
      <c r="G240" s="136">
        <v>17</v>
      </c>
      <c r="H240" s="137">
        <v>51</v>
      </c>
      <c r="I240" s="138">
        <f t="shared" si="3"/>
        <v>867</v>
      </c>
      <c r="J240" s="139" t="s">
        <v>472</v>
      </c>
      <c r="K240" s="140">
        <v>24.276</v>
      </c>
      <c r="L240">
        <f>Table13[[#This Row],[Price]]*Table13[[#This Row],[Units]]</f>
        <v>867</v>
      </c>
    </row>
    <row r="241" spans="1:12" x14ac:dyDescent="0.35">
      <c r="A241" s="134">
        <v>45607</v>
      </c>
      <c r="B241" s="135" t="s">
        <v>745</v>
      </c>
      <c r="C241" s="136" t="s">
        <v>469</v>
      </c>
      <c r="D241" s="136" t="s">
        <v>519</v>
      </c>
      <c r="E241" s="136" t="s">
        <v>315</v>
      </c>
      <c r="F241" s="136" t="s">
        <v>491</v>
      </c>
      <c r="G241" s="136">
        <v>42</v>
      </c>
      <c r="H241" s="137">
        <v>46</v>
      </c>
      <c r="I241" s="138">
        <f t="shared" si="3"/>
        <v>1932</v>
      </c>
      <c r="J241" s="139" t="s">
        <v>472</v>
      </c>
      <c r="K241" s="140">
        <v>52.164000000000001</v>
      </c>
      <c r="L241">
        <f>Table13[[#This Row],[Price]]*Table13[[#This Row],[Units]]</f>
        <v>1932</v>
      </c>
    </row>
    <row r="242" spans="1:12" x14ac:dyDescent="0.35">
      <c r="A242" s="134">
        <v>45607</v>
      </c>
      <c r="B242" s="135" t="s">
        <v>746</v>
      </c>
      <c r="C242" s="136" t="s">
        <v>469</v>
      </c>
      <c r="D242" s="136" t="s">
        <v>512</v>
      </c>
      <c r="E242" s="136" t="s">
        <v>483</v>
      </c>
      <c r="F242" s="136" t="s">
        <v>491</v>
      </c>
      <c r="G242" s="136">
        <v>27</v>
      </c>
      <c r="H242" s="137">
        <v>48</v>
      </c>
      <c r="I242" s="138">
        <f t="shared" si="3"/>
        <v>1296</v>
      </c>
      <c r="J242" s="139" t="s">
        <v>466</v>
      </c>
      <c r="K242" s="140">
        <v>34.991999999999997</v>
      </c>
      <c r="L242">
        <f>Table13[[#This Row],[Price]]*Table13[[#This Row],[Units]]</f>
        <v>1296</v>
      </c>
    </row>
    <row r="243" spans="1:12" x14ac:dyDescent="0.35">
      <c r="A243" s="134">
        <v>45608</v>
      </c>
      <c r="B243" s="135" t="s">
        <v>747</v>
      </c>
      <c r="C243" s="136" t="s">
        <v>492</v>
      </c>
      <c r="D243" s="136" t="s">
        <v>470</v>
      </c>
      <c r="E243" s="136" t="s">
        <v>320</v>
      </c>
      <c r="F243" s="136" t="s">
        <v>491</v>
      </c>
      <c r="G243" s="136">
        <v>11</v>
      </c>
      <c r="H243" s="137">
        <v>50</v>
      </c>
      <c r="I243" s="138">
        <f t="shared" si="3"/>
        <v>550</v>
      </c>
      <c r="J243" s="139" t="s">
        <v>472</v>
      </c>
      <c r="K243" s="140">
        <v>13.2</v>
      </c>
      <c r="L243">
        <f>Table13[[#This Row],[Price]]*Table13[[#This Row],[Units]]</f>
        <v>550</v>
      </c>
    </row>
    <row r="244" spans="1:12" x14ac:dyDescent="0.35">
      <c r="A244" s="134">
        <v>45609</v>
      </c>
      <c r="B244" s="135" t="s">
        <v>748</v>
      </c>
      <c r="C244" s="136" t="s">
        <v>494</v>
      </c>
      <c r="D244" s="136" t="s">
        <v>465</v>
      </c>
      <c r="E244" s="136" t="s">
        <v>320</v>
      </c>
      <c r="F244" s="136" t="s">
        <v>567</v>
      </c>
      <c r="G244" s="136">
        <v>32</v>
      </c>
      <c r="H244" s="137">
        <v>49</v>
      </c>
      <c r="I244" s="138">
        <f t="shared" si="3"/>
        <v>1568</v>
      </c>
      <c r="J244" s="139" t="s">
        <v>466</v>
      </c>
      <c r="K244" s="140">
        <v>45.472000000000001</v>
      </c>
      <c r="L244">
        <f>Table13[[#This Row],[Price]]*Table13[[#This Row],[Units]]</f>
        <v>1568</v>
      </c>
    </row>
    <row r="245" spans="1:12" x14ac:dyDescent="0.35">
      <c r="A245" s="134">
        <v>45609</v>
      </c>
      <c r="B245" s="135" t="s">
        <v>749</v>
      </c>
      <c r="C245" s="136" t="s">
        <v>489</v>
      </c>
      <c r="D245" s="136" t="s">
        <v>465</v>
      </c>
      <c r="E245" s="136" t="s">
        <v>390</v>
      </c>
      <c r="F245" s="136" t="s">
        <v>520</v>
      </c>
      <c r="G245" s="136">
        <v>47</v>
      </c>
      <c r="H245" s="137">
        <v>28</v>
      </c>
      <c r="I245" s="138">
        <f t="shared" si="3"/>
        <v>1316</v>
      </c>
      <c r="J245" s="139" t="s">
        <v>515</v>
      </c>
      <c r="K245" s="140">
        <v>28.952000000000002</v>
      </c>
      <c r="L245">
        <f>Table13[[#This Row],[Price]]*Table13[[#This Row],[Units]]</f>
        <v>1316</v>
      </c>
    </row>
    <row r="246" spans="1:12" x14ac:dyDescent="0.35">
      <c r="A246" s="134">
        <v>45610</v>
      </c>
      <c r="B246" s="135" t="s">
        <v>750</v>
      </c>
      <c r="C246" s="136" t="s">
        <v>489</v>
      </c>
      <c r="D246" s="136" t="s">
        <v>512</v>
      </c>
      <c r="E246" s="136" t="s">
        <v>483</v>
      </c>
      <c r="F246" s="136" t="s">
        <v>513</v>
      </c>
      <c r="G246" s="136">
        <v>16</v>
      </c>
      <c r="H246" s="137">
        <v>35</v>
      </c>
      <c r="I246" s="138">
        <f t="shared" si="3"/>
        <v>560</v>
      </c>
      <c r="J246" s="139" t="s">
        <v>466</v>
      </c>
      <c r="K246" s="140">
        <v>14</v>
      </c>
      <c r="L246">
        <f>Table13[[#This Row],[Price]]*Table13[[#This Row],[Units]]</f>
        <v>560</v>
      </c>
    </row>
    <row r="247" spans="1:12" x14ac:dyDescent="0.35">
      <c r="A247" s="134">
        <v>45610</v>
      </c>
      <c r="B247" s="135" t="s">
        <v>751</v>
      </c>
      <c r="C247" s="136" t="s">
        <v>322</v>
      </c>
      <c r="D247" s="136" t="s">
        <v>477</v>
      </c>
      <c r="E247" s="136" t="s">
        <v>315</v>
      </c>
      <c r="F247" s="136" t="s">
        <v>500</v>
      </c>
      <c r="G247" s="136">
        <v>29</v>
      </c>
      <c r="H247" s="137">
        <v>21</v>
      </c>
      <c r="I247" s="138">
        <f t="shared" si="3"/>
        <v>609</v>
      </c>
      <c r="J247" s="139" t="s">
        <v>515</v>
      </c>
      <c r="K247" s="140">
        <v>12.789</v>
      </c>
      <c r="L247">
        <f>Table13[[#This Row],[Price]]*Table13[[#This Row],[Units]]</f>
        <v>609</v>
      </c>
    </row>
    <row r="248" spans="1:12" x14ac:dyDescent="0.35">
      <c r="A248" s="134">
        <v>45610</v>
      </c>
      <c r="B248" s="135" t="s">
        <v>752</v>
      </c>
      <c r="C248" s="136" t="s">
        <v>484</v>
      </c>
      <c r="D248" s="136" t="s">
        <v>477</v>
      </c>
      <c r="E248" s="136" t="s">
        <v>324</v>
      </c>
      <c r="F248" s="136" t="s">
        <v>497</v>
      </c>
      <c r="G248" s="136">
        <v>50</v>
      </c>
      <c r="H248" s="137">
        <v>27</v>
      </c>
      <c r="I248" s="138">
        <f t="shared" si="3"/>
        <v>1350</v>
      </c>
      <c r="J248" s="139" t="s">
        <v>472</v>
      </c>
      <c r="K248" s="140">
        <v>40.5</v>
      </c>
      <c r="L248">
        <f>Table13[[#This Row],[Price]]*Table13[[#This Row],[Units]]</f>
        <v>1350</v>
      </c>
    </row>
    <row r="249" spans="1:12" x14ac:dyDescent="0.35">
      <c r="A249" s="134">
        <v>45610</v>
      </c>
      <c r="B249" s="135" t="s">
        <v>753</v>
      </c>
      <c r="C249" s="136" t="s">
        <v>469</v>
      </c>
      <c r="D249" s="136" t="s">
        <v>477</v>
      </c>
      <c r="E249" s="136" t="s">
        <v>333</v>
      </c>
      <c r="F249" s="136" t="s">
        <v>567</v>
      </c>
      <c r="G249" s="136">
        <v>53</v>
      </c>
      <c r="H249" s="137">
        <v>50</v>
      </c>
      <c r="I249" s="138">
        <f t="shared" si="3"/>
        <v>2650</v>
      </c>
      <c r="J249" s="139" t="s">
        <v>466</v>
      </c>
      <c r="K249" s="140">
        <v>68.900000000000006</v>
      </c>
      <c r="L249">
        <f>Table13[[#This Row],[Price]]*Table13[[#This Row],[Units]]</f>
        <v>2650</v>
      </c>
    </row>
    <row r="250" spans="1:12" x14ac:dyDescent="0.35">
      <c r="A250" s="134">
        <v>45610</v>
      </c>
      <c r="B250" s="135" t="s">
        <v>754</v>
      </c>
      <c r="C250" s="136" t="s">
        <v>322</v>
      </c>
      <c r="D250" s="136" t="s">
        <v>512</v>
      </c>
      <c r="E250" s="136" t="s">
        <v>390</v>
      </c>
      <c r="F250" s="136" t="s">
        <v>528</v>
      </c>
      <c r="G250" s="136">
        <v>22</v>
      </c>
      <c r="H250" s="137">
        <v>45</v>
      </c>
      <c r="I250" s="138">
        <f t="shared" si="3"/>
        <v>990</v>
      </c>
      <c r="J250" s="139" t="s">
        <v>515</v>
      </c>
      <c r="K250" s="140">
        <v>26.73</v>
      </c>
      <c r="L250">
        <f>Table13[[#This Row],[Price]]*Table13[[#This Row],[Units]]</f>
        <v>990</v>
      </c>
    </row>
    <row r="251" spans="1:12" x14ac:dyDescent="0.35">
      <c r="A251" s="134">
        <v>45610</v>
      </c>
      <c r="B251" s="135" t="s">
        <v>755</v>
      </c>
      <c r="C251" s="136" t="s">
        <v>484</v>
      </c>
      <c r="D251" s="136" t="s">
        <v>519</v>
      </c>
      <c r="E251" s="136" t="s">
        <v>412</v>
      </c>
      <c r="F251" s="136" t="s">
        <v>505</v>
      </c>
      <c r="G251" s="136">
        <v>57</v>
      </c>
      <c r="H251" s="137">
        <v>60</v>
      </c>
      <c r="I251" s="138">
        <f t="shared" si="3"/>
        <v>3420</v>
      </c>
      <c r="J251" s="139" t="s">
        <v>466</v>
      </c>
      <c r="K251" s="140">
        <v>92.34</v>
      </c>
      <c r="L251">
        <f>Table13[[#This Row],[Price]]*Table13[[#This Row],[Units]]</f>
        <v>3420</v>
      </c>
    </row>
    <row r="252" spans="1:12" x14ac:dyDescent="0.35">
      <c r="A252" s="134">
        <v>45610</v>
      </c>
      <c r="B252" s="135" t="s">
        <v>756</v>
      </c>
      <c r="C252" s="136" t="s">
        <v>464</v>
      </c>
      <c r="D252" s="136" t="s">
        <v>486</v>
      </c>
      <c r="E252" s="136" t="s">
        <v>390</v>
      </c>
      <c r="F252" s="136" t="s">
        <v>454</v>
      </c>
      <c r="G252" s="136">
        <v>46</v>
      </c>
      <c r="H252" s="137">
        <v>26</v>
      </c>
      <c r="I252" s="138">
        <f t="shared" si="3"/>
        <v>1196</v>
      </c>
      <c r="J252" s="139" t="s">
        <v>466</v>
      </c>
      <c r="K252" s="140">
        <v>28.704000000000001</v>
      </c>
      <c r="L252">
        <f>Table13[[#This Row],[Price]]*Table13[[#This Row],[Units]]</f>
        <v>1196</v>
      </c>
    </row>
    <row r="253" spans="1:12" x14ac:dyDescent="0.35">
      <c r="A253" s="134">
        <v>45610</v>
      </c>
      <c r="B253" s="135" t="s">
        <v>757</v>
      </c>
      <c r="C253" s="136" t="s">
        <v>501</v>
      </c>
      <c r="D253" s="136" t="s">
        <v>486</v>
      </c>
      <c r="E253" s="136" t="s">
        <v>483</v>
      </c>
      <c r="F253" s="136" t="s">
        <v>491</v>
      </c>
      <c r="G253" s="136">
        <v>60</v>
      </c>
      <c r="H253" s="137">
        <v>59</v>
      </c>
      <c r="I253" s="138">
        <f t="shared" si="3"/>
        <v>3540</v>
      </c>
      <c r="J253" s="139" t="s">
        <v>472</v>
      </c>
      <c r="K253" s="140">
        <v>77.88</v>
      </c>
      <c r="L253">
        <f>Table13[[#This Row],[Price]]*Table13[[#This Row],[Units]]</f>
        <v>3540</v>
      </c>
    </row>
    <row r="254" spans="1:12" x14ac:dyDescent="0.35">
      <c r="A254" s="134">
        <v>45610</v>
      </c>
      <c r="B254" s="135" t="s">
        <v>758</v>
      </c>
      <c r="C254" s="136" t="s">
        <v>464</v>
      </c>
      <c r="D254" s="136" t="s">
        <v>470</v>
      </c>
      <c r="E254" s="136" t="s">
        <v>315</v>
      </c>
      <c r="F254" s="136" t="s">
        <v>478</v>
      </c>
      <c r="G254" s="136">
        <v>27</v>
      </c>
      <c r="H254" s="137">
        <v>22</v>
      </c>
      <c r="I254" s="138">
        <f t="shared" si="3"/>
        <v>594</v>
      </c>
      <c r="J254" s="139" t="s">
        <v>515</v>
      </c>
      <c r="K254" s="140">
        <v>14.256</v>
      </c>
      <c r="L254">
        <f>Table13[[#This Row],[Price]]*Table13[[#This Row],[Units]]</f>
        <v>594</v>
      </c>
    </row>
    <row r="255" spans="1:12" x14ac:dyDescent="0.35">
      <c r="A255" s="134">
        <v>45610</v>
      </c>
      <c r="B255" s="135" t="s">
        <v>759</v>
      </c>
      <c r="C255" s="136" t="s">
        <v>322</v>
      </c>
      <c r="D255" s="136" t="s">
        <v>486</v>
      </c>
      <c r="E255" s="136" t="s">
        <v>412</v>
      </c>
      <c r="F255" s="136" t="s">
        <v>520</v>
      </c>
      <c r="G255" s="136">
        <v>40</v>
      </c>
      <c r="H255" s="137">
        <v>57</v>
      </c>
      <c r="I255" s="138">
        <f t="shared" si="3"/>
        <v>2280</v>
      </c>
      <c r="J255" s="139" t="s">
        <v>466</v>
      </c>
      <c r="K255" s="140">
        <v>68.400000000000006</v>
      </c>
      <c r="L255">
        <f>Table13[[#This Row],[Price]]*Table13[[#This Row],[Units]]</f>
        <v>2280</v>
      </c>
    </row>
    <row r="256" spans="1:12" x14ac:dyDescent="0.35">
      <c r="A256" s="134">
        <v>45610</v>
      </c>
      <c r="B256" s="135" t="s">
        <v>760</v>
      </c>
      <c r="C256" s="136" t="s">
        <v>492</v>
      </c>
      <c r="D256" s="136" t="s">
        <v>512</v>
      </c>
      <c r="E256" s="136" t="s">
        <v>333</v>
      </c>
      <c r="F256" s="136" t="s">
        <v>471</v>
      </c>
      <c r="G256" s="136">
        <v>50</v>
      </c>
      <c r="H256" s="137">
        <v>21</v>
      </c>
      <c r="I256" s="138">
        <f t="shared" si="3"/>
        <v>1050</v>
      </c>
      <c r="J256" s="139" t="s">
        <v>472</v>
      </c>
      <c r="K256" s="140">
        <v>30.45</v>
      </c>
      <c r="L256">
        <f>Table13[[#This Row],[Price]]*Table13[[#This Row],[Units]]</f>
        <v>1050</v>
      </c>
    </row>
    <row r="257" spans="1:12" x14ac:dyDescent="0.35">
      <c r="A257" s="134">
        <v>45610</v>
      </c>
      <c r="B257" s="135" t="s">
        <v>761</v>
      </c>
      <c r="C257" s="136" t="s">
        <v>494</v>
      </c>
      <c r="D257" s="136" t="s">
        <v>490</v>
      </c>
      <c r="E257" s="136" t="s">
        <v>324</v>
      </c>
      <c r="F257" s="136" t="s">
        <v>567</v>
      </c>
      <c r="G257" s="136">
        <v>54</v>
      </c>
      <c r="H257" s="137">
        <v>38</v>
      </c>
      <c r="I257" s="138">
        <f t="shared" si="3"/>
        <v>2052</v>
      </c>
      <c r="J257" s="139" t="s">
        <v>466</v>
      </c>
      <c r="K257" s="140">
        <v>53.351999999999997</v>
      </c>
      <c r="L257">
        <f>Table13[[#This Row],[Price]]*Table13[[#This Row],[Units]]</f>
        <v>2052</v>
      </c>
    </row>
    <row r="258" spans="1:12" x14ac:dyDescent="0.35">
      <c r="A258" s="134">
        <v>45610</v>
      </c>
      <c r="B258" s="135" t="s">
        <v>762</v>
      </c>
      <c r="C258" s="136" t="s">
        <v>501</v>
      </c>
      <c r="D258" s="136" t="s">
        <v>490</v>
      </c>
      <c r="E258" s="136" t="s">
        <v>320</v>
      </c>
      <c r="F258" s="136" t="s">
        <v>510</v>
      </c>
      <c r="G258" s="136">
        <v>58</v>
      </c>
      <c r="H258" s="137">
        <v>51</v>
      </c>
      <c r="I258" s="138">
        <f t="shared" si="3"/>
        <v>2958</v>
      </c>
      <c r="J258" s="139" t="s">
        <v>466</v>
      </c>
      <c r="K258" s="140">
        <v>62.118000000000002</v>
      </c>
      <c r="L258">
        <f>Table13[[#This Row],[Price]]*Table13[[#This Row],[Units]]</f>
        <v>2958</v>
      </c>
    </row>
    <row r="259" spans="1:12" x14ac:dyDescent="0.35">
      <c r="A259" s="134">
        <v>45610</v>
      </c>
      <c r="B259" s="135" t="s">
        <v>763</v>
      </c>
      <c r="C259" s="136" t="s">
        <v>494</v>
      </c>
      <c r="D259" s="136" t="s">
        <v>477</v>
      </c>
      <c r="E259" s="136" t="s">
        <v>320</v>
      </c>
      <c r="F259" s="136" t="s">
        <v>513</v>
      </c>
      <c r="G259" s="136">
        <v>53</v>
      </c>
      <c r="H259" s="137">
        <v>58</v>
      </c>
      <c r="I259" s="138">
        <f t="shared" ref="I259:I322" si="4">G259*H259</f>
        <v>3074</v>
      </c>
      <c r="J259" s="139" t="s">
        <v>472</v>
      </c>
      <c r="K259" s="140">
        <v>86.072000000000003</v>
      </c>
      <c r="L259">
        <f>Table13[[#This Row],[Price]]*Table13[[#This Row],[Units]]</f>
        <v>3074</v>
      </c>
    </row>
    <row r="260" spans="1:12" x14ac:dyDescent="0.35">
      <c r="A260" s="134">
        <v>45610</v>
      </c>
      <c r="B260" s="135" t="s">
        <v>764</v>
      </c>
      <c r="C260" s="136" t="s">
        <v>494</v>
      </c>
      <c r="D260" s="136" t="s">
        <v>519</v>
      </c>
      <c r="E260" s="136" t="s">
        <v>333</v>
      </c>
      <c r="F260" s="136" t="s">
        <v>510</v>
      </c>
      <c r="G260" s="136">
        <v>39</v>
      </c>
      <c r="H260" s="137">
        <v>44</v>
      </c>
      <c r="I260" s="138">
        <f t="shared" si="4"/>
        <v>1716</v>
      </c>
      <c r="J260" s="139" t="s">
        <v>466</v>
      </c>
      <c r="K260" s="140">
        <v>44.616</v>
      </c>
      <c r="L260">
        <f>Table13[[#This Row],[Price]]*Table13[[#This Row],[Units]]</f>
        <v>1716</v>
      </c>
    </row>
    <row r="261" spans="1:12" x14ac:dyDescent="0.35">
      <c r="A261" s="134">
        <v>45610</v>
      </c>
      <c r="B261" s="135" t="s">
        <v>765</v>
      </c>
      <c r="C261" s="136" t="s">
        <v>489</v>
      </c>
      <c r="D261" s="136" t="s">
        <v>477</v>
      </c>
      <c r="E261" s="136" t="s">
        <v>324</v>
      </c>
      <c r="F261" s="136" t="s">
        <v>517</v>
      </c>
      <c r="G261" s="136">
        <v>36</v>
      </c>
      <c r="H261" s="137">
        <v>24</v>
      </c>
      <c r="I261" s="138">
        <f t="shared" si="4"/>
        <v>864</v>
      </c>
      <c r="J261" s="139" t="s">
        <v>472</v>
      </c>
      <c r="K261" s="140">
        <v>25.056000000000001</v>
      </c>
      <c r="L261">
        <f>Table13[[#This Row],[Price]]*Table13[[#This Row],[Units]]</f>
        <v>864</v>
      </c>
    </row>
    <row r="262" spans="1:12" x14ac:dyDescent="0.35">
      <c r="A262" s="134">
        <v>45610</v>
      </c>
      <c r="B262" s="135" t="s">
        <v>766</v>
      </c>
      <c r="C262" s="136" t="s">
        <v>469</v>
      </c>
      <c r="D262" s="136" t="s">
        <v>477</v>
      </c>
      <c r="E262" s="136" t="s">
        <v>390</v>
      </c>
      <c r="F262" s="136" t="s">
        <v>567</v>
      </c>
      <c r="G262" s="136">
        <v>49</v>
      </c>
      <c r="H262" s="137">
        <v>41</v>
      </c>
      <c r="I262" s="138">
        <f t="shared" si="4"/>
        <v>2009</v>
      </c>
      <c r="J262" s="139" t="s">
        <v>472</v>
      </c>
      <c r="K262" s="140">
        <v>56.252000000000002</v>
      </c>
      <c r="L262">
        <f>Table13[[#This Row],[Price]]*Table13[[#This Row],[Units]]</f>
        <v>2009</v>
      </c>
    </row>
    <row r="263" spans="1:12" x14ac:dyDescent="0.35">
      <c r="A263" s="134">
        <v>45610</v>
      </c>
      <c r="B263" s="135" t="s">
        <v>767</v>
      </c>
      <c r="C263" s="136" t="s">
        <v>492</v>
      </c>
      <c r="D263" s="136" t="s">
        <v>470</v>
      </c>
      <c r="E263" s="136" t="s">
        <v>390</v>
      </c>
      <c r="F263" s="136" t="s">
        <v>505</v>
      </c>
      <c r="G263" s="136">
        <v>24</v>
      </c>
      <c r="H263" s="137">
        <v>38</v>
      </c>
      <c r="I263" s="138">
        <f t="shared" si="4"/>
        <v>912</v>
      </c>
      <c r="J263" s="139" t="s">
        <v>472</v>
      </c>
      <c r="K263" s="140">
        <v>21.888000000000002</v>
      </c>
      <c r="L263">
        <f>Table13[[#This Row],[Price]]*Table13[[#This Row],[Units]]</f>
        <v>912</v>
      </c>
    </row>
    <row r="264" spans="1:12" x14ac:dyDescent="0.35">
      <c r="A264" s="134">
        <v>45610</v>
      </c>
      <c r="B264" s="135" t="s">
        <v>768</v>
      </c>
      <c r="C264" s="136" t="s">
        <v>484</v>
      </c>
      <c r="D264" s="136" t="s">
        <v>465</v>
      </c>
      <c r="E264" s="136" t="s">
        <v>333</v>
      </c>
      <c r="F264" s="136" t="s">
        <v>536</v>
      </c>
      <c r="G264" s="136">
        <v>17</v>
      </c>
      <c r="H264" s="137">
        <v>23</v>
      </c>
      <c r="I264" s="138">
        <f t="shared" si="4"/>
        <v>391</v>
      </c>
      <c r="J264" s="139" t="s">
        <v>472</v>
      </c>
      <c r="K264" s="140">
        <v>9.3840000000000003</v>
      </c>
      <c r="L264">
        <f>Table13[[#This Row],[Price]]*Table13[[#This Row],[Units]]</f>
        <v>391</v>
      </c>
    </row>
    <row r="265" spans="1:12" x14ac:dyDescent="0.35">
      <c r="A265" s="134">
        <v>45610</v>
      </c>
      <c r="B265" s="135" t="s">
        <v>769</v>
      </c>
      <c r="C265" s="136" t="s">
        <v>476</v>
      </c>
      <c r="D265" s="136" t="s">
        <v>486</v>
      </c>
      <c r="E265" s="136" t="s">
        <v>483</v>
      </c>
      <c r="F265" s="136" t="s">
        <v>487</v>
      </c>
      <c r="G265" s="136">
        <v>14</v>
      </c>
      <c r="H265" s="137">
        <v>52</v>
      </c>
      <c r="I265" s="138">
        <f t="shared" si="4"/>
        <v>728</v>
      </c>
      <c r="J265" s="139" t="s">
        <v>466</v>
      </c>
      <c r="K265" s="140">
        <v>20.384</v>
      </c>
      <c r="L265">
        <f>Table13[[#This Row],[Price]]*Table13[[#This Row],[Units]]</f>
        <v>728</v>
      </c>
    </row>
    <row r="266" spans="1:12" x14ac:dyDescent="0.35">
      <c r="A266" s="134">
        <v>45610</v>
      </c>
      <c r="B266" s="135" t="s">
        <v>770</v>
      </c>
      <c r="C266" s="136" t="s">
        <v>469</v>
      </c>
      <c r="D266" s="136" t="s">
        <v>477</v>
      </c>
      <c r="E266" s="136" t="s">
        <v>324</v>
      </c>
      <c r="F266" s="136" t="s">
        <v>528</v>
      </c>
      <c r="G266" s="136">
        <v>47</v>
      </c>
      <c r="H266" s="137">
        <v>46</v>
      </c>
      <c r="I266" s="138">
        <f t="shared" si="4"/>
        <v>2162</v>
      </c>
      <c r="J266" s="139" t="s">
        <v>466</v>
      </c>
      <c r="K266" s="140">
        <v>58.374000000000002</v>
      </c>
      <c r="L266">
        <f>Table13[[#This Row],[Price]]*Table13[[#This Row],[Units]]</f>
        <v>2162</v>
      </c>
    </row>
    <row r="267" spans="1:12" x14ac:dyDescent="0.35">
      <c r="A267" s="134">
        <v>45610</v>
      </c>
      <c r="B267" s="135" t="s">
        <v>771</v>
      </c>
      <c r="C267" s="136" t="s">
        <v>322</v>
      </c>
      <c r="D267" s="136" t="s">
        <v>465</v>
      </c>
      <c r="E267" s="136" t="s">
        <v>320</v>
      </c>
      <c r="F267" s="136" t="s">
        <v>491</v>
      </c>
      <c r="G267" s="136">
        <v>14</v>
      </c>
      <c r="H267" s="137">
        <v>39</v>
      </c>
      <c r="I267" s="138">
        <f t="shared" si="4"/>
        <v>546</v>
      </c>
      <c r="J267" s="139" t="s">
        <v>503</v>
      </c>
      <c r="K267" s="140">
        <v>16.38</v>
      </c>
      <c r="L267">
        <f>Table13[[#This Row],[Price]]*Table13[[#This Row],[Units]]</f>
        <v>546</v>
      </c>
    </row>
    <row r="268" spans="1:12" x14ac:dyDescent="0.35">
      <c r="A268" s="134">
        <v>45610</v>
      </c>
      <c r="B268" s="135" t="s">
        <v>772</v>
      </c>
      <c r="C268" s="136" t="s">
        <v>484</v>
      </c>
      <c r="D268" s="136" t="s">
        <v>470</v>
      </c>
      <c r="E268" s="136" t="s">
        <v>333</v>
      </c>
      <c r="F268" s="136" t="s">
        <v>539</v>
      </c>
      <c r="G268" s="136">
        <v>21</v>
      </c>
      <c r="H268" s="137">
        <v>29</v>
      </c>
      <c r="I268" s="138">
        <f t="shared" si="4"/>
        <v>609</v>
      </c>
      <c r="J268" s="139" t="s">
        <v>466</v>
      </c>
      <c r="K268" s="140">
        <v>18.27</v>
      </c>
      <c r="L268">
        <f>Table13[[#This Row],[Price]]*Table13[[#This Row],[Units]]</f>
        <v>609</v>
      </c>
    </row>
    <row r="269" spans="1:12" x14ac:dyDescent="0.35">
      <c r="A269" s="134">
        <v>45611</v>
      </c>
      <c r="B269" s="135" t="s">
        <v>773</v>
      </c>
      <c r="C269" s="136" t="s">
        <v>469</v>
      </c>
      <c r="D269" s="136" t="s">
        <v>470</v>
      </c>
      <c r="E269" s="136" t="s">
        <v>483</v>
      </c>
      <c r="F269" s="136" t="s">
        <v>500</v>
      </c>
      <c r="G269" s="136">
        <v>17</v>
      </c>
      <c r="H269" s="137">
        <v>58</v>
      </c>
      <c r="I269" s="138">
        <f t="shared" si="4"/>
        <v>986</v>
      </c>
      <c r="J269" s="139" t="s">
        <v>515</v>
      </c>
      <c r="K269" s="140">
        <v>24.65</v>
      </c>
      <c r="L269">
        <f>Table13[[#This Row],[Price]]*Table13[[#This Row],[Units]]</f>
        <v>986</v>
      </c>
    </row>
    <row r="270" spans="1:12" x14ac:dyDescent="0.35">
      <c r="A270" s="134">
        <v>45611</v>
      </c>
      <c r="B270" s="135" t="s">
        <v>774</v>
      </c>
      <c r="C270" s="136" t="s">
        <v>464</v>
      </c>
      <c r="D270" s="136" t="s">
        <v>486</v>
      </c>
      <c r="E270" s="136" t="s">
        <v>390</v>
      </c>
      <c r="F270" s="136" t="s">
        <v>517</v>
      </c>
      <c r="G270" s="136">
        <v>58</v>
      </c>
      <c r="H270" s="137">
        <v>60</v>
      </c>
      <c r="I270" s="138">
        <f t="shared" si="4"/>
        <v>3480</v>
      </c>
      <c r="J270" s="139" t="s">
        <v>466</v>
      </c>
      <c r="K270" s="140">
        <v>87</v>
      </c>
      <c r="L270">
        <f>Table13[[#This Row],[Price]]*Table13[[#This Row],[Units]]</f>
        <v>3480</v>
      </c>
    </row>
    <row r="271" spans="1:12" x14ac:dyDescent="0.35">
      <c r="A271" s="134">
        <v>45612</v>
      </c>
      <c r="B271" s="135" t="s">
        <v>775</v>
      </c>
      <c r="C271" s="136" t="s">
        <v>489</v>
      </c>
      <c r="D271" s="136" t="s">
        <v>477</v>
      </c>
      <c r="E271" s="136" t="s">
        <v>315</v>
      </c>
      <c r="F271" s="136" t="s">
        <v>528</v>
      </c>
      <c r="G271" s="136">
        <v>56</v>
      </c>
      <c r="H271" s="137">
        <v>48</v>
      </c>
      <c r="I271" s="138">
        <f t="shared" si="4"/>
        <v>2688</v>
      </c>
      <c r="J271" s="139" t="s">
        <v>466</v>
      </c>
      <c r="K271" s="140">
        <v>53.76</v>
      </c>
      <c r="L271">
        <f>Table13[[#This Row],[Price]]*Table13[[#This Row],[Units]]</f>
        <v>2688</v>
      </c>
    </row>
    <row r="272" spans="1:12" x14ac:dyDescent="0.35">
      <c r="A272" s="134">
        <v>45612</v>
      </c>
      <c r="B272" s="135" t="s">
        <v>776</v>
      </c>
      <c r="C272" s="136" t="s">
        <v>476</v>
      </c>
      <c r="D272" s="136" t="s">
        <v>470</v>
      </c>
      <c r="E272" s="136" t="s">
        <v>320</v>
      </c>
      <c r="F272" s="136" t="s">
        <v>454</v>
      </c>
      <c r="G272" s="136">
        <v>20</v>
      </c>
      <c r="H272" s="137">
        <v>23</v>
      </c>
      <c r="I272" s="138">
        <f t="shared" si="4"/>
        <v>460</v>
      </c>
      <c r="J272" s="139" t="s">
        <v>472</v>
      </c>
      <c r="K272" s="140">
        <v>11.5</v>
      </c>
      <c r="L272">
        <f>Table13[[#This Row],[Price]]*Table13[[#This Row],[Units]]</f>
        <v>460</v>
      </c>
    </row>
    <row r="273" spans="1:12" x14ac:dyDescent="0.35">
      <c r="A273" s="134">
        <v>45612</v>
      </c>
      <c r="B273" s="135" t="s">
        <v>777</v>
      </c>
      <c r="C273" s="136" t="s">
        <v>464</v>
      </c>
      <c r="D273" s="136" t="s">
        <v>470</v>
      </c>
      <c r="E273" s="136" t="s">
        <v>333</v>
      </c>
      <c r="F273" s="136" t="s">
        <v>528</v>
      </c>
      <c r="G273" s="136">
        <v>13</v>
      </c>
      <c r="H273" s="137">
        <v>47</v>
      </c>
      <c r="I273" s="138">
        <f t="shared" si="4"/>
        <v>611</v>
      </c>
      <c r="J273" s="139" t="s">
        <v>466</v>
      </c>
      <c r="K273" s="140">
        <v>13.442</v>
      </c>
      <c r="L273">
        <f>Table13[[#This Row],[Price]]*Table13[[#This Row],[Units]]</f>
        <v>611</v>
      </c>
    </row>
    <row r="274" spans="1:12" x14ac:dyDescent="0.35">
      <c r="A274" s="134">
        <v>45612</v>
      </c>
      <c r="B274" s="135" t="s">
        <v>778</v>
      </c>
      <c r="C274" s="136" t="s">
        <v>322</v>
      </c>
      <c r="D274" s="136" t="s">
        <v>512</v>
      </c>
      <c r="E274" s="136" t="s">
        <v>333</v>
      </c>
      <c r="F274" s="136" t="s">
        <v>471</v>
      </c>
      <c r="G274" s="136">
        <v>18</v>
      </c>
      <c r="H274" s="137">
        <v>55</v>
      </c>
      <c r="I274" s="138">
        <f t="shared" si="4"/>
        <v>990</v>
      </c>
      <c r="J274" s="139" t="s">
        <v>472</v>
      </c>
      <c r="K274" s="140">
        <v>29.7</v>
      </c>
      <c r="L274">
        <f>Table13[[#This Row],[Price]]*Table13[[#This Row],[Units]]</f>
        <v>990</v>
      </c>
    </row>
    <row r="275" spans="1:12" x14ac:dyDescent="0.35">
      <c r="A275" s="134">
        <v>45612</v>
      </c>
      <c r="B275" s="135" t="s">
        <v>779</v>
      </c>
      <c r="C275" s="136" t="s">
        <v>494</v>
      </c>
      <c r="D275" s="136" t="s">
        <v>477</v>
      </c>
      <c r="E275" s="136" t="s">
        <v>324</v>
      </c>
      <c r="F275" s="136" t="s">
        <v>500</v>
      </c>
      <c r="G275" s="136">
        <v>19</v>
      </c>
      <c r="H275" s="137">
        <v>39</v>
      </c>
      <c r="I275" s="138">
        <f t="shared" si="4"/>
        <v>741</v>
      </c>
      <c r="J275" s="139" t="s">
        <v>472</v>
      </c>
      <c r="K275" s="140">
        <v>17.042999999999999</v>
      </c>
      <c r="L275">
        <f>Table13[[#This Row],[Price]]*Table13[[#This Row],[Units]]</f>
        <v>741</v>
      </c>
    </row>
    <row r="276" spans="1:12" x14ac:dyDescent="0.35">
      <c r="A276" s="134">
        <v>45613</v>
      </c>
      <c r="B276" s="135" t="s">
        <v>780</v>
      </c>
      <c r="C276" s="136" t="s">
        <v>492</v>
      </c>
      <c r="D276" s="136" t="s">
        <v>470</v>
      </c>
      <c r="E276" s="136" t="s">
        <v>333</v>
      </c>
      <c r="F276" s="136" t="s">
        <v>528</v>
      </c>
      <c r="G276" s="136">
        <v>35</v>
      </c>
      <c r="H276" s="137">
        <v>40</v>
      </c>
      <c r="I276" s="138">
        <f t="shared" si="4"/>
        <v>1400</v>
      </c>
      <c r="J276" s="139" t="s">
        <v>466</v>
      </c>
      <c r="K276" s="140">
        <v>30.8</v>
      </c>
      <c r="L276">
        <f>Table13[[#This Row],[Price]]*Table13[[#This Row],[Units]]</f>
        <v>1400</v>
      </c>
    </row>
    <row r="277" spans="1:12" x14ac:dyDescent="0.35">
      <c r="A277" s="134">
        <v>45613</v>
      </c>
      <c r="B277" s="135" t="s">
        <v>781</v>
      </c>
      <c r="C277" s="136" t="s">
        <v>494</v>
      </c>
      <c r="D277" s="136" t="s">
        <v>519</v>
      </c>
      <c r="E277" s="136" t="s">
        <v>333</v>
      </c>
      <c r="F277" s="136" t="s">
        <v>487</v>
      </c>
      <c r="G277" s="136">
        <v>19</v>
      </c>
      <c r="H277" s="137">
        <v>28</v>
      </c>
      <c r="I277" s="138">
        <f t="shared" si="4"/>
        <v>532</v>
      </c>
      <c r="J277" s="139" t="s">
        <v>472</v>
      </c>
      <c r="K277" s="140">
        <v>14.364000000000001</v>
      </c>
      <c r="L277">
        <f>Table13[[#This Row],[Price]]*Table13[[#This Row],[Units]]</f>
        <v>532</v>
      </c>
    </row>
    <row r="278" spans="1:12" x14ac:dyDescent="0.35">
      <c r="A278" s="134">
        <v>45613</v>
      </c>
      <c r="B278" s="135" t="s">
        <v>782</v>
      </c>
      <c r="C278" s="136" t="s">
        <v>494</v>
      </c>
      <c r="D278" s="136" t="s">
        <v>470</v>
      </c>
      <c r="E278" s="136" t="s">
        <v>390</v>
      </c>
      <c r="F278" s="136" t="s">
        <v>536</v>
      </c>
      <c r="G278" s="136">
        <v>36</v>
      </c>
      <c r="H278" s="137">
        <v>31</v>
      </c>
      <c r="I278" s="138">
        <f t="shared" si="4"/>
        <v>1116</v>
      </c>
      <c r="J278" s="139" t="s">
        <v>466</v>
      </c>
      <c r="K278" s="140">
        <v>31.248000000000001</v>
      </c>
      <c r="L278">
        <f>Table13[[#This Row],[Price]]*Table13[[#This Row],[Units]]</f>
        <v>1116</v>
      </c>
    </row>
    <row r="279" spans="1:12" x14ac:dyDescent="0.35">
      <c r="A279" s="134">
        <v>45614</v>
      </c>
      <c r="B279" s="135" t="s">
        <v>783</v>
      </c>
      <c r="C279" s="136" t="s">
        <v>322</v>
      </c>
      <c r="D279" s="136" t="s">
        <v>470</v>
      </c>
      <c r="E279" s="136" t="s">
        <v>324</v>
      </c>
      <c r="F279" s="136" t="s">
        <v>500</v>
      </c>
      <c r="G279" s="136">
        <v>34</v>
      </c>
      <c r="H279" s="137">
        <v>28</v>
      </c>
      <c r="I279" s="138">
        <f t="shared" si="4"/>
        <v>952</v>
      </c>
      <c r="J279" s="139" t="s">
        <v>472</v>
      </c>
      <c r="K279" s="140">
        <v>22.847999999999999</v>
      </c>
      <c r="L279">
        <f>Table13[[#This Row],[Price]]*Table13[[#This Row],[Units]]</f>
        <v>952</v>
      </c>
    </row>
    <row r="280" spans="1:12" x14ac:dyDescent="0.35">
      <c r="A280" s="134">
        <v>45614</v>
      </c>
      <c r="B280" s="135" t="s">
        <v>784</v>
      </c>
      <c r="C280" s="136" t="s">
        <v>489</v>
      </c>
      <c r="D280" s="136" t="s">
        <v>465</v>
      </c>
      <c r="E280" s="136" t="s">
        <v>315</v>
      </c>
      <c r="F280" s="136" t="s">
        <v>539</v>
      </c>
      <c r="G280" s="136">
        <v>47</v>
      </c>
      <c r="H280" s="137">
        <v>43</v>
      </c>
      <c r="I280" s="138">
        <f t="shared" si="4"/>
        <v>2021</v>
      </c>
      <c r="J280" s="139" t="s">
        <v>472</v>
      </c>
      <c r="K280" s="140">
        <v>40.42</v>
      </c>
      <c r="L280">
        <f>Table13[[#This Row],[Price]]*Table13[[#This Row],[Units]]</f>
        <v>2021</v>
      </c>
    </row>
    <row r="281" spans="1:12" x14ac:dyDescent="0.35">
      <c r="A281" s="134">
        <v>45614</v>
      </c>
      <c r="B281" s="135" t="s">
        <v>785</v>
      </c>
      <c r="C281" s="136" t="s">
        <v>489</v>
      </c>
      <c r="D281" s="136" t="s">
        <v>477</v>
      </c>
      <c r="E281" s="136" t="s">
        <v>320</v>
      </c>
      <c r="F281" s="136" t="s">
        <v>510</v>
      </c>
      <c r="G281" s="136">
        <v>30</v>
      </c>
      <c r="H281" s="137">
        <v>49</v>
      </c>
      <c r="I281" s="138">
        <f t="shared" si="4"/>
        <v>1470</v>
      </c>
      <c r="J281" s="139" t="s">
        <v>472</v>
      </c>
      <c r="K281" s="140">
        <v>32.340000000000003</v>
      </c>
      <c r="L281">
        <f>Table13[[#This Row],[Price]]*Table13[[#This Row],[Units]]</f>
        <v>1470</v>
      </c>
    </row>
    <row r="282" spans="1:12" x14ac:dyDescent="0.35">
      <c r="A282" s="134">
        <v>45614</v>
      </c>
      <c r="B282" s="135" t="s">
        <v>786</v>
      </c>
      <c r="C282" s="136" t="s">
        <v>484</v>
      </c>
      <c r="D282" s="136" t="s">
        <v>490</v>
      </c>
      <c r="E282" s="136" t="s">
        <v>315</v>
      </c>
      <c r="F282" s="136" t="s">
        <v>497</v>
      </c>
      <c r="G282" s="136">
        <v>20</v>
      </c>
      <c r="H282" s="137">
        <v>49</v>
      </c>
      <c r="I282" s="138">
        <f t="shared" si="4"/>
        <v>980</v>
      </c>
      <c r="J282" s="139" t="s">
        <v>503</v>
      </c>
      <c r="K282" s="140">
        <v>19.600000000000001</v>
      </c>
      <c r="L282">
        <f>Table13[[#This Row],[Price]]*Table13[[#This Row],[Units]]</f>
        <v>980</v>
      </c>
    </row>
    <row r="283" spans="1:12" x14ac:dyDescent="0.35">
      <c r="A283" s="134">
        <v>45614</v>
      </c>
      <c r="B283" s="135" t="s">
        <v>787</v>
      </c>
      <c r="C283" s="136" t="s">
        <v>501</v>
      </c>
      <c r="D283" s="136" t="s">
        <v>519</v>
      </c>
      <c r="E283" s="136" t="s">
        <v>483</v>
      </c>
      <c r="F283" s="136" t="s">
        <v>491</v>
      </c>
      <c r="G283" s="136">
        <v>23</v>
      </c>
      <c r="H283" s="137">
        <v>27</v>
      </c>
      <c r="I283" s="138">
        <f t="shared" si="4"/>
        <v>621</v>
      </c>
      <c r="J283" s="139" t="s">
        <v>466</v>
      </c>
      <c r="K283" s="140">
        <v>16.766999999999999</v>
      </c>
      <c r="L283">
        <f>Table13[[#This Row],[Price]]*Table13[[#This Row],[Units]]</f>
        <v>621</v>
      </c>
    </row>
    <row r="284" spans="1:12" x14ac:dyDescent="0.35">
      <c r="A284" s="134">
        <v>45614</v>
      </c>
      <c r="B284" s="135" t="s">
        <v>788</v>
      </c>
      <c r="C284" s="136" t="s">
        <v>322</v>
      </c>
      <c r="D284" s="136" t="s">
        <v>470</v>
      </c>
      <c r="E284" s="136" t="s">
        <v>324</v>
      </c>
      <c r="F284" s="136" t="s">
        <v>528</v>
      </c>
      <c r="G284" s="136">
        <v>15</v>
      </c>
      <c r="H284" s="137">
        <v>50</v>
      </c>
      <c r="I284" s="138">
        <f t="shared" si="4"/>
        <v>750</v>
      </c>
      <c r="J284" s="139" t="s">
        <v>466</v>
      </c>
      <c r="K284" s="140">
        <v>15.75</v>
      </c>
      <c r="L284">
        <f>Table13[[#This Row],[Price]]*Table13[[#This Row],[Units]]</f>
        <v>750</v>
      </c>
    </row>
    <row r="285" spans="1:12" x14ac:dyDescent="0.35">
      <c r="A285" s="134">
        <v>45614</v>
      </c>
      <c r="B285" s="135" t="s">
        <v>789</v>
      </c>
      <c r="C285" s="136" t="s">
        <v>494</v>
      </c>
      <c r="D285" s="136" t="s">
        <v>465</v>
      </c>
      <c r="E285" s="136" t="s">
        <v>333</v>
      </c>
      <c r="F285" s="136" t="s">
        <v>539</v>
      </c>
      <c r="G285" s="136">
        <v>55</v>
      </c>
      <c r="H285" s="137">
        <v>20</v>
      </c>
      <c r="I285" s="138">
        <f t="shared" si="4"/>
        <v>1100</v>
      </c>
      <c r="J285" s="139" t="s">
        <v>515</v>
      </c>
      <c r="K285" s="140">
        <v>26.4</v>
      </c>
      <c r="L285">
        <f>Table13[[#This Row],[Price]]*Table13[[#This Row],[Units]]</f>
        <v>1100</v>
      </c>
    </row>
    <row r="286" spans="1:12" x14ac:dyDescent="0.35">
      <c r="A286" s="134">
        <v>45614</v>
      </c>
      <c r="B286" s="135" t="s">
        <v>790</v>
      </c>
      <c r="C286" s="136" t="s">
        <v>476</v>
      </c>
      <c r="D286" s="136" t="s">
        <v>512</v>
      </c>
      <c r="E286" s="136" t="s">
        <v>320</v>
      </c>
      <c r="F286" s="136" t="s">
        <v>491</v>
      </c>
      <c r="G286" s="136">
        <v>54</v>
      </c>
      <c r="H286" s="137">
        <v>25</v>
      </c>
      <c r="I286" s="138">
        <f t="shared" si="4"/>
        <v>1350</v>
      </c>
      <c r="J286" s="139" t="s">
        <v>472</v>
      </c>
      <c r="K286" s="140">
        <v>35.1</v>
      </c>
      <c r="L286">
        <f>Table13[[#This Row],[Price]]*Table13[[#This Row],[Units]]</f>
        <v>1350</v>
      </c>
    </row>
    <row r="287" spans="1:12" x14ac:dyDescent="0.35">
      <c r="A287" s="134">
        <v>45614</v>
      </c>
      <c r="B287" s="135" t="s">
        <v>791</v>
      </c>
      <c r="C287" s="136" t="s">
        <v>476</v>
      </c>
      <c r="D287" s="136" t="s">
        <v>486</v>
      </c>
      <c r="E287" s="136" t="s">
        <v>315</v>
      </c>
      <c r="F287" s="136" t="s">
        <v>513</v>
      </c>
      <c r="G287" s="136">
        <v>10</v>
      </c>
      <c r="H287" s="137">
        <v>40</v>
      </c>
      <c r="I287" s="138">
        <f t="shared" si="4"/>
        <v>400</v>
      </c>
      <c r="J287" s="139" t="s">
        <v>466</v>
      </c>
      <c r="K287" s="140">
        <v>11.2</v>
      </c>
      <c r="L287">
        <f>Table13[[#This Row],[Price]]*Table13[[#This Row],[Units]]</f>
        <v>400</v>
      </c>
    </row>
    <row r="288" spans="1:12" x14ac:dyDescent="0.35">
      <c r="A288" s="134">
        <v>45614</v>
      </c>
      <c r="B288" s="135" t="s">
        <v>792</v>
      </c>
      <c r="C288" s="136" t="s">
        <v>464</v>
      </c>
      <c r="D288" s="136" t="s">
        <v>470</v>
      </c>
      <c r="E288" s="136" t="s">
        <v>320</v>
      </c>
      <c r="F288" s="136" t="s">
        <v>497</v>
      </c>
      <c r="G288" s="136">
        <v>51</v>
      </c>
      <c r="H288" s="137">
        <v>49</v>
      </c>
      <c r="I288" s="138">
        <f t="shared" si="4"/>
        <v>2499</v>
      </c>
      <c r="J288" s="139" t="s">
        <v>466</v>
      </c>
      <c r="K288" s="140">
        <v>49.98</v>
      </c>
      <c r="L288">
        <f>Table13[[#This Row],[Price]]*Table13[[#This Row],[Units]]</f>
        <v>2499</v>
      </c>
    </row>
    <row r="289" spans="1:12" x14ac:dyDescent="0.35">
      <c r="A289" s="134">
        <v>45614</v>
      </c>
      <c r="B289" s="135" t="s">
        <v>793</v>
      </c>
      <c r="C289" s="136" t="s">
        <v>484</v>
      </c>
      <c r="D289" s="136" t="s">
        <v>470</v>
      </c>
      <c r="E289" s="136" t="s">
        <v>320</v>
      </c>
      <c r="F289" s="136" t="s">
        <v>487</v>
      </c>
      <c r="G289" s="136">
        <v>44</v>
      </c>
      <c r="H289" s="137">
        <v>22</v>
      </c>
      <c r="I289" s="138">
        <f t="shared" si="4"/>
        <v>968</v>
      </c>
      <c r="J289" s="139" t="s">
        <v>466</v>
      </c>
      <c r="K289" s="140">
        <v>24.2</v>
      </c>
      <c r="L289">
        <f>Table13[[#This Row],[Price]]*Table13[[#This Row],[Units]]</f>
        <v>968</v>
      </c>
    </row>
    <row r="290" spans="1:12" x14ac:dyDescent="0.35">
      <c r="A290" s="134">
        <v>45615</v>
      </c>
      <c r="B290" s="135" t="s">
        <v>794</v>
      </c>
      <c r="C290" s="136" t="s">
        <v>322</v>
      </c>
      <c r="D290" s="136" t="s">
        <v>470</v>
      </c>
      <c r="E290" s="136" t="s">
        <v>333</v>
      </c>
      <c r="F290" s="136" t="s">
        <v>523</v>
      </c>
      <c r="G290" s="136">
        <v>39</v>
      </c>
      <c r="H290" s="137">
        <v>59</v>
      </c>
      <c r="I290" s="138">
        <f t="shared" si="4"/>
        <v>2301</v>
      </c>
      <c r="J290" s="139" t="s">
        <v>503</v>
      </c>
      <c r="K290" s="140">
        <v>48.320999999999998</v>
      </c>
      <c r="L290">
        <f>Table13[[#This Row],[Price]]*Table13[[#This Row],[Units]]</f>
        <v>2301</v>
      </c>
    </row>
    <row r="291" spans="1:12" x14ac:dyDescent="0.35">
      <c r="A291" s="134">
        <v>45615</v>
      </c>
      <c r="B291" s="135" t="s">
        <v>795</v>
      </c>
      <c r="C291" s="136" t="s">
        <v>322</v>
      </c>
      <c r="D291" s="136" t="s">
        <v>519</v>
      </c>
      <c r="E291" s="136" t="s">
        <v>333</v>
      </c>
      <c r="F291" s="136" t="s">
        <v>528</v>
      </c>
      <c r="G291" s="136">
        <v>20</v>
      </c>
      <c r="H291" s="137">
        <v>26</v>
      </c>
      <c r="I291" s="138">
        <f t="shared" si="4"/>
        <v>520</v>
      </c>
      <c r="J291" s="139" t="s">
        <v>466</v>
      </c>
      <c r="K291" s="140">
        <v>15.6</v>
      </c>
      <c r="L291">
        <f>Table13[[#This Row],[Price]]*Table13[[#This Row],[Units]]</f>
        <v>520</v>
      </c>
    </row>
    <row r="292" spans="1:12" x14ac:dyDescent="0.35">
      <c r="A292" s="134">
        <v>45615</v>
      </c>
      <c r="B292" s="135" t="s">
        <v>796</v>
      </c>
      <c r="C292" s="136" t="s">
        <v>322</v>
      </c>
      <c r="D292" s="136" t="s">
        <v>470</v>
      </c>
      <c r="E292" s="136" t="s">
        <v>315</v>
      </c>
      <c r="F292" s="136" t="s">
        <v>523</v>
      </c>
      <c r="G292" s="136">
        <v>23</v>
      </c>
      <c r="H292" s="137">
        <v>50</v>
      </c>
      <c r="I292" s="138">
        <f t="shared" si="4"/>
        <v>1150</v>
      </c>
      <c r="J292" s="139" t="s">
        <v>466</v>
      </c>
      <c r="K292" s="140">
        <v>34.5</v>
      </c>
      <c r="L292">
        <f>Table13[[#This Row],[Price]]*Table13[[#This Row],[Units]]</f>
        <v>1150</v>
      </c>
    </row>
    <row r="293" spans="1:12" x14ac:dyDescent="0.35">
      <c r="A293" s="134">
        <v>45615</v>
      </c>
      <c r="B293" s="135" t="s">
        <v>797</v>
      </c>
      <c r="C293" s="136" t="s">
        <v>464</v>
      </c>
      <c r="D293" s="136" t="s">
        <v>465</v>
      </c>
      <c r="E293" s="136" t="s">
        <v>320</v>
      </c>
      <c r="F293" s="136" t="s">
        <v>523</v>
      </c>
      <c r="G293" s="136">
        <v>22</v>
      </c>
      <c r="H293" s="137">
        <v>57</v>
      </c>
      <c r="I293" s="138">
        <f t="shared" si="4"/>
        <v>1254</v>
      </c>
      <c r="J293" s="139" t="s">
        <v>515</v>
      </c>
      <c r="K293" s="140">
        <v>30.096</v>
      </c>
      <c r="L293">
        <f>Table13[[#This Row],[Price]]*Table13[[#This Row],[Units]]</f>
        <v>1254</v>
      </c>
    </row>
    <row r="294" spans="1:12" x14ac:dyDescent="0.35">
      <c r="A294" s="134">
        <v>45615</v>
      </c>
      <c r="B294" s="135" t="s">
        <v>798</v>
      </c>
      <c r="C294" s="136" t="s">
        <v>464</v>
      </c>
      <c r="D294" s="136" t="s">
        <v>477</v>
      </c>
      <c r="E294" s="136" t="s">
        <v>333</v>
      </c>
      <c r="F294" s="136" t="s">
        <v>454</v>
      </c>
      <c r="G294" s="136">
        <v>44</v>
      </c>
      <c r="H294" s="137">
        <v>35</v>
      </c>
      <c r="I294" s="138">
        <f t="shared" si="4"/>
        <v>1540</v>
      </c>
      <c r="J294" s="139" t="s">
        <v>466</v>
      </c>
      <c r="K294" s="140">
        <v>38.5</v>
      </c>
      <c r="L294">
        <f>Table13[[#This Row],[Price]]*Table13[[#This Row],[Units]]</f>
        <v>1540</v>
      </c>
    </row>
    <row r="295" spans="1:12" x14ac:dyDescent="0.35">
      <c r="A295" s="134">
        <v>45615</v>
      </c>
      <c r="B295" s="135" t="s">
        <v>799</v>
      </c>
      <c r="C295" s="136" t="s">
        <v>484</v>
      </c>
      <c r="D295" s="136" t="s">
        <v>470</v>
      </c>
      <c r="E295" s="136" t="s">
        <v>315</v>
      </c>
      <c r="F295" s="136" t="s">
        <v>536</v>
      </c>
      <c r="G295" s="136">
        <v>12</v>
      </c>
      <c r="H295" s="137">
        <v>38</v>
      </c>
      <c r="I295" s="138">
        <f t="shared" si="4"/>
        <v>456</v>
      </c>
      <c r="J295" s="139" t="s">
        <v>466</v>
      </c>
      <c r="K295" s="140">
        <v>10.488</v>
      </c>
      <c r="L295">
        <f>Table13[[#This Row],[Price]]*Table13[[#This Row],[Units]]</f>
        <v>456</v>
      </c>
    </row>
    <row r="296" spans="1:12" x14ac:dyDescent="0.35">
      <c r="A296" s="134">
        <v>45616</v>
      </c>
      <c r="B296" s="135" t="s">
        <v>800</v>
      </c>
      <c r="C296" s="136" t="s">
        <v>322</v>
      </c>
      <c r="D296" s="136" t="s">
        <v>477</v>
      </c>
      <c r="E296" s="136" t="s">
        <v>333</v>
      </c>
      <c r="F296" s="136" t="s">
        <v>513</v>
      </c>
      <c r="G296" s="136">
        <v>25</v>
      </c>
      <c r="H296" s="137">
        <v>57</v>
      </c>
      <c r="I296" s="138">
        <f t="shared" si="4"/>
        <v>1425</v>
      </c>
      <c r="J296" s="139" t="s">
        <v>472</v>
      </c>
      <c r="K296" s="140">
        <v>28.5</v>
      </c>
      <c r="L296">
        <f>Table13[[#This Row],[Price]]*Table13[[#This Row],[Units]]</f>
        <v>1425</v>
      </c>
    </row>
    <row r="297" spans="1:12" x14ac:dyDescent="0.35">
      <c r="A297" s="134">
        <v>45616</v>
      </c>
      <c r="B297" s="135" t="s">
        <v>801</v>
      </c>
      <c r="C297" s="136" t="s">
        <v>492</v>
      </c>
      <c r="D297" s="136" t="s">
        <v>486</v>
      </c>
      <c r="E297" s="136" t="s">
        <v>320</v>
      </c>
      <c r="F297" s="136" t="s">
        <v>497</v>
      </c>
      <c r="G297" s="136">
        <v>56</v>
      </c>
      <c r="H297" s="137">
        <v>30</v>
      </c>
      <c r="I297" s="138">
        <f t="shared" si="4"/>
        <v>1680</v>
      </c>
      <c r="J297" s="139" t="s">
        <v>472</v>
      </c>
      <c r="K297" s="140">
        <v>42</v>
      </c>
      <c r="L297">
        <f>Table13[[#This Row],[Price]]*Table13[[#This Row],[Units]]</f>
        <v>1680</v>
      </c>
    </row>
    <row r="298" spans="1:12" x14ac:dyDescent="0.35">
      <c r="A298" s="134">
        <v>45616</v>
      </c>
      <c r="B298" s="135" t="s">
        <v>802</v>
      </c>
      <c r="C298" s="136" t="s">
        <v>322</v>
      </c>
      <c r="D298" s="136" t="s">
        <v>465</v>
      </c>
      <c r="E298" s="136" t="s">
        <v>324</v>
      </c>
      <c r="F298" s="136" t="s">
        <v>497</v>
      </c>
      <c r="G298" s="136">
        <v>23</v>
      </c>
      <c r="H298" s="137">
        <v>37</v>
      </c>
      <c r="I298" s="138">
        <f t="shared" si="4"/>
        <v>851</v>
      </c>
      <c r="J298" s="139" t="s">
        <v>472</v>
      </c>
      <c r="K298" s="140">
        <v>18.722000000000001</v>
      </c>
      <c r="L298">
        <f>Table13[[#This Row],[Price]]*Table13[[#This Row],[Units]]</f>
        <v>851</v>
      </c>
    </row>
    <row r="299" spans="1:12" x14ac:dyDescent="0.35">
      <c r="A299" s="134">
        <v>45616</v>
      </c>
      <c r="B299" s="135" t="s">
        <v>803</v>
      </c>
      <c r="C299" s="136" t="s">
        <v>476</v>
      </c>
      <c r="D299" s="136" t="s">
        <v>477</v>
      </c>
      <c r="E299" s="136" t="s">
        <v>333</v>
      </c>
      <c r="F299" s="136" t="s">
        <v>567</v>
      </c>
      <c r="G299" s="136">
        <v>20</v>
      </c>
      <c r="H299" s="137">
        <v>46</v>
      </c>
      <c r="I299" s="138">
        <f t="shared" si="4"/>
        <v>920</v>
      </c>
      <c r="J299" s="139" t="s">
        <v>515</v>
      </c>
      <c r="K299" s="140">
        <v>21.16</v>
      </c>
      <c r="L299">
        <f>Table13[[#This Row],[Price]]*Table13[[#This Row],[Units]]</f>
        <v>920</v>
      </c>
    </row>
    <row r="300" spans="1:12" x14ac:dyDescent="0.35">
      <c r="A300" s="134">
        <v>45616</v>
      </c>
      <c r="B300" s="135" t="s">
        <v>804</v>
      </c>
      <c r="C300" s="136" t="s">
        <v>484</v>
      </c>
      <c r="D300" s="136" t="s">
        <v>490</v>
      </c>
      <c r="E300" s="136" t="s">
        <v>333</v>
      </c>
      <c r="F300" s="136" t="s">
        <v>536</v>
      </c>
      <c r="G300" s="136">
        <v>48</v>
      </c>
      <c r="H300" s="137">
        <v>38</v>
      </c>
      <c r="I300" s="138">
        <f t="shared" si="4"/>
        <v>1824</v>
      </c>
      <c r="J300" s="139" t="s">
        <v>472</v>
      </c>
      <c r="K300" s="140">
        <v>54.72</v>
      </c>
      <c r="L300">
        <f>Table13[[#This Row],[Price]]*Table13[[#This Row],[Units]]</f>
        <v>1824</v>
      </c>
    </row>
    <row r="301" spans="1:12" x14ac:dyDescent="0.35">
      <c r="A301" s="134">
        <v>45616</v>
      </c>
      <c r="B301" s="135" t="s">
        <v>805</v>
      </c>
      <c r="C301" s="136" t="s">
        <v>322</v>
      </c>
      <c r="D301" s="136" t="s">
        <v>477</v>
      </c>
      <c r="E301" s="136" t="s">
        <v>315</v>
      </c>
      <c r="F301" s="136" t="s">
        <v>500</v>
      </c>
      <c r="G301" s="136">
        <v>50</v>
      </c>
      <c r="H301" s="137">
        <v>57</v>
      </c>
      <c r="I301" s="138">
        <f t="shared" si="4"/>
        <v>2850</v>
      </c>
      <c r="J301" s="139" t="s">
        <v>466</v>
      </c>
      <c r="K301" s="140">
        <v>82.65</v>
      </c>
      <c r="L301">
        <f>Table13[[#This Row],[Price]]*Table13[[#This Row],[Units]]</f>
        <v>2850</v>
      </c>
    </row>
    <row r="302" spans="1:12" x14ac:dyDescent="0.35">
      <c r="A302" s="134">
        <v>45617</v>
      </c>
      <c r="B302" s="135" t="s">
        <v>806</v>
      </c>
      <c r="C302" s="136" t="s">
        <v>322</v>
      </c>
      <c r="D302" s="136" t="s">
        <v>470</v>
      </c>
      <c r="E302" s="136" t="s">
        <v>333</v>
      </c>
      <c r="F302" s="136" t="s">
        <v>487</v>
      </c>
      <c r="G302" s="136">
        <v>43</v>
      </c>
      <c r="H302" s="137">
        <v>34</v>
      </c>
      <c r="I302" s="138">
        <f t="shared" si="4"/>
        <v>1462</v>
      </c>
      <c r="J302" s="139" t="s">
        <v>466</v>
      </c>
      <c r="K302" s="140">
        <v>43.86</v>
      </c>
      <c r="L302">
        <f>Table13[[#This Row],[Price]]*Table13[[#This Row],[Units]]</f>
        <v>1462</v>
      </c>
    </row>
    <row r="303" spans="1:12" x14ac:dyDescent="0.35">
      <c r="A303" s="134">
        <v>45617</v>
      </c>
      <c r="B303" s="135" t="s">
        <v>807</v>
      </c>
      <c r="C303" s="136" t="s">
        <v>492</v>
      </c>
      <c r="D303" s="136" t="s">
        <v>465</v>
      </c>
      <c r="E303" s="136" t="s">
        <v>483</v>
      </c>
      <c r="F303" s="136" t="s">
        <v>510</v>
      </c>
      <c r="G303" s="136">
        <v>32</v>
      </c>
      <c r="H303" s="137">
        <v>20</v>
      </c>
      <c r="I303" s="138">
        <f t="shared" si="4"/>
        <v>640</v>
      </c>
      <c r="J303" s="139" t="s">
        <v>472</v>
      </c>
      <c r="K303" s="140">
        <v>16</v>
      </c>
      <c r="L303">
        <f>Table13[[#This Row],[Price]]*Table13[[#This Row],[Units]]</f>
        <v>640</v>
      </c>
    </row>
    <row r="304" spans="1:12" x14ac:dyDescent="0.35">
      <c r="A304" s="134">
        <v>45617</v>
      </c>
      <c r="B304" s="135" t="s">
        <v>808</v>
      </c>
      <c r="C304" s="136" t="s">
        <v>322</v>
      </c>
      <c r="D304" s="136" t="s">
        <v>477</v>
      </c>
      <c r="E304" s="136" t="s">
        <v>315</v>
      </c>
      <c r="F304" s="136" t="s">
        <v>454</v>
      </c>
      <c r="G304" s="136">
        <v>27</v>
      </c>
      <c r="H304" s="137">
        <v>21</v>
      </c>
      <c r="I304" s="138">
        <f t="shared" si="4"/>
        <v>567</v>
      </c>
      <c r="J304" s="139" t="s">
        <v>472</v>
      </c>
      <c r="K304" s="140">
        <v>13.608000000000001</v>
      </c>
      <c r="L304">
        <f>Table13[[#This Row],[Price]]*Table13[[#This Row],[Units]]</f>
        <v>567</v>
      </c>
    </row>
    <row r="305" spans="1:12" x14ac:dyDescent="0.35">
      <c r="A305" s="134">
        <v>45618</v>
      </c>
      <c r="B305" s="135" t="s">
        <v>809</v>
      </c>
      <c r="C305" s="136" t="s">
        <v>492</v>
      </c>
      <c r="D305" s="136" t="s">
        <v>486</v>
      </c>
      <c r="E305" s="136" t="s">
        <v>315</v>
      </c>
      <c r="F305" s="136" t="s">
        <v>567</v>
      </c>
      <c r="G305" s="136">
        <v>42</v>
      </c>
      <c r="H305" s="137">
        <v>34</v>
      </c>
      <c r="I305" s="138">
        <f t="shared" si="4"/>
        <v>1428</v>
      </c>
      <c r="J305" s="139" t="s">
        <v>472</v>
      </c>
      <c r="K305" s="140">
        <v>29.988</v>
      </c>
      <c r="L305">
        <f>Table13[[#This Row],[Price]]*Table13[[#This Row],[Units]]</f>
        <v>1428</v>
      </c>
    </row>
    <row r="306" spans="1:12" x14ac:dyDescent="0.35">
      <c r="A306" s="134">
        <v>45618</v>
      </c>
      <c r="B306" s="135" t="s">
        <v>810</v>
      </c>
      <c r="C306" s="136" t="s">
        <v>492</v>
      </c>
      <c r="D306" s="136" t="s">
        <v>477</v>
      </c>
      <c r="E306" s="136" t="s">
        <v>320</v>
      </c>
      <c r="F306" s="136" t="s">
        <v>487</v>
      </c>
      <c r="G306" s="136">
        <v>15</v>
      </c>
      <c r="H306" s="137">
        <v>40</v>
      </c>
      <c r="I306" s="138">
        <f t="shared" si="4"/>
        <v>600</v>
      </c>
      <c r="J306" s="139" t="s">
        <v>472</v>
      </c>
      <c r="K306" s="140">
        <v>13.2</v>
      </c>
      <c r="L306">
        <f>Table13[[#This Row],[Price]]*Table13[[#This Row],[Units]]</f>
        <v>600</v>
      </c>
    </row>
    <row r="307" spans="1:12" x14ac:dyDescent="0.35">
      <c r="A307" s="134">
        <v>45618</v>
      </c>
      <c r="B307" s="135" t="s">
        <v>811</v>
      </c>
      <c r="C307" s="136" t="s">
        <v>494</v>
      </c>
      <c r="D307" s="136" t="s">
        <v>512</v>
      </c>
      <c r="E307" s="136" t="s">
        <v>390</v>
      </c>
      <c r="F307" s="136" t="s">
        <v>471</v>
      </c>
      <c r="G307" s="136">
        <v>54</v>
      </c>
      <c r="H307" s="137">
        <v>45</v>
      </c>
      <c r="I307" s="138">
        <f t="shared" si="4"/>
        <v>2430</v>
      </c>
      <c r="J307" s="139" t="s">
        <v>515</v>
      </c>
      <c r="K307" s="140">
        <v>60.75</v>
      </c>
      <c r="L307">
        <f>Table13[[#This Row],[Price]]*Table13[[#This Row],[Units]]</f>
        <v>2430</v>
      </c>
    </row>
    <row r="308" spans="1:12" x14ac:dyDescent="0.35">
      <c r="A308" s="134">
        <v>45618</v>
      </c>
      <c r="B308" s="135" t="s">
        <v>812</v>
      </c>
      <c r="C308" s="136" t="s">
        <v>489</v>
      </c>
      <c r="D308" s="136" t="s">
        <v>486</v>
      </c>
      <c r="E308" s="136" t="s">
        <v>483</v>
      </c>
      <c r="F308" s="136" t="s">
        <v>513</v>
      </c>
      <c r="G308" s="136">
        <v>57</v>
      </c>
      <c r="H308" s="137">
        <v>22</v>
      </c>
      <c r="I308" s="138">
        <f t="shared" si="4"/>
        <v>1254</v>
      </c>
      <c r="J308" s="139" t="s">
        <v>466</v>
      </c>
      <c r="K308" s="140">
        <v>28.841999999999999</v>
      </c>
      <c r="L308">
        <f>Table13[[#This Row],[Price]]*Table13[[#This Row],[Units]]</f>
        <v>1254</v>
      </c>
    </row>
    <row r="309" spans="1:12" x14ac:dyDescent="0.35">
      <c r="A309" s="134">
        <v>45618</v>
      </c>
      <c r="B309" s="135" t="s">
        <v>813</v>
      </c>
      <c r="C309" s="136" t="s">
        <v>322</v>
      </c>
      <c r="D309" s="136" t="s">
        <v>486</v>
      </c>
      <c r="E309" s="136" t="s">
        <v>333</v>
      </c>
      <c r="F309" s="136" t="s">
        <v>454</v>
      </c>
      <c r="G309" s="136">
        <v>45</v>
      </c>
      <c r="H309" s="137">
        <v>33</v>
      </c>
      <c r="I309" s="138">
        <f t="shared" si="4"/>
        <v>1485</v>
      </c>
      <c r="J309" s="139" t="s">
        <v>472</v>
      </c>
      <c r="K309" s="140">
        <v>43.064999999999998</v>
      </c>
      <c r="L309">
        <f>Table13[[#This Row],[Price]]*Table13[[#This Row],[Units]]</f>
        <v>1485</v>
      </c>
    </row>
    <row r="310" spans="1:12" x14ac:dyDescent="0.35">
      <c r="A310" s="134">
        <v>45619</v>
      </c>
      <c r="B310" s="135" t="s">
        <v>814</v>
      </c>
      <c r="C310" s="136" t="s">
        <v>494</v>
      </c>
      <c r="D310" s="136" t="s">
        <v>477</v>
      </c>
      <c r="E310" s="136" t="s">
        <v>390</v>
      </c>
      <c r="F310" s="136" t="s">
        <v>491</v>
      </c>
      <c r="G310" s="136">
        <v>46</v>
      </c>
      <c r="H310" s="137">
        <v>31</v>
      </c>
      <c r="I310" s="138">
        <f t="shared" si="4"/>
        <v>1426</v>
      </c>
      <c r="J310" s="139" t="s">
        <v>515</v>
      </c>
      <c r="K310" s="140">
        <v>42.78</v>
      </c>
      <c r="L310">
        <f>Table13[[#This Row],[Price]]*Table13[[#This Row],[Units]]</f>
        <v>1426</v>
      </c>
    </row>
    <row r="311" spans="1:12" x14ac:dyDescent="0.35">
      <c r="A311" s="134">
        <v>45619</v>
      </c>
      <c r="B311" s="135" t="s">
        <v>815</v>
      </c>
      <c r="C311" s="136" t="s">
        <v>476</v>
      </c>
      <c r="D311" s="136" t="s">
        <v>470</v>
      </c>
      <c r="E311" s="136" t="s">
        <v>333</v>
      </c>
      <c r="F311" s="136" t="s">
        <v>454</v>
      </c>
      <c r="G311" s="136">
        <v>33</v>
      </c>
      <c r="H311" s="137">
        <v>33</v>
      </c>
      <c r="I311" s="138">
        <f t="shared" si="4"/>
        <v>1089</v>
      </c>
      <c r="J311" s="139" t="s">
        <v>472</v>
      </c>
      <c r="K311" s="140">
        <v>22.869</v>
      </c>
      <c r="L311">
        <f>Table13[[#This Row],[Price]]*Table13[[#This Row],[Units]]</f>
        <v>1089</v>
      </c>
    </row>
    <row r="312" spans="1:12" x14ac:dyDescent="0.35">
      <c r="A312" s="134">
        <v>45619</v>
      </c>
      <c r="B312" s="135" t="s">
        <v>816</v>
      </c>
      <c r="C312" s="136" t="s">
        <v>501</v>
      </c>
      <c r="D312" s="136" t="s">
        <v>470</v>
      </c>
      <c r="E312" s="136" t="s">
        <v>315</v>
      </c>
      <c r="F312" s="136" t="s">
        <v>528</v>
      </c>
      <c r="G312" s="136">
        <v>34</v>
      </c>
      <c r="H312" s="137">
        <v>40</v>
      </c>
      <c r="I312" s="138">
        <f t="shared" si="4"/>
        <v>1360</v>
      </c>
      <c r="J312" s="139" t="s">
        <v>472</v>
      </c>
      <c r="K312" s="140">
        <v>28.56</v>
      </c>
      <c r="L312">
        <f>Table13[[#This Row],[Price]]*Table13[[#This Row],[Units]]</f>
        <v>1360</v>
      </c>
    </row>
    <row r="313" spans="1:12" x14ac:dyDescent="0.35">
      <c r="A313" s="134">
        <v>45619</v>
      </c>
      <c r="B313" s="135" t="s">
        <v>817</v>
      </c>
      <c r="C313" s="136" t="s">
        <v>489</v>
      </c>
      <c r="D313" s="136" t="s">
        <v>490</v>
      </c>
      <c r="E313" s="136" t="s">
        <v>483</v>
      </c>
      <c r="F313" s="136" t="s">
        <v>567</v>
      </c>
      <c r="G313" s="136">
        <v>52</v>
      </c>
      <c r="H313" s="137">
        <v>22</v>
      </c>
      <c r="I313" s="138">
        <f t="shared" si="4"/>
        <v>1144</v>
      </c>
      <c r="J313" s="139" t="s">
        <v>466</v>
      </c>
      <c r="K313" s="140">
        <v>24.024000000000001</v>
      </c>
      <c r="L313">
        <f>Table13[[#This Row],[Price]]*Table13[[#This Row],[Units]]</f>
        <v>1144</v>
      </c>
    </row>
    <row r="314" spans="1:12" x14ac:dyDescent="0.35">
      <c r="A314" s="134">
        <v>45619</v>
      </c>
      <c r="B314" s="135" t="s">
        <v>818</v>
      </c>
      <c r="C314" s="136" t="s">
        <v>494</v>
      </c>
      <c r="D314" s="136" t="s">
        <v>470</v>
      </c>
      <c r="E314" s="136" t="s">
        <v>483</v>
      </c>
      <c r="F314" s="136" t="s">
        <v>500</v>
      </c>
      <c r="G314" s="136">
        <v>21</v>
      </c>
      <c r="H314" s="137">
        <v>54</v>
      </c>
      <c r="I314" s="138">
        <f t="shared" si="4"/>
        <v>1134</v>
      </c>
      <c r="J314" s="139" t="s">
        <v>515</v>
      </c>
      <c r="K314" s="140">
        <v>22.68</v>
      </c>
      <c r="L314">
        <f>Table13[[#This Row],[Price]]*Table13[[#This Row],[Units]]</f>
        <v>1134</v>
      </c>
    </row>
    <row r="315" spans="1:12" x14ac:dyDescent="0.35">
      <c r="A315" s="134">
        <v>45619</v>
      </c>
      <c r="B315" s="135" t="s">
        <v>819</v>
      </c>
      <c r="C315" s="136" t="s">
        <v>476</v>
      </c>
      <c r="D315" s="136" t="s">
        <v>470</v>
      </c>
      <c r="E315" s="136" t="s">
        <v>333</v>
      </c>
      <c r="F315" s="136" t="s">
        <v>539</v>
      </c>
      <c r="G315" s="136">
        <v>25</v>
      </c>
      <c r="H315" s="137">
        <v>58</v>
      </c>
      <c r="I315" s="138">
        <f t="shared" si="4"/>
        <v>1450</v>
      </c>
      <c r="J315" s="139" t="s">
        <v>472</v>
      </c>
      <c r="K315" s="140">
        <v>39.15</v>
      </c>
      <c r="L315">
        <f>Table13[[#This Row],[Price]]*Table13[[#This Row],[Units]]</f>
        <v>1450</v>
      </c>
    </row>
    <row r="316" spans="1:12" x14ac:dyDescent="0.35">
      <c r="A316" s="134">
        <v>45619</v>
      </c>
      <c r="B316" s="135" t="s">
        <v>820</v>
      </c>
      <c r="C316" s="136" t="s">
        <v>494</v>
      </c>
      <c r="D316" s="136" t="s">
        <v>470</v>
      </c>
      <c r="E316" s="136" t="s">
        <v>483</v>
      </c>
      <c r="F316" s="136" t="s">
        <v>497</v>
      </c>
      <c r="G316" s="136">
        <v>25</v>
      </c>
      <c r="H316" s="137">
        <v>43</v>
      </c>
      <c r="I316" s="138">
        <f t="shared" si="4"/>
        <v>1075</v>
      </c>
      <c r="J316" s="139" t="s">
        <v>472</v>
      </c>
      <c r="K316" s="140">
        <v>25.8</v>
      </c>
      <c r="L316">
        <f>Table13[[#This Row],[Price]]*Table13[[#This Row],[Units]]</f>
        <v>1075</v>
      </c>
    </row>
    <row r="317" spans="1:12" x14ac:dyDescent="0.35">
      <c r="A317" s="134">
        <v>45619</v>
      </c>
      <c r="B317" s="135" t="s">
        <v>821</v>
      </c>
      <c r="C317" s="136" t="s">
        <v>492</v>
      </c>
      <c r="D317" s="136" t="s">
        <v>486</v>
      </c>
      <c r="E317" s="136" t="s">
        <v>412</v>
      </c>
      <c r="F317" s="136" t="s">
        <v>505</v>
      </c>
      <c r="G317" s="136">
        <v>17</v>
      </c>
      <c r="H317" s="137">
        <v>22</v>
      </c>
      <c r="I317" s="138">
        <f t="shared" si="4"/>
        <v>374</v>
      </c>
      <c r="J317" s="139" t="s">
        <v>472</v>
      </c>
      <c r="K317" s="140">
        <v>11.22</v>
      </c>
      <c r="L317">
        <f>Table13[[#This Row],[Price]]*Table13[[#This Row],[Units]]</f>
        <v>374</v>
      </c>
    </row>
    <row r="318" spans="1:12" x14ac:dyDescent="0.35">
      <c r="A318" s="134">
        <v>45619</v>
      </c>
      <c r="B318" s="135" t="s">
        <v>822</v>
      </c>
      <c r="C318" s="136" t="s">
        <v>476</v>
      </c>
      <c r="D318" s="136" t="s">
        <v>477</v>
      </c>
      <c r="E318" s="136" t="s">
        <v>483</v>
      </c>
      <c r="F318" s="136" t="s">
        <v>517</v>
      </c>
      <c r="G318" s="136">
        <v>11</v>
      </c>
      <c r="H318" s="137">
        <v>33</v>
      </c>
      <c r="I318" s="138">
        <f t="shared" si="4"/>
        <v>363</v>
      </c>
      <c r="J318" s="139" t="s">
        <v>466</v>
      </c>
      <c r="K318" s="140">
        <v>10.526999999999999</v>
      </c>
      <c r="L318">
        <f>Table13[[#This Row],[Price]]*Table13[[#This Row],[Units]]</f>
        <v>363</v>
      </c>
    </row>
    <row r="319" spans="1:12" x14ac:dyDescent="0.35">
      <c r="A319" s="134">
        <v>45619</v>
      </c>
      <c r="B319" s="135" t="s">
        <v>823</v>
      </c>
      <c r="C319" s="136" t="s">
        <v>494</v>
      </c>
      <c r="D319" s="136" t="s">
        <v>512</v>
      </c>
      <c r="E319" s="136" t="s">
        <v>412</v>
      </c>
      <c r="F319" s="136" t="s">
        <v>497</v>
      </c>
      <c r="G319" s="136">
        <v>11</v>
      </c>
      <c r="H319" s="137">
        <v>31</v>
      </c>
      <c r="I319" s="138">
        <f t="shared" si="4"/>
        <v>341</v>
      </c>
      <c r="J319" s="139" t="s">
        <v>472</v>
      </c>
      <c r="K319" s="140">
        <v>9.8889999999999993</v>
      </c>
      <c r="L319">
        <f>Table13[[#This Row],[Price]]*Table13[[#This Row],[Units]]</f>
        <v>341</v>
      </c>
    </row>
    <row r="320" spans="1:12" x14ac:dyDescent="0.35">
      <c r="A320" s="134">
        <v>45619</v>
      </c>
      <c r="B320" s="135" t="s">
        <v>824</v>
      </c>
      <c r="C320" s="136" t="s">
        <v>322</v>
      </c>
      <c r="D320" s="136" t="s">
        <v>490</v>
      </c>
      <c r="E320" s="136" t="s">
        <v>390</v>
      </c>
      <c r="F320" s="136" t="s">
        <v>487</v>
      </c>
      <c r="G320" s="136">
        <v>29</v>
      </c>
      <c r="H320" s="137">
        <v>31</v>
      </c>
      <c r="I320" s="138">
        <f t="shared" si="4"/>
        <v>899</v>
      </c>
      <c r="J320" s="139" t="s">
        <v>466</v>
      </c>
      <c r="K320" s="140">
        <v>22.475000000000001</v>
      </c>
      <c r="L320">
        <f>Table13[[#This Row],[Price]]*Table13[[#This Row],[Units]]</f>
        <v>899</v>
      </c>
    </row>
    <row r="321" spans="1:12" x14ac:dyDescent="0.35">
      <c r="A321" s="134">
        <v>45619</v>
      </c>
      <c r="B321" s="135" t="s">
        <v>825</v>
      </c>
      <c r="C321" s="136" t="s">
        <v>484</v>
      </c>
      <c r="D321" s="136" t="s">
        <v>477</v>
      </c>
      <c r="E321" s="136" t="s">
        <v>412</v>
      </c>
      <c r="F321" s="136" t="s">
        <v>471</v>
      </c>
      <c r="G321" s="136">
        <v>42</v>
      </c>
      <c r="H321" s="137">
        <v>58</v>
      </c>
      <c r="I321" s="138">
        <f t="shared" si="4"/>
        <v>2436</v>
      </c>
      <c r="J321" s="139" t="s">
        <v>515</v>
      </c>
      <c r="K321" s="140">
        <v>48.72</v>
      </c>
      <c r="L321">
        <f>Table13[[#This Row],[Price]]*Table13[[#This Row],[Units]]</f>
        <v>2436</v>
      </c>
    </row>
    <row r="322" spans="1:12" x14ac:dyDescent="0.35">
      <c r="A322" s="134">
        <v>45619</v>
      </c>
      <c r="B322" s="135" t="s">
        <v>826</v>
      </c>
      <c r="C322" s="136" t="s">
        <v>322</v>
      </c>
      <c r="D322" s="136" t="s">
        <v>519</v>
      </c>
      <c r="E322" s="136" t="s">
        <v>324</v>
      </c>
      <c r="F322" s="136" t="s">
        <v>567</v>
      </c>
      <c r="G322" s="136">
        <v>13</v>
      </c>
      <c r="H322" s="137">
        <v>48</v>
      </c>
      <c r="I322" s="138">
        <f t="shared" si="4"/>
        <v>624</v>
      </c>
      <c r="J322" s="139" t="s">
        <v>466</v>
      </c>
      <c r="K322" s="140">
        <v>13.728</v>
      </c>
      <c r="L322">
        <f>Table13[[#This Row],[Price]]*Table13[[#This Row],[Units]]</f>
        <v>624</v>
      </c>
    </row>
    <row r="323" spans="1:12" x14ac:dyDescent="0.35">
      <c r="A323" s="134">
        <v>45619</v>
      </c>
      <c r="B323" s="135" t="s">
        <v>827</v>
      </c>
      <c r="C323" s="136" t="s">
        <v>322</v>
      </c>
      <c r="D323" s="136" t="s">
        <v>470</v>
      </c>
      <c r="E323" s="136" t="s">
        <v>320</v>
      </c>
      <c r="F323" s="136" t="s">
        <v>497</v>
      </c>
      <c r="G323" s="136">
        <v>58</v>
      </c>
      <c r="H323" s="137">
        <v>49</v>
      </c>
      <c r="I323" s="138">
        <f t="shared" ref="I323:I386" si="5">G323*H323</f>
        <v>2842</v>
      </c>
      <c r="J323" s="139" t="s">
        <v>472</v>
      </c>
      <c r="K323" s="140">
        <v>71.05</v>
      </c>
      <c r="L323">
        <f>Table13[[#This Row],[Price]]*Table13[[#This Row],[Units]]</f>
        <v>2842</v>
      </c>
    </row>
    <row r="324" spans="1:12" x14ac:dyDescent="0.35">
      <c r="A324" s="134">
        <v>45619</v>
      </c>
      <c r="B324" s="135" t="s">
        <v>828</v>
      </c>
      <c r="C324" s="136" t="s">
        <v>476</v>
      </c>
      <c r="D324" s="136" t="s">
        <v>477</v>
      </c>
      <c r="E324" s="136" t="s">
        <v>390</v>
      </c>
      <c r="F324" s="136" t="s">
        <v>454</v>
      </c>
      <c r="G324" s="136">
        <v>57</v>
      </c>
      <c r="H324" s="137">
        <v>27</v>
      </c>
      <c r="I324" s="138">
        <f t="shared" si="5"/>
        <v>1539</v>
      </c>
      <c r="J324" s="139" t="s">
        <v>472</v>
      </c>
      <c r="K324" s="140">
        <v>41.552999999999997</v>
      </c>
      <c r="L324">
        <f>Table13[[#This Row],[Price]]*Table13[[#This Row],[Units]]</f>
        <v>1539</v>
      </c>
    </row>
    <row r="325" spans="1:12" x14ac:dyDescent="0.35">
      <c r="A325" s="134">
        <v>45619</v>
      </c>
      <c r="B325" s="135" t="s">
        <v>829</v>
      </c>
      <c r="C325" s="136" t="s">
        <v>464</v>
      </c>
      <c r="D325" s="136" t="s">
        <v>519</v>
      </c>
      <c r="E325" s="136" t="s">
        <v>333</v>
      </c>
      <c r="F325" s="136" t="s">
        <v>497</v>
      </c>
      <c r="G325" s="136">
        <v>43</v>
      </c>
      <c r="H325" s="137">
        <v>23</v>
      </c>
      <c r="I325" s="138">
        <f t="shared" si="5"/>
        <v>989</v>
      </c>
      <c r="J325" s="139" t="s">
        <v>466</v>
      </c>
      <c r="K325" s="140">
        <v>27.692</v>
      </c>
      <c r="L325">
        <f>Table13[[#This Row],[Price]]*Table13[[#This Row],[Units]]</f>
        <v>989</v>
      </c>
    </row>
    <row r="326" spans="1:12" x14ac:dyDescent="0.35">
      <c r="A326" s="134">
        <v>45619</v>
      </c>
      <c r="B326" s="135" t="s">
        <v>830</v>
      </c>
      <c r="C326" s="136" t="s">
        <v>464</v>
      </c>
      <c r="D326" s="136" t="s">
        <v>470</v>
      </c>
      <c r="E326" s="136" t="s">
        <v>315</v>
      </c>
      <c r="F326" s="136" t="s">
        <v>520</v>
      </c>
      <c r="G326" s="136">
        <v>58</v>
      </c>
      <c r="H326" s="137">
        <v>52</v>
      </c>
      <c r="I326" s="138">
        <f t="shared" si="5"/>
        <v>3016</v>
      </c>
      <c r="J326" s="139" t="s">
        <v>503</v>
      </c>
      <c r="K326" s="140">
        <v>87.463999999999999</v>
      </c>
      <c r="L326">
        <f>Table13[[#This Row],[Price]]*Table13[[#This Row],[Units]]</f>
        <v>3016</v>
      </c>
    </row>
    <row r="327" spans="1:12" x14ac:dyDescent="0.35">
      <c r="A327" s="134">
        <v>45619</v>
      </c>
      <c r="B327" s="135" t="s">
        <v>831</v>
      </c>
      <c r="C327" s="136" t="s">
        <v>492</v>
      </c>
      <c r="D327" s="136" t="s">
        <v>470</v>
      </c>
      <c r="E327" s="136" t="s">
        <v>390</v>
      </c>
      <c r="F327" s="136" t="s">
        <v>517</v>
      </c>
      <c r="G327" s="136">
        <v>60</v>
      </c>
      <c r="H327" s="137">
        <v>60</v>
      </c>
      <c r="I327" s="138">
        <f t="shared" si="5"/>
        <v>3600</v>
      </c>
      <c r="J327" s="139" t="s">
        <v>466</v>
      </c>
      <c r="K327" s="140">
        <v>82.8</v>
      </c>
      <c r="L327">
        <f>Table13[[#This Row],[Price]]*Table13[[#This Row],[Units]]</f>
        <v>3600</v>
      </c>
    </row>
    <row r="328" spans="1:12" x14ac:dyDescent="0.35">
      <c r="A328" s="134">
        <v>45619</v>
      </c>
      <c r="B328" s="135" t="s">
        <v>832</v>
      </c>
      <c r="C328" s="136" t="s">
        <v>476</v>
      </c>
      <c r="D328" s="136" t="s">
        <v>477</v>
      </c>
      <c r="E328" s="136" t="s">
        <v>320</v>
      </c>
      <c r="F328" s="136" t="s">
        <v>454</v>
      </c>
      <c r="G328" s="136">
        <v>32</v>
      </c>
      <c r="H328" s="137">
        <v>60</v>
      </c>
      <c r="I328" s="138">
        <f t="shared" si="5"/>
        <v>1920</v>
      </c>
      <c r="J328" s="139" t="s">
        <v>466</v>
      </c>
      <c r="K328" s="140">
        <v>51.84</v>
      </c>
      <c r="L328">
        <f>Table13[[#This Row],[Price]]*Table13[[#This Row],[Units]]</f>
        <v>1920</v>
      </c>
    </row>
    <row r="329" spans="1:12" x14ac:dyDescent="0.35">
      <c r="A329" s="134">
        <v>45619</v>
      </c>
      <c r="B329" s="135" t="s">
        <v>833</v>
      </c>
      <c r="C329" s="136" t="s">
        <v>501</v>
      </c>
      <c r="D329" s="136" t="s">
        <v>486</v>
      </c>
      <c r="E329" s="136" t="s">
        <v>324</v>
      </c>
      <c r="F329" s="136" t="s">
        <v>454</v>
      </c>
      <c r="G329" s="136">
        <v>20</v>
      </c>
      <c r="H329" s="137">
        <v>57</v>
      </c>
      <c r="I329" s="138">
        <f t="shared" si="5"/>
        <v>1140</v>
      </c>
      <c r="J329" s="139" t="s">
        <v>503</v>
      </c>
      <c r="K329" s="140">
        <v>23.94</v>
      </c>
      <c r="L329">
        <f>Table13[[#This Row],[Price]]*Table13[[#This Row],[Units]]</f>
        <v>1140</v>
      </c>
    </row>
    <row r="330" spans="1:12" x14ac:dyDescent="0.35">
      <c r="A330" s="134">
        <v>45619</v>
      </c>
      <c r="B330" s="135" t="s">
        <v>834</v>
      </c>
      <c r="C330" s="136" t="s">
        <v>501</v>
      </c>
      <c r="D330" s="136" t="s">
        <v>465</v>
      </c>
      <c r="E330" s="136" t="s">
        <v>390</v>
      </c>
      <c r="F330" s="136" t="s">
        <v>567</v>
      </c>
      <c r="G330" s="136">
        <v>27</v>
      </c>
      <c r="H330" s="137">
        <v>53</v>
      </c>
      <c r="I330" s="138">
        <f t="shared" si="5"/>
        <v>1431</v>
      </c>
      <c r="J330" s="139" t="s">
        <v>466</v>
      </c>
      <c r="K330" s="140">
        <v>30.050999999999998</v>
      </c>
      <c r="L330">
        <f>Table13[[#This Row],[Price]]*Table13[[#This Row],[Units]]</f>
        <v>1431</v>
      </c>
    </row>
    <row r="331" spans="1:12" x14ac:dyDescent="0.35">
      <c r="A331" s="134">
        <v>45620</v>
      </c>
      <c r="B331" s="135" t="s">
        <v>835</v>
      </c>
      <c r="C331" s="136" t="s">
        <v>494</v>
      </c>
      <c r="D331" s="136" t="s">
        <v>470</v>
      </c>
      <c r="E331" s="136" t="s">
        <v>333</v>
      </c>
      <c r="F331" s="136" t="s">
        <v>497</v>
      </c>
      <c r="G331" s="136">
        <v>28</v>
      </c>
      <c r="H331" s="137">
        <v>25</v>
      </c>
      <c r="I331" s="138">
        <f t="shared" si="5"/>
        <v>700</v>
      </c>
      <c r="J331" s="139" t="s">
        <v>515</v>
      </c>
      <c r="K331" s="140">
        <v>20.3</v>
      </c>
      <c r="L331">
        <f>Table13[[#This Row],[Price]]*Table13[[#This Row],[Units]]</f>
        <v>700</v>
      </c>
    </row>
    <row r="332" spans="1:12" x14ac:dyDescent="0.35">
      <c r="A332" s="134">
        <v>45620</v>
      </c>
      <c r="B332" s="135" t="s">
        <v>836</v>
      </c>
      <c r="C332" s="136" t="s">
        <v>484</v>
      </c>
      <c r="D332" s="136" t="s">
        <v>465</v>
      </c>
      <c r="E332" s="136" t="s">
        <v>320</v>
      </c>
      <c r="F332" s="136" t="s">
        <v>487</v>
      </c>
      <c r="G332" s="136">
        <v>27</v>
      </c>
      <c r="H332" s="137">
        <v>37</v>
      </c>
      <c r="I332" s="138">
        <f t="shared" si="5"/>
        <v>999</v>
      </c>
      <c r="J332" s="139" t="s">
        <v>472</v>
      </c>
      <c r="K332" s="140">
        <v>23.975999999999999</v>
      </c>
      <c r="L332">
        <f>Table13[[#This Row],[Price]]*Table13[[#This Row],[Units]]</f>
        <v>999</v>
      </c>
    </row>
    <row r="333" spans="1:12" x14ac:dyDescent="0.35">
      <c r="A333" s="134">
        <v>45621</v>
      </c>
      <c r="B333" s="135" t="s">
        <v>837</v>
      </c>
      <c r="C333" s="136" t="s">
        <v>322</v>
      </c>
      <c r="D333" s="136" t="s">
        <v>470</v>
      </c>
      <c r="E333" s="136" t="s">
        <v>315</v>
      </c>
      <c r="F333" s="136" t="s">
        <v>567</v>
      </c>
      <c r="G333" s="136">
        <v>48</v>
      </c>
      <c r="H333" s="137">
        <v>28</v>
      </c>
      <c r="I333" s="138">
        <f t="shared" si="5"/>
        <v>1344</v>
      </c>
      <c r="J333" s="139" t="s">
        <v>472</v>
      </c>
      <c r="K333" s="140">
        <v>38.975999999999999</v>
      </c>
      <c r="L333">
        <f>Table13[[#This Row],[Price]]*Table13[[#This Row],[Units]]</f>
        <v>1344</v>
      </c>
    </row>
    <row r="334" spans="1:12" x14ac:dyDescent="0.35">
      <c r="A334" s="134">
        <v>45621</v>
      </c>
      <c r="B334" s="135" t="s">
        <v>838</v>
      </c>
      <c r="C334" s="136" t="s">
        <v>469</v>
      </c>
      <c r="D334" s="136" t="s">
        <v>477</v>
      </c>
      <c r="E334" s="136" t="s">
        <v>320</v>
      </c>
      <c r="F334" s="136" t="s">
        <v>520</v>
      </c>
      <c r="G334" s="136">
        <v>20</v>
      </c>
      <c r="H334" s="137">
        <v>47</v>
      </c>
      <c r="I334" s="138">
        <f t="shared" si="5"/>
        <v>940</v>
      </c>
      <c r="J334" s="139" t="s">
        <v>503</v>
      </c>
      <c r="K334" s="140">
        <v>26.32</v>
      </c>
      <c r="L334">
        <f>Table13[[#This Row],[Price]]*Table13[[#This Row],[Units]]</f>
        <v>940</v>
      </c>
    </row>
    <row r="335" spans="1:12" x14ac:dyDescent="0.35">
      <c r="A335" s="134">
        <v>45621</v>
      </c>
      <c r="B335" s="135" t="s">
        <v>839</v>
      </c>
      <c r="C335" s="136" t="s">
        <v>322</v>
      </c>
      <c r="D335" s="136" t="s">
        <v>490</v>
      </c>
      <c r="E335" s="136" t="s">
        <v>333</v>
      </c>
      <c r="F335" s="136" t="s">
        <v>523</v>
      </c>
      <c r="G335" s="136">
        <v>60</v>
      </c>
      <c r="H335" s="137">
        <v>46</v>
      </c>
      <c r="I335" s="138">
        <f t="shared" si="5"/>
        <v>2760</v>
      </c>
      <c r="J335" s="139" t="s">
        <v>515</v>
      </c>
      <c r="K335" s="140">
        <v>82.8</v>
      </c>
      <c r="L335">
        <f>Table13[[#This Row],[Price]]*Table13[[#This Row],[Units]]</f>
        <v>2760</v>
      </c>
    </row>
    <row r="336" spans="1:12" x14ac:dyDescent="0.35">
      <c r="A336" s="134">
        <v>45622</v>
      </c>
      <c r="B336" s="135" t="s">
        <v>840</v>
      </c>
      <c r="C336" s="136" t="s">
        <v>492</v>
      </c>
      <c r="D336" s="136" t="s">
        <v>512</v>
      </c>
      <c r="E336" s="136" t="s">
        <v>412</v>
      </c>
      <c r="F336" s="136" t="s">
        <v>528</v>
      </c>
      <c r="G336" s="136">
        <v>11</v>
      </c>
      <c r="H336" s="137">
        <v>45</v>
      </c>
      <c r="I336" s="138">
        <f t="shared" si="5"/>
        <v>495</v>
      </c>
      <c r="J336" s="139" t="s">
        <v>466</v>
      </c>
      <c r="K336" s="140">
        <v>13.86</v>
      </c>
      <c r="L336">
        <f>Table13[[#This Row],[Price]]*Table13[[#This Row],[Units]]</f>
        <v>495</v>
      </c>
    </row>
    <row r="337" spans="1:12" x14ac:dyDescent="0.35">
      <c r="A337" s="134">
        <v>45622</v>
      </c>
      <c r="B337" s="135" t="s">
        <v>841</v>
      </c>
      <c r="C337" s="136" t="s">
        <v>322</v>
      </c>
      <c r="D337" s="136" t="s">
        <v>470</v>
      </c>
      <c r="E337" s="136" t="s">
        <v>333</v>
      </c>
      <c r="F337" s="136" t="s">
        <v>497</v>
      </c>
      <c r="G337" s="136">
        <v>58</v>
      </c>
      <c r="H337" s="137">
        <v>38</v>
      </c>
      <c r="I337" s="138">
        <f t="shared" si="5"/>
        <v>2204</v>
      </c>
      <c r="J337" s="139" t="s">
        <v>466</v>
      </c>
      <c r="K337" s="140">
        <v>63.915999999999997</v>
      </c>
      <c r="L337">
        <f>Table13[[#This Row],[Price]]*Table13[[#This Row],[Units]]</f>
        <v>2204</v>
      </c>
    </row>
    <row r="338" spans="1:12" x14ac:dyDescent="0.35">
      <c r="A338" s="134">
        <v>45622</v>
      </c>
      <c r="B338" s="135" t="s">
        <v>842</v>
      </c>
      <c r="C338" s="136" t="s">
        <v>501</v>
      </c>
      <c r="D338" s="136" t="s">
        <v>519</v>
      </c>
      <c r="E338" s="136" t="s">
        <v>390</v>
      </c>
      <c r="F338" s="136" t="s">
        <v>539</v>
      </c>
      <c r="G338" s="136">
        <v>24</v>
      </c>
      <c r="H338" s="137">
        <v>55</v>
      </c>
      <c r="I338" s="138">
        <f t="shared" si="5"/>
        <v>1320</v>
      </c>
      <c r="J338" s="139" t="s">
        <v>503</v>
      </c>
      <c r="K338" s="140">
        <v>27.72</v>
      </c>
      <c r="L338">
        <f>Table13[[#This Row],[Price]]*Table13[[#This Row],[Units]]</f>
        <v>1320</v>
      </c>
    </row>
    <row r="339" spans="1:12" x14ac:dyDescent="0.35">
      <c r="A339" s="134">
        <v>45622</v>
      </c>
      <c r="B339" s="135" t="s">
        <v>843</v>
      </c>
      <c r="C339" s="136" t="s">
        <v>464</v>
      </c>
      <c r="D339" s="136" t="s">
        <v>477</v>
      </c>
      <c r="E339" s="136" t="s">
        <v>483</v>
      </c>
      <c r="F339" s="136" t="s">
        <v>523</v>
      </c>
      <c r="G339" s="136">
        <v>16</v>
      </c>
      <c r="H339" s="137">
        <v>38</v>
      </c>
      <c r="I339" s="138">
        <f t="shared" si="5"/>
        <v>608</v>
      </c>
      <c r="J339" s="139" t="s">
        <v>466</v>
      </c>
      <c r="K339" s="140">
        <v>14.592000000000001</v>
      </c>
      <c r="L339">
        <f>Table13[[#This Row],[Price]]*Table13[[#This Row],[Units]]</f>
        <v>608</v>
      </c>
    </row>
    <row r="340" spans="1:12" x14ac:dyDescent="0.35">
      <c r="A340" s="134">
        <v>45622</v>
      </c>
      <c r="B340" s="135" t="s">
        <v>844</v>
      </c>
      <c r="C340" s="136" t="s">
        <v>464</v>
      </c>
      <c r="D340" s="136" t="s">
        <v>486</v>
      </c>
      <c r="E340" s="136" t="s">
        <v>315</v>
      </c>
      <c r="F340" s="136" t="s">
        <v>513</v>
      </c>
      <c r="G340" s="136">
        <v>37</v>
      </c>
      <c r="H340" s="137">
        <v>43</v>
      </c>
      <c r="I340" s="138">
        <f t="shared" si="5"/>
        <v>1591</v>
      </c>
      <c r="J340" s="139" t="s">
        <v>466</v>
      </c>
      <c r="K340" s="140">
        <v>33.411000000000001</v>
      </c>
      <c r="L340">
        <f>Table13[[#This Row],[Price]]*Table13[[#This Row],[Units]]</f>
        <v>1591</v>
      </c>
    </row>
    <row r="341" spans="1:12" x14ac:dyDescent="0.35">
      <c r="A341" s="134">
        <v>45623</v>
      </c>
      <c r="B341" s="135" t="s">
        <v>845</v>
      </c>
      <c r="C341" s="136" t="s">
        <v>494</v>
      </c>
      <c r="D341" s="136" t="s">
        <v>512</v>
      </c>
      <c r="E341" s="136" t="s">
        <v>324</v>
      </c>
      <c r="F341" s="136" t="s">
        <v>497</v>
      </c>
      <c r="G341" s="136">
        <v>18</v>
      </c>
      <c r="H341" s="137">
        <v>20</v>
      </c>
      <c r="I341" s="138">
        <f t="shared" si="5"/>
        <v>360</v>
      </c>
      <c r="J341" s="139" t="s">
        <v>503</v>
      </c>
      <c r="K341" s="140">
        <v>10.8</v>
      </c>
      <c r="L341">
        <f>Table13[[#This Row],[Price]]*Table13[[#This Row],[Units]]</f>
        <v>360</v>
      </c>
    </row>
    <row r="342" spans="1:12" x14ac:dyDescent="0.35">
      <c r="A342" s="134">
        <v>45624</v>
      </c>
      <c r="B342" s="135" t="s">
        <v>846</v>
      </c>
      <c r="C342" s="136" t="s">
        <v>492</v>
      </c>
      <c r="D342" s="136" t="s">
        <v>470</v>
      </c>
      <c r="E342" s="136" t="s">
        <v>320</v>
      </c>
      <c r="F342" s="136" t="s">
        <v>517</v>
      </c>
      <c r="G342" s="136">
        <v>45</v>
      </c>
      <c r="H342" s="137">
        <v>58</v>
      </c>
      <c r="I342" s="138">
        <f t="shared" si="5"/>
        <v>2610</v>
      </c>
      <c r="J342" s="139" t="s">
        <v>472</v>
      </c>
      <c r="K342" s="140">
        <v>52.2</v>
      </c>
      <c r="L342">
        <f>Table13[[#This Row],[Price]]*Table13[[#This Row],[Units]]</f>
        <v>2610</v>
      </c>
    </row>
    <row r="343" spans="1:12" x14ac:dyDescent="0.35">
      <c r="A343" s="134">
        <v>45625</v>
      </c>
      <c r="B343" s="135" t="s">
        <v>847</v>
      </c>
      <c r="C343" s="136" t="s">
        <v>322</v>
      </c>
      <c r="D343" s="136" t="s">
        <v>470</v>
      </c>
      <c r="E343" s="136" t="s">
        <v>412</v>
      </c>
      <c r="F343" s="136" t="s">
        <v>497</v>
      </c>
      <c r="G343" s="136">
        <v>23</v>
      </c>
      <c r="H343" s="137">
        <v>44</v>
      </c>
      <c r="I343" s="138">
        <f t="shared" si="5"/>
        <v>1012</v>
      </c>
      <c r="J343" s="139" t="s">
        <v>466</v>
      </c>
      <c r="K343" s="140">
        <v>23.276</v>
      </c>
      <c r="L343">
        <f>Table13[[#This Row],[Price]]*Table13[[#This Row],[Units]]</f>
        <v>1012</v>
      </c>
    </row>
    <row r="344" spans="1:12" x14ac:dyDescent="0.35">
      <c r="A344" s="134">
        <v>45625</v>
      </c>
      <c r="B344" s="135" t="s">
        <v>848</v>
      </c>
      <c r="C344" s="136" t="s">
        <v>494</v>
      </c>
      <c r="D344" s="136" t="s">
        <v>477</v>
      </c>
      <c r="E344" s="136" t="s">
        <v>333</v>
      </c>
      <c r="F344" s="136" t="s">
        <v>517</v>
      </c>
      <c r="G344" s="136">
        <v>39</v>
      </c>
      <c r="H344" s="137">
        <v>53</v>
      </c>
      <c r="I344" s="138">
        <f t="shared" si="5"/>
        <v>2067</v>
      </c>
      <c r="J344" s="139" t="s">
        <v>472</v>
      </c>
      <c r="K344" s="140">
        <v>47.540999999999997</v>
      </c>
      <c r="L344">
        <f>Table13[[#This Row],[Price]]*Table13[[#This Row],[Units]]</f>
        <v>2067</v>
      </c>
    </row>
    <row r="345" spans="1:12" x14ac:dyDescent="0.35">
      <c r="A345" s="134">
        <v>45625</v>
      </c>
      <c r="B345" s="135" t="s">
        <v>849</v>
      </c>
      <c r="C345" s="136" t="s">
        <v>469</v>
      </c>
      <c r="D345" s="136" t="s">
        <v>519</v>
      </c>
      <c r="E345" s="136" t="s">
        <v>315</v>
      </c>
      <c r="F345" s="136" t="s">
        <v>471</v>
      </c>
      <c r="G345" s="136">
        <v>22</v>
      </c>
      <c r="H345" s="137">
        <v>20</v>
      </c>
      <c r="I345" s="138">
        <f t="shared" si="5"/>
        <v>440</v>
      </c>
      <c r="J345" s="139" t="s">
        <v>503</v>
      </c>
      <c r="K345" s="140">
        <v>10.56</v>
      </c>
      <c r="L345">
        <f>Table13[[#This Row],[Price]]*Table13[[#This Row],[Units]]</f>
        <v>440</v>
      </c>
    </row>
    <row r="346" spans="1:12" x14ac:dyDescent="0.35">
      <c r="A346" s="134">
        <v>45625</v>
      </c>
      <c r="B346" s="135" t="s">
        <v>850</v>
      </c>
      <c r="C346" s="136" t="s">
        <v>464</v>
      </c>
      <c r="D346" s="136" t="s">
        <v>477</v>
      </c>
      <c r="E346" s="136" t="s">
        <v>315</v>
      </c>
      <c r="F346" s="136" t="s">
        <v>523</v>
      </c>
      <c r="G346" s="136">
        <v>38</v>
      </c>
      <c r="H346" s="137">
        <v>43</v>
      </c>
      <c r="I346" s="138">
        <f t="shared" si="5"/>
        <v>1634</v>
      </c>
      <c r="J346" s="139" t="s">
        <v>503</v>
      </c>
      <c r="K346" s="140">
        <v>42.484000000000002</v>
      </c>
      <c r="L346">
        <f>Table13[[#This Row],[Price]]*Table13[[#This Row],[Units]]</f>
        <v>1634</v>
      </c>
    </row>
    <row r="347" spans="1:12" x14ac:dyDescent="0.35">
      <c r="A347" s="134">
        <v>45626</v>
      </c>
      <c r="B347" s="135" t="s">
        <v>851</v>
      </c>
      <c r="C347" s="136" t="s">
        <v>476</v>
      </c>
      <c r="D347" s="136" t="s">
        <v>470</v>
      </c>
      <c r="E347" s="136" t="s">
        <v>333</v>
      </c>
      <c r="F347" s="136" t="s">
        <v>454</v>
      </c>
      <c r="G347" s="136">
        <v>27</v>
      </c>
      <c r="H347" s="137">
        <v>26</v>
      </c>
      <c r="I347" s="138">
        <f t="shared" si="5"/>
        <v>702</v>
      </c>
      <c r="J347" s="139" t="s">
        <v>472</v>
      </c>
      <c r="K347" s="140">
        <v>19.655999999999999</v>
      </c>
      <c r="L347">
        <f>Table13[[#This Row],[Price]]*Table13[[#This Row],[Units]]</f>
        <v>702</v>
      </c>
    </row>
    <row r="348" spans="1:12" x14ac:dyDescent="0.35">
      <c r="A348" s="134">
        <v>45627</v>
      </c>
      <c r="B348" s="135" t="s">
        <v>852</v>
      </c>
      <c r="C348" s="136" t="s">
        <v>322</v>
      </c>
      <c r="D348" s="136" t="s">
        <v>486</v>
      </c>
      <c r="E348" s="136" t="s">
        <v>483</v>
      </c>
      <c r="F348" s="136" t="s">
        <v>510</v>
      </c>
      <c r="G348" s="136">
        <v>51</v>
      </c>
      <c r="H348" s="137">
        <v>28</v>
      </c>
      <c r="I348" s="138">
        <f t="shared" si="5"/>
        <v>1428</v>
      </c>
      <c r="J348" s="139" t="s">
        <v>515</v>
      </c>
      <c r="K348" s="140">
        <v>38.555999999999997</v>
      </c>
      <c r="L348">
        <f>Table13[[#This Row],[Price]]*Table13[[#This Row],[Units]]</f>
        <v>1428</v>
      </c>
    </row>
    <row r="349" spans="1:12" x14ac:dyDescent="0.35">
      <c r="A349" s="134">
        <v>45627</v>
      </c>
      <c r="B349" s="135" t="s">
        <v>853</v>
      </c>
      <c r="C349" s="136" t="s">
        <v>501</v>
      </c>
      <c r="D349" s="136" t="s">
        <v>490</v>
      </c>
      <c r="E349" s="136" t="s">
        <v>412</v>
      </c>
      <c r="F349" s="136" t="s">
        <v>510</v>
      </c>
      <c r="G349" s="136">
        <v>19</v>
      </c>
      <c r="H349" s="137">
        <v>52</v>
      </c>
      <c r="I349" s="138">
        <f t="shared" si="5"/>
        <v>988</v>
      </c>
      <c r="J349" s="139" t="s">
        <v>472</v>
      </c>
      <c r="K349" s="140">
        <v>26.675999999999998</v>
      </c>
      <c r="L349">
        <f>Table13[[#This Row],[Price]]*Table13[[#This Row],[Units]]</f>
        <v>988</v>
      </c>
    </row>
    <row r="350" spans="1:12" x14ac:dyDescent="0.35">
      <c r="A350" s="134">
        <v>45627</v>
      </c>
      <c r="B350" s="135" t="s">
        <v>854</v>
      </c>
      <c r="C350" s="136" t="s">
        <v>322</v>
      </c>
      <c r="D350" s="136" t="s">
        <v>477</v>
      </c>
      <c r="E350" s="136" t="s">
        <v>483</v>
      </c>
      <c r="F350" s="136" t="s">
        <v>567</v>
      </c>
      <c r="G350" s="136">
        <v>30</v>
      </c>
      <c r="H350" s="137">
        <v>25</v>
      </c>
      <c r="I350" s="138">
        <f t="shared" si="5"/>
        <v>750</v>
      </c>
      <c r="J350" s="139" t="s">
        <v>515</v>
      </c>
      <c r="K350" s="140">
        <v>21.75</v>
      </c>
      <c r="L350">
        <f>Table13[[#This Row],[Price]]*Table13[[#This Row],[Units]]</f>
        <v>750</v>
      </c>
    </row>
    <row r="351" spans="1:12" x14ac:dyDescent="0.35">
      <c r="A351" s="134">
        <v>45627</v>
      </c>
      <c r="B351" s="135" t="s">
        <v>855</v>
      </c>
      <c r="C351" s="136" t="s">
        <v>469</v>
      </c>
      <c r="D351" s="136" t="s">
        <v>519</v>
      </c>
      <c r="E351" s="136" t="s">
        <v>333</v>
      </c>
      <c r="F351" s="136" t="s">
        <v>497</v>
      </c>
      <c r="G351" s="136">
        <v>44</v>
      </c>
      <c r="H351" s="137">
        <v>60</v>
      </c>
      <c r="I351" s="138">
        <f t="shared" si="5"/>
        <v>2640</v>
      </c>
      <c r="J351" s="139" t="s">
        <v>466</v>
      </c>
      <c r="K351" s="140">
        <v>60.72</v>
      </c>
      <c r="L351">
        <f>Table13[[#This Row],[Price]]*Table13[[#This Row],[Units]]</f>
        <v>2640</v>
      </c>
    </row>
    <row r="352" spans="1:12" x14ac:dyDescent="0.35">
      <c r="A352" s="134">
        <v>45627</v>
      </c>
      <c r="B352" s="135" t="s">
        <v>856</v>
      </c>
      <c r="C352" s="136" t="s">
        <v>484</v>
      </c>
      <c r="D352" s="136" t="s">
        <v>465</v>
      </c>
      <c r="E352" s="136" t="s">
        <v>333</v>
      </c>
      <c r="F352" s="136" t="s">
        <v>491</v>
      </c>
      <c r="G352" s="136">
        <v>21</v>
      </c>
      <c r="H352" s="137">
        <v>48</v>
      </c>
      <c r="I352" s="138">
        <f t="shared" si="5"/>
        <v>1008</v>
      </c>
      <c r="J352" s="139" t="s">
        <v>472</v>
      </c>
      <c r="K352" s="140">
        <v>25.2</v>
      </c>
      <c r="L352">
        <f>Table13[[#This Row],[Price]]*Table13[[#This Row],[Units]]</f>
        <v>1008</v>
      </c>
    </row>
    <row r="353" spans="1:12" x14ac:dyDescent="0.35">
      <c r="A353" s="134">
        <v>45627</v>
      </c>
      <c r="B353" s="135" t="s">
        <v>857</v>
      </c>
      <c r="C353" s="136" t="s">
        <v>322</v>
      </c>
      <c r="D353" s="136" t="s">
        <v>470</v>
      </c>
      <c r="E353" s="136" t="s">
        <v>315</v>
      </c>
      <c r="F353" s="136" t="s">
        <v>471</v>
      </c>
      <c r="G353" s="136">
        <v>18</v>
      </c>
      <c r="H353" s="137">
        <v>58</v>
      </c>
      <c r="I353" s="138">
        <f t="shared" si="5"/>
        <v>1044</v>
      </c>
      <c r="J353" s="139" t="s">
        <v>472</v>
      </c>
      <c r="K353" s="140">
        <v>26.1</v>
      </c>
      <c r="L353">
        <f>Table13[[#This Row],[Price]]*Table13[[#This Row],[Units]]</f>
        <v>1044</v>
      </c>
    </row>
    <row r="354" spans="1:12" x14ac:dyDescent="0.35">
      <c r="A354" s="134">
        <v>45627</v>
      </c>
      <c r="B354" s="135" t="s">
        <v>858</v>
      </c>
      <c r="C354" s="136" t="s">
        <v>322</v>
      </c>
      <c r="D354" s="136" t="s">
        <v>486</v>
      </c>
      <c r="E354" s="136" t="s">
        <v>412</v>
      </c>
      <c r="F354" s="136" t="s">
        <v>500</v>
      </c>
      <c r="G354" s="136">
        <v>26</v>
      </c>
      <c r="H354" s="137">
        <v>32</v>
      </c>
      <c r="I354" s="138">
        <f t="shared" si="5"/>
        <v>832</v>
      </c>
      <c r="J354" s="139" t="s">
        <v>472</v>
      </c>
      <c r="K354" s="140">
        <v>17.472000000000001</v>
      </c>
      <c r="L354">
        <f>Table13[[#This Row],[Price]]*Table13[[#This Row],[Units]]</f>
        <v>832</v>
      </c>
    </row>
    <row r="355" spans="1:12" x14ac:dyDescent="0.35">
      <c r="A355" s="134">
        <v>45627</v>
      </c>
      <c r="B355" s="135" t="s">
        <v>859</v>
      </c>
      <c r="C355" s="136" t="s">
        <v>489</v>
      </c>
      <c r="D355" s="136" t="s">
        <v>477</v>
      </c>
      <c r="E355" s="136" t="s">
        <v>324</v>
      </c>
      <c r="F355" s="136" t="s">
        <v>510</v>
      </c>
      <c r="G355" s="136">
        <v>36</v>
      </c>
      <c r="H355" s="137">
        <v>30</v>
      </c>
      <c r="I355" s="138">
        <f t="shared" si="5"/>
        <v>1080</v>
      </c>
      <c r="J355" s="139" t="s">
        <v>466</v>
      </c>
      <c r="K355" s="140">
        <v>29.16</v>
      </c>
      <c r="L355">
        <f>Table13[[#This Row],[Price]]*Table13[[#This Row],[Units]]</f>
        <v>1080</v>
      </c>
    </row>
    <row r="356" spans="1:12" x14ac:dyDescent="0.35">
      <c r="A356" s="134">
        <v>45627</v>
      </c>
      <c r="B356" s="135" t="s">
        <v>860</v>
      </c>
      <c r="C356" s="136" t="s">
        <v>484</v>
      </c>
      <c r="D356" s="136" t="s">
        <v>490</v>
      </c>
      <c r="E356" s="136" t="s">
        <v>483</v>
      </c>
      <c r="F356" s="136" t="s">
        <v>497</v>
      </c>
      <c r="G356" s="136">
        <v>60</v>
      </c>
      <c r="H356" s="137">
        <v>23</v>
      </c>
      <c r="I356" s="138">
        <f t="shared" si="5"/>
        <v>1380</v>
      </c>
      <c r="J356" s="139" t="s">
        <v>466</v>
      </c>
      <c r="K356" s="140">
        <v>41.4</v>
      </c>
      <c r="L356">
        <f>Table13[[#This Row],[Price]]*Table13[[#This Row],[Units]]</f>
        <v>1380</v>
      </c>
    </row>
    <row r="357" spans="1:12" x14ac:dyDescent="0.35">
      <c r="A357" s="134">
        <v>45627</v>
      </c>
      <c r="B357" s="135" t="s">
        <v>861</v>
      </c>
      <c r="C357" s="136" t="s">
        <v>469</v>
      </c>
      <c r="D357" s="136" t="s">
        <v>470</v>
      </c>
      <c r="E357" s="136" t="s">
        <v>390</v>
      </c>
      <c r="F357" s="136" t="s">
        <v>510</v>
      </c>
      <c r="G357" s="136">
        <v>49</v>
      </c>
      <c r="H357" s="137">
        <v>52</v>
      </c>
      <c r="I357" s="138">
        <f t="shared" si="5"/>
        <v>2548</v>
      </c>
      <c r="J357" s="139" t="s">
        <v>466</v>
      </c>
      <c r="K357" s="140">
        <v>73.891999999999996</v>
      </c>
      <c r="L357">
        <f>Table13[[#This Row],[Price]]*Table13[[#This Row],[Units]]</f>
        <v>2548</v>
      </c>
    </row>
    <row r="358" spans="1:12" x14ac:dyDescent="0.35">
      <c r="A358" s="134">
        <v>45627</v>
      </c>
      <c r="B358" s="135" t="s">
        <v>862</v>
      </c>
      <c r="C358" s="136" t="s">
        <v>484</v>
      </c>
      <c r="D358" s="136" t="s">
        <v>477</v>
      </c>
      <c r="E358" s="136" t="s">
        <v>315</v>
      </c>
      <c r="F358" s="136" t="s">
        <v>497</v>
      </c>
      <c r="G358" s="136">
        <v>49</v>
      </c>
      <c r="H358" s="137">
        <v>53</v>
      </c>
      <c r="I358" s="138">
        <f t="shared" si="5"/>
        <v>2597</v>
      </c>
      <c r="J358" s="139" t="s">
        <v>466</v>
      </c>
      <c r="K358" s="140">
        <v>54.536999999999999</v>
      </c>
      <c r="L358">
        <f>Table13[[#This Row],[Price]]*Table13[[#This Row],[Units]]</f>
        <v>2597</v>
      </c>
    </row>
    <row r="359" spans="1:12" x14ac:dyDescent="0.35">
      <c r="A359" s="134">
        <v>45627</v>
      </c>
      <c r="B359" s="135" t="s">
        <v>863</v>
      </c>
      <c r="C359" s="136" t="s">
        <v>322</v>
      </c>
      <c r="D359" s="136" t="s">
        <v>470</v>
      </c>
      <c r="E359" s="136" t="s">
        <v>390</v>
      </c>
      <c r="F359" s="136" t="s">
        <v>497</v>
      </c>
      <c r="G359" s="136">
        <v>51</v>
      </c>
      <c r="H359" s="137">
        <v>32</v>
      </c>
      <c r="I359" s="138">
        <f t="shared" si="5"/>
        <v>1632</v>
      </c>
      <c r="J359" s="139" t="s">
        <v>472</v>
      </c>
      <c r="K359" s="140">
        <v>48.96</v>
      </c>
      <c r="L359">
        <f>Table13[[#This Row],[Price]]*Table13[[#This Row],[Units]]</f>
        <v>1632</v>
      </c>
    </row>
    <row r="360" spans="1:12" x14ac:dyDescent="0.35">
      <c r="A360" s="134">
        <v>45627</v>
      </c>
      <c r="B360" s="135" t="s">
        <v>864</v>
      </c>
      <c r="C360" s="136" t="s">
        <v>476</v>
      </c>
      <c r="D360" s="136" t="s">
        <v>465</v>
      </c>
      <c r="E360" s="136" t="s">
        <v>483</v>
      </c>
      <c r="F360" s="136" t="s">
        <v>567</v>
      </c>
      <c r="G360" s="136">
        <v>36</v>
      </c>
      <c r="H360" s="137">
        <v>22</v>
      </c>
      <c r="I360" s="138">
        <f t="shared" si="5"/>
        <v>792</v>
      </c>
      <c r="J360" s="139" t="s">
        <v>466</v>
      </c>
      <c r="K360" s="140">
        <v>19.007999999999999</v>
      </c>
      <c r="L360">
        <f>Table13[[#This Row],[Price]]*Table13[[#This Row],[Units]]</f>
        <v>792</v>
      </c>
    </row>
    <row r="361" spans="1:12" x14ac:dyDescent="0.35">
      <c r="A361" s="134">
        <v>45627</v>
      </c>
      <c r="B361" s="135" t="s">
        <v>865</v>
      </c>
      <c r="C361" s="136" t="s">
        <v>489</v>
      </c>
      <c r="D361" s="136" t="s">
        <v>477</v>
      </c>
      <c r="E361" s="136" t="s">
        <v>324</v>
      </c>
      <c r="F361" s="136" t="s">
        <v>567</v>
      </c>
      <c r="G361" s="136">
        <v>32</v>
      </c>
      <c r="H361" s="137">
        <v>24</v>
      </c>
      <c r="I361" s="138">
        <f t="shared" si="5"/>
        <v>768</v>
      </c>
      <c r="J361" s="139" t="s">
        <v>466</v>
      </c>
      <c r="K361" s="140">
        <v>16.128</v>
      </c>
      <c r="L361">
        <f>Table13[[#This Row],[Price]]*Table13[[#This Row],[Units]]</f>
        <v>768</v>
      </c>
    </row>
    <row r="362" spans="1:12" x14ac:dyDescent="0.35">
      <c r="A362" s="134">
        <v>45627</v>
      </c>
      <c r="B362" s="135" t="s">
        <v>866</v>
      </c>
      <c r="C362" s="136" t="s">
        <v>494</v>
      </c>
      <c r="D362" s="136" t="s">
        <v>470</v>
      </c>
      <c r="E362" s="136" t="s">
        <v>390</v>
      </c>
      <c r="F362" s="136" t="s">
        <v>491</v>
      </c>
      <c r="G362" s="136">
        <v>40</v>
      </c>
      <c r="H362" s="137">
        <v>35</v>
      </c>
      <c r="I362" s="138">
        <f t="shared" si="5"/>
        <v>1400</v>
      </c>
      <c r="J362" s="139" t="s">
        <v>503</v>
      </c>
      <c r="K362" s="140">
        <v>30.8</v>
      </c>
      <c r="L362">
        <f>Table13[[#This Row],[Price]]*Table13[[#This Row],[Units]]</f>
        <v>1400</v>
      </c>
    </row>
    <row r="363" spans="1:12" x14ac:dyDescent="0.35">
      <c r="A363" s="134">
        <v>45627</v>
      </c>
      <c r="B363" s="135" t="s">
        <v>867</v>
      </c>
      <c r="C363" s="136" t="s">
        <v>492</v>
      </c>
      <c r="D363" s="136" t="s">
        <v>519</v>
      </c>
      <c r="E363" s="136" t="s">
        <v>320</v>
      </c>
      <c r="F363" s="136" t="s">
        <v>497</v>
      </c>
      <c r="G363" s="136">
        <v>19</v>
      </c>
      <c r="H363" s="137">
        <v>37</v>
      </c>
      <c r="I363" s="138">
        <f t="shared" si="5"/>
        <v>703</v>
      </c>
      <c r="J363" s="139" t="s">
        <v>472</v>
      </c>
      <c r="K363" s="140">
        <v>18.277999999999999</v>
      </c>
      <c r="L363">
        <f>Table13[[#This Row],[Price]]*Table13[[#This Row],[Units]]</f>
        <v>703</v>
      </c>
    </row>
    <row r="364" spans="1:12" x14ac:dyDescent="0.35">
      <c r="A364" s="134">
        <v>45627</v>
      </c>
      <c r="B364" s="135" t="s">
        <v>868</v>
      </c>
      <c r="C364" s="136" t="s">
        <v>501</v>
      </c>
      <c r="D364" s="136" t="s">
        <v>512</v>
      </c>
      <c r="E364" s="136" t="s">
        <v>333</v>
      </c>
      <c r="F364" s="136" t="s">
        <v>528</v>
      </c>
      <c r="G364" s="136">
        <v>34</v>
      </c>
      <c r="H364" s="137">
        <v>20</v>
      </c>
      <c r="I364" s="138">
        <f t="shared" si="5"/>
        <v>680</v>
      </c>
      <c r="J364" s="139" t="s">
        <v>472</v>
      </c>
      <c r="K364" s="140">
        <v>15.64</v>
      </c>
      <c r="L364">
        <f>Table13[[#This Row],[Price]]*Table13[[#This Row],[Units]]</f>
        <v>680</v>
      </c>
    </row>
    <row r="365" spans="1:12" x14ac:dyDescent="0.35">
      <c r="A365" s="134">
        <v>45627</v>
      </c>
      <c r="B365" s="135" t="s">
        <v>869</v>
      </c>
      <c r="C365" s="136" t="s">
        <v>494</v>
      </c>
      <c r="D365" s="136" t="s">
        <v>465</v>
      </c>
      <c r="E365" s="136" t="s">
        <v>315</v>
      </c>
      <c r="F365" s="136" t="s">
        <v>478</v>
      </c>
      <c r="G365" s="136">
        <v>56</v>
      </c>
      <c r="H365" s="137">
        <v>59</v>
      </c>
      <c r="I365" s="138">
        <f t="shared" si="5"/>
        <v>3304</v>
      </c>
      <c r="J365" s="139" t="s">
        <v>466</v>
      </c>
      <c r="K365" s="140">
        <v>92.512</v>
      </c>
      <c r="L365">
        <f>Table13[[#This Row],[Price]]*Table13[[#This Row],[Units]]</f>
        <v>3304</v>
      </c>
    </row>
    <row r="366" spans="1:12" x14ac:dyDescent="0.35">
      <c r="A366" s="134">
        <v>45628</v>
      </c>
      <c r="B366" s="135" t="s">
        <v>870</v>
      </c>
      <c r="C366" s="136" t="s">
        <v>464</v>
      </c>
      <c r="D366" s="136" t="s">
        <v>486</v>
      </c>
      <c r="E366" s="136" t="s">
        <v>324</v>
      </c>
      <c r="F366" s="136" t="s">
        <v>500</v>
      </c>
      <c r="G366" s="136">
        <v>44</v>
      </c>
      <c r="H366" s="137">
        <v>46</v>
      </c>
      <c r="I366" s="138">
        <f t="shared" si="5"/>
        <v>2024</v>
      </c>
      <c r="J366" s="139" t="s">
        <v>472</v>
      </c>
      <c r="K366" s="140">
        <v>56.671999999999997</v>
      </c>
      <c r="L366">
        <f>Table13[[#This Row],[Price]]*Table13[[#This Row],[Units]]</f>
        <v>2024</v>
      </c>
    </row>
    <row r="367" spans="1:12" x14ac:dyDescent="0.35">
      <c r="A367" s="134">
        <v>45628</v>
      </c>
      <c r="B367" s="135" t="s">
        <v>871</v>
      </c>
      <c r="C367" s="136" t="s">
        <v>494</v>
      </c>
      <c r="D367" s="136" t="s">
        <v>477</v>
      </c>
      <c r="E367" s="136" t="s">
        <v>315</v>
      </c>
      <c r="F367" s="136" t="s">
        <v>523</v>
      </c>
      <c r="G367" s="136">
        <v>40</v>
      </c>
      <c r="H367" s="137">
        <v>21</v>
      </c>
      <c r="I367" s="138">
        <f t="shared" si="5"/>
        <v>840</v>
      </c>
      <c r="J367" s="139" t="s">
        <v>515</v>
      </c>
      <c r="K367" s="140">
        <v>21.84</v>
      </c>
      <c r="L367">
        <f>Table13[[#This Row],[Price]]*Table13[[#This Row],[Units]]</f>
        <v>840</v>
      </c>
    </row>
    <row r="368" spans="1:12" x14ac:dyDescent="0.35">
      <c r="A368" s="134">
        <v>45628</v>
      </c>
      <c r="B368" s="135" t="s">
        <v>872</v>
      </c>
      <c r="C368" s="136" t="s">
        <v>469</v>
      </c>
      <c r="D368" s="136" t="s">
        <v>470</v>
      </c>
      <c r="E368" s="136" t="s">
        <v>483</v>
      </c>
      <c r="F368" s="136" t="s">
        <v>520</v>
      </c>
      <c r="G368" s="136">
        <v>32</v>
      </c>
      <c r="H368" s="137">
        <v>27</v>
      </c>
      <c r="I368" s="138">
        <f t="shared" si="5"/>
        <v>864</v>
      </c>
      <c r="J368" s="139" t="s">
        <v>466</v>
      </c>
      <c r="K368" s="140">
        <v>23.327999999999999</v>
      </c>
      <c r="L368">
        <f>Table13[[#This Row],[Price]]*Table13[[#This Row],[Units]]</f>
        <v>864</v>
      </c>
    </row>
    <row r="369" spans="1:12" x14ac:dyDescent="0.35">
      <c r="A369" s="134">
        <v>45628</v>
      </c>
      <c r="B369" s="135" t="s">
        <v>873</v>
      </c>
      <c r="C369" s="136" t="s">
        <v>322</v>
      </c>
      <c r="D369" s="136" t="s">
        <v>512</v>
      </c>
      <c r="E369" s="136" t="s">
        <v>390</v>
      </c>
      <c r="F369" s="136" t="s">
        <v>520</v>
      </c>
      <c r="G369" s="136">
        <v>28</v>
      </c>
      <c r="H369" s="137">
        <v>40</v>
      </c>
      <c r="I369" s="138">
        <f t="shared" si="5"/>
        <v>1120</v>
      </c>
      <c r="J369" s="139" t="s">
        <v>472</v>
      </c>
      <c r="K369" s="140">
        <v>30.24</v>
      </c>
      <c r="L369">
        <f>Table13[[#This Row],[Price]]*Table13[[#This Row],[Units]]</f>
        <v>1120</v>
      </c>
    </row>
    <row r="370" spans="1:12" x14ac:dyDescent="0.35">
      <c r="A370" s="134">
        <v>45628</v>
      </c>
      <c r="B370" s="135" t="s">
        <v>874</v>
      </c>
      <c r="C370" s="136" t="s">
        <v>484</v>
      </c>
      <c r="D370" s="136" t="s">
        <v>470</v>
      </c>
      <c r="E370" s="136" t="s">
        <v>320</v>
      </c>
      <c r="F370" s="136" t="s">
        <v>539</v>
      </c>
      <c r="G370" s="136">
        <v>44</v>
      </c>
      <c r="H370" s="137">
        <v>29</v>
      </c>
      <c r="I370" s="138">
        <f t="shared" si="5"/>
        <v>1276</v>
      </c>
      <c r="J370" s="139" t="s">
        <v>466</v>
      </c>
      <c r="K370" s="140">
        <v>25.52</v>
      </c>
      <c r="L370">
        <f>Table13[[#This Row],[Price]]*Table13[[#This Row],[Units]]</f>
        <v>1276</v>
      </c>
    </row>
    <row r="371" spans="1:12" x14ac:dyDescent="0.35">
      <c r="A371" s="134">
        <v>45628</v>
      </c>
      <c r="B371" s="135" t="s">
        <v>875</v>
      </c>
      <c r="C371" s="136" t="s">
        <v>469</v>
      </c>
      <c r="D371" s="136" t="s">
        <v>465</v>
      </c>
      <c r="E371" s="136" t="s">
        <v>483</v>
      </c>
      <c r="F371" s="136" t="s">
        <v>510</v>
      </c>
      <c r="G371" s="136">
        <v>23</v>
      </c>
      <c r="H371" s="137">
        <v>48</v>
      </c>
      <c r="I371" s="138">
        <f t="shared" si="5"/>
        <v>1104</v>
      </c>
      <c r="J371" s="139" t="s">
        <v>466</v>
      </c>
      <c r="K371" s="140">
        <v>25.391999999999999</v>
      </c>
      <c r="L371">
        <f>Table13[[#This Row],[Price]]*Table13[[#This Row],[Units]]</f>
        <v>1104</v>
      </c>
    </row>
    <row r="372" spans="1:12" x14ac:dyDescent="0.35">
      <c r="A372" s="134">
        <v>45628</v>
      </c>
      <c r="B372" s="135" t="s">
        <v>876</v>
      </c>
      <c r="C372" s="136" t="s">
        <v>322</v>
      </c>
      <c r="D372" s="136" t="s">
        <v>465</v>
      </c>
      <c r="E372" s="136" t="s">
        <v>320</v>
      </c>
      <c r="F372" s="136" t="s">
        <v>471</v>
      </c>
      <c r="G372" s="136">
        <v>35</v>
      </c>
      <c r="H372" s="137">
        <v>54</v>
      </c>
      <c r="I372" s="138">
        <f t="shared" si="5"/>
        <v>1890</v>
      </c>
      <c r="J372" s="139" t="s">
        <v>466</v>
      </c>
      <c r="K372" s="140">
        <v>37.799999999999997</v>
      </c>
      <c r="L372">
        <f>Table13[[#This Row],[Price]]*Table13[[#This Row],[Units]]</f>
        <v>1890</v>
      </c>
    </row>
    <row r="373" spans="1:12" x14ac:dyDescent="0.35">
      <c r="A373" s="134">
        <v>45628</v>
      </c>
      <c r="B373" s="135" t="s">
        <v>877</v>
      </c>
      <c r="C373" s="136" t="s">
        <v>464</v>
      </c>
      <c r="D373" s="136" t="s">
        <v>477</v>
      </c>
      <c r="E373" s="136" t="s">
        <v>320</v>
      </c>
      <c r="F373" s="136" t="s">
        <v>478</v>
      </c>
      <c r="G373" s="136">
        <v>37</v>
      </c>
      <c r="H373" s="137">
        <v>53</v>
      </c>
      <c r="I373" s="138">
        <f t="shared" si="5"/>
        <v>1961</v>
      </c>
      <c r="J373" s="139" t="s">
        <v>466</v>
      </c>
      <c r="K373" s="140">
        <v>56.869</v>
      </c>
      <c r="L373">
        <f>Table13[[#This Row],[Price]]*Table13[[#This Row],[Units]]</f>
        <v>1961</v>
      </c>
    </row>
    <row r="374" spans="1:12" x14ac:dyDescent="0.35">
      <c r="A374" s="134">
        <v>45629</v>
      </c>
      <c r="B374" s="135" t="s">
        <v>878</v>
      </c>
      <c r="C374" s="136" t="s">
        <v>322</v>
      </c>
      <c r="D374" s="136" t="s">
        <v>470</v>
      </c>
      <c r="E374" s="136" t="s">
        <v>320</v>
      </c>
      <c r="F374" s="136" t="s">
        <v>491</v>
      </c>
      <c r="G374" s="136">
        <v>45</v>
      </c>
      <c r="H374" s="137">
        <v>29</v>
      </c>
      <c r="I374" s="138">
        <f t="shared" si="5"/>
        <v>1305</v>
      </c>
      <c r="J374" s="139" t="s">
        <v>466</v>
      </c>
      <c r="K374" s="140">
        <v>30.015000000000001</v>
      </c>
      <c r="L374">
        <f>Table13[[#This Row],[Price]]*Table13[[#This Row],[Units]]</f>
        <v>1305</v>
      </c>
    </row>
    <row r="375" spans="1:12" x14ac:dyDescent="0.35">
      <c r="A375" s="134">
        <v>45629</v>
      </c>
      <c r="B375" s="135" t="s">
        <v>879</v>
      </c>
      <c r="C375" s="136" t="s">
        <v>494</v>
      </c>
      <c r="D375" s="136" t="s">
        <v>477</v>
      </c>
      <c r="E375" s="136" t="s">
        <v>320</v>
      </c>
      <c r="F375" s="136" t="s">
        <v>505</v>
      </c>
      <c r="G375" s="136">
        <v>27</v>
      </c>
      <c r="H375" s="137">
        <v>20</v>
      </c>
      <c r="I375" s="138">
        <f t="shared" si="5"/>
        <v>540</v>
      </c>
      <c r="J375" s="139" t="s">
        <v>466</v>
      </c>
      <c r="K375" s="140">
        <v>11.88</v>
      </c>
      <c r="L375">
        <f>Table13[[#This Row],[Price]]*Table13[[#This Row],[Units]]</f>
        <v>540</v>
      </c>
    </row>
    <row r="376" spans="1:12" x14ac:dyDescent="0.35">
      <c r="A376" s="134">
        <v>45629</v>
      </c>
      <c r="B376" s="135" t="s">
        <v>880</v>
      </c>
      <c r="C376" s="136" t="s">
        <v>469</v>
      </c>
      <c r="D376" s="136" t="s">
        <v>490</v>
      </c>
      <c r="E376" s="136" t="s">
        <v>483</v>
      </c>
      <c r="F376" s="136" t="s">
        <v>513</v>
      </c>
      <c r="G376" s="136">
        <v>28</v>
      </c>
      <c r="H376" s="137">
        <v>47</v>
      </c>
      <c r="I376" s="138">
        <f t="shared" si="5"/>
        <v>1316</v>
      </c>
      <c r="J376" s="139" t="s">
        <v>466</v>
      </c>
      <c r="K376" s="140">
        <v>28.952000000000002</v>
      </c>
      <c r="L376">
        <f>Table13[[#This Row],[Price]]*Table13[[#This Row],[Units]]</f>
        <v>1316</v>
      </c>
    </row>
    <row r="377" spans="1:12" x14ac:dyDescent="0.35">
      <c r="A377" s="134">
        <v>45629</v>
      </c>
      <c r="B377" s="135" t="s">
        <v>881</v>
      </c>
      <c r="C377" s="136" t="s">
        <v>501</v>
      </c>
      <c r="D377" s="136" t="s">
        <v>519</v>
      </c>
      <c r="E377" s="136" t="s">
        <v>320</v>
      </c>
      <c r="F377" s="136" t="s">
        <v>567</v>
      </c>
      <c r="G377" s="136">
        <v>60</v>
      </c>
      <c r="H377" s="137">
        <v>23</v>
      </c>
      <c r="I377" s="138">
        <f t="shared" si="5"/>
        <v>1380</v>
      </c>
      <c r="J377" s="139" t="s">
        <v>472</v>
      </c>
      <c r="K377" s="140">
        <v>35.880000000000003</v>
      </c>
      <c r="L377">
        <f>Table13[[#This Row],[Price]]*Table13[[#This Row],[Units]]</f>
        <v>1380</v>
      </c>
    </row>
    <row r="378" spans="1:12" x14ac:dyDescent="0.35">
      <c r="A378" s="134">
        <v>45629</v>
      </c>
      <c r="B378" s="135" t="s">
        <v>882</v>
      </c>
      <c r="C378" s="136" t="s">
        <v>492</v>
      </c>
      <c r="D378" s="136" t="s">
        <v>470</v>
      </c>
      <c r="E378" s="136" t="s">
        <v>320</v>
      </c>
      <c r="F378" s="136" t="s">
        <v>491</v>
      </c>
      <c r="G378" s="136">
        <v>11</v>
      </c>
      <c r="H378" s="137">
        <v>59</v>
      </c>
      <c r="I378" s="138">
        <f t="shared" si="5"/>
        <v>649</v>
      </c>
      <c r="J378" s="139" t="s">
        <v>515</v>
      </c>
      <c r="K378" s="140">
        <v>15.576000000000001</v>
      </c>
      <c r="L378">
        <f>Table13[[#This Row],[Price]]*Table13[[#This Row],[Units]]</f>
        <v>649</v>
      </c>
    </row>
    <row r="379" spans="1:12" x14ac:dyDescent="0.35">
      <c r="A379" s="134">
        <v>45629</v>
      </c>
      <c r="B379" s="135" t="s">
        <v>883</v>
      </c>
      <c r="C379" s="136" t="s">
        <v>501</v>
      </c>
      <c r="D379" s="136" t="s">
        <v>486</v>
      </c>
      <c r="E379" s="136" t="s">
        <v>320</v>
      </c>
      <c r="F379" s="136" t="s">
        <v>505</v>
      </c>
      <c r="G379" s="136">
        <v>44</v>
      </c>
      <c r="H379" s="137">
        <v>42</v>
      </c>
      <c r="I379" s="138">
        <f t="shared" si="5"/>
        <v>1848</v>
      </c>
      <c r="J379" s="139" t="s">
        <v>466</v>
      </c>
      <c r="K379" s="140">
        <v>55.44</v>
      </c>
      <c r="L379">
        <f>Table13[[#This Row],[Price]]*Table13[[#This Row],[Units]]</f>
        <v>1848</v>
      </c>
    </row>
    <row r="380" spans="1:12" x14ac:dyDescent="0.35">
      <c r="A380" s="134">
        <v>45629</v>
      </c>
      <c r="B380" s="135" t="s">
        <v>884</v>
      </c>
      <c r="C380" s="136" t="s">
        <v>322</v>
      </c>
      <c r="D380" s="136" t="s">
        <v>465</v>
      </c>
      <c r="E380" s="136" t="s">
        <v>320</v>
      </c>
      <c r="F380" s="136" t="s">
        <v>567</v>
      </c>
      <c r="G380" s="136">
        <v>53</v>
      </c>
      <c r="H380" s="137">
        <v>26</v>
      </c>
      <c r="I380" s="138">
        <f t="shared" si="5"/>
        <v>1378</v>
      </c>
      <c r="J380" s="139" t="s">
        <v>503</v>
      </c>
      <c r="K380" s="140">
        <v>33.072000000000003</v>
      </c>
      <c r="L380">
        <f>Table13[[#This Row],[Price]]*Table13[[#This Row],[Units]]</f>
        <v>1378</v>
      </c>
    </row>
    <row r="381" spans="1:12" x14ac:dyDescent="0.35">
      <c r="A381" s="134">
        <v>45629</v>
      </c>
      <c r="B381" s="135" t="s">
        <v>885</v>
      </c>
      <c r="C381" s="136" t="s">
        <v>489</v>
      </c>
      <c r="D381" s="136" t="s">
        <v>470</v>
      </c>
      <c r="E381" s="136" t="s">
        <v>483</v>
      </c>
      <c r="F381" s="136" t="s">
        <v>454</v>
      </c>
      <c r="G381" s="136">
        <v>17</v>
      </c>
      <c r="H381" s="137">
        <v>32</v>
      </c>
      <c r="I381" s="138">
        <f t="shared" si="5"/>
        <v>544</v>
      </c>
      <c r="J381" s="139" t="s">
        <v>466</v>
      </c>
      <c r="K381" s="140">
        <v>13.6</v>
      </c>
      <c r="L381">
        <f>Table13[[#This Row],[Price]]*Table13[[#This Row],[Units]]</f>
        <v>544</v>
      </c>
    </row>
    <row r="382" spans="1:12" x14ac:dyDescent="0.35">
      <c r="A382" s="134">
        <v>45629</v>
      </c>
      <c r="B382" s="135" t="s">
        <v>886</v>
      </c>
      <c r="C382" s="136" t="s">
        <v>489</v>
      </c>
      <c r="D382" s="136" t="s">
        <v>470</v>
      </c>
      <c r="E382" s="136" t="s">
        <v>333</v>
      </c>
      <c r="F382" s="136" t="s">
        <v>520</v>
      </c>
      <c r="G382" s="136">
        <v>55</v>
      </c>
      <c r="H382" s="137">
        <v>26</v>
      </c>
      <c r="I382" s="138">
        <f t="shared" si="5"/>
        <v>1430</v>
      </c>
      <c r="J382" s="139" t="s">
        <v>472</v>
      </c>
      <c r="K382" s="140">
        <v>32.89</v>
      </c>
      <c r="L382">
        <f>Table13[[#This Row],[Price]]*Table13[[#This Row],[Units]]</f>
        <v>1430</v>
      </c>
    </row>
    <row r="383" spans="1:12" x14ac:dyDescent="0.35">
      <c r="A383" s="134">
        <v>45629</v>
      </c>
      <c r="B383" s="135" t="s">
        <v>887</v>
      </c>
      <c r="C383" s="136" t="s">
        <v>484</v>
      </c>
      <c r="D383" s="136" t="s">
        <v>470</v>
      </c>
      <c r="E383" s="136" t="s">
        <v>333</v>
      </c>
      <c r="F383" s="136" t="s">
        <v>536</v>
      </c>
      <c r="G383" s="136">
        <v>34</v>
      </c>
      <c r="H383" s="137">
        <v>56</v>
      </c>
      <c r="I383" s="138">
        <f t="shared" si="5"/>
        <v>1904</v>
      </c>
      <c r="J383" s="139" t="s">
        <v>472</v>
      </c>
      <c r="K383" s="140">
        <v>49.503999999999998</v>
      </c>
      <c r="L383">
        <f>Table13[[#This Row],[Price]]*Table13[[#This Row],[Units]]</f>
        <v>1904</v>
      </c>
    </row>
    <row r="384" spans="1:12" x14ac:dyDescent="0.35">
      <c r="A384" s="134">
        <v>45630</v>
      </c>
      <c r="B384" s="135" t="s">
        <v>888</v>
      </c>
      <c r="C384" s="136" t="s">
        <v>492</v>
      </c>
      <c r="D384" s="136" t="s">
        <v>470</v>
      </c>
      <c r="E384" s="136" t="s">
        <v>315</v>
      </c>
      <c r="F384" s="136" t="s">
        <v>513</v>
      </c>
      <c r="G384" s="136">
        <v>12</v>
      </c>
      <c r="H384" s="137">
        <v>52</v>
      </c>
      <c r="I384" s="138">
        <f t="shared" si="5"/>
        <v>624</v>
      </c>
      <c r="J384" s="139" t="s">
        <v>515</v>
      </c>
      <c r="K384" s="140">
        <v>13.728</v>
      </c>
      <c r="L384">
        <f>Table13[[#This Row],[Price]]*Table13[[#This Row],[Units]]</f>
        <v>624</v>
      </c>
    </row>
    <row r="385" spans="1:12" x14ac:dyDescent="0.35">
      <c r="A385" s="134">
        <v>45630</v>
      </c>
      <c r="B385" s="135" t="s">
        <v>889</v>
      </c>
      <c r="C385" s="136" t="s">
        <v>476</v>
      </c>
      <c r="D385" s="136" t="s">
        <v>486</v>
      </c>
      <c r="E385" s="136" t="s">
        <v>320</v>
      </c>
      <c r="F385" s="136" t="s">
        <v>536</v>
      </c>
      <c r="G385" s="136">
        <v>54</v>
      </c>
      <c r="H385" s="137">
        <v>57</v>
      </c>
      <c r="I385" s="138">
        <f t="shared" si="5"/>
        <v>3078</v>
      </c>
      <c r="J385" s="139" t="s">
        <v>472</v>
      </c>
      <c r="K385" s="140">
        <v>83.105999999999995</v>
      </c>
      <c r="L385">
        <f>Table13[[#This Row],[Price]]*Table13[[#This Row],[Units]]</f>
        <v>3078</v>
      </c>
    </row>
    <row r="386" spans="1:12" x14ac:dyDescent="0.35">
      <c r="A386" s="134">
        <v>45630</v>
      </c>
      <c r="B386" s="135" t="s">
        <v>890</v>
      </c>
      <c r="C386" s="136" t="s">
        <v>322</v>
      </c>
      <c r="D386" s="136" t="s">
        <v>470</v>
      </c>
      <c r="E386" s="136" t="s">
        <v>324</v>
      </c>
      <c r="F386" s="136" t="s">
        <v>510</v>
      </c>
      <c r="G386" s="136">
        <v>57</v>
      </c>
      <c r="H386" s="137">
        <v>52</v>
      </c>
      <c r="I386" s="138">
        <f t="shared" si="5"/>
        <v>2964</v>
      </c>
      <c r="J386" s="139" t="s">
        <v>466</v>
      </c>
      <c r="K386" s="140">
        <v>59.28</v>
      </c>
      <c r="L386">
        <f>Table13[[#This Row],[Price]]*Table13[[#This Row],[Units]]</f>
        <v>2964</v>
      </c>
    </row>
    <row r="387" spans="1:12" x14ac:dyDescent="0.35">
      <c r="A387" s="134">
        <v>45630</v>
      </c>
      <c r="B387" s="135" t="s">
        <v>891</v>
      </c>
      <c r="C387" s="136" t="s">
        <v>464</v>
      </c>
      <c r="D387" s="136" t="s">
        <v>470</v>
      </c>
      <c r="E387" s="136" t="s">
        <v>324</v>
      </c>
      <c r="F387" s="136" t="s">
        <v>491</v>
      </c>
      <c r="G387" s="136">
        <v>34</v>
      </c>
      <c r="H387" s="137">
        <v>36</v>
      </c>
      <c r="I387" s="138">
        <f t="shared" ref="I387:I450" si="6">G387*H387</f>
        <v>1224</v>
      </c>
      <c r="J387" s="139" t="s">
        <v>472</v>
      </c>
      <c r="K387" s="140">
        <v>36.72</v>
      </c>
      <c r="L387">
        <f>Table13[[#This Row],[Price]]*Table13[[#This Row],[Units]]</f>
        <v>1224</v>
      </c>
    </row>
    <row r="388" spans="1:12" x14ac:dyDescent="0.35">
      <c r="A388" s="134">
        <v>45630</v>
      </c>
      <c r="B388" s="135" t="s">
        <v>892</v>
      </c>
      <c r="C388" s="136" t="s">
        <v>322</v>
      </c>
      <c r="D388" s="136" t="s">
        <v>477</v>
      </c>
      <c r="E388" s="136" t="s">
        <v>483</v>
      </c>
      <c r="F388" s="136" t="s">
        <v>517</v>
      </c>
      <c r="G388" s="136">
        <v>38</v>
      </c>
      <c r="H388" s="137">
        <v>28</v>
      </c>
      <c r="I388" s="138">
        <f t="shared" si="6"/>
        <v>1064</v>
      </c>
      <c r="J388" s="139" t="s">
        <v>466</v>
      </c>
      <c r="K388" s="140">
        <v>24.472000000000001</v>
      </c>
      <c r="L388">
        <f>Table13[[#This Row],[Price]]*Table13[[#This Row],[Units]]</f>
        <v>1064</v>
      </c>
    </row>
    <row r="389" spans="1:12" x14ac:dyDescent="0.35">
      <c r="A389" s="134">
        <v>45630</v>
      </c>
      <c r="B389" s="135" t="s">
        <v>893</v>
      </c>
      <c r="C389" s="136" t="s">
        <v>501</v>
      </c>
      <c r="D389" s="136" t="s">
        <v>512</v>
      </c>
      <c r="E389" s="136" t="s">
        <v>320</v>
      </c>
      <c r="F389" s="136" t="s">
        <v>567</v>
      </c>
      <c r="G389" s="136">
        <v>29</v>
      </c>
      <c r="H389" s="137">
        <v>57</v>
      </c>
      <c r="I389" s="138">
        <f t="shared" si="6"/>
        <v>1653</v>
      </c>
      <c r="J389" s="139" t="s">
        <v>466</v>
      </c>
      <c r="K389" s="140">
        <v>47.936999999999998</v>
      </c>
      <c r="L389">
        <f>Table13[[#This Row],[Price]]*Table13[[#This Row],[Units]]</f>
        <v>1653</v>
      </c>
    </row>
    <row r="390" spans="1:12" x14ac:dyDescent="0.35">
      <c r="A390" s="134">
        <v>45630</v>
      </c>
      <c r="B390" s="135" t="s">
        <v>894</v>
      </c>
      <c r="C390" s="136" t="s">
        <v>492</v>
      </c>
      <c r="D390" s="136" t="s">
        <v>470</v>
      </c>
      <c r="E390" s="136" t="s">
        <v>315</v>
      </c>
      <c r="F390" s="136" t="s">
        <v>454</v>
      </c>
      <c r="G390" s="136">
        <v>19</v>
      </c>
      <c r="H390" s="137">
        <v>29</v>
      </c>
      <c r="I390" s="138">
        <f t="shared" si="6"/>
        <v>551</v>
      </c>
      <c r="J390" s="139" t="s">
        <v>466</v>
      </c>
      <c r="K390" s="140">
        <v>13.775</v>
      </c>
      <c r="L390">
        <f>Table13[[#This Row],[Price]]*Table13[[#This Row],[Units]]</f>
        <v>551</v>
      </c>
    </row>
    <row r="391" spans="1:12" x14ac:dyDescent="0.35">
      <c r="A391" s="134">
        <v>45630</v>
      </c>
      <c r="B391" s="135" t="s">
        <v>895</v>
      </c>
      <c r="C391" s="136" t="s">
        <v>494</v>
      </c>
      <c r="D391" s="136" t="s">
        <v>465</v>
      </c>
      <c r="E391" s="136" t="s">
        <v>324</v>
      </c>
      <c r="F391" s="136" t="s">
        <v>471</v>
      </c>
      <c r="G391" s="136">
        <v>30</v>
      </c>
      <c r="H391" s="137">
        <v>45</v>
      </c>
      <c r="I391" s="138">
        <f t="shared" si="6"/>
        <v>1350</v>
      </c>
      <c r="J391" s="139" t="s">
        <v>515</v>
      </c>
      <c r="K391" s="140">
        <v>36.450000000000003</v>
      </c>
      <c r="L391">
        <f>Table13[[#This Row],[Price]]*Table13[[#This Row],[Units]]</f>
        <v>1350</v>
      </c>
    </row>
    <row r="392" spans="1:12" x14ac:dyDescent="0.35">
      <c r="A392" s="134">
        <v>45630</v>
      </c>
      <c r="B392" s="135" t="s">
        <v>896</v>
      </c>
      <c r="C392" s="136" t="s">
        <v>322</v>
      </c>
      <c r="D392" s="136" t="s">
        <v>465</v>
      </c>
      <c r="E392" s="136" t="s">
        <v>412</v>
      </c>
      <c r="F392" s="136" t="s">
        <v>454</v>
      </c>
      <c r="G392" s="136">
        <v>46</v>
      </c>
      <c r="H392" s="137">
        <v>21</v>
      </c>
      <c r="I392" s="138">
        <f t="shared" si="6"/>
        <v>966</v>
      </c>
      <c r="J392" s="139" t="s">
        <v>472</v>
      </c>
      <c r="K392" s="140">
        <v>19.32</v>
      </c>
      <c r="L392">
        <f>Table13[[#This Row],[Price]]*Table13[[#This Row],[Units]]</f>
        <v>966</v>
      </c>
    </row>
    <row r="393" spans="1:12" x14ac:dyDescent="0.35">
      <c r="A393" s="134">
        <v>45631</v>
      </c>
      <c r="B393" s="135" t="s">
        <v>897</v>
      </c>
      <c r="C393" s="136" t="s">
        <v>489</v>
      </c>
      <c r="D393" s="136" t="s">
        <v>477</v>
      </c>
      <c r="E393" s="136" t="s">
        <v>324</v>
      </c>
      <c r="F393" s="136" t="s">
        <v>536</v>
      </c>
      <c r="G393" s="136">
        <v>33</v>
      </c>
      <c r="H393" s="137">
        <v>57</v>
      </c>
      <c r="I393" s="138">
        <f t="shared" si="6"/>
        <v>1881</v>
      </c>
      <c r="J393" s="139" t="s">
        <v>466</v>
      </c>
      <c r="K393" s="140">
        <v>37.619999999999997</v>
      </c>
      <c r="L393">
        <f>Table13[[#This Row],[Price]]*Table13[[#This Row],[Units]]</f>
        <v>1881</v>
      </c>
    </row>
    <row r="394" spans="1:12" x14ac:dyDescent="0.35">
      <c r="A394" s="134">
        <v>45631</v>
      </c>
      <c r="B394" s="135" t="s">
        <v>898</v>
      </c>
      <c r="C394" s="136" t="s">
        <v>484</v>
      </c>
      <c r="D394" s="136" t="s">
        <v>470</v>
      </c>
      <c r="E394" s="136" t="s">
        <v>483</v>
      </c>
      <c r="F394" s="136" t="s">
        <v>513</v>
      </c>
      <c r="G394" s="136">
        <v>25</v>
      </c>
      <c r="H394" s="137">
        <v>25</v>
      </c>
      <c r="I394" s="138">
        <f t="shared" si="6"/>
        <v>625</v>
      </c>
      <c r="J394" s="139" t="s">
        <v>466</v>
      </c>
      <c r="K394" s="140">
        <v>14.375</v>
      </c>
      <c r="L394">
        <f>Table13[[#This Row],[Price]]*Table13[[#This Row],[Units]]</f>
        <v>625</v>
      </c>
    </row>
    <row r="395" spans="1:12" x14ac:dyDescent="0.35">
      <c r="A395" s="134">
        <v>45631</v>
      </c>
      <c r="B395" s="135" t="s">
        <v>899</v>
      </c>
      <c r="C395" s="136" t="s">
        <v>476</v>
      </c>
      <c r="D395" s="136" t="s">
        <v>519</v>
      </c>
      <c r="E395" s="136" t="s">
        <v>320</v>
      </c>
      <c r="F395" s="136" t="s">
        <v>505</v>
      </c>
      <c r="G395" s="136">
        <v>28</v>
      </c>
      <c r="H395" s="137">
        <v>59</v>
      </c>
      <c r="I395" s="138">
        <f t="shared" si="6"/>
        <v>1652</v>
      </c>
      <c r="J395" s="139" t="s">
        <v>472</v>
      </c>
      <c r="K395" s="140">
        <v>46.256</v>
      </c>
      <c r="L395">
        <f>Table13[[#This Row],[Price]]*Table13[[#This Row],[Units]]</f>
        <v>1652</v>
      </c>
    </row>
    <row r="396" spans="1:12" x14ac:dyDescent="0.35">
      <c r="A396" s="134">
        <v>45632</v>
      </c>
      <c r="B396" s="135" t="s">
        <v>900</v>
      </c>
      <c r="C396" s="136" t="s">
        <v>494</v>
      </c>
      <c r="D396" s="136" t="s">
        <v>512</v>
      </c>
      <c r="E396" s="136" t="s">
        <v>412</v>
      </c>
      <c r="F396" s="136" t="s">
        <v>471</v>
      </c>
      <c r="G396" s="136">
        <v>40</v>
      </c>
      <c r="H396" s="137">
        <v>55</v>
      </c>
      <c r="I396" s="138">
        <f t="shared" si="6"/>
        <v>2200</v>
      </c>
      <c r="J396" s="139" t="s">
        <v>515</v>
      </c>
      <c r="K396" s="140">
        <v>63.8</v>
      </c>
      <c r="L396">
        <f>Table13[[#This Row],[Price]]*Table13[[#This Row],[Units]]</f>
        <v>2200</v>
      </c>
    </row>
    <row r="397" spans="1:12" x14ac:dyDescent="0.35">
      <c r="A397" s="134">
        <v>45632</v>
      </c>
      <c r="B397" s="135" t="s">
        <v>901</v>
      </c>
      <c r="C397" s="136" t="s">
        <v>322</v>
      </c>
      <c r="D397" s="136" t="s">
        <v>512</v>
      </c>
      <c r="E397" s="136" t="s">
        <v>333</v>
      </c>
      <c r="F397" s="136" t="s">
        <v>517</v>
      </c>
      <c r="G397" s="136">
        <v>11</v>
      </c>
      <c r="H397" s="137">
        <v>46</v>
      </c>
      <c r="I397" s="138">
        <f t="shared" si="6"/>
        <v>506</v>
      </c>
      <c r="J397" s="139" t="s">
        <v>515</v>
      </c>
      <c r="K397" s="140">
        <v>11.132</v>
      </c>
      <c r="L397">
        <f>Table13[[#This Row],[Price]]*Table13[[#This Row],[Units]]</f>
        <v>506</v>
      </c>
    </row>
    <row r="398" spans="1:12" x14ac:dyDescent="0.35">
      <c r="A398" s="134">
        <v>45632</v>
      </c>
      <c r="B398" s="135" t="s">
        <v>902</v>
      </c>
      <c r="C398" s="136" t="s">
        <v>492</v>
      </c>
      <c r="D398" s="136" t="s">
        <v>490</v>
      </c>
      <c r="E398" s="136" t="s">
        <v>333</v>
      </c>
      <c r="F398" s="136" t="s">
        <v>567</v>
      </c>
      <c r="G398" s="136">
        <v>21</v>
      </c>
      <c r="H398" s="137">
        <v>49</v>
      </c>
      <c r="I398" s="138">
        <f t="shared" si="6"/>
        <v>1029</v>
      </c>
      <c r="J398" s="139" t="s">
        <v>515</v>
      </c>
      <c r="K398" s="140">
        <v>29.841000000000001</v>
      </c>
      <c r="L398">
        <f>Table13[[#This Row],[Price]]*Table13[[#This Row],[Units]]</f>
        <v>1029</v>
      </c>
    </row>
    <row r="399" spans="1:12" x14ac:dyDescent="0.35">
      <c r="A399" s="134">
        <v>45632</v>
      </c>
      <c r="B399" s="135" t="s">
        <v>903</v>
      </c>
      <c r="C399" s="136" t="s">
        <v>464</v>
      </c>
      <c r="D399" s="136" t="s">
        <v>477</v>
      </c>
      <c r="E399" s="136" t="s">
        <v>390</v>
      </c>
      <c r="F399" s="136" t="s">
        <v>471</v>
      </c>
      <c r="G399" s="136">
        <v>12</v>
      </c>
      <c r="H399" s="137">
        <v>28</v>
      </c>
      <c r="I399" s="138">
        <f t="shared" si="6"/>
        <v>336</v>
      </c>
      <c r="J399" s="139" t="s">
        <v>472</v>
      </c>
      <c r="K399" s="140">
        <v>7.056</v>
      </c>
      <c r="L399">
        <f>Table13[[#This Row],[Price]]*Table13[[#This Row],[Units]]</f>
        <v>336</v>
      </c>
    </row>
    <row r="400" spans="1:12" x14ac:dyDescent="0.35">
      <c r="A400" s="134">
        <v>45632</v>
      </c>
      <c r="B400" s="135" t="s">
        <v>904</v>
      </c>
      <c r="C400" s="136" t="s">
        <v>484</v>
      </c>
      <c r="D400" s="136" t="s">
        <v>477</v>
      </c>
      <c r="E400" s="136" t="s">
        <v>390</v>
      </c>
      <c r="F400" s="136" t="s">
        <v>517</v>
      </c>
      <c r="G400" s="136">
        <v>11</v>
      </c>
      <c r="H400" s="137">
        <v>37</v>
      </c>
      <c r="I400" s="138">
        <f t="shared" si="6"/>
        <v>407</v>
      </c>
      <c r="J400" s="139" t="s">
        <v>466</v>
      </c>
      <c r="K400" s="140">
        <v>12.21</v>
      </c>
      <c r="L400">
        <f>Table13[[#This Row],[Price]]*Table13[[#This Row],[Units]]</f>
        <v>407</v>
      </c>
    </row>
    <row r="401" spans="1:12" x14ac:dyDescent="0.35">
      <c r="A401" s="134">
        <v>45632</v>
      </c>
      <c r="B401" s="135" t="s">
        <v>905</v>
      </c>
      <c r="C401" s="136" t="s">
        <v>501</v>
      </c>
      <c r="D401" s="136" t="s">
        <v>477</v>
      </c>
      <c r="E401" s="136" t="s">
        <v>333</v>
      </c>
      <c r="F401" s="136" t="s">
        <v>523</v>
      </c>
      <c r="G401" s="136">
        <v>51</v>
      </c>
      <c r="H401" s="137">
        <v>31</v>
      </c>
      <c r="I401" s="138">
        <f t="shared" si="6"/>
        <v>1581</v>
      </c>
      <c r="J401" s="139" t="s">
        <v>466</v>
      </c>
      <c r="K401" s="140">
        <v>42.686999999999998</v>
      </c>
      <c r="L401">
        <f>Table13[[#This Row],[Price]]*Table13[[#This Row],[Units]]</f>
        <v>1581</v>
      </c>
    </row>
    <row r="402" spans="1:12" x14ac:dyDescent="0.35">
      <c r="A402" s="134">
        <v>45633</v>
      </c>
      <c r="B402" s="135" t="s">
        <v>906</v>
      </c>
      <c r="C402" s="136" t="s">
        <v>322</v>
      </c>
      <c r="D402" s="136" t="s">
        <v>470</v>
      </c>
      <c r="E402" s="136" t="s">
        <v>483</v>
      </c>
      <c r="F402" s="136" t="s">
        <v>523</v>
      </c>
      <c r="G402" s="136">
        <v>35</v>
      </c>
      <c r="H402" s="137">
        <v>54</v>
      </c>
      <c r="I402" s="138">
        <f t="shared" si="6"/>
        <v>1890</v>
      </c>
      <c r="J402" s="139" t="s">
        <v>466</v>
      </c>
      <c r="K402" s="140">
        <v>47.25</v>
      </c>
      <c r="L402">
        <f>Table13[[#This Row],[Price]]*Table13[[#This Row],[Units]]</f>
        <v>1890</v>
      </c>
    </row>
    <row r="403" spans="1:12" x14ac:dyDescent="0.35">
      <c r="A403" s="134">
        <v>45633</v>
      </c>
      <c r="B403" s="135" t="s">
        <v>907</v>
      </c>
      <c r="C403" s="136" t="s">
        <v>489</v>
      </c>
      <c r="D403" s="136" t="s">
        <v>519</v>
      </c>
      <c r="E403" s="136" t="s">
        <v>333</v>
      </c>
      <c r="F403" s="136" t="s">
        <v>567</v>
      </c>
      <c r="G403" s="136">
        <v>34</v>
      </c>
      <c r="H403" s="137">
        <v>39</v>
      </c>
      <c r="I403" s="138">
        <f t="shared" si="6"/>
        <v>1326</v>
      </c>
      <c r="J403" s="139" t="s">
        <v>466</v>
      </c>
      <c r="K403" s="140">
        <v>29.172000000000001</v>
      </c>
      <c r="L403">
        <f>Table13[[#This Row],[Price]]*Table13[[#This Row],[Units]]</f>
        <v>1326</v>
      </c>
    </row>
    <row r="404" spans="1:12" x14ac:dyDescent="0.35">
      <c r="A404" s="134">
        <v>45633</v>
      </c>
      <c r="B404" s="135" t="s">
        <v>908</v>
      </c>
      <c r="C404" s="136" t="s">
        <v>492</v>
      </c>
      <c r="D404" s="136" t="s">
        <v>470</v>
      </c>
      <c r="E404" s="136" t="s">
        <v>315</v>
      </c>
      <c r="F404" s="136" t="s">
        <v>528</v>
      </c>
      <c r="G404" s="136">
        <v>18</v>
      </c>
      <c r="H404" s="137">
        <v>42</v>
      </c>
      <c r="I404" s="138">
        <f t="shared" si="6"/>
        <v>756</v>
      </c>
      <c r="J404" s="139" t="s">
        <v>466</v>
      </c>
      <c r="K404" s="140">
        <v>22.68</v>
      </c>
      <c r="L404">
        <f>Table13[[#This Row],[Price]]*Table13[[#This Row],[Units]]</f>
        <v>756</v>
      </c>
    </row>
    <row r="405" spans="1:12" x14ac:dyDescent="0.35">
      <c r="A405" s="134">
        <v>45634</v>
      </c>
      <c r="B405" s="135" t="s">
        <v>909</v>
      </c>
      <c r="C405" s="136" t="s">
        <v>484</v>
      </c>
      <c r="D405" s="136" t="s">
        <v>470</v>
      </c>
      <c r="E405" s="136" t="s">
        <v>412</v>
      </c>
      <c r="F405" s="136" t="s">
        <v>491</v>
      </c>
      <c r="G405" s="136">
        <v>35</v>
      </c>
      <c r="H405" s="137">
        <v>55</v>
      </c>
      <c r="I405" s="138">
        <f t="shared" si="6"/>
        <v>1925</v>
      </c>
      <c r="J405" s="139" t="s">
        <v>503</v>
      </c>
      <c r="K405" s="140">
        <v>51.975000000000001</v>
      </c>
      <c r="L405">
        <f>Table13[[#This Row],[Price]]*Table13[[#This Row],[Units]]</f>
        <v>1925</v>
      </c>
    </row>
    <row r="406" spans="1:12" x14ac:dyDescent="0.35">
      <c r="A406" s="134">
        <v>45635</v>
      </c>
      <c r="B406" s="135" t="s">
        <v>910</v>
      </c>
      <c r="C406" s="136" t="s">
        <v>501</v>
      </c>
      <c r="D406" s="136" t="s">
        <v>470</v>
      </c>
      <c r="E406" s="136" t="s">
        <v>320</v>
      </c>
      <c r="F406" s="136" t="s">
        <v>471</v>
      </c>
      <c r="G406" s="136">
        <v>27</v>
      </c>
      <c r="H406" s="137">
        <v>56</v>
      </c>
      <c r="I406" s="138">
        <f t="shared" si="6"/>
        <v>1512</v>
      </c>
      <c r="J406" s="139" t="s">
        <v>472</v>
      </c>
      <c r="K406" s="140">
        <v>31.751999999999999</v>
      </c>
      <c r="L406">
        <f>Table13[[#This Row],[Price]]*Table13[[#This Row],[Units]]</f>
        <v>1512</v>
      </c>
    </row>
    <row r="407" spans="1:12" x14ac:dyDescent="0.35">
      <c r="A407" s="134">
        <v>45635</v>
      </c>
      <c r="B407" s="135" t="s">
        <v>911</v>
      </c>
      <c r="C407" s="136" t="s">
        <v>476</v>
      </c>
      <c r="D407" s="136" t="s">
        <v>465</v>
      </c>
      <c r="E407" s="136" t="s">
        <v>390</v>
      </c>
      <c r="F407" s="136" t="s">
        <v>505</v>
      </c>
      <c r="G407" s="136">
        <v>24</v>
      </c>
      <c r="H407" s="137">
        <v>50</v>
      </c>
      <c r="I407" s="138">
        <f t="shared" si="6"/>
        <v>1200</v>
      </c>
      <c r="J407" s="139" t="s">
        <v>515</v>
      </c>
      <c r="K407" s="140">
        <v>33.6</v>
      </c>
      <c r="L407">
        <f>Table13[[#This Row],[Price]]*Table13[[#This Row],[Units]]</f>
        <v>1200</v>
      </c>
    </row>
    <row r="408" spans="1:12" x14ac:dyDescent="0.35">
      <c r="A408" s="134">
        <v>45635</v>
      </c>
      <c r="B408" s="135" t="s">
        <v>912</v>
      </c>
      <c r="C408" s="136" t="s">
        <v>501</v>
      </c>
      <c r="D408" s="136" t="s">
        <v>470</v>
      </c>
      <c r="E408" s="136" t="s">
        <v>483</v>
      </c>
      <c r="F408" s="136" t="s">
        <v>510</v>
      </c>
      <c r="G408" s="136">
        <v>50</v>
      </c>
      <c r="H408" s="137">
        <v>35</v>
      </c>
      <c r="I408" s="138">
        <f t="shared" si="6"/>
        <v>1750</v>
      </c>
      <c r="J408" s="139" t="s">
        <v>472</v>
      </c>
      <c r="K408" s="140">
        <v>47.25</v>
      </c>
      <c r="L408">
        <f>Table13[[#This Row],[Price]]*Table13[[#This Row],[Units]]</f>
        <v>1750</v>
      </c>
    </row>
    <row r="409" spans="1:12" x14ac:dyDescent="0.35">
      <c r="A409" s="134">
        <v>45635</v>
      </c>
      <c r="B409" s="135" t="s">
        <v>913</v>
      </c>
      <c r="C409" s="136" t="s">
        <v>492</v>
      </c>
      <c r="D409" s="136" t="s">
        <v>477</v>
      </c>
      <c r="E409" s="136" t="s">
        <v>320</v>
      </c>
      <c r="F409" s="136" t="s">
        <v>478</v>
      </c>
      <c r="G409" s="136">
        <v>57</v>
      </c>
      <c r="H409" s="137">
        <v>30</v>
      </c>
      <c r="I409" s="138">
        <f t="shared" si="6"/>
        <v>1710</v>
      </c>
      <c r="J409" s="139" t="s">
        <v>515</v>
      </c>
      <c r="K409" s="140">
        <v>35.909999999999997</v>
      </c>
      <c r="L409">
        <f>Table13[[#This Row],[Price]]*Table13[[#This Row],[Units]]</f>
        <v>1710</v>
      </c>
    </row>
    <row r="410" spans="1:12" x14ac:dyDescent="0.35">
      <c r="A410" s="134">
        <v>45635</v>
      </c>
      <c r="B410" s="135" t="s">
        <v>914</v>
      </c>
      <c r="C410" s="136" t="s">
        <v>322</v>
      </c>
      <c r="D410" s="136" t="s">
        <v>486</v>
      </c>
      <c r="E410" s="136" t="s">
        <v>483</v>
      </c>
      <c r="F410" s="136" t="s">
        <v>491</v>
      </c>
      <c r="G410" s="136">
        <v>12</v>
      </c>
      <c r="H410" s="137">
        <v>40</v>
      </c>
      <c r="I410" s="138">
        <f t="shared" si="6"/>
        <v>480</v>
      </c>
      <c r="J410" s="139" t="s">
        <v>472</v>
      </c>
      <c r="K410" s="140">
        <v>10.56</v>
      </c>
      <c r="L410">
        <f>Table13[[#This Row],[Price]]*Table13[[#This Row],[Units]]</f>
        <v>480</v>
      </c>
    </row>
    <row r="411" spans="1:12" x14ac:dyDescent="0.35">
      <c r="A411" s="134">
        <v>45635</v>
      </c>
      <c r="B411" s="135" t="s">
        <v>915</v>
      </c>
      <c r="C411" s="136" t="s">
        <v>464</v>
      </c>
      <c r="D411" s="136" t="s">
        <v>512</v>
      </c>
      <c r="E411" s="136" t="s">
        <v>315</v>
      </c>
      <c r="F411" s="136" t="s">
        <v>454</v>
      </c>
      <c r="G411" s="136">
        <v>34</v>
      </c>
      <c r="H411" s="137">
        <v>25</v>
      </c>
      <c r="I411" s="138">
        <f t="shared" si="6"/>
        <v>850</v>
      </c>
      <c r="J411" s="139" t="s">
        <v>515</v>
      </c>
      <c r="K411" s="140">
        <v>18.7</v>
      </c>
      <c r="L411">
        <f>Table13[[#This Row],[Price]]*Table13[[#This Row],[Units]]</f>
        <v>850</v>
      </c>
    </row>
    <row r="412" spans="1:12" x14ac:dyDescent="0.35">
      <c r="A412" s="134">
        <v>45635</v>
      </c>
      <c r="B412" s="135" t="s">
        <v>916</v>
      </c>
      <c r="C412" s="136" t="s">
        <v>322</v>
      </c>
      <c r="D412" s="136" t="s">
        <v>470</v>
      </c>
      <c r="E412" s="136" t="s">
        <v>315</v>
      </c>
      <c r="F412" s="136" t="s">
        <v>487</v>
      </c>
      <c r="G412" s="136">
        <v>12</v>
      </c>
      <c r="H412" s="137">
        <v>55</v>
      </c>
      <c r="I412" s="138">
        <f t="shared" si="6"/>
        <v>660</v>
      </c>
      <c r="J412" s="139" t="s">
        <v>466</v>
      </c>
      <c r="K412" s="140">
        <v>18.48</v>
      </c>
      <c r="L412">
        <f>Table13[[#This Row],[Price]]*Table13[[#This Row],[Units]]</f>
        <v>660</v>
      </c>
    </row>
    <row r="413" spans="1:12" x14ac:dyDescent="0.35">
      <c r="A413" s="134">
        <v>45635</v>
      </c>
      <c r="B413" s="135" t="s">
        <v>917</v>
      </c>
      <c r="C413" s="136" t="s">
        <v>501</v>
      </c>
      <c r="D413" s="136" t="s">
        <v>465</v>
      </c>
      <c r="E413" s="136" t="s">
        <v>315</v>
      </c>
      <c r="F413" s="136" t="s">
        <v>523</v>
      </c>
      <c r="G413" s="136">
        <v>46</v>
      </c>
      <c r="H413" s="137">
        <v>55</v>
      </c>
      <c r="I413" s="138">
        <f t="shared" si="6"/>
        <v>2530</v>
      </c>
      <c r="J413" s="139" t="s">
        <v>503</v>
      </c>
      <c r="K413" s="140">
        <v>55.66</v>
      </c>
      <c r="L413">
        <f>Table13[[#This Row],[Price]]*Table13[[#This Row],[Units]]</f>
        <v>2530</v>
      </c>
    </row>
    <row r="414" spans="1:12" x14ac:dyDescent="0.35">
      <c r="A414" s="134">
        <v>45635</v>
      </c>
      <c r="B414" s="135" t="s">
        <v>918</v>
      </c>
      <c r="C414" s="136" t="s">
        <v>322</v>
      </c>
      <c r="D414" s="136" t="s">
        <v>477</v>
      </c>
      <c r="E414" s="136" t="s">
        <v>390</v>
      </c>
      <c r="F414" s="136" t="s">
        <v>539</v>
      </c>
      <c r="G414" s="136">
        <v>40</v>
      </c>
      <c r="H414" s="137">
        <v>40</v>
      </c>
      <c r="I414" s="138">
        <f t="shared" si="6"/>
        <v>1600</v>
      </c>
      <c r="J414" s="139" t="s">
        <v>466</v>
      </c>
      <c r="K414" s="140">
        <v>44.8</v>
      </c>
      <c r="L414">
        <f>Table13[[#This Row],[Price]]*Table13[[#This Row],[Units]]</f>
        <v>1600</v>
      </c>
    </row>
    <row r="415" spans="1:12" x14ac:dyDescent="0.35">
      <c r="A415" s="134">
        <v>45635</v>
      </c>
      <c r="B415" s="135" t="s">
        <v>919</v>
      </c>
      <c r="C415" s="136" t="s">
        <v>464</v>
      </c>
      <c r="D415" s="136" t="s">
        <v>512</v>
      </c>
      <c r="E415" s="136" t="s">
        <v>320</v>
      </c>
      <c r="F415" s="136" t="s">
        <v>528</v>
      </c>
      <c r="G415" s="136">
        <v>34</v>
      </c>
      <c r="H415" s="137">
        <v>40</v>
      </c>
      <c r="I415" s="138">
        <f t="shared" si="6"/>
        <v>1360</v>
      </c>
      <c r="J415" s="139" t="s">
        <v>466</v>
      </c>
      <c r="K415" s="140">
        <v>36.72</v>
      </c>
      <c r="L415">
        <f>Table13[[#This Row],[Price]]*Table13[[#This Row],[Units]]</f>
        <v>1360</v>
      </c>
    </row>
    <row r="416" spans="1:12" x14ac:dyDescent="0.35">
      <c r="A416" s="134">
        <v>45635</v>
      </c>
      <c r="B416" s="135" t="s">
        <v>920</v>
      </c>
      <c r="C416" s="136" t="s">
        <v>494</v>
      </c>
      <c r="D416" s="136" t="s">
        <v>470</v>
      </c>
      <c r="E416" s="136" t="s">
        <v>320</v>
      </c>
      <c r="F416" s="136" t="s">
        <v>539</v>
      </c>
      <c r="G416" s="136">
        <v>11</v>
      </c>
      <c r="H416" s="137">
        <v>56</v>
      </c>
      <c r="I416" s="138">
        <f t="shared" si="6"/>
        <v>616</v>
      </c>
      <c r="J416" s="139" t="s">
        <v>466</v>
      </c>
      <c r="K416" s="140">
        <v>17.248000000000001</v>
      </c>
      <c r="L416">
        <f>Table13[[#This Row],[Price]]*Table13[[#This Row],[Units]]</f>
        <v>616</v>
      </c>
    </row>
    <row r="417" spans="1:12" x14ac:dyDescent="0.35">
      <c r="A417" s="134">
        <v>45635</v>
      </c>
      <c r="B417" s="135" t="s">
        <v>921</v>
      </c>
      <c r="C417" s="136" t="s">
        <v>492</v>
      </c>
      <c r="D417" s="136" t="s">
        <v>477</v>
      </c>
      <c r="E417" s="136" t="s">
        <v>315</v>
      </c>
      <c r="F417" s="136" t="s">
        <v>487</v>
      </c>
      <c r="G417" s="136">
        <v>56</v>
      </c>
      <c r="H417" s="137">
        <v>30</v>
      </c>
      <c r="I417" s="138">
        <f t="shared" si="6"/>
        <v>1680</v>
      </c>
      <c r="J417" s="139" t="s">
        <v>472</v>
      </c>
      <c r="K417" s="140">
        <v>40.32</v>
      </c>
      <c r="L417">
        <f>Table13[[#This Row],[Price]]*Table13[[#This Row],[Units]]</f>
        <v>1680</v>
      </c>
    </row>
    <row r="418" spans="1:12" x14ac:dyDescent="0.35">
      <c r="A418" s="134">
        <v>45635</v>
      </c>
      <c r="B418" s="135" t="s">
        <v>922</v>
      </c>
      <c r="C418" s="136" t="s">
        <v>484</v>
      </c>
      <c r="D418" s="136" t="s">
        <v>465</v>
      </c>
      <c r="E418" s="136" t="s">
        <v>315</v>
      </c>
      <c r="F418" s="136" t="s">
        <v>539</v>
      </c>
      <c r="G418" s="136">
        <v>28</v>
      </c>
      <c r="H418" s="137">
        <v>38</v>
      </c>
      <c r="I418" s="138">
        <f t="shared" si="6"/>
        <v>1064</v>
      </c>
      <c r="J418" s="139" t="s">
        <v>466</v>
      </c>
      <c r="K418" s="140">
        <v>22.344000000000001</v>
      </c>
      <c r="L418">
        <f>Table13[[#This Row],[Price]]*Table13[[#This Row],[Units]]</f>
        <v>1064</v>
      </c>
    </row>
    <row r="419" spans="1:12" x14ac:dyDescent="0.35">
      <c r="A419" s="134">
        <v>45635</v>
      </c>
      <c r="B419" s="135" t="s">
        <v>923</v>
      </c>
      <c r="C419" s="136" t="s">
        <v>489</v>
      </c>
      <c r="D419" s="136" t="s">
        <v>465</v>
      </c>
      <c r="E419" s="136" t="s">
        <v>324</v>
      </c>
      <c r="F419" s="136" t="s">
        <v>471</v>
      </c>
      <c r="G419" s="136">
        <v>24</v>
      </c>
      <c r="H419" s="137">
        <v>39</v>
      </c>
      <c r="I419" s="138">
        <f t="shared" si="6"/>
        <v>936</v>
      </c>
      <c r="J419" s="139" t="s">
        <v>466</v>
      </c>
      <c r="K419" s="140">
        <v>28.08</v>
      </c>
      <c r="L419">
        <f>Table13[[#This Row],[Price]]*Table13[[#This Row],[Units]]</f>
        <v>936</v>
      </c>
    </row>
    <row r="420" spans="1:12" x14ac:dyDescent="0.35">
      <c r="A420" s="134">
        <v>45635</v>
      </c>
      <c r="B420" s="135" t="s">
        <v>924</v>
      </c>
      <c r="C420" s="136" t="s">
        <v>476</v>
      </c>
      <c r="D420" s="136" t="s">
        <v>477</v>
      </c>
      <c r="E420" s="136" t="s">
        <v>315</v>
      </c>
      <c r="F420" s="136" t="s">
        <v>539</v>
      </c>
      <c r="G420" s="136">
        <v>44</v>
      </c>
      <c r="H420" s="137">
        <v>21</v>
      </c>
      <c r="I420" s="138">
        <f t="shared" si="6"/>
        <v>924</v>
      </c>
      <c r="J420" s="139" t="s">
        <v>515</v>
      </c>
      <c r="K420" s="140">
        <v>22.175999999999998</v>
      </c>
      <c r="L420">
        <f>Table13[[#This Row],[Price]]*Table13[[#This Row],[Units]]</f>
        <v>924</v>
      </c>
    </row>
    <row r="421" spans="1:12" x14ac:dyDescent="0.35">
      <c r="A421" s="134">
        <v>45635</v>
      </c>
      <c r="B421" s="135" t="s">
        <v>925</v>
      </c>
      <c r="C421" s="136" t="s">
        <v>489</v>
      </c>
      <c r="D421" s="136" t="s">
        <v>477</v>
      </c>
      <c r="E421" s="136" t="s">
        <v>320</v>
      </c>
      <c r="F421" s="136" t="s">
        <v>454</v>
      </c>
      <c r="G421" s="136">
        <v>47</v>
      </c>
      <c r="H421" s="137">
        <v>49</v>
      </c>
      <c r="I421" s="138">
        <f t="shared" si="6"/>
        <v>2303</v>
      </c>
      <c r="J421" s="139" t="s">
        <v>472</v>
      </c>
      <c r="K421" s="140">
        <v>59.878</v>
      </c>
      <c r="L421">
        <f>Table13[[#This Row],[Price]]*Table13[[#This Row],[Units]]</f>
        <v>2303</v>
      </c>
    </row>
    <row r="422" spans="1:12" x14ac:dyDescent="0.35">
      <c r="A422" s="134">
        <v>45635</v>
      </c>
      <c r="B422" s="135" t="s">
        <v>926</v>
      </c>
      <c r="C422" s="136" t="s">
        <v>464</v>
      </c>
      <c r="D422" s="136" t="s">
        <v>490</v>
      </c>
      <c r="E422" s="136" t="s">
        <v>390</v>
      </c>
      <c r="F422" s="136" t="s">
        <v>491</v>
      </c>
      <c r="G422" s="136">
        <v>42</v>
      </c>
      <c r="H422" s="137">
        <v>58</v>
      </c>
      <c r="I422" s="138">
        <f t="shared" si="6"/>
        <v>2436</v>
      </c>
      <c r="J422" s="139" t="s">
        <v>515</v>
      </c>
      <c r="K422" s="140">
        <v>63.335999999999999</v>
      </c>
      <c r="L422">
        <f>Table13[[#This Row],[Price]]*Table13[[#This Row],[Units]]</f>
        <v>2436</v>
      </c>
    </row>
    <row r="423" spans="1:12" x14ac:dyDescent="0.35">
      <c r="A423" s="134">
        <v>45635</v>
      </c>
      <c r="B423" s="135" t="s">
        <v>927</v>
      </c>
      <c r="C423" s="136" t="s">
        <v>501</v>
      </c>
      <c r="D423" s="136" t="s">
        <v>470</v>
      </c>
      <c r="E423" s="136" t="s">
        <v>483</v>
      </c>
      <c r="F423" s="136" t="s">
        <v>454</v>
      </c>
      <c r="G423" s="136">
        <v>53</v>
      </c>
      <c r="H423" s="137">
        <v>57</v>
      </c>
      <c r="I423" s="138">
        <f t="shared" si="6"/>
        <v>3021</v>
      </c>
      <c r="J423" s="139" t="s">
        <v>466</v>
      </c>
      <c r="K423" s="140">
        <v>75.525000000000006</v>
      </c>
      <c r="L423">
        <f>Table13[[#This Row],[Price]]*Table13[[#This Row],[Units]]</f>
        <v>3021</v>
      </c>
    </row>
    <row r="424" spans="1:12" x14ac:dyDescent="0.35">
      <c r="A424" s="134">
        <v>45635</v>
      </c>
      <c r="B424" s="135" t="s">
        <v>928</v>
      </c>
      <c r="C424" s="136" t="s">
        <v>501</v>
      </c>
      <c r="D424" s="136" t="s">
        <v>470</v>
      </c>
      <c r="E424" s="136" t="s">
        <v>320</v>
      </c>
      <c r="F424" s="136" t="s">
        <v>513</v>
      </c>
      <c r="G424" s="136">
        <v>56</v>
      </c>
      <c r="H424" s="137">
        <v>57</v>
      </c>
      <c r="I424" s="138">
        <f t="shared" si="6"/>
        <v>3192</v>
      </c>
      <c r="J424" s="139" t="s">
        <v>466</v>
      </c>
      <c r="K424" s="140">
        <v>86.183999999999997</v>
      </c>
      <c r="L424">
        <f>Table13[[#This Row],[Price]]*Table13[[#This Row],[Units]]</f>
        <v>3192</v>
      </c>
    </row>
    <row r="425" spans="1:12" x14ac:dyDescent="0.35">
      <c r="A425" s="134">
        <v>45635</v>
      </c>
      <c r="B425" s="135" t="s">
        <v>929</v>
      </c>
      <c r="C425" s="136" t="s">
        <v>469</v>
      </c>
      <c r="D425" s="136" t="s">
        <v>486</v>
      </c>
      <c r="E425" s="136" t="s">
        <v>390</v>
      </c>
      <c r="F425" s="136" t="s">
        <v>520</v>
      </c>
      <c r="G425" s="136">
        <v>46</v>
      </c>
      <c r="H425" s="137">
        <v>21</v>
      </c>
      <c r="I425" s="138">
        <f t="shared" si="6"/>
        <v>966</v>
      </c>
      <c r="J425" s="139" t="s">
        <v>515</v>
      </c>
      <c r="K425" s="140">
        <v>20.286000000000001</v>
      </c>
      <c r="L425">
        <f>Table13[[#This Row],[Price]]*Table13[[#This Row],[Units]]</f>
        <v>966</v>
      </c>
    </row>
    <row r="426" spans="1:12" x14ac:dyDescent="0.35">
      <c r="A426" s="134">
        <v>45635</v>
      </c>
      <c r="B426" s="135" t="s">
        <v>930</v>
      </c>
      <c r="C426" s="136" t="s">
        <v>469</v>
      </c>
      <c r="D426" s="136" t="s">
        <v>470</v>
      </c>
      <c r="E426" s="136" t="s">
        <v>320</v>
      </c>
      <c r="F426" s="136" t="s">
        <v>523</v>
      </c>
      <c r="G426" s="136">
        <v>12</v>
      </c>
      <c r="H426" s="137">
        <v>40</v>
      </c>
      <c r="I426" s="138">
        <f t="shared" si="6"/>
        <v>480</v>
      </c>
      <c r="J426" s="139" t="s">
        <v>466</v>
      </c>
      <c r="K426" s="140">
        <v>11.04</v>
      </c>
      <c r="L426">
        <f>Table13[[#This Row],[Price]]*Table13[[#This Row],[Units]]</f>
        <v>480</v>
      </c>
    </row>
    <row r="427" spans="1:12" x14ac:dyDescent="0.35">
      <c r="A427" s="134">
        <v>45635</v>
      </c>
      <c r="B427" s="135" t="s">
        <v>931</v>
      </c>
      <c r="C427" s="136" t="s">
        <v>484</v>
      </c>
      <c r="D427" s="136" t="s">
        <v>512</v>
      </c>
      <c r="E427" s="136" t="s">
        <v>324</v>
      </c>
      <c r="F427" s="136" t="s">
        <v>528</v>
      </c>
      <c r="G427" s="136">
        <v>45</v>
      </c>
      <c r="H427" s="137">
        <v>47</v>
      </c>
      <c r="I427" s="138">
        <f t="shared" si="6"/>
        <v>2115</v>
      </c>
      <c r="J427" s="139" t="s">
        <v>466</v>
      </c>
      <c r="K427" s="140">
        <v>52.875</v>
      </c>
      <c r="L427">
        <f>Table13[[#This Row],[Price]]*Table13[[#This Row],[Units]]</f>
        <v>2115</v>
      </c>
    </row>
    <row r="428" spans="1:12" x14ac:dyDescent="0.35">
      <c r="A428" s="134">
        <v>45635</v>
      </c>
      <c r="B428" s="135" t="s">
        <v>932</v>
      </c>
      <c r="C428" s="136" t="s">
        <v>484</v>
      </c>
      <c r="D428" s="136" t="s">
        <v>470</v>
      </c>
      <c r="E428" s="136" t="s">
        <v>483</v>
      </c>
      <c r="F428" s="136" t="s">
        <v>487</v>
      </c>
      <c r="G428" s="136">
        <v>58</v>
      </c>
      <c r="H428" s="137">
        <v>39</v>
      </c>
      <c r="I428" s="138">
        <f t="shared" si="6"/>
        <v>2262</v>
      </c>
      <c r="J428" s="139" t="s">
        <v>466</v>
      </c>
      <c r="K428" s="140">
        <v>65.597999999999999</v>
      </c>
      <c r="L428">
        <f>Table13[[#This Row],[Price]]*Table13[[#This Row],[Units]]</f>
        <v>2262</v>
      </c>
    </row>
    <row r="429" spans="1:12" x14ac:dyDescent="0.35">
      <c r="A429" s="134">
        <v>45635</v>
      </c>
      <c r="B429" s="135" t="s">
        <v>933</v>
      </c>
      <c r="C429" s="136" t="s">
        <v>464</v>
      </c>
      <c r="D429" s="136" t="s">
        <v>477</v>
      </c>
      <c r="E429" s="136" t="s">
        <v>333</v>
      </c>
      <c r="F429" s="136" t="s">
        <v>517</v>
      </c>
      <c r="G429" s="136">
        <v>53</v>
      </c>
      <c r="H429" s="137">
        <v>53</v>
      </c>
      <c r="I429" s="138">
        <f t="shared" si="6"/>
        <v>2809</v>
      </c>
      <c r="J429" s="139" t="s">
        <v>466</v>
      </c>
      <c r="K429" s="140">
        <v>81.460999999999999</v>
      </c>
      <c r="L429">
        <f>Table13[[#This Row],[Price]]*Table13[[#This Row],[Units]]</f>
        <v>2809</v>
      </c>
    </row>
    <row r="430" spans="1:12" x14ac:dyDescent="0.35">
      <c r="A430" s="134">
        <v>45635</v>
      </c>
      <c r="B430" s="135" t="s">
        <v>934</v>
      </c>
      <c r="C430" s="136" t="s">
        <v>494</v>
      </c>
      <c r="D430" s="136" t="s">
        <v>486</v>
      </c>
      <c r="E430" s="136" t="s">
        <v>315</v>
      </c>
      <c r="F430" s="136" t="s">
        <v>517</v>
      </c>
      <c r="G430" s="136">
        <v>56</v>
      </c>
      <c r="H430" s="137">
        <v>54</v>
      </c>
      <c r="I430" s="138">
        <f t="shared" si="6"/>
        <v>3024</v>
      </c>
      <c r="J430" s="139" t="s">
        <v>466</v>
      </c>
      <c r="K430" s="140">
        <v>72.575999999999993</v>
      </c>
      <c r="L430">
        <f>Table13[[#This Row],[Price]]*Table13[[#This Row],[Units]]</f>
        <v>3024</v>
      </c>
    </row>
    <row r="431" spans="1:12" x14ac:dyDescent="0.35">
      <c r="A431" s="134">
        <v>45635</v>
      </c>
      <c r="B431" s="135" t="s">
        <v>935</v>
      </c>
      <c r="C431" s="136" t="s">
        <v>322</v>
      </c>
      <c r="D431" s="136" t="s">
        <v>477</v>
      </c>
      <c r="E431" s="136" t="s">
        <v>333</v>
      </c>
      <c r="F431" s="136" t="s">
        <v>454</v>
      </c>
      <c r="G431" s="136">
        <v>56</v>
      </c>
      <c r="H431" s="137">
        <v>21</v>
      </c>
      <c r="I431" s="138">
        <f t="shared" si="6"/>
        <v>1176</v>
      </c>
      <c r="J431" s="139" t="s">
        <v>466</v>
      </c>
      <c r="K431" s="140">
        <v>23.52</v>
      </c>
      <c r="L431">
        <f>Table13[[#This Row],[Price]]*Table13[[#This Row],[Units]]</f>
        <v>1176</v>
      </c>
    </row>
    <row r="432" spans="1:12" x14ac:dyDescent="0.35">
      <c r="A432" s="134">
        <v>45635</v>
      </c>
      <c r="B432" s="135" t="s">
        <v>936</v>
      </c>
      <c r="C432" s="136" t="s">
        <v>464</v>
      </c>
      <c r="D432" s="136" t="s">
        <v>519</v>
      </c>
      <c r="E432" s="136" t="s">
        <v>320</v>
      </c>
      <c r="F432" s="136" t="s">
        <v>497</v>
      </c>
      <c r="G432" s="136">
        <v>47</v>
      </c>
      <c r="H432" s="137">
        <v>57</v>
      </c>
      <c r="I432" s="138">
        <f t="shared" si="6"/>
        <v>2679</v>
      </c>
      <c r="J432" s="139" t="s">
        <v>503</v>
      </c>
      <c r="K432" s="140">
        <v>80.37</v>
      </c>
      <c r="L432">
        <f>Table13[[#This Row],[Price]]*Table13[[#This Row],[Units]]</f>
        <v>2679</v>
      </c>
    </row>
    <row r="433" spans="1:12" x14ac:dyDescent="0.35">
      <c r="A433" s="134">
        <v>45635</v>
      </c>
      <c r="B433" s="135" t="s">
        <v>937</v>
      </c>
      <c r="C433" s="136" t="s">
        <v>494</v>
      </c>
      <c r="D433" s="136" t="s">
        <v>519</v>
      </c>
      <c r="E433" s="136" t="s">
        <v>333</v>
      </c>
      <c r="F433" s="136" t="s">
        <v>520</v>
      </c>
      <c r="G433" s="136">
        <v>57</v>
      </c>
      <c r="H433" s="137">
        <v>49</v>
      </c>
      <c r="I433" s="138">
        <f t="shared" si="6"/>
        <v>2793</v>
      </c>
      <c r="J433" s="139" t="s">
        <v>503</v>
      </c>
      <c r="K433" s="140">
        <v>83.79</v>
      </c>
      <c r="L433">
        <f>Table13[[#This Row],[Price]]*Table13[[#This Row],[Units]]</f>
        <v>2793</v>
      </c>
    </row>
    <row r="434" spans="1:12" x14ac:dyDescent="0.35">
      <c r="A434" s="134">
        <v>45635</v>
      </c>
      <c r="B434" s="135" t="s">
        <v>938</v>
      </c>
      <c r="C434" s="136" t="s">
        <v>322</v>
      </c>
      <c r="D434" s="136" t="s">
        <v>486</v>
      </c>
      <c r="E434" s="136" t="s">
        <v>483</v>
      </c>
      <c r="F434" s="136" t="s">
        <v>497</v>
      </c>
      <c r="G434" s="136">
        <v>59</v>
      </c>
      <c r="H434" s="137">
        <v>41</v>
      </c>
      <c r="I434" s="138">
        <f t="shared" si="6"/>
        <v>2419</v>
      </c>
      <c r="J434" s="139" t="s">
        <v>466</v>
      </c>
      <c r="K434" s="140">
        <v>53.218000000000004</v>
      </c>
      <c r="L434">
        <f>Table13[[#This Row],[Price]]*Table13[[#This Row],[Units]]</f>
        <v>2419</v>
      </c>
    </row>
    <row r="435" spans="1:12" x14ac:dyDescent="0.35">
      <c r="A435" s="134">
        <v>45635</v>
      </c>
      <c r="B435" s="135" t="s">
        <v>939</v>
      </c>
      <c r="C435" s="136" t="s">
        <v>484</v>
      </c>
      <c r="D435" s="136" t="s">
        <v>490</v>
      </c>
      <c r="E435" s="136" t="s">
        <v>315</v>
      </c>
      <c r="F435" s="136" t="s">
        <v>471</v>
      </c>
      <c r="G435" s="136">
        <v>21</v>
      </c>
      <c r="H435" s="137">
        <v>25</v>
      </c>
      <c r="I435" s="138">
        <f t="shared" si="6"/>
        <v>525</v>
      </c>
      <c r="J435" s="139" t="s">
        <v>472</v>
      </c>
      <c r="K435" s="140">
        <v>15.75</v>
      </c>
      <c r="L435">
        <f>Table13[[#This Row],[Price]]*Table13[[#This Row],[Units]]</f>
        <v>525</v>
      </c>
    </row>
    <row r="436" spans="1:12" x14ac:dyDescent="0.35">
      <c r="A436" s="134">
        <v>45635</v>
      </c>
      <c r="B436" s="135" t="s">
        <v>940</v>
      </c>
      <c r="C436" s="136" t="s">
        <v>501</v>
      </c>
      <c r="D436" s="136" t="s">
        <v>519</v>
      </c>
      <c r="E436" s="136" t="s">
        <v>324</v>
      </c>
      <c r="F436" s="136" t="s">
        <v>520</v>
      </c>
      <c r="G436" s="136">
        <v>14</v>
      </c>
      <c r="H436" s="137">
        <v>36</v>
      </c>
      <c r="I436" s="138">
        <f t="shared" si="6"/>
        <v>504</v>
      </c>
      <c r="J436" s="139" t="s">
        <v>515</v>
      </c>
      <c r="K436" s="140">
        <v>14.616</v>
      </c>
      <c r="L436">
        <f>Table13[[#This Row],[Price]]*Table13[[#This Row],[Units]]</f>
        <v>504</v>
      </c>
    </row>
    <row r="437" spans="1:12" x14ac:dyDescent="0.35">
      <c r="A437" s="134">
        <v>45635</v>
      </c>
      <c r="B437" s="135" t="s">
        <v>941</v>
      </c>
      <c r="C437" s="136" t="s">
        <v>464</v>
      </c>
      <c r="D437" s="136" t="s">
        <v>470</v>
      </c>
      <c r="E437" s="136" t="s">
        <v>333</v>
      </c>
      <c r="F437" s="136" t="s">
        <v>491</v>
      </c>
      <c r="G437" s="136">
        <v>11</v>
      </c>
      <c r="H437" s="137">
        <v>20</v>
      </c>
      <c r="I437" s="138">
        <f t="shared" si="6"/>
        <v>220</v>
      </c>
      <c r="J437" s="139" t="s">
        <v>466</v>
      </c>
      <c r="K437" s="140">
        <v>5.28</v>
      </c>
      <c r="L437">
        <f>Table13[[#This Row],[Price]]*Table13[[#This Row],[Units]]</f>
        <v>220</v>
      </c>
    </row>
    <row r="438" spans="1:12" x14ac:dyDescent="0.35">
      <c r="A438" s="134">
        <v>45635</v>
      </c>
      <c r="B438" s="135" t="s">
        <v>942</v>
      </c>
      <c r="C438" s="136" t="s">
        <v>494</v>
      </c>
      <c r="D438" s="136" t="s">
        <v>477</v>
      </c>
      <c r="E438" s="136" t="s">
        <v>315</v>
      </c>
      <c r="F438" s="136" t="s">
        <v>520</v>
      </c>
      <c r="G438" s="136">
        <v>30</v>
      </c>
      <c r="H438" s="137">
        <v>51</v>
      </c>
      <c r="I438" s="138">
        <f t="shared" si="6"/>
        <v>1530</v>
      </c>
      <c r="J438" s="139" t="s">
        <v>472</v>
      </c>
      <c r="K438" s="140">
        <v>39.78</v>
      </c>
      <c r="L438">
        <f>Table13[[#This Row],[Price]]*Table13[[#This Row],[Units]]</f>
        <v>1530</v>
      </c>
    </row>
    <row r="439" spans="1:12" x14ac:dyDescent="0.35">
      <c r="A439" s="134">
        <v>45635</v>
      </c>
      <c r="B439" s="135" t="s">
        <v>943</v>
      </c>
      <c r="C439" s="136" t="s">
        <v>476</v>
      </c>
      <c r="D439" s="136" t="s">
        <v>519</v>
      </c>
      <c r="E439" s="136" t="s">
        <v>390</v>
      </c>
      <c r="F439" s="136" t="s">
        <v>497</v>
      </c>
      <c r="G439" s="136">
        <v>16</v>
      </c>
      <c r="H439" s="137">
        <v>60</v>
      </c>
      <c r="I439" s="138">
        <f t="shared" si="6"/>
        <v>960</v>
      </c>
      <c r="J439" s="139" t="s">
        <v>466</v>
      </c>
      <c r="K439" s="140">
        <v>28.8</v>
      </c>
      <c r="L439">
        <f>Table13[[#This Row],[Price]]*Table13[[#This Row],[Units]]</f>
        <v>960</v>
      </c>
    </row>
    <row r="440" spans="1:12" x14ac:dyDescent="0.35">
      <c r="A440" s="134">
        <v>45635</v>
      </c>
      <c r="B440" s="135" t="s">
        <v>944</v>
      </c>
      <c r="C440" s="136" t="s">
        <v>322</v>
      </c>
      <c r="D440" s="136" t="s">
        <v>486</v>
      </c>
      <c r="E440" s="136" t="s">
        <v>412</v>
      </c>
      <c r="F440" s="136" t="s">
        <v>505</v>
      </c>
      <c r="G440" s="136">
        <v>15</v>
      </c>
      <c r="H440" s="137">
        <v>35</v>
      </c>
      <c r="I440" s="138">
        <f t="shared" si="6"/>
        <v>525</v>
      </c>
      <c r="J440" s="139" t="s">
        <v>466</v>
      </c>
      <c r="K440" s="140">
        <v>13.65</v>
      </c>
      <c r="L440">
        <f>Table13[[#This Row],[Price]]*Table13[[#This Row],[Units]]</f>
        <v>525</v>
      </c>
    </row>
    <row r="441" spans="1:12" x14ac:dyDescent="0.35">
      <c r="A441" s="134">
        <v>45635</v>
      </c>
      <c r="B441" s="135" t="s">
        <v>945</v>
      </c>
      <c r="C441" s="136" t="s">
        <v>489</v>
      </c>
      <c r="D441" s="136" t="s">
        <v>490</v>
      </c>
      <c r="E441" s="136" t="s">
        <v>320</v>
      </c>
      <c r="F441" s="136" t="s">
        <v>491</v>
      </c>
      <c r="G441" s="136">
        <v>18</v>
      </c>
      <c r="H441" s="137">
        <v>57</v>
      </c>
      <c r="I441" s="138">
        <f t="shared" si="6"/>
        <v>1026</v>
      </c>
      <c r="J441" s="139" t="s">
        <v>466</v>
      </c>
      <c r="K441" s="140">
        <v>23.597999999999999</v>
      </c>
      <c r="L441">
        <f>Table13[[#This Row],[Price]]*Table13[[#This Row],[Units]]</f>
        <v>1026</v>
      </c>
    </row>
    <row r="442" spans="1:12" x14ac:dyDescent="0.35">
      <c r="A442" s="134">
        <v>45636</v>
      </c>
      <c r="B442" s="135" t="s">
        <v>946</v>
      </c>
      <c r="C442" s="136" t="s">
        <v>322</v>
      </c>
      <c r="D442" s="136" t="s">
        <v>477</v>
      </c>
      <c r="E442" s="136" t="s">
        <v>390</v>
      </c>
      <c r="F442" s="136" t="s">
        <v>478</v>
      </c>
      <c r="G442" s="136">
        <v>37</v>
      </c>
      <c r="H442" s="137">
        <v>57</v>
      </c>
      <c r="I442" s="138">
        <f t="shared" si="6"/>
        <v>2109</v>
      </c>
      <c r="J442" s="139" t="s">
        <v>515</v>
      </c>
      <c r="K442" s="140">
        <v>52.725000000000001</v>
      </c>
      <c r="L442">
        <f>Table13[[#This Row],[Price]]*Table13[[#This Row],[Units]]</f>
        <v>2109</v>
      </c>
    </row>
    <row r="443" spans="1:12" x14ac:dyDescent="0.35">
      <c r="A443" s="134">
        <v>45636</v>
      </c>
      <c r="B443" s="135" t="s">
        <v>947</v>
      </c>
      <c r="C443" s="136" t="s">
        <v>484</v>
      </c>
      <c r="D443" s="136" t="s">
        <v>477</v>
      </c>
      <c r="E443" s="136" t="s">
        <v>315</v>
      </c>
      <c r="F443" s="136" t="s">
        <v>471</v>
      </c>
      <c r="G443" s="136">
        <v>17</v>
      </c>
      <c r="H443" s="137">
        <v>43</v>
      </c>
      <c r="I443" s="138">
        <f t="shared" si="6"/>
        <v>731</v>
      </c>
      <c r="J443" s="139" t="s">
        <v>466</v>
      </c>
      <c r="K443" s="140">
        <v>16.082000000000001</v>
      </c>
      <c r="L443">
        <f>Table13[[#This Row],[Price]]*Table13[[#This Row],[Units]]</f>
        <v>731</v>
      </c>
    </row>
    <row r="444" spans="1:12" x14ac:dyDescent="0.35">
      <c r="A444" s="134">
        <v>45636</v>
      </c>
      <c r="B444" s="135" t="s">
        <v>948</v>
      </c>
      <c r="C444" s="136" t="s">
        <v>494</v>
      </c>
      <c r="D444" s="136" t="s">
        <v>512</v>
      </c>
      <c r="E444" s="136" t="s">
        <v>412</v>
      </c>
      <c r="F444" s="136" t="s">
        <v>491</v>
      </c>
      <c r="G444" s="136">
        <v>13</v>
      </c>
      <c r="H444" s="137">
        <v>33</v>
      </c>
      <c r="I444" s="138">
        <f t="shared" si="6"/>
        <v>429</v>
      </c>
      <c r="J444" s="139" t="s">
        <v>466</v>
      </c>
      <c r="K444" s="140">
        <v>9.8670000000000009</v>
      </c>
      <c r="L444">
        <f>Table13[[#This Row],[Price]]*Table13[[#This Row],[Units]]</f>
        <v>429</v>
      </c>
    </row>
    <row r="445" spans="1:12" x14ac:dyDescent="0.35">
      <c r="A445" s="134">
        <v>45637</v>
      </c>
      <c r="B445" s="135" t="s">
        <v>949</v>
      </c>
      <c r="C445" s="136" t="s">
        <v>322</v>
      </c>
      <c r="D445" s="136" t="s">
        <v>470</v>
      </c>
      <c r="E445" s="136" t="s">
        <v>320</v>
      </c>
      <c r="F445" s="136" t="s">
        <v>478</v>
      </c>
      <c r="G445" s="136">
        <v>33</v>
      </c>
      <c r="H445" s="137">
        <v>31</v>
      </c>
      <c r="I445" s="138">
        <f t="shared" si="6"/>
        <v>1023</v>
      </c>
      <c r="J445" s="139" t="s">
        <v>503</v>
      </c>
      <c r="K445" s="140">
        <v>29.667000000000002</v>
      </c>
      <c r="L445">
        <f>Table13[[#This Row],[Price]]*Table13[[#This Row],[Units]]</f>
        <v>1023</v>
      </c>
    </row>
    <row r="446" spans="1:12" x14ac:dyDescent="0.35">
      <c r="A446" s="134">
        <v>45637</v>
      </c>
      <c r="B446" s="135" t="s">
        <v>950</v>
      </c>
      <c r="C446" s="136" t="s">
        <v>464</v>
      </c>
      <c r="D446" s="136" t="s">
        <v>477</v>
      </c>
      <c r="E446" s="136" t="s">
        <v>320</v>
      </c>
      <c r="F446" s="136" t="s">
        <v>528</v>
      </c>
      <c r="G446" s="136">
        <v>44</v>
      </c>
      <c r="H446" s="137">
        <v>25</v>
      </c>
      <c r="I446" s="138">
        <f t="shared" si="6"/>
        <v>1100</v>
      </c>
      <c r="J446" s="139" t="s">
        <v>466</v>
      </c>
      <c r="K446" s="140">
        <v>23.1</v>
      </c>
      <c r="L446">
        <f>Table13[[#This Row],[Price]]*Table13[[#This Row],[Units]]</f>
        <v>1100</v>
      </c>
    </row>
    <row r="447" spans="1:12" x14ac:dyDescent="0.35">
      <c r="A447" s="134">
        <v>45637</v>
      </c>
      <c r="B447" s="135" t="s">
        <v>951</v>
      </c>
      <c r="C447" s="136" t="s">
        <v>322</v>
      </c>
      <c r="D447" s="136" t="s">
        <v>470</v>
      </c>
      <c r="E447" s="136" t="s">
        <v>483</v>
      </c>
      <c r="F447" s="136" t="s">
        <v>539</v>
      </c>
      <c r="G447" s="136">
        <v>42</v>
      </c>
      <c r="H447" s="137">
        <v>48</v>
      </c>
      <c r="I447" s="138">
        <f t="shared" si="6"/>
        <v>2016</v>
      </c>
      <c r="J447" s="139" t="s">
        <v>472</v>
      </c>
      <c r="K447" s="140">
        <v>54.432000000000002</v>
      </c>
      <c r="L447">
        <f>Table13[[#This Row],[Price]]*Table13[[#This Row],[Units]]</f>
        <v>2016</v>
      </c>
    </row>
    <row r="448" spans="1:12" x14ac:dyDescent="0.35">
      <c r="A448" s="134">
        <v>45637</v>
      </c>
      <c r="B448" s="135" t="s">
        <v>952</v>
      </c>
      <c r="C448" s="136" t="s">
        <v>476</v>
      </c>
      <c r="D448" s="136" t="s">
        <v>477</v>
      </c>
      <c r="E448" s="136" t="s">
        <v>390</v>
      </c>
      <c r="F448" s="136" t="s">
        <v>520</v>
      </c>
      <c r="G448" s="136">
        <v>43</v>
      </c>
      <c r="H448" s="137">
        <v>46</v>
      </c>
      <c r="I448" s="138">
        <f t="shared" si="6"/>
        <v>1978</v>
      </c>
      <c r="J448" s="139" t="s">
        <v>515</v>
      </c>
      <c r="K448" s="140">
        <v>55.384</v>
      </c>
      <c r="L448">
        <f>Table13[[#This Row],[Price]]*Table13[[#This Row],[Units]]</f>
        <v>1978</v>
      </c>
    </row>
    <row r="449" spans="1:12" x14ac:dyDescent="0.35">
      <c r="A449" s="134">
        <v>45637</v>
      </c>
      <c r="B449" s="135" t="s">
        <v>953</v>
      </c>
      <c r="C449" s="136" t="s">
        <v>464</v>
      </c>
      <c r="D449" s="136" t="s">
        <v>519</v>
      </c>
      <c r="E449" s="136" t="s">
        <v>390</v>
      </c>
      <c r="F449" s="136" t="s">
        <v>539</v>
      </c>
      <c r="G449" s="136">
        <v>29</v>
      </c>
      <c r="H449" s="137">
        <v>46</v>
      </c>
      <c r="I449" s="138">
        <f t="shared" si="6"/>
        <v>1334</v>
      </c>
      <c r="J449" s="139" t="s">
        <v>515</v>
      </c>
      <c r="K449" s="140">
        <v>38.686</v>
      </c>
      <c r="L449">
        <f>Table13[[#This Row],[Price]]*Table13[[#This Row],[Units]]</f>
        <v>1334</v>
      </c>
    </row>
    <row r="450" spans="1:12" x14ac:dyDescent="0.35">
      <c r="A450" s="134">
        <v>45637</v>
      </c>
      <c r="B450" s="135" t="s">
        <v>954</v>
      </c>
      <c r="C450" s="136" t="s">
        <v>469</v>
      </c>
      <c r="D450" s="136" t="s">
        <v>519</v>
      </c>
      <c r="E450" s="136" t="s">
        <v>315</v>
      </c>
      <c r="F450" s="136" t="s">
        <v>491</v>
      </c>
      <c r="G450" s="136">
        <v>21</v>
      </c>
      <c r="H450" s="137">
        <v>29</v>
      </c>
      <c r="I450" s="138">
        <f t="shared" si="6"/>
        <v>609</v>
      </c>
      <c r="J450" s="139" t="s">
        <v>515</v>
      </c>
      <c r="K450" s="140">
        <v>15.834</v>
      </c>
      <c r="L450">
        <f>Table13[[#This Row],[Price]]*Table13[[#This Row],[Units]]</f>
        <v>609</v>
      </c>
    </row>
    <row r="451" spans="1:12" x14ac:dyDescent="0.35">
      <c r="A451" s="134">
        <v>45637</v>
      </c>
      <c r="B451" s="135" t="s">
        <v>955</v>
      </c>
      <c r="C451" s="136" t="s">
        <v>469</v>
      </c>
      <c r="D451" s="136" t="s">
        <v>477</v>
      </c>
      <c r="E451" s="136" t="s">
        <v>324</v>
      </c>
      <c r="F451" s="136" t="s">
        <v>517</v>
      </c>
      <c r="G451" s="136">
        <v>41</v>
      </c>
      <c r="H451" s="137">
        <v>26</v>
      </c>
      <c r="I451" s="138">
        <f t="shared" ref="I451:I514" si="7">G451*H451</f>
        <v>1066</v>
      </c>
      <c r="J451" s="139" t="s">
        <v>466</v>
      </c>
      <c r="K451" s="140">
        <v>21.32</v>
      </c>
      <c r="L451">
        <f>Table13[[#This Row],[Price]]*Table13[[#This Row],[Units]]</f>
        <v>1066</v>
      </c>
    </row>
    <row r="452" spans="1:12" x14ac:dyDescent="0.35">
      <c r="A452" s="134">
        <v>45637</v>
      </c>
      <c r="B452" s="135" t="s">
        <v>956</v>
      </c>
      <c r="C452" s="136" t="s">
        <v>322</v>
      </c>
      <c r="D452" s="136" t="s">
        <v>490</v>
      </c>
      <c r="E452" s="136" t="s">
        <v>324</v>
      </c>
      <c r="F452" s="136" t="s">
        <v>539</v>
      </c>
      <c r="G452" s="136">
        <v>47</v>
      </c>
      <c r="H452" s="137">
        <v>54</v>
      </c>
      <c r="I452" s="138">
        <f t="shared" si="7"/>
        <v>2538</v>
      </c>
      <c r="J452" s="139" t="s">
        <v>466</v>
      </c>
      <c r="K452" s="140">
        <v>58.374000000000002</v>
      </c>
      <c r="L452">
        <f>Table13[[#This Row],[Price]]*Table13[[#This Row],[Units]]</f>
        <v>2538</v>
      </c>
    </row>
    <row r="453" spans="1:12" x14ac:dyDescent="0.35">
      <c r="A453" s="134">
        <v>45637</v>
      </c>
      <c r="B453" s="135" t="s">
        <v>957</v>
      </c>
      <c r="C453" s="136" t="s">
        <v>494</v>
      </c>
      <c r="D453" s="136" t="s">
        <v>477</v>
      </c>
      <c r="E453" s="136" t="s">
        <v>315</v>
      </c>
      <c r="F453" s="136" t="s">
        <v>510</v>
      </c>
      <c r="G453" s="136">
        <v>22</v>
      </c>
      <c r="H453" s="137">
        <v>31</v>
      </c>
      <c r="I453" s="138">
        <f t="shared" si="7"/>
        <v>682</v>
      </c>
      <c r="J453" s="139" t="s">
        <v>472</v>
      </c>
      <c r="K453" s="140">
        <v>15.004</v>
      </c>
      <c r="L453">
        <f>Table13[[#This Row],[Price]]*Table13[[#This Row],[Units]]</f>
        <v>682</v>
      </c>
    </row>
    <row r="454" spans="1:12" x14ac:dyDescent="0.35">
      <c r="A454" s="134">
        <v>45637</v>
      </c>
      <c r="B454" s="135" t="s">
        <v>958</v>
      </c>
      <c r="C454" s="136" t="s">
        <v>484</v>
      </c>
      <c r="D454" s="136" t="s">
        <v>477</v>
      </c>
      <c r="E454" s="136" t="s">
        <v>390</v>
      </c>
      <c r="F454" s="136" t="s">
        <v>539</v>
      </c>
      <c r="G454" s="136">
        <v>13</v>
      </c>
      <c r="H454" s="137">
        <v>42</v>
      </c>
      <c r="I454" s="138">
        <f t="shared" si="7"/>
        <v>546</v>
      </c>
      <c r="J454" s="139" t="s">
        <v>466</v>
      </c>
      <c r="K454" s="140">
        <v>12.558</v>
      </c>
      <c r="L454">
        <f>Table13[[#This Row],[Price]]*Table13[[#This Row],[Units]]</f>
        <v>546</v>
      </c>
    </row>
    <row r="455" spans="1:12" x14ac:dyDescent="0.35">
      <c r="A455" s="134">
        <v>45637</v>
      </c>
      <c r="B455" s="135" t="s">
        <v>959</v>
      </c>
      <c r="C455" s="136" t="s">
        <v>464</v>
      </c>
      <c r="D455" s="136" t="s">
        <v>470</v>
      </c>
      <c r="E455" s="136" t="s">
        <v>483</v>
      </c>
      <c r="F455" s="136" t="s">
        <v>567</v>
      </c>
      <c r="G455" s="136">
        <v>41</v>
      </c>
      <c r="H455" s="137">
        <v>53</v>
      </c>
      <c r="I455" s="138">
        <f t="shared" si="7"/>
        <v>2173</v>
      </c>
      <c r="J455" s="139" t="s">
        <v>472</v>
      </c>
      <c r="K455" s="140">
        <v>52.152000000000001</v>
      </c>
      <c r="L455">
        <f>Table13[[#This Row],[Price]]*Table13[[#This Row],[Units]]</f>
        <v>2173</v>
      </c>
    </row>
    <row r="456" spans="1:12" x14ac:dyDescent="0.35">
      <c r="A456" s="134">
        <v>45637</v>
      </c>
      <c r="B456" s="135" t="s">
        <v>960</v>
      </c>
      <c r="C456" s="136" t="s">
        <v>492</v>
      </c>
      <c r="D456" s="136" t="s">
        <v>470</v>
      </c>
      <c r="E456" s="136" t="s">
        <v>333</v>
      </c>
      <c r="F456" s="136" t="s">
        <v>497</v>
      </c>
      <c r="G456" s="136">
        <v>25</v>
      </c>
      <c r="H456" s="137">
        <v>23</v>
      </c>
      <c r="I456" s="138">
        <f t="shared" si="7"/>
        <v>575</v>
      </c>
      <c r="J456" s="139" t="s">
        <v>472</v>
      </c>
      <c r="K456" s="140">
        <v>16.100000000000001</v>
      </c>
      <c r="L456">
        <f>Table13[[#This Row],[Price]]*Table13[[#This Row],[Units]]</f>
        <v>575</v>
      </c>
    </row>
    <row r="457" spans="1:12" x14ac:dyDescent="0.35">
      <c r="A457" s="134">
        <v>45637</v>
      </c>
      <c r="B457" s="135" t="s">
        <v>961</v>
      </c>
      <c r="C457" s="136" t="s">
        <v>494</v>
      </c>
      <c r="D457" s="136" t="s">
        <v>512</v>
      </c>
      <c r="E457" s="136" t="s">
        <v>315</v>
      </c>
      <c r="F457" s="136" t="s">
        <v>500</v>
      </c>
      <c r="G457" s="136">
        <v>30</v>
      </c>
      <c r="H457" s="137">
        <v>31</v>
      </c>
      <c r="I457" s="138">
        <f t="shared" si="7"/>
        <v>930</v>
      </c>
      <c r="J457" s="139" t="s">
        <v>466</v>
      </c>
      <c r="K457" s="140">
        <v>18.600000000000001</v>
      </c>
      <c r="L457">
        <f>Table13[[#This Row],[Price]]*Table13[[#This Row],[Units]]</f>
        <v>930</v>
      </c>
    </row>
    <row r="458" spans="1:12" x14ac:dyDescent="0.35">
      <c r="A458" s="134">
        <v>45637</v>
      </c>
      <c r="B458" s="135" t="s">
        <v>962</v>
      </c>
      <c r="C458" s="136" t="s">
        <v>501</v>
      </c>
      <c r="D458" s="136" t="s">
        <v>512</v>
      </c>
      <c r="E458" s="136" t="s">
        <v>320</v>
      </c>
      <c r="F458" s="136" t="s">
        <v>520</v>
      </c>
      <c r="G458" s="136">
        <v>45</v>
      </c>
      <c r="H458" s="137">
        <v>24</v>
      </c>
      <c r="I458" s="138">
        <f t="shared" si="7"/>
        <v>1080</v>
      </c>
      <c r="J458" s="139" t="s">
        <v>466</v>
      </c>
      <c r="K458" s="140">
        <v>29.16</v>
      </c>
      <c r="L458">
        <f>Table13[[#This Row],[Price]]*Table13[[#This Row],[Units]]</f>
        <v>1080</v>
      </c>
    </row>
    <row r="459" spans="1:12" x14ac:dyDescent="0.35">
      <c r="A459" s="134">
        <v>45637</v>
      </c>
      <c r="B459" s="135" t="s">
        <v>963</v>
      </c>
      <c r="C459" s="136" t="s">
        <v>501</v>
      </c>
      <c r="D459" s="136" t="s">
        <v>477</v>
      </c>
      <c r="E459" s="136" t="s">
        <v>333</v>
      </c>
      <c r="F459" s="136" t="s">
        <v>505</v>
      </c>
      <c r="G459" s="136">
        <v>29</v>
      </c>
      <c r="H459" s="137">
        <v>51</v>
      </c>
      <c r="I459" s="138">
        <f t="shared" si="7"/>
        <v>1479</v>
      </c>
      <c r="J459" s="139" t="s">
        <v>472</v>
      </c>
      <c r="K459" s="140">
        <v>35.496000000000002</v>
      </c>
      <c r="L459">
        <f>Table13[[#This Row],[Price]]*Table13[[#This Row],[Units]]</f>
        <v>1479</v>
      </c>
    </row>
    <row r="460" spans="1:12" x14ac:dyDescent="0.35">
      <c r="A460" s="134">
        <v>45637</v>
      </c>
      <c r="B460" s="135" t="s">
        <v>964</v>
      </c>
      <c r="C460" s="136" t="s">
        <v>494</v>
      </c>
      <c r="D460" s="136" t="s">
        <v>470</v>
      </c>
      <c r="E460" s="136" t="s">
        <v>315</v>
      </c>
      <c r="F460" s="136" t="s">
        <v>517</v>
      </c>
      <c r="G460" s="136">
        <v>54</v>
      </c>
      <c r="H460" s="137">
        <v>44</v>
      </c>
      <c r="I460" s="138">
        <f t="shared" si="7"/>
        <v>2376</v>
      </c>
      <c r="J460" s="139" t="s">
        <v>466</v>
      </c>
      <c r="K460" s="140">
        <v>68.903999999999996</v>
      </c>
      <c r="L460">
        <f>Table13[[#This Row],[Price]]*Table13[[#This Row],[Units]]</f>
        <v>2376</v>
      </c>
    </row>
    <row r="461" spans="1:12" x14ac:dyDescent="0.35">
      <c r="A461" s="134">
        <v>45637</v>
      </c>
      <c r="B461" s="135" t="s">
        <v>965</v>
      </c>
      <c r="C461" s="136" t="s">
        <v>492</v>
      </c>
      <c r="D461" s="136" t="s">
        <v>477</v>
      </c>
      <c r="E461" s="136" t="s">
        <v>324</v>
      </c>
      <c r="F461" s="136" t="s">
        <v>487</v>
      </c>
      <c r="G461" s="136">
        <v>43</v>
      </c>
      <c r="H461" s="137">
        <v>48</v>
      </c>
      <c r="I461" s="138">
        <f t="shared" si="7"/>
        <v>2064</v>
      </c>
      <c r="J461" s="139" t="s">
        <v>466</v>
      </c>
      <c r="K461" s="140">
        <v>49.536000000000001</v>
      </c>
      <c r="L461">
        <f>Table13[[#This Row],[Price]]*Table13[[#This Row],[Units]]</f>
        <v>2064</v>
      </c>
    </row>
    <row r="462" spans="1:12" x14ac:dyDescent="0.35">
      <c r="A462" s="134">
        <v>45637</v>
      </c>
      <c r="B462" s="135" t="s">
        <v>966</v>
      </c>
      <c r="C462" s="136" t="s">
        <v>469</v>
      </c>
      <c r="D462" s="136" t="s">
        <v>490</v>
      </c>
      <c r="E462" s="136" t="s">
        <v>390</v>
      </c>
      <c r="F462" s="136" t="s">
        <v>505</v>
      </c>
      <c r="G462" s="136">
        <v>29</v>
      </c>
      <c r="H462" s="137">
        <v>39</v>
      </c>
      <c r="I462" s="138">
        <f t="shared" si="7"/>
        <v>1131</v>
      </c>
      <c r="J462" s="139" t="s">
        <v>503</v>
      </c>
      <c r="K462" s="140">
        <v>30.536999999999999</v>
      </c>
      <c r="L462">
        <f>Table13[[#This Row],[Price]]*Table13[[#This Row],[Units]]</f>
        <v>1131</v>
      </c>
    </row>
    <row r="463" spans="1:12" x14ac:dyDescent="0.35">
      <c r="A463" s="134">
        <v>45637</v>
      </c>
      <c r="B463" s="135" t="s">
        <v>967</v>
      </c>
      <c r="C463" s="136" t="s">
        <v>469</v>
      </c>
      <c r="D463" s="136" t="s">
        <v>519</v>
      </c>
      <c r="E463" s="136" t="s">
        <v>483</v>
      </c>
      <c r="F463" s="136" t="s">
        <v>528</v>
      </c>
      <c r="G463" s="136">
        <v>47</v>
      </c>
      <c r="H463" s="137">
        <v>56</v>
      </c>
      <c r="I463" s="138">
        <f t="shared" si="7"/>
        <v>2632</v>
      </c>
      <c r="J463" s="139" t="s">
        <v>515</v>
      </c>
      <c r="K463" s="140">
        <v>68.432000000000002</v>
      </c>
      <c r="L463">
        <f>Table13[[#This Row],[Price]]*Table13[[#This Row],[Units]]</f>
        <v>2632</v>
      </c>
    </row>
    <row r="464" spans="1:12" x14ac:dyDescent="0.35">
      <c r="A464" s="134">
        <v>45637</v>
      </c>
      <c r="B464" s="135" t="s">
        <v>968</v>
      </c>
      <c r="C464" s="136" t="s">
        <v>476</v>
      </c>
      <c r="D464" s="136" t="s">
        <v>470</v>
      </c>
      <c r="E464" s="136" t="s">
        <v>315</v>
      </c>
      <c r="F464" s="136" t="s">
        <v>500</v>
      </c>
      <c r="G464" s="136">
        <v>18</v>
      </c>
      <c r="H464" s="137">
        <v>52</v>
      </c>
      <c r="I464" s="138">
        <f t="shared" si="7"/>
        <v>936</v>
      </c>
      <c r="J464" s="139" t="s">
        <v>472</v>
      </c>
      <c r="K464" s="140">
        <v>25.271999999999998</v>
      </c>
      <c r="L464">
        <f>Table13[[#This Row],[Price]]*Table13[[#This Row],[Units]]</f>
        <v>936</v>
      </c>
    </row>
    <row r="465" spans="1:12" x14ac:dyDescent="0.35">
      <c r="A465" s="134">
        <v>45637</v>
      </c>
      <c r="B465" s="135" t="s">
        <v>969</v>
      </c>
      <c r="C465" s="136" t="s">
        <v>492</v>
      </c>
      <c r="D465" s="136" t="s">
        <v>519</v>
      </c>
      <c r="E465" s="136" t="s">
        <v>324</v>
      </c>
      <c r="F465" s="136" t="s">
        <v>505</v>
      </c>
      <c r="G465" s="136">
        <v>27</v>
      </c>
      <c r="H465" s="137">
        <v>28</v>
      </c>
      <c r="I465" s="138">
        <f t="shared" si="7"/>
        <v>756</v>
      </c>
      <c r="J465" s="139" t="s">
        <v>466</v>
      </c>
      <c r="K465" s="140">
        <v>18.143999999999998</v>
      </c>
      <c r="L465">
        <f>Table13[[#This Row],[Price]]*Table13[[#This Row],[Units]]</f>
        <v>756</v>
      </c>
    </row>
    <row r="466" spans="1:12" x14ac:dyDescent="0.35">
      <c r="A466" s="134">
        <v>45638</v>
      </c>
      <c r="B466" s="135" t="s">
        <v>970</v>
      </c>
      <c r="C466" s="136" t="s">
        <v>492</v>
      </c>
      <c r="D466" s="136" t="s">
        <v>477</v>
      </c>
      <c r="E466" s="136" t="s">
        <v>324</v>
      </c>
      <c r="F466" s="136" t="s">
        <v>505</v>
      </c>
      <c r="G466" s="136">
        <v>34</v>
      </c>
      <c r="H466" s="137">
        <v>27</v>
      </c>
      <c r="I466" s="138">
        <f t="shared" si="7"/>
        <v>918</v>
      </c>
      <c r="J466" s="139" t="s">
        <v>503</v>
      </c>
      <c r="K466" s="140">
        <v>19.277999999999999</v>
      </c>
      <c r="L466">
        <f>Table13[[#This Row],[Price]]*Table13[[#This Row],[Units]]</f>
        <v>918</v>
      </c>
    </row>
    <row r="467" spans="1:12" x14ac:dyDescent="0.35">
      <c r="A467" s="134">
        <v>45639</v>
      </c>
      <c r="B467" s="135" t="s">
        <v>971</v>
      </c>
      <c r="C467" s="136" t="s">
        <v>489</v>
      </c>
      <c r="D467" s="136" t="s">
        <v>519</v>
      </c>
      <c r="E467" s="136" t="s">
        <v>320</v>
      </c>
      <c r="F467" s="136" t="s">
        <v>478</v>
      </c>
      <c r="G467" s="136">
        <v>28</v>
      </c>
      <c r="H467" s="137">
        <v>49</v>
      </c>
      <c r="I467" s="138">
        <f t="shared" si="7"/>
        <v>1372</v>
      </c>
      <c r="J467" s="139" t="s">
        <v>503</v>
      </c>
      <c r="K467" s="140">
        <v>35.671999999999997</v>
      </c>
      <c r="L467">
        <f>Table13[[#This Row],[Price]]*Table13[[#This Row],[Units]]</f>
        <v>1372</v>
      </c>
    </row>
    <row r="468" spans="1:12" x14ac:dyDescent="0.35">
      <c r="A468" s="134">
        <v>45639</v>
      </c>
      <c r="B468" s="135" t="s">
        <v>972</v>
      </c>
      <c r="C468" s="136" t="s">
        <v>501</v>
      </c>
      <c r="D468" s="136" t="s">
        <v>477</v>
      </c>
      <c r="E468" s="136" t="s">
        <v>315</v>
      </c>
      <c r="F468" s="136" t="s">
        <v>536</v>
      </c>
      <c r="G468" s="136">
        <v>21</v>
      </c>
      <c r="H468" s="137">
        <v>56</v>
      </c>
      <c r="I468" s="138">
        <f t="shared" si="7"/>
        <v>1176</v>
      </c>
      <c r="J468" s="139" t="s">
        <v>503</v>
      </c>
      <c r="K468" s="140">
        <v>25.872</v>
      </c>
      <c r="L468">
        <f>Table13[[#This Row],[Price]]*Table13[[#This Row],[Units]]</f>
        <v>1176</v>
      </c>
    </row>
    <row r="469" spans="1:12" x14ac:dyDescent="0.35">
      <c r="A469" s="134">
        <v>45639</v>
      </c>
      <c r="B469" s="135" t="s">
        <v>973</v>
      </c>
      <c r="C469" s="136" t="s">
        <v>476</v>
      </c>
      <c r="D469" s="136" t="s">
        <v>519</v>
      </c>
      <c r="E469" s="136" t="s">
        <v>320</v>
      </c>
      <c r="F469" s="136" t="s">
        <v>500</v>
      </c>
      <c r="G469" s="136">
        <v>47</v>
      </c>
      <c r="H469" s="137">
        <v>45</v>
      </c>
      <c r="I469" s="138">
        <f t="shared" si="7"/>
        <v>2115</v>
      </c>
      <c r="J469" s="139" t="s">
        <v>472</v>
      </c>
      <c r="K469" s="140">
        <v>44.414999999999999</v>
      </c>
      <c r="L469">
        <f>Table13[[#This Row],[Price]]*Table13[[#This Row],[Units]]</f>
        <v>2115</v>
      </c>
    </row>
    <row r="470" spans="1:12" x14ac:dyDescent="0.35">
      <c r="A470" s="134">
        <v>45639</v>
      </c>
      <c r="B470" s="135" t="s">
        <v>974</v>
      </c>
      <c r="C470" s="136" t="s">
        <v>494</v>
      </c>
      <c r="D470" s="136" t="s">
        <v>486</v>
      </c>
      <c r="E470" s="136" t="s">
        <v>483</v>
      </c>
      <c r="F470" s="136" t="s">
        <v>523</v>
      </c>
      <c r="G470" s="136">
        <v>24</v>
      </c>
      <c r="H470" s="137">
        <v>33</v>
      </c>
      <c r="I470" s="138">
        <f t="shared" si="7"/>
        <v>792</v>
      </c>
      <c r="J470" s="139" t="s">
        <v>515</v>
      </c>
      <c r="K470" s="140">
        <v>17.423999999999999</v>
      </c>
      <c r="L470">
        <f>Table13[[#This Row],[Price]]*Table13[[#This Row],[Units]]</f>
        <v>792</v>
      </c>
    </row>
    <row r="471" spans="1:12" x14ac:dyDescent="0.35">
      <c r="A471" s="134">
        <v>45639</v>
      </c>
      <c r="B471" s="135" t="s">
        <v>975</v>
      </c>
      <c r="C471" s="136" t="s">
        <v>469</v>
      </c>
      <c r="D471" s="136" t="s">
        <v>477</v>
      </c>
      <c r="E471" s="136" t="s">
        <v>324</v>
      </c>
      <c r="F471" s="136" t="s">
        <v>536</v>
      </c>
      <c r="G471" s="136">
        <v>28</v>
      </c>
      <c r="H471" s="137">
        <v>39</v>
      </c>
      <c r="I471" s="138">
        <f t="shared" si="7"/>
        <v>1092</v>
      </c>
      <c r="J471" s="139" t="s">
        <v>466</v>
      </c>
      <c r="K471" s="140">
        <v>27.3</v>
      </c>
      <c r="L471">
        <f>Table13[[#This Row],[Price]]*Table13[[#This Row],[Units]]</f>
        <v>1092</v>
      </c>
    </row>
    <row r="472" spans="1:12" x14ac:dyDescent="0.35">
      <c r="A472" s="134">
        <v>45639</v>
      </c>
      <c r="B472" s="135" t="s">
        <v>976</v>
      </c>
      <c r="C472" s="136" t="s">
        <v>494</v>
      </c>
      <c r="D472" s="136" t="s">
        <v>470</v>
      </c>
      <c r="E472" s="136" t="s">
        <v>320</v>
      </c>
      <c r="F472" s="136" t="s">
        <v>491</v>
      </c>
      <c r="G472" s="136">
        <v>11</v>
      </c>
      <c r="H472" s="137">
        <v>24</v>
      </c>
      <c r="I472" s="138">
        <f t="shared" si="7"/>
        <v>264</v>
      </c>
      <c r="J472" s="139" t="s">
        <v>503</v>
      </c>
      <c r="K472" s="140">
        <v>6.6</v>
      </c>
      <c r="L472">
        <f>Table13[[#This Row],[Price]]*Table13[[#This Row],[Units]]</f>
        <v>264</v>
      </c>
    </row>
    <row r="473" spans="1:12" x14ac:dyDescent="0.35">
      <c r="A473" s="134">
        <v>45639</v>
      </c>
      <c r="B473" s="135" t="s">
        <v>977</v>
      </c>
      <c r="C473" s="136" t="s">
        <v>476</v>
      </c>
      <c r="D473" s="136" t="s">
        <v>477</v>
      </c>
      <c r="E473" s="136" t="s">
        <v>315</v>
      </c>
      <c r="F473" s="136" t="s">
        <v>539</v>
      </c>
      <c r="G473" s="136">
        <v>13</v>
      </c>
      <c r="H473" s="137">
        <v>46</v>
      </c>
      <c r="I473" s="138">
        <f t="shared" si="7"/>
        <v>598</v>
      </c>
      <c r="J473" s="139" t="s">
        <v>515</v>
      </c>
      <c r="K473" s="140">
        <v>12.558</v>
      </c>
      <c r="L473">
        <f>Table13[[#This Row],[Price]]*Table13[[#This Row],[Units]]</f>
        <v>598</v>
      </c>
    </row>
    <row r="474" spans="1:12" x14ac:dyDescent="0.35">
      <c r="A474" s="134">
        <v>45639</v>
      </c>
      <c r="B474" s="135" t="s">
        <v>978</v>
      </c>
      <c r="C474" s="136" t="s">
        <v>476</v>
      </c>
      <c r="D474" s="136" t="s">
        <v>490</v>
      </c>
      <c r="E474" s="136" t="s">
        <v>483</v>
      </c>
      <c r="F474" s="136" t="s">
        <v>487</v>
      </c>
      <c r="G474" s="136">
        <v>11</v>
      </c>
      <c r="H474" s="137">
        <v>41</v>
      </c>
      <c r="I474" s="138">
        <f t="shared" si="7"/>
        <v>451</v>
      </c>
      <c r="J474" s="139" t="s">
        <v>515</v>
      </c>
      <c r="K474" s="140">
        <v>9.4710000000000001</v>
      </c>
      <c r="L474">
        <f>Table13[[#This Row],[Price]]*Table13[[#This Row],[Units]]</f>
        <v>451</v>
      </c>
    </row>
    <row r="475" spans="1:12" x14ac:dyDescent="0.35">
      <c r="A475" s="134">
        <v>45639</v>
      </c>
      <c r="B475" s="135" t="s">
        <v>979</v>
      </c>
      <c r="C475" s="136" t="s">
        <v>322</v>
      </c>
      <c r="D475" s="136" t="s">
        <v>465</v>
      </c>
      <c r="E475" s="136" t="s">
        <v>390</v>
      </c>
      <c r="F475" s="136" t="s">
        <v>505</v>
      </c>
      <c r="G475" s="136">
        <v>43</v>
      </c>
      <c r="H475" s="137">
        <v>25</v>
      </c>
      <c r="I475" s="138">
        <f t="shared" si="7"/>
        <v>1075</v>
      </c>
      <c r="J475" s="139" t="s">
        <v>466</v>
      </c>
      <c r="K475" s="140">
        <v>22.574999999999999</v>
      </c>
      <c r="L475">
        <f>Table13[[#This Row],[Price]]*Table13[[#This Row],[Units]]</f>
        <v>1075</v>
      </c>
    </row>
    <row r="476" spans="1:12" x14ac:dyDescent="0.35">
      <c r="A476" s="134">
        <v>45639</v>
      </c>
      <c r="B476" s="135" t="s">
        <v>980</v>
      </c>
      <c r="C476" s="136" t="s">
        <v>469</v>
      </c>
      <c r="D476" s="136" t="s">
        <v>470</v>
      </c>
      <c r="E476" s="136" t="s">
        <v>483</v>
      </c>
      <c r="F476" s="136" t="s">
        <v>497</v>
      </c>
      <c r="G476" s="136">
        <v>10</v>
      </c>
      <c r="H476" s="137">
        <v>53</v>
      </c>
      <c r="I476" s="138">
        <f t="shared" si="7"/>
        <v>530</v>
      </c>
      <c r="J476" s="139" t="s">
        <v>503</v>
      </c>
      <c r="K476" s="140">
        <v>11.66</v>
      </c>
      <c r="L476">
        <f>Table13[[#This Row],[Price]]*Table13[[#This Row],[Units]]</f>
        <v>530</v>
      </c>
    </row>
    <row r="477" spans="1:12" x14ac:dyDescent="0.35">
      <c r="A477" s="134">
        <v>45639</v>
      </c>
      <c r="B477" s="135" t="s">
        <v>981</v>
      </c>
      <c r="C477" s="136" t="s">
        <v>494</v>
      </c>
      <c r="D477" s="136" t="s">
        <v>490</v>
      </c>
      <c r="E477" s="136" t="s">
        <v>390</v>
      </c>
      <c r="F477" s="136" t="s">
        <v>478</v>
      </c>
      <c r="G477" s="136">
        <v>18</v>
      </c>
      <c r="H477" s="137">
        <v>42</v>
      </c>
      <c r="I477" s="138">
        <f t="shared" si="7"/>
        <v>756</v>
      </c>
      <c r="J477" s="139" t="s">
        <v>472</v>
      </c>
      <c r="K477" s="140">
        <v>21.167999999999999</v>
      </c>
      <c r="L477">
        <f>Table13[[#This Row],[Price]]*Table13[[#This Row],[Units]]</f>
        <v>756</v>
      </c>
    </row>
    <row r="478" spans="1:12" x14ac:dyDescent="0.35">
      <c r="A478" s="134">
        <v>45639</v>
      </c>
      <c r="B478" s="135" t="s">
        <v>982</v>
      </c>
      <c r="C478" s="136" t="s">
        <v>501</v>
      </c>
      <c r="D478" s="136" t="s">
        <v>512</v>
      </c>
      <c r="E478" s="136" t="s">
        <v>390</v>
      </c>
      <c r="F478" s="136" t="s">
        <v>487</v>
      </c>
      <c r="G478" s="136">
        <v>20</v>
      </c>
      <c r="H478" s="137">
        <v>53</v>
      </c>
      <c r="I478" s="138">
        <f t="shared" si="7"/>
        <v>1060</v>
      </c>
      <c r="J478" s="139" t="s">
        <v>472</v>
      </c>
      <c r="K478" s="140">
        <v>25.44</v>
      </c>
      <c r="L478">
        <f>Table13[[#This Row],[Price]]*Table13[[#This Row],[Units]]</f>
        <v>1060</v>
      </c>
    </row>
    <row r="479" spans="1:12" x14ac:dyDescent="0.35">
      <c r="A479" s="134">
        <v>45640</v>
      </c>
      <c r="B479" s="135" t="s">
        <v>983</v>
      </c>
      <c r="C479" s="136" t="s">
        <v>484</v>
      </c>
      <c r="D479" s="136" t="s">
        <v>490</v>
      </c>
      <c r="E479" s="136" t="s">
        <v>412</v>
      </c>
      <c r="F479" s="136" t="s">
        <v>497</v>
      </c>
      <c r="G479" s="136">
        <v>22</v>
      </c>
      <c r="H479" s="137">
        <v>29</v>
      </c>
      <c r="I479" s="138">
        <f t="shared" si="7"/>
        <v>638</v>
      </c>
      <c r="J479" s="139" t="s">
        <v>466</v>
      </c>
      <c r="K479" s="140">
        <v>14.036</v>
      </c>
      <c r="L479">
        <f>Table13[[#This Row],[Price]]*Table13[[#This Row],[Units]]</f>
        <v>638</v>
      </c>
    </row>
    <row r="480" spans="1:12" x14ac:dyDescent="0.35">
      <c r="A480" s="134">
        <v>45640</v>
      </c>
      <c r="B480" s="135" t="s">
        <v>984</v>
      </c>
      <c r="C480" s="136" t="s">
        <v>501</v>
      </c>
      <c r="D480" s="136" t="s">
        <v>486</v>
      </c>
      <c r="E480" s="136" t="s">
        <v>333</v>
      </c>
      <c r="F480" s="136" t="s">
        <v>536</v>
      </c>
      <c r="G480" s="136">
        <v>42</v>
      </c>
      <c r="H480" s="137">
        <v>31</v>
      </c>
      <c r="I480" s="138">
        <f t="shared" si="7"/>
        <v>1302</v>
      </c>
      <c r="J480" s="139" t="s">
        <v>466</v>
      </c>
      <c r="K480" s="140">
        <v>36.456000000000003</v>
      </c>
      <c r="L480">
        <f>Table13[[#This Row],[Price]]*Table13[[#This Row],[Units]]</f>
        <v>1302</v>
      </c>
    </row>
    <row r="481" spans="1:12" x14ac:dyDescent="0.35">
      <c r="A481" s="134">
        <v>45640</v>
      </c>
      <c r="B481" s="135" t="s">
        <v>985</v>
      </c>
      <c r="C481" s="136" t="s">
        <v>476</v>
      </c>
      <c r="D481" s="136" t="s">
        <v>465</v>
      </c>
      <c r="E481" s="136" t="s">
        <v>483</v>
      </c>
      <c r="F481" s="136" t="s">
        <v>517</v>
      </c>
      <c r="G481" s="136">
        <v>39</v>
      </c>
      <c r="H481" s="137">
        <v>23</v>
      </c>
      <c r="I481" s="138">
        <f t="shared" si="7"/>
        <v>897</v>
      </c>
      <c r="J481" s="139" t="s">
        <v>466</v>
      </c>
      <c r="K481" s="140">
        <v>20.631</v>
      </c>
      <c r="L481">
        <f>Table13[[#This Row],[Price]]*Table13[[#This Row],[Units]]</f>
        <v>897</v>
      </c>
    </row>
    <row r="482" spans="1:12" x14ac:dyDescent="0.35">
      <c r="A482" s="134">
        <v>45640</v>
      </c>
      <c r="B482" s="135" t="s">
        <v>986</v>
      </c>
      <c r="C482" s="136" t="s">
        <v>484</v>
      </c>
      <c r="D482" s="136" t="s">
        <v>486</v>
      </c>
      <c r="E482" s="136" t="s">
        <v>333</v>
      </c>
      <c r="F482" s="136" t="s">
        <v>528</v>
      </c>
      <c r="G482" s="136">
        <v>13</v>
      </c>
      <c r="H482" s="137">
        <v>31</v>
      </c>
      <c r="I482" s="138">
        <f t="shared" si="7"/>
        <v>403</v>
      </c>
      <c r="J482" s="139" t="s">
        <v>466</v>
      </c>
      <c r="K482" s="140">
        <v>12.09</v>
      </c>
      <c r="L482">
        <f>Table13[[#This Row],[Price]]*Table13[[#This Row],[Units]]</f>
        <v>403</v>
      </c>
    </row>
    <row r="483" spans="1:12" x14ac:dyDescent="0.35">
      <c r="A483" s="134">
        <v>45641</v>
      </c>
      <c r="B483" s="135" t="s">
        <v>987</v>
      </c>
      <c r="C483" s="136" t="s">
        <v>492</v>
      </c>
      <c r="D483" s="136" t="s">
        <v>519</v>
      </c>
      <c r="E483" s="136" t="s">
        <v>320</v>
      </c>
      <c r="F483" s="136" t="s">
        <v>513</v>
      </c>
      <c r="G483" s="136">
        <v>51</v>
      </c>
      <c r="H483" s="137">
        <v>55</v>
      </c>
      <c r="I483" s="138">
        <f t="shared" si="7"/>
        <v>2805</v>
      </c>
      <c r="J483" s="139" t="s">
        <v>515</v>
      </c>
      <c r="K483" s="140">
        <v>78.540000000000006</v>
      </c>
      <c r="L483">
        <f>Table13[[#This Row],[Price]]*Table13[[#This Row],[Units]]</f>
        <v>2805</v>
      </c>
    </row>
    <row r="484" spans="1:12" x14ac:dyDescent="0.35">
      <c r="A484" s="134">
        <v>45641</v>
      </c>
      <c r="B484" s="135" t="s">
        <v>988</v>
      </c>
      <c r="C484" s="136" t="s">
        <v>322</v>
      </c>
      <c r="D484" s="136" t="s">
        <v>477</v>
      </c>
      <c r="E484" s="136" t="s">
        <v>483</v>
      </c>
      <c r="F484" s="136" t="s">
        <v>510</v>
      </c>
      <c r="G484" s="136">
        <v>35</v>
      </c>
      <c r="H484" s="137">
        <v>51</v>
      </c>
      <c r="I484" s="138">
        <f t="shared" si="7"/>
        <v>1785</v>
      </c>
      <c r="J484" s="139" t="s">
        <v>472</v>
      </c>
      <c r="K484" s="140">
        <v>41.055</v>
      </c>
      <c r="L484">
        <f>Table13[[#This Row],[Price]]*Table13[[#This Row],[Units]]</f>
        <v>1785</v>
      </c>
    </row>
    <row r="485" spans="1:12" x14ac:dyDescent="0.35">
      <c r="A485" s="134">
        <v>45641</v>
      </c>
      <c r="B485" s="135" t="s">
        <v>989</v>
      </c>
      <c r="C485" s="136" t="s">
        <v>464</v>
      </c>
      <c r="D485" s="136" t="s">
        <v>477</v>
      </c>
      <c r="E485" s="136" t="s">
        <v>333</v>
      </c>
      <c r="F485" s="136" t="s">
        <v>505</v>
      </c>
      <c r="G485" s="136">
        <v>11</v>
      </c>
      <c r="H485" s="137">
        <v>46</v>
      </c>
      <c r="I485" s="138">
        <f t="shared" si="7"/>
        <v>506</v>
      </c>
      <c r="J485" s="139" t="s">
        <v>515</v>
      </c>
      <c r="K485" s="140">
        <v>10.119999999999999</v>
      </c>
      <c r="L485">
        <f>Table13[[#This Row],[Price]]*Table13[[#This Row],[Units]]</f>
        <v>506</v>
      </c>
    </row>
    <row r="486" spans="1:12" x14ac:dyDescent="0.35">
      <c r="A486" s="134">
        <v>45641</v>
      </c>
      <c r="B486" s="135" t="s">
        <v>990</v>
      </c>
      <c r="C486" s="136" t="s">
        <v>492</v>
      </c>
      <c r="D486" s="136" t="s">
        <v>486</v>
      </c>
      <c r="E486" s="136" t="s">
        <v>315</v>
      </c>
      <c r="F486" s="136" t="s">
        <v>528</v>
      </c>
      <c r="G486" s="136">
        <v>31</v>
      </c>
      <c r="H486" s="137">
        <v>57</v>
      </c>
      <c r="I486" s="138">
        <f t="shared" si="7"/>
        <v>1767</v>
      </c>
      <c r="J486" s="139" t="s">
        <v>515</v>
      </c>
      <c r="K486" s="140">
        <v>44.174999999999997</v>
      </c>
      <c r="L486">
        <f>Table13[[#This Row],[Price]]*Table13[[#This Row],[Units]]</f>
        <v>1767</v>
      </c>
    </row>
    <row r="487" spans="1:12" x14ac:dyDescent="0.35">
      <c r="A487" s="134">
        <v>45641</v>
      </c>
      <c r="B487" s="135" t="s">
        <v>991</v>
      </c>
      <c r="C487" s="136" t="s">
        <v>464</v>
      </c>
      <c r="D487" s="136" t="s">
        <v>486</v>
      </c>
      <c r="E487" s="136" t="s">
        <v>333</v>
      </c>
      <c r="F487" s="136" t="s">
        <v>497</v>
      </c>
      <c r="G487" s="136">
        <v>27</v>
      </c>
      <c r="H487" s="137">
        <v>23</v>
      </c>
      <c r="I487" s="138">
        <f t="shared" si="7"/>
        <v>621</v>
      </c>
      <c r="J487" s="139" t="s">
        <v>466</v>
      </c>
      <c r="K487" s="140">
        <v>12.42</v>
      </c>
      <c r="L487">
        <f>Table13[[#This Row],[Price]]*Table13[[#This Row],[Units]]</f>
        <v>621</v>
      </c>
    </row>
    <row r="488" spans="1:12" x14ac:dyDescent="0.35">
      <c r="A488" s="134">
        <v>45641</v>
      </c>
      <c r="B488" s="135" t="s">
        <v>992</v>
      </c>
      <c r="C488" s="136" t="s">
        <v>501</v>
      </c>
      <c r="D488" s="136" t="s">
        <v>512</v>
      </c>
      <c r="E488" s="136" t="s">
        <v>390</v>
      </c>
      <c r="F488" s="136" t="s">
        <v>523</v>
      </c>
      <c r="G488" s="136">
        <v>43</v>
      </c>
      <c r="H488" s="137">
        <v>55</v>
      </c>
      <c r="I488" s="138">
        <f t="shared" si="7"/>
        <v>2365</v>
      </c>
      <c r="J488" s="139" t="s">
        <v>515</v>
      </c>
      <c r="K488" s="140">
        <v>66.22</v>
      </c>
      <c r="L488">
        <f>Table13[[#This Row],[Price]]*Table13[[#This Row],[Units]]</f>
        <v>2365</v>
      </c>
    </row>
    <row r="489" spans="1:12" x14ac:dyDescent="0.35">
      <c r="A489" s="134">
        <v>45641</v>
      </c>
      <c r="B489" s="135" t="s">
        <v>993</v>
      </c>
      <c r="C489" s="136" t="s">
        <v>464</v>
      </c>
      <c r="D489" s="136" t="s">
        <v>486</v>
      </c>
      <c r="E489" s="136" t="s">
        <v>333</v>
      </c>
      <c r="F489" s="136" t="s">
        <v>478</v>
      </c>
      <c r="G489" s="136">
        <v>34</v>
      </c>
      <c r="H489" s="137">
        <v>21</v>
      </c>
      <c r="I489" s="138">
        <f t="shared" si="7"/>
        <v>714</v>
      </c>
      <c r="J489" s="139" t="s">
        <v>466</v>
      </c>
      <c r="K489" s="140">
        <v>17.850000000000001</v>
      </c>
      <c r="L489">
        <f>Table13[[#This Row],[Price]]*Table13[[#This Row],[Units]]</f>
        <v>714</v>
      </c>
    </row>
    <row r="490" spans="1:12" x14ac:dyDescent="0.35">
      <c r="A490" s="134">
        <v>45642</v>
      </c>
      <c r="B490" s="135" t="s">
        <v>994</v>
      </c>
      <c r="C490" s="136" t="s">
        <v>489</v>
      </c>
      <c r="D490" s="136" t="s">
        <v>490</v>
      </c>
      <c r="E490" s="136" t="s">
        <v>324</v>
      </c>
      <c r="F490" s="136" t="s">
        <v>539</v>
      </c>
      <c r="G490" s="136">
        <v>28</v>
      </c>
      <c r="H490" s="137">
        <v>29</v>
      </c>
      <c r="I490" s="138">
        <f t="shared" si="7"/>
        <v>812</v>
      </c>
      <c r="J490" s="139" t="s">
        <v>466</v>
      </c>
      <c r="K490" s="140">
        <v>19.488</v>
      </c>
      <c r="L490">
        <f>Table13[[#This Row],[Price]]*Table13[[#This Row],[Units]]</f>
        <v>812</v>
      </c>
    </row>
    <row r="491" spans="1:12" x14ac:dyDescent="0.35">
      <c r="A491" s="134">
        <v>45642</v>
      </c>
      <c r="B491" s="135" t="s">
        <v>995</v>
      </c>
      <c r="C491" s="136" t="s">
        <v>492</v>
      </c>
      <c r="D491" s="136" t="s">
        <v>465</v>
      </c>
      <c r="E491" s="136" t="s">
        <v>315</v>
      </c>
      <c r="F491" s="136" t="s">
        <v>471</v>
      </c>
      <c r="G491" s="136">
        <v>26</v>
      </c>
      <c r="H491" s="137">
        <v>20</v>
      </c>
      <c r="I491" s="138">
        <f t="shared" si="7"/>
        <v>520</v>
      </c>
      <c r="J491" s="139" t="s">
        <v>472</v>
      </c>
      <c r="K491" s="140">
        <v>14.56</v>
      </c>
      <c r="L491">
        <f>Table13[[#This Row],[Price]]*Table13[[#This Row],[Units]]</f>
        <v>520</v>
      </c>
    </row>
    <row r="492" spans="1:12" x14ac:dyDescent="0.35">
      <c r="A492" s="134">
        <v>45643</v>
      </c>
      <c r="B492" s="135" t="s">
        <v>996</v>
      </c>
      <c r="C492" s="136" t="s">
        <v>494</v>
      </c>
      <c r="D492" s="136" t="s">
        <v>486</v>
      </c>
      <c r="E492" s="136" t="s">
        <v>320</v>
      </c>
      <c r="F492" s="136" t="s">
        <v>491</v>
      </c>
      <c r="G492" s="136">
        <v>18</v>
      </c>
      <c r="H492" s="137">
        <v>28</v>
      </c>
      <c r="I492" s="138">
        <f t="shared" si="7"/>
        <v>504</v>
      </c>
      <c r="J492" s="139" t="s">
        <v>472</v>
      </c>
      <c r="K492" s="140">
        <v>10.584</v>
      </c>
      <c r="L492">
        <f>Table13[[#This Row],[Price]]*Table13[[#This Row],[Units]]</f>
        <v>504</v>
      </c>
    </row>
    <row r="493" spans="1:12" x14ac:dyDescent="0.35">
      <c r="A493" s="134">
        <v>45643</v>
      </c>
      <c r="B493" s="135" t="s">
        <v>997</v>
      </c>
      <c r="C493" s="136" t="s">
        <v>464</v>
      </c>
      <c r="D493" s="136" t="s">
        <v>477</v>
      </c>
      <c r="E493" s="136" t="s">
        <v>333</v>
      </c>
      <c r="F493" s="136" t="s">
        <v>487</v>
      </c>
      <c r="G493" s="136">
        <v>33</v>
      </c>
      <c r="H493" s="137">
        <v>57</v>
      </c>
      <c r="I493" s="138">
        <f t="shared" si="7"/>
        <v>1881</v>
      </c>
      <c r="J493" s="139" t="s">
        <v>466</v>
      </c>
      <c r="K493" s="140">
        <v>54.548999999999999</v>
      </c>
      <c r="L493">
        <f>Table13[[#This Row],[Price]]*Table13[[#This Row],[Units]]</f>
        <v>1881</v>
      </c>
    </row>
    <row r="494" spans="1:12" x14ac:dyDescent="0.35">
      <c r="A494" s="134">
        <v>45643</v>
      </c>
      <c r="B494" s="135" t="s">
        <v>998</v>
      </c>
      <c r="C494" s="136" t="s">
        <v>501</v>
      </c>
      <c r="D494" s="136" t="s">
        <v>477</v>
      </c>
      <c r="E494" s="136" t="s">
        <v>320</v>
      </c>
      <c r="F494" s="136" t="s">
        <v>517</v>
      </c>
      <c r="G494" s="136">
        <v>28</v>
      </c>
      <c r="H494" s="137">
        <v>37</v>
      </c>
      <c r="I494" s="138">
        <f t="shared" si="7"/>
        <v>1036</v>
      </c>
      <c r="J494" s="139" t="s">
        <v>466</v>
      </c>
      <c r="K494" s="140">
        <v>26.936</v>
      </c>
      <c r="L494">
        <f>Table13[[#This Row],[Price]]*Table13[[#This Row],[Units]]</f>
        <v>1036</v>
      </c>
    </row>
    <row r="495" spans="1:12" x14ac:dyDescent="0.35">
      <c r="A495" s="134">
        <v>45644</v>
      </c>
      <c r="B495" s="135" t="s">
        <v>999</v>
      </c>
      <c r="C495" s="136" t="s">
        <v>322</v>
      </c>
      <c r="D495" s="136" t="s">
        <v>512</v>
      </c>
      <c r="E495" s="136" t="s">
        <v>315</v>
      </c>
      <c r="F495" s="136" t="s">
        <v>510</v>
      </c>
      <c r="G495" s="136">
        <v>13</v>
      </c>
      <c r="H495" s="137">
        <v>22</v>
      </c>
      <c r="I495" s="138">
        <f t="shared" si="7"/>
        <v>286</v>
      </c>
      <c r="J495" s="139" t="s">
        <v>472</v>
      </c>
      <c r="K495" s="140">
        <v>7.4359999999999999</v>
      </c>
      <c r="L495">
        <f>Table13[[#This Row],[Price]]*Table13[[#This Row],[Units]]</f>
        <v>286</v>
      </c>
    </row>
    <row r="496" spans="1:12" x14ac:dyDescent="0.35">
      <c r="A496" s="134">
        <v>45645</v>
      </c>
      <c r="B496" s="135" t="s">
        <v>1000</v>
      </c>
      <c r="C496" s="136" t="s">
        <v>484</v>
      </c>
      <c r="D496" s="136" t="s">
        <v>486</v>
      </c>
      <c r="E496" s="136" t="s">
        <v>324</v>
      </c>
      <c r="F496" s="136" t="s">
        <v>539</v>
      </c>
      <c r="G496" s="136">
        <v>56</v>
      </c>
      <c r="H496" s="137">
        <v>57</v>
      </c>
      <c r="I496" s="138">
        <f t="shared" si="7"/>
        <v>3192</v>
      </c>
      <c r="J496" s="139" t="s">
        <v>466</v>
      </c>
      <c r="K496" s="140">
        <v>67.031999999999996</v>
      </c>
      <c r="L496">
        <f>Table13[[#This Row],[Price]]*Table13[[#This Row],[Units]]</f>
        <v>3192</v>
      </c>
    </row>
    <row r="497" spans="1:12" x14ac:dyDescent="0.35">
      <c r="A497" s="134">
        <v>45645</v>
      </c>
      <c r="B497" s="135" t="s">
        <v>1001</v>
      </c>
      <c r="C497" s="136" t="s">
        <v>469</v>
      </c>
      <c r="D497" s="136" t="s">
        <v>477</v>
      </c>
      <c r="E497" s="136" t="s">
        <v>483</v>
      </c>
      <c r="F497" s="136" t="s">
        <v>513</v>
      </c>
      <c r="G497" s="136">
        <v>46</v>
      </c>
      <c r="H497" s="137">
        <v>58</v>
      </c>
      <c r="I497" s="138">
        <f t="shared" si="7"/>
        <v>2668</v>
      </c>
      <c r="J497" s="139" t="s">
        <v>466</v>
      </c>
      <c r="K497" s="140">
        <v>80.040000000000006</v>
      </c>
      <c r="L497">
        <f>Table13[[#This Row],[Price]]*Table13[[#This Row],[Units]]</f>
        <v>2668</v>
      </c>
    </row>
    <row r="498" spans="1:12" x14ac:dyDescent="0.35">
      <c r="A498" s="134">
        <v>45645</v>
      </c>
      <c r="B498" s="135" t="s">
        <v>1002</v>
      </c>
      <c r="C498" s="136" t="s">
        <v>322</v>
      </c>
      <c r="D498" s="136" t="s">
        <v>490</v>
      </c>
      <c r="E498" s="136" t="s">
        <v>333</v>
      </c>
      <c r="F498" s="136" t="s">
        <v>491</v>
      </c>
      <c r="G498" s="136">
        <v>22</v>
      </c>
      <c r="H498" s="137">
        <v>47</v>
      </c>
      <c r="I498" s="138">
        <f t="shared" si="7"/>
        <v>1034</v>
      </c>
      <c r="J498" s="139" t="s">
        <v>466</v>
      </c>
      <c r="K498" s="140">
        <v>31.02</v>
      </c>
      <c r="L498">
        <f>Table13[[#This Row],[Price]]*Table13[[#This Row],[Units]]</f>
        <v>1034</v>
      </c>
    </row>
    <row r="499" spans="1:12" x14ac:dyDescent="0.35">
      <c r="A499" s="134">
        <v>45645</v>
      </c>
      <c r="B499" s="135" t="s">
        <v>1003</v>
      </c>
      <c r="C499" s="136" t="s">
        <v>469</v>
      </c>
      <c r="D499" s="136" t="s">
        <v>519</v>
      </c>
      <c r="E499" s="136" t="s">
        <v>333</v>
      </c>
      <c r="F499" s="136" t="s">
        <v>500</v>
      </c>
      <c r="G499" s="136">
        <v>32</v>
      </c>
      <c r="H499" s="137">
        <v>26</v>
      </c>
      <c r="I499" s="138">
        <f t="shared" si="7"/>
        <v>832</v>
      </c>
      <c r="J499" s="139" t="s">
        <v>466</v>
      </c>
      <c r="K499" s="140">
        <v>17.472000000000001</v>
      </c>
      <c r="L499">
        <f>Table13[[#This Row],[Price]]*Table13[[#This Row],[Units]]</f>
        <v>832</v>
      </c>
    </row>
    <row r="500" spans="1:12" x14ac:dyDescent="0.35">
      <c r="A500" s="134">
        <v>45645</v>
      </c>
      <c r="B500" s="135" t="s">
        <v>1004</v>
      </c>
      <c r="C500" s="136" t="s">
        <v>322</v>
      </c>
      <c r="D500" s="136" t="s">
        <v>519</v>
      </c>
      <c r="E500" s="136" t="s">
        <v>412</v>
      </c>
      <c r="F500" s="136" t="s">
        <v>478</v>
      </c>
      <c r="G500" s="136">
        <v>20</v>
      </c>
      <c r="H500" s="137">
        <v>60</v>
      </c>
      <c r="I500" s="138">
        <f t="shared" si="7"/>
        <v>1200</v>
      </c>
      <c r="J500" s="139" t="s">
        <v>515</v>
      </c>
      <c r="K500" s="140">
        <v>31.2</v>
      </c>
      <c r="L500">
        <f>Table13[[#This Row],[Price]]*Table13[[#This Row],[Units]]</f>
        <v>1200</v>
      </c>
    </row>
    <row r="501" spans="1:12" x14ac:dyDescent="0.35">
      <c r="A501" s="134">
        <v>45646</v>
      </c>
      <c r="B501" s="135" t="s">
        <v>1005</v>
      </c>
      <c r="C501" s="136" t="s">
        <v>484</v>
      </c>
      <c r="D501" s="136" t="s">
        <v>486</v>
      </c>
      <c r="E501" s="136" t="s">
        <v>333</v>
      </c>
      <c r="F501" s="136" t="s">
        <v>478</v>
      </c>
      <c r="G501" s="136">
        <v>48</v>
      </c>
      <c r="H501" s="137">
        <v>59</v>
      </c>
      <c r="I501" s="138">
        <f t="shared" si="7"/>
        <v>2832</v>
      </c>
      <c r="J501" s="139" t="s">
        <v>515</v>
      </c>
      <c r="K501" s="140">
        <v>65.135999999999996</v>
      </c>
      <c r="L501">
        <f>Table13[[#This Row],[Price]]*Table13[[#This Row],[Units]]</f>
        <v>2832</v>
      </c>
    </row>
    <row r="502" spans="1:12" x14ac:dyDescent="0.35">
      <c r="A502" s="134">
        <v>45646</v>
      </c>
      <c r="B502" s="135" t="s">
        <v>1006</v>
      </c>
      <c r="C502" s="136" t="s">
        <v>492</v>
      </c>
      <c r="D502" s="136" t="s">
        <v>477</v>
      </c>
      <c r="E502" s="136" t="s">
        <v>333</v>
      </c>
      <c r="F502" s="136" t="s">
        <v>510</v>
      </c>
      <c r="G502" s="136">
        <v>57</v>
      </c>
      <c r="H502" s="137">
        <v>26</v>
      </c>
      <c r="I502" s="138">
        <f t="shared" si="7"/>
        <v>1482</v>
      </c>
      <c r="J502" s="139" t="s">
        <v>466</v>
      </c>
      <c r="K502" s="140">
        <v>34.085999999999999</v>
      </c>
      <c r="L502">
        <f>Table13[[#This Row],[Price]]*Table13[[#This Row],[Units]]</f>
        <v>1482</v>
      </c>
    </row>
    <row r="503" spans="1:12" x14ac:dyDescent="0.35">
      <c r="A503" s="134">
        <v>45646</v>
      </c>
      <c r="B503" s="135" t="s">
        <v>1007</v>
      </c>
      <c r="C503" s="136" t="s">
        <v>322</v>
      </c>
      <c r="D503" s="136" t="s">
        <v>477</v>
      </c>
      <c r="E503" s="136" t="s">
        <v>333</v>
      </c>
      <c r="F503" s="136" t="s">
        <v>454</v>
      </c>
      <c r="G503" s="136">
        <v>45</v>
      </c>
      <c r="H503" s="137">
        <v>42</v>
      </c>
      <c r="I503" s="138">
        <f t="shared" si="7"/>
        <v>1890</v>
      </c>
      <c r="J503" s="139" t="s">
        <v>466</v>
      </c>
      <c r="K503" s="140">
        <v>49.14</v>
      </c>
      <c r="L503">
        <f>Table13[[#This Row],[Price]]*Table13[[#This Row],[Units]]</f>
        <v>1890</v>
      </c>
    </row>
    <row r="504" spans="1:12" x14ac:dyDescent="0.35">
      <c r="A504" s="134">
        <v>45646</v>
      </c>
      <c r="B504" s="135" t="s">
        <v>1008</v>
      </c>
      <c r="C504" s="136" t="s">
        <v>464</v>
      </c>
      <c r="D504" s="136" t="s">
        <v>477</v>
      </c>
      <c r="E504" s="136" t="s">
        <v>324</v>
      </c>
      <c r="F504" s="136" t="s">
        <v>567</v>
      </c>
      <c r="G504" s="136">
        <v>53</v>
      </c>
      <c r="H504" s="137">
        <v>26</v>
      </c>
      <c r="I504" s="138">
        <f t="shared" si="7"/>
        <v>1378</v>
      </c>
      <c r="J504" s="139" t="s">
        <v>466</v>
      </c>
      <c r="K504" s="140">
        <v>30.315999999999999</v>
      </c>
      <c r="L504">
        <f>Table13[[#This Row],[Price]]*Table13[[#This Row],[Units]]</f>
        <v>1378</v>
      </c>
    </row>
    <row r="505" spans="1:12" x14ac:dyDescent="0.35">
      <c r="A505" s="134">
        <v>45646</v>
      </c>
      <c r="B505" s="135" t="s">
        <v>1009</v>
      </c>
      <c r="C505" s="136" t="s">
        <v>501</v>
      </c>
      <c r="D505" s="136" t="s">
        <v>490</v>
      </c>
      <c r="E505" s="136" t="s">
        <v>333</v>
      </c>
      <c r="F505" s="136" t="s">
        <v>539</v>
      </c>
      <c r="G505" s="136">
        <v>40</v>
      </c>
      <c r="H505" s="137">
        <v>37</v>
      </c>
      <c r="I505" s="138">
        <f t="shared" si="7"/>
        <v>1480</v>
      </c>
      <c r="J505" s="139" t="s">
        <v>466</v>
      </c>
      <c r="K505" s="140">
        <v>42.92</v>
      </c>
      <c r="L505">
        <f>Table13[[#This Row],[Price]]*Table13[[#This Row],[Units]]</f>
        <v>1480</v>
      </c>
    </row>
    <row r="506" spans="1:12" x14ac:dyDescent="0.35">
      <c r="A506" s="134">
        <v>45646</v>
      </c>
      <c r="B506" s="135" t="s">
        <v>1010</v>
      </c>
      <c r="C506" s="136" t="s">
        <v>322</v>
      </c>
      <c r="D506" s="136" t="s">
        <v>477</v>
      </c>
      <c r="E506" s="136" t="s">
        <v>320</v>
      </c>
      <c r="F506" s="136" t="s">
        <v>505</v>
      </c>
      <c r="G506" s="136">
        <v>10</v>
      </c>
      <c r="H506" s="137">
        <v>35</v>
      </c>
      <c r="I506" s="138">
        <f t="shared" si="7"/>
        <v>350</v>
      </c>
      <c r="J506" s="139" t="s">
        <v>472</v>
      </c>
      <c r="K506" s="140">
        <v>9.4499999999999993</v>
      </c>
      <c r="L506">
        <f>Table13[[#This Row],[Price]]*Table13[[#This Row],[Units]]</f>
        <v>350</v>
      </c>
    </row>
    <row r="507" spans="1:12" x14ac:dyDescent="0.35">
      <c r="A507" s="134">
        <v>45646</v>
      </c>
      <c r="B507" s="135" t="s">
        <v>1011</v>
      </c>
      <c r="C507" s="136" t="s">
        <v>464</v>
      </c>
      <c r="D507" s="136" t="s">
        <v>486</v>
      </c>
      <c r="E507" s="136" t="s">
        <v>324</v>
      </c>
      <c r="F507" s="136" t="s">
        <v>505</v>
      </c>
      <c r="G507" s="136">
        <v>12</v>
      </c>
      <c r="H507" s="137">
        <v>23</v>
      </c>
      <c r="I507" s="138">
        <f t="shared" si="7"/>
        <v>276</v>
      </c>
      <c r="J507" s="139" t="s">
        <v>466</v>
      </c>
      <c r="K507" s="140">
        <v>8.0039999999999996</v>
      </c>
      <c r="L507">
        <f>Table13[[#This Row],[Price]]*Table13[[#This Row],[Units]]</f>
        <v>276</v>
      </c>
    </row>
    <row r="508" spans="1:12" x14ac:dyDescent="0.35">
      <c r="A508" s="134">
        <v>45646</v>
      </c>
      <c r="B508" s="135" t="s">
        <v>1012</v>
      </c>
      <c r="C508" s="136" t="s">
        <v>484</v>
      </c>
      <c r="D508" s="136" t="s">
        <v>486</v>
      </c>
      <c r="E508" s="136" t="s">
        <v>390</v>
      </c>
      <c r="F508" s="136" t="s">
        <v>567</v>
      </c>
      <c r="G508" s="136">
        <v>44</v>
      </c>
      <c r="H508" s="137">
        <v>53</v>
      </c>
      <c r="I508" s="138">
        <f t="shared" si="7"/>
        <v>2332</v>
      </c>
      <c r="J508" s="139" t="s">
        <v>466</v>
      </c>
      <c r="K508" s="140">
        <v>51.304000000000002</v>
      </c>
      <c r="L508">
        <f>Table13[[#This Row],[Price]]*Table13[[#This Row],[Units]]</f>
        <v>2332</v>
      </c>
    </row>
    <row r="509" spans="1:12" x14ac:dyDescent="0.35">
      <c r="A509" s="134">
        <v>45646</v>
      </c>
      <c r="B509" s="135" t="s">
        <v>1013</v>
      </c>
      <c r="C509" s="136" t="s">
        <v>492</v>
      </c>
      <c r="D509" s="136" t="s">
        <v>470</v>
      </c>
      <c r="E509" s="136" t="s">
        <v>315</v>
      </c>
      <c r="F509" s="136" t="s">
        <v>491</v>
      </c>
      <c r="G509" s="136">
        <v>51</v>
      </c>
      <c r="H509" s="137">
        <v>40</v>
      </c>
      <c r="I509" s="138">
        <f t="shared" si="7"/>
        <v>2040</v>
      </c>
      <c r="J509" s="139" t="s">
        <v>503</v>
      </c>
      <c r="K509" s="140">
        <v>46.92</v>
      </c>
      <c r="L509">
        <f>Table13[[#This Row],[Price]]*Table13[[#This Row],[Units]]</f>
        <v>2040</v>
      </c>
    </row>
    <row r="510" spans="1:12" x14ac:dyDescent="0.35">
      <c r="A510" s="134">
        <v>45646</v>
      </c>
      <c r="B510" s="135" t="s">
        <v>1014</v>
      </c>
      <c r="C510" s="136" t="s">
        <v>494</v>
      </c>
      <c r="D510" s="136" t="s">
        <v>477</v>
      </c>
      <c r="E510" s="136" t="s">
        <v>390</v>
      </c>
      <c r="F510" s="136" t="s">
        <v>567</v>
      </c>
      <c r="G510" s="136">
        <v>56</v>
      </c>
      <c r="H510" s="137">
        <v>28</v>
      </c>
      <c r="I510" s="138">
        <f t="shared" si="7"/>
        <v>1568</v>
      </c>
      <c r="J510" s="139" t="s">
        <v>503</v>
      </c>
      <c r="K510" s="140">
        <v>42.335999999999999</v>
      </c>
      <c r="L510">
        <f>Table13[[#This Row],[Price]]*Table13[[#This Row],[Units]]</f>
        <v>1568</v>
      </c>
    </row>
    <row r="511" spans="1:12" x14ac:dyDescent="0.35">
      <c r="A511" s="134">
        <v>45647</v>
      </c>
      <c r="B511" s="135" t="s">
        <v>1015</v>
      </c>
      <c r="C511" s="136" t="s">
        <v>469</v>
      </c>
      <c r="D511" s="136" t="s">
        <v>486</v>
      </c>
      <c r="E511" s="136" t="s">
        <v>390</v>
      </c>
      <c r="F511" s="136" t="s">
        <v>500</v>
      </c>
      <c r="G511" s="136">
        <v>17</v>
      </c>
      <c r="H511" s="137">
        <v>39</v>
      </c>
      <c r="I511" s="138">
        <f t="shared" si="7"/>
        <v>663</v>
      </c>
      <c r="J511" s="139" t="s">
        <v>503</v>
      </c>
      <c r="K511" s="140">
        <v>13.26</v>
      </c>
      <c r="L511">
        <f>Table13[[#This Row],[Price]]*Table13[[#This Row],[Units]]</f>
        <v>663</v>
      </c>
    </row>
    <row r="512" spans="1:12" x14ac:dyDescent="0.35">
      <c r="A512" s="134">
        <v>45647</v>
      </c>
      <c r="B512" s="135" t="s">
        <v>1016</v>
      </c>
      <c r="C512" s="136" t="s">
        <v>489</v>
      </c>
      <c r="D512" s="136" t="s">
        <v>512</v>
      </c>
      <c r="E512" s="136" t="s">
        <v>320</v>
      </c>
      <c r="F512" s="136" t="s">
        <v>487</v>
      </c>
      <c r="G512" s="136">
        <v>25</v>
      </c>
      <c r="H512" s="137">
        <v>28</v>
      </c>
      <c r="I512" s="138">
        <f t="shared" si="7"/>
        <v>700</v>
      </c>
      <c r="J512" s="139" t="s">
        <v>472</v>
      </c>
      <c r="K512" s="140">
        <v>16.100000000000001</v>
      </c>
      <c r="L512">
        <f>Table13[[#This Row],[Price]]*Table13[[#This Row],[Units]]</f>
        <v>700</v>
      </c>
    </row>
    <row r="513" spans="1:12" x14ac:dyDescent="0.35">
      <c r="A513" s="134">
        <v>45647</v>
      </c>
      <c r="B513" s="135" t="s">
        <v>1017</v>
      </c>
      <c r="C513" s="136" t="s">
        <v>492</v>
      </c>
      <c r="D513" s="136" t="s">
        <v>486</v>
      </c>
      <c r="E513" s="136" t="s">
        <v>483</v>
      </c>
      <c r="F513" s="136" t="s">
        <v>536</v>
      </c>
      <c r="G513" s="136">
        <v>38</v>
      </c>
      <c r="H513" s="137">
        <v>40</v>
      </c>
      <c r="I513" s="138">
        <f t="shared" si="7"/>
        <v>1520</v>
      </c>
      <c r="J513" s="139" t="s">
        <v>466</v>
      </c>
      <c r="K513" s="140">
        <v>41.04</v>
      </c>
      <c r="L513">
        <f>Table13[[#This Row],[Price]]*Table13[[#This Row],[Units]]</f>
        <v>1520</v>
      </c>
    </row>
    <row r="514" spans="1:12" x14ac:dyDescent="0.35">
      <c r="A514" s="134">
        <v>45647</v>
      </c>
      <c r="B514" s="135" t="s">
        <v>1018</v>
      </c>
      <c r="C514" s="136" t="s">
        <v>322</v>
      </c>
      <c r="D514" s="136" t="s">
        <v>490</v>
      </c>
      <c r="E514" s="136" t="s">
        <v>315</v>
      </c>
      <c r="F514" s="136" t="s">
        <v>539</v>
      </c>
      <c r="G514" s="136">
        <v>16</v>
      </c>
      <c r="H514" s="137">
        <v>20</v>
      </c>
      <c r="I514" s="138">
        <f t="shared" si="7"/>
        <v>320</v>
      </c>
      <c r="J514" s="139" t="s">
        <v>466</v>
      </c>
      <c r="K514" s="140">
        <v>9.6</v>
      </c>
      <c r="L514">
        <f>Table13[[#This Row],[Price]]*Table13[[#This Row],[Units]]</f>
        <v>320</v>
      </c>
    </row>
    <row r="515" spans="1:12" x14ac:dyDescent="0.35">
      <c r="A515" s="134">
        <v>45647</v>
      </c>
      <c r="B515" s="135" t="s">
        <v>1019</v>
      </c>
      <c r="C515" s="136" t="s">
        <v>322</v>
      </c>
      <c r="D515" s="136" t="s">
        <v>490</v>
      </c>
      <c r="E515" s="136" t="s">
        <v>324</v>
      </c>
      <c r="F515" s="136" t="s">
        <v>478</v>
      </c>
      <c r="G515" s="136">
        <v>26</v>
      </c>
      <c r="H515" s="137">
        <v>38</v>
      </c>
      <c r="I515" s="138">
        <f t="shared" ref="I515:I578" si="8">G515*H515</f>
        <v>988</v>
      </c>
      <c r="J515" s="139" t="s">
        <v>515</v>
      </c>
      <c r="K515" s="140">
        <v>23.712</v>
      </c>
      <c r="L515">
        <f>Table13[[#This Row],[Price]]*Table13[[#This Row],[Units]]</f>
        <v>988</v>
      </c>
    </row>
    <row r="516" spans="1:12" x14ac:dyDescent="0.35">
      <c r="A516" s="134">
        <v>45647</v>
      </c>
      <c r="B516" s="135" t="s">
        <v>1020</v>
      </c>
      <c r="C516" s="136" t="s">
        <v>322</v>
      </c>
      <c r="D516" s="136" t="s">
        <v>486</v>
      </c>
      <c r="E516" s="136" t="s">
        <v>390</v>
      </c>
      <c r="F516" s="136" t="s">
        <v>520</v>
      </c>
      <c r="G516" s="136">
        <v>21</v>
      </c>
      <c r="H516" s="137">
        <v>51</v>
      </c>
      <c r="I516" s="138">
        <f t="shared" si="8"/>
        <v>1071</v>
      </c>
      <c r="J516" s="139" t="s">
        <v>472</v>
      </c>
      <c r="K516" s="140">
        <v>32.130000000000003</v>
      </c>
      <c r="L516">
        <f>Table13[[#This Row],[Price]]*Table13[[#This Row],[Units]]</f>
        <v>1071</v>
      </c>
    </row>
    <row r="517" spans="1:12" x14ac:dyDescent="0.35">
      <c r="A517" s="134">
        <v>45647</v>
      </c>
      <c r="B517" s="135" t="s">
        <v>1021</v>
      </c>
      <c r="C517" s="136" t="s">
        <v>494</v>
      </c>
      <c r="D517" s="136" t="s">
        <v>477</v>
      </c>
      <c r="E517" s="136" t="s">
        <v>324</v>
      </c>
      <c r="F517" s="136" t="s">
        <v>539</v>
      </c>
      <c r="G517" s="136">
        <v>50</v>
      </c>
      <c r="H517" s="137">
        <v>45</v>
      </c>
      <c r="I517" s="138">
        <f t="shared" si="8"/>
        <v>2250</v>
      </c>
      <c r="J517" s="139" t="s">
        <v>515</v>
      </c>
      <c r="K517" s="140">
        <v>58.5</v>
      </c>
      <c r="L517">
        <f>Table13[[#This Row],[Price]]*Table13[[#This Row],[Units]]</f>
        <v>2250</v>
      </c>
    </row>
    <row r="518" spans="1:12" x14ac:dyDescent="0.35">
      <c r="A518" s="134">
        <v>45647</v>
      </c>
      <c r="B518" s="135" t="s">
        <v>1022</v>
      </c>
      <c r="C518" s="136" t="s">
        <v>322</v>
      </c>
      <c r="D518" s="136" t="s">
        <v>519</v>
      </c>
      <c r="E518" s="136" t="s">
        <v>320</v>
      </c>
      <c r="F518" s="136" t="s">
        <v>505</v>
      </c>
      <c r="G518" s="136">
        <v>51</v>
      </c>
      <c r="H518" s="137">
        <v>41</v>
      </c>
      <c r="I518" s="138">
        <f t="shared" si="8"/>
        <v>2091</v>
      </c>
      <c r="J518" s="139" t="s">
        <v>466</v>
      </c>
      <c r="K518" s="140">
        <v>58.548000000000002</v>
      </c>
      <c r="L518">
        <f>Table13[[#This Row],[Price]]*Table13[[#This Row],[Units]]</f>
        <v>2091</v>
      </c>
    </row>
    <row r="519" spans="1:12" x14ac:dyDescent="0.35">
      <c r="A519" s="134">
        <v>45647</v>
      </c>
      <c r="B519" s="135" t="s">
        <v>1023</v>
      </c>
      <c r="C519" s="136" t="s">
        <v>492</v>
      </c>
      <c r="D519" s="136" t="s">
        <v>477</v>
      </c>
      <c r="E519" s="136" t="s">
        <v>320</v>
      </c>
      <c r="F519" s="136" t="s">
        <v>505</v>
      </c>
      <c r="G519" s="136">
        <v>36</v>
      </c>
      <c r="H519" s="137">
        <v>44</v>
      </c>
      <c r="I519" s="138">
        <f t="shared" si="8"/>
        <v>1584</v>
      </c>
      <c r="J519" s="139" t="s">
        <v>466</v>
      </c>
      <c r="K519" s="140">
        <v>44.351999999999997</v>
      </c>
      <c r="L519">
        <f>Table13[[#This Row],[Price]]*Table13[[#This Row],[Units]]</f>
        <v>1584</v>
      </c>
    </row>
    <row r="520" spans="1:12" x14ac:dyDescent="0.35">
      <c r="A520" s="134">
        <v>45647</v>
      </c>
      <c r="B520" s="135" t="s">
        <v>1024</v>
      </c>
      <c r="C520" s="136" t="s">
        <v>484</v>
      </c>
      <c r="D520" s="136" t="s">
        <v>486</v>
      </c>
      <c r="E520" s="136" t="s">
        <v>483</v>
      </c>
      <c r="F520" s="136" t="s">
        <v>478</v>
      </c>
      <c r="G520" s="136">
        <v>57</v>
      </c>
      <c r="H520" s="137">
        <v>57</v>
      </c>
      <c r="I520" s="138">
        <f t="shared" si="8"/>
        <v>3249</v>
      </c>
      <c r="J520" s="139" t="s">
        <v>503</v>
      </c>
      <c r="K520" s="140">
        <v>81.224999999999994</v>
      </c>
      <c r="L520">
        <f>Table13[[#This Row],[Price]]*Table13[[#This Row],[Units]]</f>
        <v>3249</v>
      </c>
    </row>
    <row r="521" spans="1:12" x14ac:dyDescent="0.35">
      <c r="A521" s="134">
        <v>45647</v>
      </c>
      <c r="B521" s="135" t="s">
        <v>1025</v>
      </c>
      <c r="C521" s="136" t="s">
        <v>322</v>
      </c>
      <c r="D521" s="136" t="s">
        <v>490</v>
      </c>
      <c r="E521" s="136" t="s">
        <v>412</v>
      </c>
      <c r="F521" s="136" t="s">
        <v>505</v>
      </c>
      <c r="G521" s="136">
        <v>31</v>
      </c>
      <c r="H521" s="137">
        <v>34</v>
      </c>
      <c r="I521" s="138">
        <f t="shared" si="8"/>
        <v>1054</v>
      </c>
      <c r="J521" s="139" t="s">
        <v>503</v>
      </c>
      <c r="K521" s="140">
        <v>26.35</v>
      </c>
      <c r="L521">
        <f>Table13[[#This Row],[Price]]*Table13[[#This Row],[Units]]</f>
        <v>1054</v>
      </c>
    </row>
    <row r="522" spans="1:12" x14ac:dyDescent="0.35">
      <c r="A522" s="134">
        <v>45647</v>
      </c>
      <c r="B522" s="135" t="s">
        <v>1026</v>
      </c>
      <c r="C522" s="136" t="s">
        <v>494</v>
      </c>
      <c r="D522" s="136" t="s">
        <v>512</v>
      </c>
      <c r="E522" s="136" t="s">
        <v>324</v>
      </c>
      <c r="F522" s="136" t="s">
        <v>478</v>
      </c>
      <c r="G522" s="136">
        <v>44</v>
      </c>
      <c r="H522" s="137">
        <v>37</v>
      </c>
      <c r="I522" s="138">
        <f t="shared" si="8"/>
        <v>1628</v>
      </c>
      <c r="J522" s="139" t="s">
        <v>466</v>
      </c>
      <c r="K522" s="140">
        <v>48.84</v>
      </c>
      <c r="L522">
        <f>Table13[[#This Row],[Price]]*Table13[[#This Row],[Units]]</f>
        <v>1628</v>
      </c>
    </row>
    <row r="523" spans="1:12" x14ac:dyDescent="0.35">
      <c r="A523" s="134">
        <v>45647</v>
      </c>
      <c r="B523" s="135" t="s">
        <v>1027</v>
      </c>
      <c r="C523" s="136" t="s">
        <v>494</v>
      </c>
      <c r="D523" s="136" t="s">
        <v>470</v>
      </c>
      <c r="E523" s="136" t="s">
        <v>324</v>
      </c>
      <c r="F523" s="136" t="s">
        <v>517</v>
      </c>
      <c r="G523" s="136">
        <v>12</v>
      </c>
      <c r="H523" s="137">
        <v>53</v>
      </c>
      <c r="I523" s="138">
        <f t="shared" si="8"/>
        <v>636</v>
      </c>
      <c r="J523" s="139" t="s">
        <v>466</v>
      </c>
      <c r="K523" s="140">
        <v>16.536000000000001</v>
      </c>
      <c r="L523">
        <f>Table13[[#This Row],[Price]]*Table13[[#This Row],[Units]]</f>
        <v>636</v>
      </c>
    </row>
    <row r="524" spans="1:12" x14ac:dyDescent="0.35">
      <c r="A524" s="134">
        <v>45648</v>
      </c>
      <c r="B524" s="135" t="s">
        <v>1028</v>
      </c>
      <c r="C524" s="136" t="s">
        <v>322</v>
      </c>
      <c r="D524" s="136" t="s">
        <v>486</v>
      </c>
      <c r="E524" s="136" t="s">
        <v>324</v>
      </c>
      <c r="F524" s="136" t="s">
        <v>454</v>
      </c>
      <c r="G524" s="136">
        <v>36</v>
      </c>
      <c r="H524" s="137">
        <v>47</v>
      </c>
      <c r="I524" s="138">
        <f t="shared" si="8"/>
        <v>1692</v>
      </c>
      <c r="J524" s="139" t="s">
        <v>515</v>
      </c>
      <c r="K524" s="140">
        <v>50.76</v>
      </c>
      <c r="L524">
        <f>Table13[[#This Row],[Price]]*Table13[[#This Row],[Units]]</f>
        <v>1692</v>
      </c>
    </row>
    <row r="525" spans="1:12" x14ac:dyDescent="0.35">
      <c r="A525" s="134">
        <v>45648</v>
      </c>
      <c r="B525" s="135" t="s">
        <v>1029</v>
      </c>
      <c r="C525" s="136" t="s">
        <v>469</v>
      </c>
      <c r="D525" s="136" t="s">
        <v>486</v>
      </c>
      <c r="E525" s="136" t="s">
        <v>324</v>
      </c>
      <c r="F525" s="136" t="s">
        <v>471</v>
      </c>
      <c r="G525" s="136">
        <v>38</v>
      </c>
      <c r="H525" s="137">
        <v>53</v>
      </c>
      <c r="I525" s="138">
        <f t="shared" si="8"/>
        <v>2014</v>
      </c>
      <c r="J525" s="139" t="s">
        <v>515</v>
      </c>
      <c r="K525" s="140">
        <v>40.28</v>
      </c>
      <c r="L525">
        <f>Table13[[#This Row],[Price]]*Table13[[#This Row],[Units]]</f>
        <v>2014</v>
      </c>
    </row>
    <row r="526" spans="1:12" x14ac:dyDescent="0.35">
      <c r="A526" s="134">
        <v>45648</v>
      </c>
      <c r="B526" s="135" t="s">
        <v>1030</v>
      </c>
      <c r="C526" s="136" t="s">
        <v>469</v>
      </c>
      <c r="D526" s="136" t="s">
        <v>477</v>
      </c>
      <c r="E526" s="136" t="s">
        <v>324</v>
      </c>
      <c r="F526" s="136" t="s">
        <v>517</v>
      </c>
      <c r="G526" s="136">
        <v>48</v>
      </c>
      <c r="H526" s="137">
        <v>38</v>
      </c>
      <c r="I526" s="138">
        <f t="shared" si="8"/>
        <v>1824</v>
      </c>
      <c r="J526" s="139" t="s">
        <v>466</v>
      </c>
      <c r="K526" s="140">
        <v>40.128</v>
      </c>
      <c r="L526">
        <f>Table13[[#This Row],[Price]]*Table13[[#This Row],[Units]]</f>
        <v>1824</v>
      </c>
    </row>
    <row r="527" spans="1:12" x14ac:dyDescent="0.35">
      <c r="A527" s="134">
        <v>45648</v>
      </c>
      <c r="B527" s="135" t="s">
        <v>1031</v>
      </c>
      <c r="C527" s="136" t="s">
        <v>464</v>
      </c>
      <c r="D527" s="136" t="s">
        <v>512</v>
      </c>
      <c r="E527" s="136" t="s">
        <v>333</v>
      </c>
      <c r="F527" s="136" t="s">
        <v>523</v>
      </c>
      <c r="G527" s="136">
        <v>41</v>
      </c>
      <c r="H527" s="137">
        <v>50</v>
      </c>
      <c r="I527" s="138">
        <f t="shared" si="8"/>
        <v>2050</v>
      </c>
      <c r="J527" s="139" t="s">
        <v>515</v>
      </c>
      <c r="K527" s="140">
        <v>49.2</v>
      </c>
      <c r="L527">
        <f>Table13[[#This Row],[Price]]*Table13[[#This Row],[Units]]</f>
        <v>2050</v>
      </c>
    </row>
    <row r="528" spans="1:12" x14ac:dyDescent="0.35">
      <c r="A528" s="134">
        <v>45648</v>
      </c>
      <c r="B528" s="135" t="s">
        <v>1032</v>
      </c>
      <c r="C528" s="136" t="s">
        <v>464</v>
      </c>
      <c r="D528" s="136" t="s">
        <v>470</v>
      </c>
      <c r="E528" s="136" t="s">
        <v>333</v>
      </c>
      <c r="F528" s="136" t="s">
        <v>513</v>
      </c>
      <c r="G528" s="136">
        <v>52</v>
      </c>
      <c r="H528" s="137">
        <v>57</v>
      </c>
      <c r="I528" s="138">
        <f t="shared" si="8"/>
        <v>2964</v>
      </c>
      <c r="J528" s="139" t="s">
        <v>466</v>
      </c>
      <c r="K528" s="140">
        <v>65.207999999999998</v>
      </c>
      <c r="L528">
        <f>Table13[[#This Row],[Price]]*Table13[[#This Row],[Units]]</f>
        <v>2964</v>
      </c>
    </row>
    <row r="529" spans="1:12" x14ac:dyDescent="0.35">
      <c r="A529" s="134">
        <v>45648</v>
      </c>
      <c r="B529" s="135" t="s">
        <v>1033</v>
      </c>
      <c r="C529" s="136" t="s">
        <v>469</v>
      </c>
      <c r="D529" s="136" t="s">
        <v>490</v>
      </c>
      <c r="E529" s="136" t="s">
        <v>320</v>
      </c>
      <c r="F529" s="136" t="s">
        <v>497</v>
      </c>
      <c r="G529" s="136">
        <v>18</v>
      </c>
      <c r="H529" s="137">
        <v>55</v>
      </c>
      <c r="I529" s="138">
        <f t="shared" si="8"/>
        <v>990</v>
      </c>
      <c r="J529" s="139" t="s">
        <v>503</v>
      </c>
      <c r="K529" s="140">
        <v>26.73</v>
      </c>
      <c r="L529">
        <f>Table13[[#This Row],[Price]]*Table13[[#This Row],[Units]]</f>
        <v>990</v>
      </c>
    </row>
    <row r="530" spans="1:12" x14ac:dyDescent="0.35">
      <c r="A530" s="134">
        <v>45648</v>
      </c>
      <c r="B530" s="135" t="s">
        <v>1034</v>
      </c>
      <c r="C530" s="136" t="s">
        <v>469</v>
      </c>
      <c r="D530" s="136" t="s">
        <v>465</v>
      </c>
      <c r="E530" s="136" t="s">
        <v>324</v>
      </c>
      <c r="F530" s="136" t="s">
        <v>497</v>
      </c>
      <c r="G530" s="136">
        <v>33</v>
      </c>
      <c r="H530" s="137">
        <v>59</v>
      </c>
      <c r="I530" s="138">
        <f t="shared" si="8"/>
        <v>1947</v>
      </c>
      <c r="J530" s="139" t="s">
        <v>466</v>
      </c>
      <c r="K530" s="140">
        <v>56.463000000000001</v>
      </c>
      <c r="L530">
        <f>Table13[[#This Row],[Price]]*Table13[[#This Row],[Units]]</f>
        <v>1947</v>
      </c>
    </row>
    <row r="531" spans="1:12" x14ac:dyDescent="0.35">
      <c r="A531" s="134">
        <v>45649</v>
      </c>
      <c r="B531" s="135" t="s">
        <v>1035</v>
      </c>
      <c r="C531" s="136" t="s">
        <v>489</v>
      </c>
      <c r="D531" s="136" t="s">
        <v>519</v>
      </c>
      <c r="E531" s="136" t="s">
        <v>324</v>
      </c>
      <c r="F531" s="136" t="s">
        <v>567</v>
      </c>
      <c r="G531" s="136">
        <v>15</v>
      </c>
      <c r="H531" s="137">
        <v>32</v>
      </c>
      <c r="I531" s="138">
        <f t="shared" si="8"/>
        <v>480</v>
      </c>
      <c r="J531" s="139" t="s">
        <v>466</v>
      </c>
      <c r="K531" s="140">
        <v>11.04</v>
      </c>
      <c r="L531">
        <f>Table13[[#This Row],[Price]]*Table13[[#This Row],[Units]]</f>
        <v>480</v>
      </c>
    </row>
    <row r="532" spans="1:12" x14ac:dyDescent="0.35">
      <c r="A532" s="134">
        <v>45650</v>
      </c>
      <c r="B532" s="135" t="s">
        <v>1036</v>
      </c>
      <c r="C532" s="136" t="s">
        <v>492</v>
      </c>
      <c r="D532" s="136" t="s">
        <v>486</v>
      </c>
      <c r="E532" s="136" t="s">
        <v>324</v>
      </c>
      <c r="F532" s="136" t="s">
        <v>520</v>
      </c>
      <c r="G532" s="136">
        <v>38</v>
      </c>
      <c r="H532" s="137">
        <v>55</v>
      </c>
      <c r="I532" s="138">
        <f t="shared" si="8"/>
        <v>2090</v>
      </c>
      <c r="J532" s="139" t="s">
        <v>515</v>
      </c>
      <c r="K532" s="140">
        <v>43.89</v>
      </c>
      <c r="L532">
        <f>Table13[[#This Row],[Price]]*Table13[[#This Row],[Units]]</f>
        <v>2090</v>
      </c>
    </row>
    <row r="533" spans="1:12" x14ac:dyDescent="0.35">
      <c r="A533" s="134">
        <v>45650</v>
      </c>
      <c r="B533" s="135" t="s">
        <v>1037</v>
      </c>
      <c r="C533" s="136" t="s">
        <v>322</v>
      </c>
      <c r="D533" s="136" t="s">
        <v>512</v>
      </c>
      <c r="E533" s="136" t="s">
        <v>324</v>
      </c>
      <c r="F533" s="136" t="s">
        <v>523</v>
      </c>
      <c r="G533" s="136">
        <v>18</v>
      </c>
      <c r="H533" s="137">
        <v>37</v>
      </c>
      <c r="I533" s="138">
        <f t="shared" si="8"/>
        <v>666</v>
      </c>
      <c r="J533" s="139" t="s">
        <v>466</v>
      </c>
      <c r="K533" s="140">
        <v>18.648</v>
      </c>
      <c r="L533">
        <f>Table13[[#This Row],[Price]]*Table13[[#This Row],[Units]]</f>
        <v>666</v>
      </c>
    </row>
    <row r="534" spans="1:12" x14ac:dyDescent="0.35">
      <c r="A534" s="134">
        <v>45650</v>
      </c>
      <c r="B534" s="135" t="s">
        <v>1038</v>
      </c>
      <c r="C534" s="136" t="s">
        <v>484</v>
      </c>
      <c r="D534" s="136" t="s">
        <v>512</v>
      </c>
      <c r="E534" s="136" t="s">
        <v>412</v>
      </c>
      <c r="F534" s="136" t="s">
        <v>528</v>
      </c>
      <c r="G534" s="136">
        <v>58</v>
      </c>
      <c r="H534" s="137">
        <v>59</v>
      </c>
      <c r="I534" s="138">
        <f t="shared" si="8"/>
        <v>3422</v>
      </c>
      <c r="J534" s="139" t="s">
        <v>466</v>
      </c>
      <c r="K534" s="140">
        <v>95.816000000000003</v>
      </c>
      <c r="L534">
        <f>Table13[[#This Row],[Price]]*Table13[[#This Row],[Units]]</f>
        <v>3422</v>
      </c>
    </row>
    <row r="535" spans="1:12" x14ac:dyDescent="0.35">
      <c r="A535" s="134">
        <v>45650</v>
      </c>
      <c r="B535" s="135" t="s">
        <v>1039</v>
      </c>
      <c r="C535" s="136" t="s">
        <v>501</v>
      </c>
      <c r="D535" s="136" t="s">
        <v>465</v>
      </c>
      <c r="E535" s="136" t="s">
        <v>320</v>
      </c>
      <c r="F535" s="136" t="s">
        <v>510</v>
      </c>
      <c r="G535" s="136">
        <v>55</v>
      </c>
      <c r="H535" s="137">
        <v>48</v>
      </c>
      <c r="I535" s="138">
        <f t="shared" si="8"/>
        <v>2640</v>
      </c>
      <c r="J535" s="139" t="s">
        <v>466</v>
      </c>
      <c r="K535" s="140">
        <v>79.2</v>
      </c>
      <c r="L535">
        <f>Table13[[#This Row],[Price]]*Table13[[#This Row],[Units]]</f>
        <v>2640</v>
      </c>
    </row>
    <row r="536" spans="1:12" x14ac:dyDescent="0.35">
      <c r="A536" s="134">
        <v>45650</v>
      </c>
      <c r="B536" s="135" t="s">
        <v>1040</v>
      </c>
      <c r="C536" s="136" t="s">
        <v>484</v>
      </c>
      <c r="D536" s="136" t="s">
        <v>486</v>
      </c>
      <c r="E536" s="136" t="s">
        <v>320</v>
      </c>
      <c r="F536" s="136" t="s">
        <v>528</v>
      </c>
      <c r="G536" s="136">
        <v>26</v>
      </c>
      <c r="H536" s="137">
        <v>25</v>
      </c>
      <c r="I536" s="138">
        <f t="shared" si="8"/>
        <v>650</v>
      </c>
      <c r="J536" s="139" t="s">
        <v>472</v>
      </c>
      <c r="K536" s="140">
        <v>14.3</v>
      </c>
      <c r="L536">
        <f>Table13[[#This Row],[Price]]*Table13[[#This Row],[Units]]</f>
        <v>650</v>
      </c>
    </row>
    <row r="537" spans="1:12" x14ac:dyDescent="0.35">
      <c r="A537" s="134">
        <v>45650</v>
      </c>
      <c r="B537" s="135" t="s">
        <v>1041</v>
      </c>
      <c r="C537" s="136" t="s">
        <v>322</v>
      </c>
      <c r="D537" s="136" t="s">
        <v>465</v>
      </c>
      <c r="E537" s="136" t="s">
        <v>320</v>
      </c>
      <c r="F537" s="136" t="s">
        <v>528</v>
      </c>
      <c r="G537" s="136">
        <v>36</v>
      </c>
      <c r="H537" s="137">
        <v>42</v>
      </c>
      <c r="I537" s="138">
        <f t="shared" si="8"/>
        <v>1512</v>
      </c>
      <c r="J537" s="139" t="s">
        <v>515</v>
      </c>
      <c r="K537" s="140">
        <v>39.311999999999998</v>
      </c>
      <c r="L537">
        <f>Table13[[#This Row],[Price]]*Table13[[#This Row],[Units]]</f>
        <v>1512</v>
      </c>
    </row>
    <row r="538" spans="1:12" x14ac:dyDescent="0.35">
      <c r="A538" s="134">
        <v>45650</v>
      </c>
      <c r="B538" s="135" t="s">
        <v>1042</v>
      </c>
      <c r="C538" s="136" t="s">
        <v>484</v>
      </c>
      <c r="D538" s="136" t="s">
        <v>486</v>
      </c>
      <c r="E538" s="136" t="s">
        <v>390</v>
      </c>
      <c r="F538" s="136" t="s">
        <v>523</v>
      </c>
      <c r="G538" s="136">
        <v>60</v>
      </c>
      <c r="H538" s="137">
        <v>48</v>
      </c>
      <c r="I538" s="138">
        <f t="shared" si="8"/>
        <v>2880</v>
      </c>
      <c r="J538" s="139" t="s">
        <v>515</v>
      </c>
      <c r="K538" s="140">
        <v>86.4</v>
      </c>
      <c r="L538">
        <f>Table13[[#This Row],[Price]]*Table13[[#This Row],[Units]]</f>
        <v>2880</v>
      </c>
    </row>
    <row r="539" spans="1:12" x14ac:dyDescent="0.35">
      <c r="A539" s="134">
        <v>45650</v>
      </c>
      <c r="B539" s="135" t="s">
        <v>1043</v>
      </c>
      <c r="C539" s="136" t="s">
        <v>484</v>
      </c>
      <c r="D539" s="136" t="s">
        <v>486</v>
      </c>
      <c r="E539" s="136" t="s">
        <v>390</v>
      </c>
      <c r="F539" s="136" t="s">
        <v>523</v>
      </c>
      <c r="G539" s="136">
        <v>27</v>
      </c>
      <c r="H539" s="137">
        <v>50</v>
      </c>
      <c r="I539" s="138">
        <f t="shared" si="8"/>
        <v>1350</v>
      </c>
      <c r="J539" s="139" t="s">
        <v>466</v>
      </c>
      <c r="K539" s="140">
        <v>35.1</v>
      </c>
      <c r="L539">
        <f>Table13[[#This Row],[Price]]*Table13[[#This Row],[Units]]</f>
        <v>1350</v>
      </c>
    </row>
    <row r="540" spans="1:12" x14ac:dyDescent="0.35">
      <c r="A540" s="134">
        <v>45650</v>
      </c>
      <c r="B540" s="135" t="s">
        <v>1044</v>
      </c>
      <c r="C540" s="136" t="s">
        <v>489</v>
      </c>
      <c r="D540" s="136" t="s">
        <v>486</v>
      </c>
      <c r="E540" s="136" t="s">
        <v>315</v>
      </c>
      <c r="F540" s="136" t="s">
        <v>500</v>
      </c>
      <c r="G540" s="136">
        <v>37</v>
      </c>
      <c r="H540" s="137">
        <v>46</v>
      </c>
      <c r="I540" s="138">
        <f t="shared" si="8"/>
        <v>1702</v>
      </c>
      <c r="J540" s="139" t="s">
        <v>466</v>
      </c>
      <c r="K540" s="140">
        <v>44.252000000000002</v>
      </c>
      <c r="L540">
        <f>Table13[[#This Row],[Price]]*Table13[[#This Row],[Units]]</f>
        <v>1702</v>
      </c>
    </row>
    <row r="541" spans="1:12" x14ac:dyDescent="0.35">
      <c r="A541" s="134">
        <v>45650</v>
      </c>
      <c r="B541" s="135" t="s">
        <v>1045</v>
      </c>
      <c r="C541" s="136" t="s">
        <v>501</v>
      </c>
      <c r="D541" s="136" t="s">
        <v>470</v>
      </c>
      <c r="E541" s="136" t="s">
        <v>483</v>
      </c>
      <c r="F541" s="136" t="s">
        <v>528</v>
      </c>
      <c r="G541" s="136">
        <v>56</v>
      </c>
      <c r="H541" s="137">
        <v>27</v>
      </c>
      <c r="I541" s="138">
        <f t="shared" si="8"/>
        <v>1512</v>
      </c>
      <c r="J541" s="139" t="s">
        <v>466</v>
      </c>
      <c r="K541" s="140">
        <v>45.36</v>
      </c>
      <c r="L541">
        <f>Table13[[#This Row],[Price]]*Table13[[#This Row],[Units]]</f>
        <v>1512</v>
      </c>
    </row>
    <row r="542" spans="1:12" x14ac:dyDescent="0.35">
      <c r="A542" s="134">
        <v>45650</v>
      </c>
      <c r="B542" s="135" t="s">
        <v>1046</v>
      </c>
      <c r="C542" s="136" t="s">
        <v>501</v>
      </c>
      <c r="D542" s="136" t="s">
        <v>486</v>
      </c>
      <c r="E542" s="136" t="s">
        <v>324</v>
      </c>
      <c r="F542" s="136" t="s">
        <v>528</v>
      </c>
      <c r="G542" s="136">
        <v>36</v>
      </c>
      <c r="H542" s="137">
        <v>55</v>
      </c>
      <c r="I542" s="138">
        <f t="shared" si="8"/>
        <v>1980</v>
      </c>
      <c r="J542" s="139" t="s">
        <v>472</v>
      </c>
      <c r="K542" s="140">
        <v>49.5</v>
      </c>
      <c r="L542">
        <f>Table13[[#This Row],[Price]]*Table13[[#This Row],[Units]]</f>
        <v>1980</v>
      </c>
    </row>
    <row r="543" spans="1:12" x14ac:dyDescent="0.35">
      <c r="A543" s="134">
        <v>45650</v>
      </c>
      <c r="B543" s="135" t="s">
        <v>1047</v>
      </c>
      <c r="C543" s="136" t="s">
        <v>492</v>
      </c>
      <c r="D543" s="136" t="s">
        <v>512</v>
      </c>
      <c r="E543" s="136" t="s">
        <v>333</v>
      </c>
      <c r="F543" s="136" t="s">
        <v>567</v>
      </c>
      <c r="G543" s="136">
        <v>15</v>
      </c>
      <c r="H543" s="137">
        <v>57</v>
      </c>
      <c r="I543" s="138">
        <f t="shared" si="8"/>
        <v>855</v>
      </c>
      <c r="J543" s="139" t="s">
        <v>466</v>
      </c>
      <c r="K543" s="140">
        <v>17.100000000000001</v>
      </c>
      <c r="L543">
        <f>Table13[[#This Row],[Price]]*Table13[[#This Row],[Units]]</f>
        <v>855</v>
      </c>
    </row>
    <row r="544" spans="1:12" x14ac:dyDescent="0.35">
      <c r="A544" s="134">
        <v>45651</v>
      </c>
      <c r="B544" s="135" t="s">
        <v>1048</v>
      </c>
      <c r="C544" s="136" t="s">
        <v>322</v>
      </c>
      <c r="D544" s="136" t="s">
        <v>470</v>
      </c>
      <c r="E544" s="136" t="s">
        <v>333</v>
      </c>
      <c r="F544" s="136" t="s">
        <v>505</v>
      </c>
      <c r="G544" s="136">
        <v>15</v>
      </c>
      <c r="H544" s="137">
        <v>58</v>
      </c>
      <c r="I544" s="138">
        <f t="shared" si="8"/>
        <v>870</v>
      </c>
      <c r="J544" s="139" t="s">
        <v>472</v>
      </c>
      <c r="K544" s="140">
        <v>24.36</v>
      </c>
      <c r="L544">
        <f>Table13[[#This Row],[Price]]*Table13[[#This Row],[Units]]</f>
        <v>870</v>
      </c>
    </row>
    <row r="545" spans="1:12" x14ac:dyDescent="0.35">
      <c r="A545" s="134">
        <v>45651</v>
      </c>
      <c r="B545" s="135" t="s">
        <v>1049</v>
      </c>
      <c r="C545" s="136" t="s">
        <v>476</v>
      </c>
      <c r="D545" s="136" t="s">
        <v>477</v>
      </c>
      <c r="E545" s="136" t="s">
        <v>320</v>
      </c>
      <c r="F545" s="136" t="s">
        <v>520</v>
      </c>
      <c r="G545" s="136">
        <v>11</v>
      </c>
      <c r="H545" s="137">
        <v>25</v>
      </c>
      <c r="I545" s="138">
        <f t="shared" si="8"/>
        <v>275</v>
      </c>
      <c r="J545" s="139" t="s">
        <v>472</v>
      </c>
      <c r="K545" s="140">
        <v>7.4249999999999998</v>
      </c>
      <c r="L545">
        <f>Table13[[#This Row],[Price]]*Table13[[#This Row],[Units]]</f>
        <v>275</v>
      </c>
    </row>
    <row r="546" spans="1:12" x14ac:dyDescent="0.35">
      <c r="A546" s="134">
        <v>45651</v>
      </c>
      <c r="B546" s="135" t="s">
        <v>1050</v>
      </c>
      <c r="C546" s="136" t="s">
        <v>464</v>
      </c>
      <c r="D546" s="136" t="s">
        <v>490</v>
      </c>
      <c r="E546" s="136" t="s">
        <v>412</v>
      </c>
      <c r="F546" s="136" t="s">
        <v>520</v>
      </c>
      <c r="G546" s="136">
        <v>53</v>
      </c>
      <c r="H546" s="137">
        <v>54</v>
      </c>
      <c r="I546" s="138">
        <f t="shared" si="8"/>
        <v>2862</v>
      </c>
      <c r="J546" s="139" t="s">
        <v>503</v>
      </c>
      <c r="K546" s="140">
        <v>57.24</v>
      </c>
      <c r="L546">
        <f>Table13[[#This Row],[Price]]*Table13[[#This Row],[Units]]</f>
        <v>2862</v>
      </c>
    </row>
    <row r="547" spans="1:12" x14ac:dyDescent="0.35">
      <c r="A547" s="134">
        <v>45651</v>
      </c>
      <c r="B547" s="135" t="s">
        <v>1051</v>
      </c>
      <c r="C547" s="136" t="s">
        <v>494</v>
      </c>
      <c r="D547" s="136" t="s">
        <v>465</v>
      </c>
      <c r="E547" s="136" t="s">
        <v>315</v>
      </c>
      <c r="F547" s="136" t="s">
        <v>478</v>
      </c>
      <c r="G547" s="136">
        <v>25</v>
      </c>
      <c r="H547" s="137">
        <v>33</v>
      </c>
      <c r="I547" s="138">
        <f t="shared" si="8"/>
        <v>825</v>
      </c>
      <c r="J547" s="139" t="s">
        <v>466</v>
      </c>
      <c r="K547" s="140">
        <v>24.75</v>
      </c>
      <c r="L547">
        <f>Table13[[#This Row],[Price]]*Table13[[#This Row],[Units]]</f>
        <v>825</v>
      </c>
    </row>
    <row r="548" spans="1:12" x14ac:dyDescent="0.35">
      <c r="A548" s="134">
        <v>45651</v>
      </c>
      <c r="B548" s="135" t="s">
        <v>1052</v>
      </c>
      <c r="C548" s="136" t="s">
        <v>322</v>
      </c>
      <c r="D548" s="136" t="s">
        <v>470</v>
      </c>
      <c r="E548" s="136" t="s">
        <v>483</v>
      </c>
      <c r="F548" s="136" t="s">
        <v>487</v>
      </c>
      <c r="G548" s="136">
        <v>34</v>
      </c>
      <c r="H548" s="137">
        <v>28</v>
      </c>
      <c r="I548" s="138">
        <f t="shared" si="8"/>
        <v>952</v>
      </c>
      <c r="J548" s="139" t="s">
        <v>466</v>
      </c>
      <c r="K548" s="140">
        <v>28.56</v>
      </c>
      <c r="L548">
        <f>Table13[[#This Row],[Price]]*Table13[[#This Row],[Units]]</f>
        <v>952</v>
      </c>
    </row>
    <row r="549" spans="1:12" x14ac:dyDescent="0.35">
      <c r="A549" s="134">
        <v>45651</v>
      </c>
      <c r="B549" s="135" t="s">
        <v>1053</v>
      </c>
      <c r="C549" s="136" t="s">
        <v>489</v>
      </c>
      <c r="D549" s="136" t="s">
        <v>486</v>
      </c>
      <c r="E549" s="136" t="s">
        <v>390</v>
      </c>
      <c r="F549" s="136" t="s">
        <v>497</v>
      </c>
      <c r="G549" s="136">
        <v>56</v>
      </c>
      <c r="H549" s="137">
        <v>39</v>
      </c>
      <c r="I549" s="138">
        <f t="shared" si="8"/>
        <v>2184</v>
      </c>
      <c r="J549" s="139" t="s">
        <v>472</v>
      </c>
      <c r="K549" s="140">
        <v>56.783999999999999</v>
      </c>
      <c r="L549">
        <f>Table13[[#This Row],[Price]]*Table13[[#This Row],[Units]]</f>
        <v>2184</v>
      </c>
    </row>
    <row r="550" spans="1:12" x14ac:dyDescent="0.35">
      <c r="A550" s="134">
        <v>45651</v>
      </c>
      <c r="B550" s="135" t="s">
        <v>1054</v>
      </c>
      <c r="C550" s="136" t="s">
        <v>494</v>
      </c>
      <c r="D550" s="136" t="s">
        <v>477</v>
      </c>
      <c r="E550" s="136" t="s">
        <v>320</v>
      </c>
      <c r="F550" s="136" t="s">
        <v>517</v>
      </c>
      <c r="G550" s="136">
        <v>37</v>
      </c>
      <c r="H550" s="137">
        <v>54</v>
      </c>
      <c r="I550" s="138">
        <f t="shared" si="8"/>
        <v>1998</v>
      </c>
      <c r="J550" s="139" t="s">
        <v>466</v>
      </c>
      <c r="K550" s="140">
        <v>57.942</v>
      </c>
      <c r="L550">
        <f>Table13[[#This Row],[Price]]*Table13[[#This Row],[Units]]</f>
        <v>1998</v>
      </c>
    </row>
    <row r="551" spans="1:12" x14ac:dyDescent="0.35">
      <c r="A551" s="134">
        <v>45652</v>
      </c>
      <c r="B551" s="135" t="s">
        <v>1055</v>
      </c>
      <c r="C551" s="136" t="s">
        <v>322</v>
      </c>
      <c r="D551" s="136" t="s">
        <v>470</v>
      </c>
      <c r="E551" s="136" t="s">
        <v>390</v>
      </c>
      <c r="F551" s="136" t="s">
        <v>520</v>
      </c>
      <c r="G551" s="136">
        <v>19</v>
      </c>
      <c r="H551" s="137">
        <v>31</v>
      </c>
      <c r="I551" s="138">
        <f t="shared" si="8"/>
        <v>589</v>
      </c>
      <c r="J551" s="139" t="s">
        <v>466</v>
      </c>
      <c r="K551" s="140">
        <v>12.958</v>
      </c>
      <c r="L551">
        <f>Table13[[#This Row],[Price]]*Table13[[#This Row],[Units]]</f>
        <v>589</v>
      </c>
    </row>
    <row r="552" spans="1:12" x14ac:dyDescent="0.35">
      <c r="A552" s="134">
        <v>45652</v>
      </c>
      <c r="B552" s="135" t="s">
        <v>1056</v>
      </c>
      <c r="C552" s="136" t="s">
        <v>494</v>
      </c>
      <c r="D552" s="136" t="s">
        <v>477</v>
      </c>
      <c r="E552" s="136" t="s">
        <v>315</v>
      </c>
      <c r="F552" s="136" t="s">
        <v>536</v>
      </c>
      <c r="G552" s="136">
        <v>24</v>
      </c>
      <c r="H552" s="137">
        <v>54</v>
      </c>
      <c r="I552" s="138">
        <f t="shared" si="8"/>
        <v>1296</v>
      </c>
      <c r="J552" s="139" t="s">
        <v>515</v>
      </c>
      <c r="K552" s="140">
        <v>34.991999999999997</v>
      </c>
      <c r="L552">
        <f>Table13[[#This Row],[Price]]*Table13[[#This Row],[Units]]</f>
        <v>1296</v>
      </c>
    </row>
    <row r="553" spans="1:12" x14ac:dyDescent="0.35">
      <c r="A553" s="134">
        <v>45652</v>
      </c>
      <c r="B553" s="135" t="s">
        <v>1057</v>
      </c>
      <c r="C553" s="136" t="s">
        <v>489</v>
      </c>
      <c r="D553" s="136" t="s">
        <v>470</v>
      </c>
      <c r="E553" s="136" t="s">
        <v>412</v>
      </c>
      <c r="F553" s="136" t="s">
        <v>505</v>
      </c>
      <c r="G553" s="136">
        <v>37</v>
      </c>
      <c r="H553" s="137">
        <v>29</v>
      </c>
      <c r="I553" s="138">
        <f t="shared" si="8"/>
        <v>1073</v>
      </c>
      <c r="J553" s="139" t="s">
        <v>466</v>
      </c>
      <c r="K553" s="140">
        <v>28.971</v>
      </c>
      <c r="L553">
        <f>Table13[[#This Row],[Price]]*Table13[[#This Row],[Units]]</f>
        <v>1073</v>
      </c>
    </row>
    <row r="554" spans="1:12" x14ac:dyDescent="0.35">
      <c r="A554" s="134">
        <v>45653</v>
      </c>
      <c r="B554" s="135" t="s">
        <v>1058</v>
      </c>
      <c r="C554" s="136" t="s">
        <v>476</v>
      </c>
      <c r="D554" s="136" t="s">
        <v>470</v>
      </c>
      <c r="E554" s="136" t="s">
        <v>483</v>
      </c>
      <c r="F554" s="136" t="s">
        <v>528</v>
      </c>
      <c r="G554" s="136">
        <v>23</v>
      </c>
      <c r="H554" s="137">
        <v>32</v>
      </c>
      <c r="I554" s="138">
        <f t="shared" si="8"/>
        <v>736</v>
      </c>
      <c r="J554" s="139" t="s">
        <v>466</v>
      </c>
      <c r="K554" s="140">
        <v>17.664000000000001</v>
      </c>
      <c r="L554">
        <f>Table13[[#This Row],[Price]]*Table13[[#This Row],[Units]]</f>
        <v>736</v>
      </c>
    </row>
    <row r="555" spans="1:12" x14ac:dyDescent="0.35">
      <c r="A555" s="134">
        <v>45653</v>
      </c>
      <c r="B555" s="135" t="s">
        <v>1059</v>
      </c>
      <c r="C555" s="136" t="s">
        <v>484</v>
      </c>
      <c r="D555" s="136" t="s">
        <v>477</v>
      </c>
      <c r="E555" s="136" t="s">
        <v>315</v>
      </c>
      <c r="F555" s="136" t="s">
        <v>523</v>
      </c>
      <c r="G555" s="136">
        <v>50</v>
      </c>
      <c r="H555" s="137">
        <v>33</v>
      </c>
      <c r="I555" s="138">
        <f t="shared" si="8"/>
        <v>1650</v>
      </c>
      <c r="J555" s="139" t="s">
        <v>472</v>
      </c>
      <c r="K555" s="140">
        <v>33</v>
      </c>
      <c r="L555">
        <f>Table13[[#This Row],[Price]]*Table13[[#This Row],[Units]]</f>
        <v>1650</v>
      </c>
    </row>
    <row r="556" spans="1:12" x14ac:dyDescent="0.35">
      <c r="A556" s="134">
        <v>45653</v>
      </c>
      <c r="B556" s="135" t="s">
        <v>1060</v>
      </c>
      <c r="C556" s="136" t="s">
        <v>484</v>
      </c>
      <c r="D556" s="136" t="s">
        <v>477</v>
      </c>
      <c r="E556" s="136" t="s">
        <v>315</v>
      </c>
      <c r="F556" s="136" t="s">
        <v>513</v>
      </c>
      <c r="G556" s="136">
        <v>47</v>
      </c>
      <c r="H556" s="137">
        <v>53</v>
      </c>
      <c r="I556" s="138">
        <f t="shared" si="8"/>
        <v>2491</v>
      </c>
      <c r="J556" s="139" t="s">
        <v>472</v>
      </c>
      <c r="K556" s="140">
        <v>49.82</v>
      </c>
      <c r="L556">
        <f>Table13[[#This Row],[Price]]*Table13[[#This Row],[Units]]</f>
        <v>2491</v>
      </c>
    </row>
    <row r="557" spans="1:12" x14ac:dyDescent="0.35">
      <c r="A557" s="134">
        <v>45653</v>
      </c>
      <c r="B557" s="135" t="s">
        <v>1061</v>
      </c>
      <c r="C557" s="136" t="s">
        <v>476</v>
      </c>
      <c r="D557" s="136" t="s">
        <v>486</v>
      </c>
      <c r="E557" s="136" t="s">
        <v>324</v>
      </c>
      <c r="F557" s="136" t="s">
        <v>523</v>
      </c>
      <c r="G557" s="136">
        <v>60</v>
      </c>
      <c r="H557" s="137">
        <v>38</v>
      </c>
      <c r="I557" s="138">
        <f t="shared" si="8"/>
        <v>2280</v>
      </c>
      <c r="J557" s="139" t="s">
        <v>466</v>
      </c>
      <c r="K557" s="140">
        <v>45.6</v>
      </c>
      <c r="L557">
        <f>Table13[[#This Row],[Price]]*Table13[[#This Row],[Units]]</f>
        <v>2280</v>
      </c>
    </row>
    <row r="558" spans="1:12" x14ac:dyDescent="0.35">
      <c r="A558" s="134">
        <v>45653</v>
      </c>
      <c r="B558" s="135" t="s">
        <v>1062</v>
      </c>
      <c r="C558" s="136" t="s">
        <v>494</v>
      </c>
      <c r="D558" s="136" t="s">
        <v>486</v>
      </c>
      <c r="E558" s="136" t="s">
        <v>315</v>
      </c>
      <c r="F558" s="136" t="s">
        <v>454</v>
      </c>
      <c r="G558" s="136">
        <v>26</v>
      </c>
      <c r="H558" s="137">
        <v>23</v>
      </c>
      <c r="I558" s="138">
        <f t="shared" si="8"/>
        <v>598</v>
      </c>
      <c r="J558" s="139" t="s">
        <v>472</v>
      </c>
      <c r="K558" s="140">
        <v>17.940000000000001</v>
      </c>
      <c r="L558">
        <f>Table13[[#This Row],[Price]]*Table13[[#This Row],[Units]]</f>
        <v>598</v>
      </c>
    </row>
    <row r="559" spans="1:12" x14ac:dyDescent="0.35">
      <c r="A559" s="134">
        <v>45653</v>
      </c>
      <c r="B559" s="135" t="s">
        <v>1063</v>
      </c>
      <c r="C559" s="136" t="s">
        <v>476</v>
      </c>
      <c r="D559" s="136" t="s">
        <v>512</v>
      </c>
      <c r="E559" s="136" t="s">
        <v>390</v>
      </c>
      <c r="F559" s="136" t="s">
        <v>536</v>
      </c>
      <c r="G559" s="136">
        <v>15</v>
      </c>
      <c r="H559" s="137">
        <v>27</v>
      </c>
      <c r="I559" s="138">
        <f t="shared" si="8"/>
        <v>405</v>
      </c>
      <c r="J559" s="139" t="s">
        <v>466</v>
      </c>
      <c r="K559" s="140">
        <v>10.53</v>
      </c>
      <c r="L559">
        <f>Table13[[#This Row],[Price]]*Table13[[#This Row],[Units]]</f>
        <v>405</v>
      </c>
    </row>
    <row r="560" spans="1:12" x14ac:dyDescent="0.35">
      <c r="A560" s="134">
        <v>45653</v>
      </c>
      <c r="B560" s="135" t="s">
        <v>1064</v>
      </c>
      <c r="C560" s="136" t="s">
        <v>322</v>
      </c>
      <c r="D560" s="136" t="s">
        <v>519</v>
      </c>
      <c r="E560" s="136" t="s">
        <v>315</v>
      </c>
      <c r="F560" s="136" t="s">
        <v>567</v>
      </c>
      <c r="G560" s="136">
        <v>42</v>
      </c>
      <c r="H560" s="137">
        <v>52</v>
      </c>
      <c r="I560" s="138">
        <f t="shared" si="8"/>
        <v>2184</v>
      </c>
      <c r="J560" s="139" t="s">
        <v>466</v>
      </c>
      <c r="K560" s="140">
        <v>45.863999999999997</v>
      </c>
      <c r="L560">
        <f>Table13[[#This Row],[Price]]*Table13[[#This Row],[Units]]</f>
        <v>2184</v>
      </c>
    </row>
    <row r="561" spans="1:12" x14ac:dyDescent="0.35">
      <c r="A561" s="134">
        <v>45653</v>
      </c>
      <c r="B561" s="135" t="s">
        <v>1065</v>
      </c>
      <c r="C561" s="136" t="s">
        <v>494</v>
      </c>
      <c r="D561" s="136" t="s">
        <v>465</v>
      </c>
      <c r="E561" s="136" t="s">
        <v>483</v>
      </c>
      <c r="F561" s="136" t="s">
        <v>478</v>
      </c>
      <c r="G561" s="136">
        <v>48</v>
      </c>
      <c r="H561" s="137">
        <v>59</v>
      </c>
      <c r="I561" s="138">
        <f t="shared" si="8"/>
        <v>2832</v>
      </c>
      <c r="J561" s="139" t="s">
        <v>515</v>
      </c>
      <c r="K561" s="140">
        <v>62.304000000000002</v>
      </c>
      <c r="L561">
        <f>Table13[[#This Row],[Price]]*Table13[[#This Row],[Units]]</f>
        <v>2832</v>
      </c>
    </row>
    <row r="562" spans="1:12" x14ac:dyDescent="0.35">
      <c r="A562" s="134">
        <v>45653</v>
      </c>
      <c r="B562" s="135" t="s">
        <v>1066</v>
      </c>
      <c r="C562" s="136" t="s">
        <v>476</v>
      </c>
      <c r="D562" s="136" t="s">
        <v>470</v>
      </c>
      <c r="E562" s="136" t="s">
        <v>324</v>
      </c>
      <c r="F562" s="136" t="s">
        <v>539</v>
      </c>
      <c r="G562" s="136">
        <v>14</v>
      </c>
      <c r="H562" s="137">
        <v>41</v>
      </c>
      <c r="I562" s="138">
        <f t="shared" si="8"/>
        <v>574</v>
      </c>
      <c r="J562" s="139" t="s">
        <v>515</v>
      </c>
      <c r="K562" s="140">
        <v>15.497999999999999</v>
      </c>
      <c r="L562">
        <f>Table13[[#This Row],[Price]]*Table13[[#This Row],[Units]]</f>
        <v>574</v>
      </c>
    </row>
    <row r="563" spans="1:12" x14ac:dyDescent="0.35">
      <c r="A563" s="134">
        <v>45653</v>
      </c>
      <c r="B563" s="135" t="s">
        <v>1067</v>
      </c>
      <c r="C563" s="136" t="s">
        <v>484</v>
      </c>
      <c r="D563" s="136" t="s">
        <v>470</v>
      </c>
      <c r="E563" s="136" t="s">
        <v>324</v>
      </c>
      <c r="F563" s="136" t="s">
        <v>536</v>
      </c>
      <c r="G563" s="136">
        <v>43</v>
      </c>
      <c r="H563" s="137">
        <v>53</v>
      </c>
      <c r="I563" s="138">
        <f t="shared" si="8"/>
        <v>2279</v>
      </c>
      <c r="J563" s="139" t="s">
        <v>466</v>
      </c>
      <c r="K563" s="140">
        <v>52.417000000000002</v>
      </c>
      <c r="L563">
        <f>Table13[[#This Row],[Price]]*Table13[[#This Row],[Units]]</f>
        <v>2279</v>
      </c>
    </row>
    <row r="564" spans="1:12" x14ac:dyDescent="0.35">
      <c r="A564" s="134">
        <v>45653</v>
      </c>
      <c r="B564" s="135" t="s">
        <v>1068</v>
      </c>
      <c r="C564" s="136" t="s">
        <v>501</v>
      </c>
      <c r="D564" s="136" t="s">
        <v>519</v>
      </c>
      <c r="E564" s="136" t="s">
        <v>390</v>
      </c>
      <c r="F564" s="136" t="s">
        <v>528</v>
      </c>
      <c r="G564" s="136">
        <v>40</v>
      </c>
      <c r="H564" s="137">
        <v>48</v>
      </c>
      <c r="I564" s="138">
        <f t="shared" si="8"/>
        <v>1920</v>
      </c>
      <c r="J564" s="139" t="s">
        <v>515</v>
      </c>
      <c r="K564" s="140">
        <v>55.68</v>
      </c>
      <c r="L564">
        <f>Table13[[#This Row],[Price]]*Table13[[#This Row],[Units]]</f>
        <v>1920</v>
      </c>
    </row>
    <row r="565" spans="1:12" x14ac:dyDescent="0.35">
      <c r="A565" s="134">
        <v>45654</v>
      </c>
      <c r="B565" s="135" t="s">
        <v>1069</v>
      </c>
      <c r="C565" s="136" t="s">
        <v>469</v>
      </c>
      <c r="D565" s="136" t="s">
        <v>512</v>
      </c>
      <c r="E565" s="136" t="s">
        <v>412</v>
      </c>
      <c r="F565" s="136" t="s">
        <v>500</v>
      </c>
      <c r="G565" s="136">
        <v>17</v>
      </c>
      <c r="H565" s="137">
        <v>41</v>
      </c>
      <c r="I565" s="138">
        <f t="shared" si="8"/>
        <v>697</v>
      </c>
      <c r="J565" s="139" t="s">
        <v>466</v>
      </c>
      <c r="K565" s="140">
        <v>18.122</v>
      </c>
      <c r="L565">
        <f>Table13[[#This Row],[Price]]*Table13[[#This Row],[Units]]</f>
        <v>697</v>
      </c>
    </row>
    <row r="566" spans="1:12" x14ac:dyDescent="0.35">
      <c r="A566" s="134">
        <v>45654</v>
      </c>
      <c r="B566" s="135" t="s">
        <v>1070</v>
      </c>
      <c r="C566" s="136" t="s">
        <v>489</v>
      </c>
      <c r="D566" s="136" t="s">
        <v>486</v>
      </c>
      <c r="E566" s="136" t="s">
        <v>320</v>
      </c>
      <c r="F566" s="136" t="s">
        <v>491</v>
      </c>
      <c r="G566" s="136">
        <v>32</v>
      </c>
      <c r="H566" s="137">
        <v>31</v>
      </c>
      <c r="I566" s="138">
        <f t="shared" si="8"/>
        <v>992</v>
      </c>
      <c r="J566" s="139" t="s">
        <v>472</v>
      </c>
      <c r="K566" s="140">
        <v>20.832000000000001</v>
      </c>
      <c r="L566">
        <f>Table13[[#This Row],[Price]]*Table13[[#This Row],[Units]]</f>
        <v>992</v>
      </c>
    </row>
    <row r="567" spans="1:12" x14ac:dyDescent="0.35">
      <c r="A567" s="134">
        <v>45655</v>
      </c>
      <c r="B567" s="135" t="s">
        <v>1071</v>
      </c>
      <c r="C567" s="136" t="s">
        <v>476</v>
      </c>
      <c r="D567" s="136" t="s">
        <v>486</v>
      </c>
      <c r="E567" s="136" t="s">
        <v>483</v>
      </c>
      <c r="F567" s="136" t="s">
        <v>510</v>
      </c>
      <c r="G567" s="136">
        <v>36</v>
      </c>
      <c r="H567" s="137">
        <v>43</v>
      </c>
      <c r="I567" s="138">
        <f t="shared" si="8"/>
        <v>1548</v>
      </c>
      <c r="J567" s="139" t="s">
        <v>466</v>
      </c>
      <c r="K567" s="140">
        <v>46.44</v>
      </c>
      <c r="L567">
        <f>Table13[[#This Row],[Price]]*Table13[[#This Row],[Units]]</f>
        <v>1548</v>
      </c>
    </row>
    <row r="568" spans="1:12" x14ac:dyDescent="0.35">
      <c r="A568" s="134">
        <v>45655</v>
      </c>
      <c r="B568" s="135" t="s">
        <v>1072</v>
      </c>
      <c r="C568" s="136" t="s">
        <v>492</v>
      </c>
      <c r="D568" s="136" t="s">
        <v>477</v>
      </c>
      <c r="E568" s="136" t="s">
        <v>324</v>
      </c>
      <c r="F568" s="136" t="s">
        <v>523</v>
      </c>
      <c r="G568" s="136">
        <v>15</v>
      </c>
      <c r="H568" s="137">
        <v>22</v>
      </c>
      <c r="I568" s="138">
        <f t="shared" si="8"/>
        <v>330</v>
      </c>
      <c r="J568" s="139" t="s">
        <v>466</v>
      </c>
      <c r="K568" s="140">
        <v>8.58</v>
      </c>
      <c r="L568">
        <f>Table13[[#This Row],[Price]]*Table13[[#This Row],[Units]]</f>
        <v>330</v>
      </c>
    </row>
    <row r="569" spans="1:12" x14ac:dyDescent="0.35">
      <c r="A569" s="134">
        <v>45655</v>
      </c>
      <c r="B569" s="135" t="s">
        <v>1073</v>
      </c>
      <c r="C569" s="136" t="s">
        <v>494</v>
      </c>
      <c r="D569" s="136" t="s">
        <v>519</v>
      </c>
      <c r="E569" s="136" t="s">
        <v>315</v>
      </c>
      <c r="F569" s="136" t="s">
        <v>487</v>
      </c>
      <c r="G569" s="136">
        <v>40</v>
      </c>
      <c r="H569" s="137">
        <v>45</v>
      </c>
      <c r="I569" s="138">
        <f t="shared" si="8"/>
        <v>1800</v>
      </c>
      <c r="J569" s="139" t="s">
        <v>472</v>
      </c>
      <c r="K569" s="140">
        <v>46.8</v>
      </c>
      <c r="L569">
        <f>Table13[[#This Row],[Price]]*Table13[[#This Row],[Units]]</f>
        <v>1800</v>
      </c>
    </row>
    <row r="570" spans="1:12" x14ac:dyDescent="0.35">
      <c r="A570" s="134">
        <v>45655</v>
      </c>
      <c r="B570" s="135" t="s">
        <v>1074</v>
      </c>
      <c r="C570" s="136" t="s">
        <v>489</v>
      </c>
      <c r="D570" s="136" t="s">
        <v>519</v>
      </c>
      <c r="E570" s="136" t="s">
        <v>315</v>
      </c>
      <c r="F570" s="136" t="s">
        <v>523</v>
      </c>
      <c r="G570" s="136">
        <v>17</v>
      </c>
      <c r="H570" s="137">
        <v>63</v>
      </c>
      <c r="I570" s="138">
        <f t="shared" si="8"/>
        <v>1071</v>
      </c>
      <c r="J570" s="139" t="s">
        <v>466</v>
      </c>
      <c r="K570" s="140">
        <v>23.562000000000001</v>
      </c>
      <c r="L570">
        <f>Table13[[#This Row],[Price]]*Table13[[#This Row],[Units]]</f>
        <v>1071</v>
      </c>
    </row>
    <row r="571" spans="1:12" x14ac:dyDescent="0.35">
      <c r="A571" s="134">
        <v>45655</v>
      </c>
      <c r="B571" s="135" t="s">
        <v>1075</v>
      </c>
      <c r="C571" s="136" t="s">
        <v>492</v>
      </c>
      <c r="D571" s="136" t="s">
        <v>519</v>
      </c>
      <c r="E571" s="136" t="s">
        <v>320</v>
      </c>
      <c r="F571" s="136" t="s">
        <v>487</v>
      </c>
      <c r="G571" s="136">
        <v>33</v>
      </c>
      <c r="H571" s="137">
        <v>31</v>
      </c>
      <c r="I571" s="138">
        <f t="shared" si="8"/>
        <v>1023</v>
      </c>
      <c r="J571" s="139" t="s">
        <v>466</v>
      </c>
      <c r="K571" s="140">
        <v>26.597999999999999</v>
      </c>
      <c r="L571">
        <f>Table13[[#This Row],[Price]]*Table13[[#This Row],[Units]]</f>
        <v>1023</v>
      </c>
    </row>
    <row r="572" spans="1:12" x14ac:dyDescent="0.35">
      <c r="A572" s="134">
        <v>45655</v>
      </c>
      <c r="B572" s="135" t="s">
        <v>1076</v>
      </c>
      <c r="C572" s="136" t="s">
        <v>494</v>
      </c>
      <c r="D572" s="136" t="s">
        <v>465</v>
      </c>
      <c r="E572" s="136" t="s">
        <v>315</v>
      </c>
      <c r="F572" s="136" t="s">
        <v>539</v>
      </c>
      <c r="G572" s="136">
        <v>20</v>
      </c>
      <c r="H572" s="137">
        <v>52</v>
      </c>
      <c r="I572" s="138">
        <f t="shared" si="8"/>
        <v>1040</v>
      </c>
      <c r="J572" s="139" t="s">
        <v>466</v>
      </c>
      <c r="K572" s="140">
        <v>28.08</v>
      </c>
      <c r="L572">
        <f>Table13[[#This Row],[Price]]*Table13[[#This Row],[Units]]</f>
        <v>1040</v>
      </c>
    </row>
    <row r="573" spans="1:12" x14ac:dyDescent="0.35">
      <c r="A573" s="134">
        <v>45656</v>
      </c>
      <c r="B573" s="135" t="s">
        <v>1077</v>
      </c>
      <c r="C573" s="136" t="s">
        <v>492</v>
      </c>
      <c r="D573" s="136" t="s">
        <v>477</v>
      </c>
      <c r="E573" s="136" t="s">
        <v>320</v>
      </c>
      <c r="F573" s="136" t="s">
        <v>536</v>
      </c>
      <c r="G573" s="136">
        <v>45</v>
      </c>
      <c r="H573" s="137">
        <v>38</v>
      </c>
      <c r="I573" s="138">
        <f t="shared" si="8"/>
        <v>1710</v>
      </c>
      <c r="J573" s="139" t="s">
        <v>472</v>
      </c>
      <c r="K573" s="140">
        <v>39.33</v>
      </c>
      <c r="L573">
        <f>Table13[[#This Row],[Price]]*Table13[[#This Row],[Units]]</f>
        <v>1710</v>
      </c>
    </row>
    <row r="574" spans="1:12" x14ac:dyDescent="0.35">
      <c r="A574" s="134">
        <v>45656</v>
      </c>
      <c r="B574" s="135" t="s">
        <v>1078</v>
      </c>
      <c r="C574" s="136" t="s">
        <v>484</v>
      </c>
      <c r="D574" s="136" t="s">
        <v>470</v>
      </c>
      <c r="E574" s="136" t="s">
        <v>324</v>
      </c>
      <c r="F574" s="136" t="s">
        <v>478</v>
      </c>
      <c r="G574" s="136">
        <v>44</v>
      </c>
      <c r="H574" s="137">
        <v>53</v>
      </c>
      <c r="I574" s="138">
        <f t="shared" si="8"/>
        <v>2332</v>
      </c>
      <c r="J574" s="139" t="s">
        <v>466</v>
      </c>
      <c r="K574" s="140">
        <v>65.296000000000006</v>
      </c>
      <c r="L574">
        <f>Table13[[#This Row],[Price]]*Table13[[#This Row],[Units]]</f>
        <v>2332</v>
      </c>
    </row>
    <row r="575" spans="1:12" x14ac:dyDescent="0.35">
      <c r="A575" s="134">
        <v>45656</v>
      </c>
      <c r="B575" s="135" t="s">
        <v>1079</v>
      </c>
      <c r="C575" s="136" t="s">
        <v>322</v>
      </c>
      <c r="D575" s="136" t="s">
        <v>477</v>
      </c>
      <c r="E575" s="136" t="s">
        <v>315</v>
      </c>
      <c r="F575" s="136" t="s">
        <v>500</v>
      </c>
      <c r="G575" s="136">
        <v>32</v>
      </c>
      <c r="H575" s="137">
        <v>38</v>
      </c>
      <c r="I575" s="138">
        <f t="shared" si="8"/>
        <v>1216</v>
      </c>
      <c r="J575" s="139" t="s">
        <v>466</v>
      </c>
      <c r="K575" s="140">
        <v>29.184000000000001</v>
      </c>
      <c r="L575">
        <f>Table13[[#This Row],[Price]]*Table13[[#This Row],[Units]]</f>
        <v>1216</v>
      </c>
    </row>
    <row r="576" spans="1:12" x14ac:dyDescent="0.35">
      <c r="A576" s="134">
        <v>45656</v>
      </c>
      <c r="B576" s="135" t="s">
        <v>1080</v>
      </c>
      <c r="C576" s="136" t="s">
        <v>484</v>
      </c>
      <c r="D576" s="136" t="s">
        <v>519</v>
      </c>
      <c r="E576" s="136" t="s">
        <v>412</v>
      </c>
      <c r="F576" s="136" t="s">
        <v>497</v>
      </c>
      <c r="G576" s="136">
        <v>42</v>
      </c>
      <c r="H576" s="137">
        <v>32</v>
      </c>
      <c r="I576" s="138">
        <f t="shared" si="8"/>
        <v>1344</v>
      </c>
      <c r="J576" s="139" t="s">
        <v>515</v>
      </c>
      <c r="K576" s="140">
        <v>36.287999999999997</v>
      </c>
      <c r="L576">
        <f>Table13[[#This Row],[Price]]*Table13[[#This Row],[Units]]</f>
        <v>1344</v>
      </c>
    </row>
    <row r="577" spans="1:12" x14ac:dyDescent="0.35">
      <c r="A577" s="134">
        <v>45657</v>
      </c>
      <c r="B577" s="135" t="s">
        <v>1081</v>
      </c>
      <c r="C577" s="136" t="s">
        <v>494</v>
      </c>
      <c r="D577" s="136" t="s">
        <v>477</v>
      </c>
      <c r="E577" s="136" t="s">
        <v>324</v>
      </c>
      <c r="F577" s="136" t="s">
        <v>520</v>
      </c>
      <c r="G577" s="136">
        <v>35</v>
      </c>
      <c r="H577" s="137">
        <v>58</v>
      </c>
      <c r="I577" s="138">
        <f t="shared" si="8"/>
        <v>2030</v>
      </c>
      <c r="J577" s="139" t="s">
        <v>515</v>
      </c>
      <c r="K577" s="140">
        <v>58.87</v>
      </c>
      <c r="L577">
        <f>Table13[[#This Row],[Price]]*Table13[[#This Row],[Units]]</f>
        <v>2030</v>
      </c>
    </row>
    <row r="578" spans="1:12" x14ac:dyDescent="0.35">
      <c r="A578" s="134">
        <v>45657</v>
      </c>
      <c r="B578" s="135" t="s">
        <v>1082</v>
      </c>
      <c r="C578" s="136" t="s">
        <v>489</v>
      </c>
      <c r="D578" s="136" t="s">
        <v>486</v>
      </c>
      <c r="E578" s="136" t="s">
        <v>324</v>
      </c>
      <c r="F578" s="136" t="s">
        <v>500</v>
      </c>
      <c r="G578" s="136">
        <v>37</v>
      </c>
      <c r="H578" s="137">
        <v>45</v>
      </c>
      <c r="I578" s="138">
        <f t="shared" si="8"/>
        <v>1665</v>
      </c>
      <c r="J578" s="139" t="s">
        <v>466</v>
      </c>
      <c r="K578" s="140">
        <v>33.299999999999997</v>
      </c>
      <c r="L578">
        <f>Table13[[#This Row],[Price]]*Table13[[#This Row],[Units]]</f>
        <v>1665</v>
      </c>
    </row>
    <row r="579" spans="1:12" x14ac:dyDescent="0.35">
      <c r="A579" s="134">
        <v>45658</v>
      </c>
      <c r="B579" s="135" t="s">
        <v>1083</v>
      </c>
      <c r="C579" s="136" t="s">
        <v>469</v>
      </c>
      <c r="D579" s="136" t="s">
        <v>490</v>
      </c>
      <c r="E579" s="136" t="s">
        <v>333</v>
      </c>
      <c r="F579" s="136" t="s">
        <v>505</v>
      </c>
      <c r="G579" s="136">
        <v>21</v>
      </c>
      <c r="H579" s="137">
        <v>52</v>
      </c>
      <c r="I579" s="138">
        <f t="shared" ref="I579:I642" si="9">G579*H579</f>
        <v>1092</v>
      </c>
      <c r="J579" s="139" t="s">
        <v>466</v>
      </c>
      <c r="K579" s="140">
        <v>31.667999999999999</v>
      </c>
      <c r="L579">
        <f>Table13[[#This Row],[Price]]*Table13[[#This Row],[Units]]</f>
        <v>1092</v>
      </c>
    </row>
    <row r="580" spans="1:12" x14ac:dyDescent="0.35">
      <c r="A580" s="134">
        <v>45658</v>
      </c>
      <c r="B580" s="135" t="s">
        <v>1084</v>
      </c>
      <c r="C580" s="136" t="s">
        <v>492</v>
      </c>
      <c r="D580" s="136" t="s">
        <v>477</v>
      </c>
      <c r="E580" s="136" t="s">
        <v>390</v>
      </c>
      <c r="F580" s="136" t="s">
        <v>487</v>
      </c>
      <c r="G580" s="136">
        <v>56</v>
      </c>
      <c r="H580" s="137">
        <v>58</v>
      </c>
      <c r="I580" s="138">
        <f t="shared" si="9"/>
        <v>3248</v>
      </c>
      <c r="J580" s="139" t="s">
        <v>472</v>
      </c>
      <c r="K580" s="140">
        <v>87.695999999999998</v>
      </c>
      <c r="L580">
        <f>Table13[[#This Row],[Price]]*Table13[[#This Row],[Units]]</f>
        <v>3248</v>
      </c>
    </row>
    <row r="581" spans="1:12" x14ac:dyDescent="0.35">
      <c r="A581" s="134">
        <v>45659</v>
      </c>
      <c r="B581" s="135" t="s">
        <v>1085</v>
      </c>
      <c r="C581" s="136" t="s">
        <v>322</v>
      </c>
      <c r="D581" s="136" t="s">
        <v>477</v>
      </c>
      <c r="E581" s="136" t="s">
        <v>324</v>
      </c>
      <c r="F581" s="136" t="s">
        <v>528</v>
      </c>
      <c r="G581" s="136">
        <v>49</v>
      </c>
      <c r="H581" s="137">
        <v>75</v>
      </c>
      <c r="I581" s="138">
        <f t="shared" si="9"/>
        <v>3675</v>
      </c>
      <c r="J581" s="139" t="s">
        <v>466</v>
      </c>
      <c r="K581" s="140">
        <v>84.525000000000006</v>
      </c>
      <c r="L581">
        <f>Table13[[#This Row],[Price]]*Table13[[#This Row],[Units]]</f>
        <v>3675</v>
      </c>
    </row>
    <row r="582" spans="1:12" x14ac:dyDescent="0.35">
      <c r="A582" s="134">
        <v>45659</v>
      </c>
      <c r="B582" s="135" t="s">
        <v>1086</v>
      </c>
      <c r="C582" s="136" t="s">
        <v>494</v>
      </c>
      <c r="D582" s="136" t="s">
        <v>486</v>
      </c>
      <c r="E582" s="136" t="s">
        <v>483</v>
      </c>
      <c r="F582" s="136" t="s">
        <v>471</v>
      </c>
      <c r="G582" s="136">
        <v>58</v>
      </c>
      <c r="H582" s="137">
        <v>51</v>
      </c>
      <c r="I582" s="138">
        <f t="shared" si="9"/>
        <v>2958</v>
      </c>
      <c r="J582" s="139" t="s">
        <v>472</v>
      </c>
      <c r="K582" s="140">
        <v>73.95</v>
      </c>
      <c r="L582">
        <f>Table13[[#This Row],[Price]]*Table13[[#This Row],[Units]]</f>
        <v>2958</v>
      </c>
    </row>
    <row r="583" spans="1:12" x14ac:dyDescent="0.35">
      <c r="A583" s="134">
        <v>45659</v>
      </c>
      <c r="B583" s="135" t="s">
        <v>1087</v>
      </c>
      <c r="C583" s="136" t="s">
        <v>489</v>
      </c>
      <c r="D583" s="136" t="s">
        <v>490</v>
      </c>
      <c r="E583" s="136" t="s">
        <v>315</v>
      </c>
      <c r="F583" s="136" t="s">
        <v>517</v>
      </c>
      <c r="G583" s="136">
        <v>39</v>
      </c>
      <c r="H583" s="137">
        <v>60</v>
      </c>
      <c r="I583" s="138">
        <f t="shared" si="9"/>
        <v>2340</v>
      </c>
      <c r="J583" s="139" t="s">
        <v>466</v>
      </c>
      <c r="K583" s="140">
        <v>56.16</v>
      </c>
      <c r="L583">
        <f>Table13[[#This Row],[Price]]*Table13[[#This Row],[Units]]</f>
        <v>2340</v>
      </c>
    </row>
    <row r="584" spans="1:12" x14ac:dyDescent="0.35">
      <c r="A584" s="134">
        <v>45659</v>
      </c>
      <c r="B584" s="135" t="s">
        <v>1088</v>
      </c>
      <c r="C584" s="136" t="s">
        <v>476</v>
      </c>
      <c r="D584" s="136" t="s">
        <v>519</v>
      </c>
      <c r="E584" s="136" t="s">
        <v>483</v>
      </c>
      <c r="F584" s="136" t="s">
        <v>523</v>
      </c>
      <c r="G584" s="136">
        <v>49</v>
      </c>
      <c r="H584" s="137">
        <v>62</v>
      </c>
      <c r="I584" s="138">
        <f t="shared" si="9"/>
        <v>3038</v>
      </c>
      <c r="J584" s="139" t="s">
        <v>466</v>
      </c>
      <c r="K584" s="140">
        <v>91.14</v>
      </c>
      <c r="L584">
        <f>Table13[[#This Row],[Price]]*Table13[[#This Row],[Units]]</f>
        <v>3038</v>
      </c>
    </row>
    <row r="585" spans="1:12" x14ac:dyDescent="0.35">
      <c r="A585" s="134">
        <v>45659</v>
      </c>
      <c r="B585" s="135" t="s">
        <v>1089</v>
      </c>
      <c r="C585" s="136" t="s">
        <v>469</v>
      </c>
      <c r="D585" s="136" t="s">
        <v>512</v>
      </c>
      <c r="E585" s="136" t="s">
        <v>483</v>
      </c>
      <c r="F585" s="136" t="s">
        <v>478</v>
      </c>
      <c r="G585" s="136">
        <v>47</v>
      </c>
      <c r="H585" s="137">
        <v>76</v>
      </c>
      <c r="I585" s="138">
        <f t="shared" si="9"/>
        <v>3572</v>
      </c>
      <c r="J585" s="139" t="s">
        <v>472</v>
      </c>
      <c r="K585" s="140">
        <v>82.156000000000006</v>
      </c>
      <c r="L585">
        <f>Table13[[#This Row],[Price]]*Table13[[#This Row],[Units]]</f>
        <v>3572</v>
      </c>
    </row>
    <row r="586" spans="1:12" x14ac:dyDescent="0.35">
      <c r="A586" s="134">
        <v>45659</v>
      </c>
      <c r="B586" s="135" t="s">
        <v>1090</v>
      </c>
      <c r="C586" s="136" t="s">
        <v>494</v>
      </c>
      <c r="D586" s="136" t="s">
        <v>486</v>
      </c>
      <c r="E586" s="136" t="s">
        <v>483</v>
      </c>
      <c r="F586" s="136" t="s">
        <v>510</v>
      </c>
      <c r="G586" s="136">
        <v>18</v>
      </c>
      <c r="H586" s="137">
        <v>60</v>
      </c>
      <c r="I586" s="138">
        <f t="shared" si="9"/>
        <v>1080</v>
      </c>
      <c r="J586" s="139" t="s">
        <v>515</v>
      </c>
      <c r="K586" s="140">
        <v>29.16</v>
      </c>
      <c r="L586">
        <f>Table13[[#This Row],[Price]]*Table13[[#This Row],[Units]]</f>
        <v>1080</v>
      </c>
    </row>
    <row r="587" spans="1:12" x14ac:dyDescent="0.35">
      <c r="A587" s="134">
        <v>45660</v>
      </c>
      <c r="B587" s="135" t="s">
        <v>1091</v>
      </c>
      <c r="C587" s="136" t="s">
        <v>464</v>
      </c>
      <c r="D587" s="136" t="s">
        <v>470</v>
      </c>
      <c r="E587" s="136" t="s">
        <v>483</v>
      </c>
      <c r="F587" s="136" t="s">
        <v>491</v>
      </c>
      <c r="G587" s="136">
        <v>13</v>
      </c>
      <c r="H587" s="137">
        <v>64</v>
      </c>
      <c r="I587" s="138">
        <f t="shared" si="9"/>
        <v>832</v>
      </c>
      <c r="J587" s="139" t="s">
        <v>466</v>
      </c>
      <c r="K587" s="140">
        <v>19.968</v>
      </c>
      <c r="L587">
        <f>Table13[[#This Row],[Price]]*Table13[[#This Row],[Units]]</f>
        <v>832</v>
      </c>
    </row>
    <row r="588" spans="1:12" x14ac:dyDescent="0.35">
      <c r="A588" s="134">
        <v>45660</v>
      </c>
      <c r="B588" s="135" t="s">
        <v>1092</v>
      </c>
      <c r="C588" s="136" t="s">
        <v>492</v>
      </c>
      <c r="D588" s="136" t="s">
        <v>477</v>
      </c>
      <c r="E588" s="136" t="s">
        <v>483</v>
      </c>
      <c r="F588" s="136" t="s">
        <v>497</v>
      </c>
      <c r="G588" s="136">
        <v>10</v>
      </c>
      <c r="H588" s="137">
        <v>79</v>
      </c>
      <c r="I588" s="138">
        <f t="shared" si="9"/>
        <v>790</v>
      </c>
      <c r="J588" s="139" t="s">
        <v>466</v>
      </c>
      <c r="K588" s="140">
        <v>20.54</v>
      </c>
      <c r="L588">
        <f>Table13[[#This Row],[Price]]*Table13[[#This Row],[Units]]</f>
        <v>790</v>
      </c>
    </row>
    <row r="589" spans="1:12" x14ac:dyDescent="0.35">
      <c r="A589" s="134">
        <v>45661</v>
      </c>
      <c r="B589" s="135" t="s">
        <v>1093</v>
      </c>
      <c r="C589" s="136" t="s">
        <v>492</v>
      </c>
      <c r="D589" s="136" t="s">
        <v>470</v>
      </c>
      <c r="E589" s="136" t="s">
        <v>333</v>
      </c>
      <c r="F589" s="136" t="s">
        <v>536</v>
      </c>
      <c r="G589" s="136">
        <v>22</v>
      </c>
      <c r="H589" s="137">
        <v>80</v>
      </c>
      <c r="I589" s="138">
        <f t="shared" si="9"/>
        <v>1760</v>
      </c>
      <c r="J589" s="139" t="s">
        <v>466</v>
      </c>
      <c r="K589" s="140">
        <v>49.28</v>
      </c>
      <c r="L589">
        <f>Table13[[#This Row],[Price]]*Table13[[#This Row],[Units]]</f>
        <v>1760</v>
      </c>
    </row>
    <row r="590" spans="1:12" x14ac:dyDescent="0.35">
      <c r="A590" s="134">
        <v>45661</v>
      </c>
      <c r="B590" s="135" t="s">
        <v>1094</v>
      </c>
      <c r="C590" s="136" t="s">
        <v>476</v>
      </c>
      <c r="D590" s="136" t="s">
        <v>470</v>
      </c>
      <c r="E590" s="136" t="s">
        <v>412</v>
      </c>
      <c r="F590" s="136" t="s">
        <v>471</v>
      </c>
      <c r="G590" s="136">
        <v>35</v>
      </c>
      <c r="H590" s="137">
        <v>37</v>
      </c>
      <c r="I590" s="138">
        <f t="shared" si="9"/>
        <v>1295</v>
      </c>
      <c r="J590" s="139" t="s">
        <v>466</v>
      </c>
      <c r="K590" s="140">
        <v>25.9</v>
      </c>
      <c r="L590">
        <f>Table13[[#This Row],[Price]]*Table13[[#This Row],[Units]]</f>
        <v>1295</v>
      </c>
    </row>
    <row r="591" spans="1:12" x14ac:dyDescent="0.35">
      <c r="A591" s="134">
        <v>45661</v>
      </c>
      <c r="B591" s="135" t="s">
        <v>1095</v>
      </c>
      <c r="C591" s="136" t="s">
        <v>464</v>
      </c>
      <c r="D591" s="136" t="s">
        <v>470</v>
      </c>
      <c r="E591" s="136" t="s">
        <v>483</v>
      </c>
      <c r="F591" s="136" t="s">
        <v>567</v>
      </c>
      <c r="G591" s="136">
        <v>60</v>
      </c>
      <c r="H591" s="137">
        <v>30</v>
      </c>
      <c r="I591" s="138">
        <f t="shared" si="9"/>
        <v>1800</v>
      </c>
      <c r="J591" s="139" t="s">
        <v>503</v>
      </c>
      <c r="K591" s="140">
        <v>48.6</v>
      </c>
      <c r="L591">
        <f>Table13[[#This Row],[Price]]*Table13[[#This Row],[Units]]</f>
        <v>1800</v>
      </c>
    </row>
    <row r="592" spans="1:12" x14ac:dyDescent="0.35">
      <c r="A592" s="134">
        <v>45661</v>
      </c>
      <c r="B592" s="135" t="s">
        <v>1096</v>
      </c>
      <c r="C592" s="136" t="s">
        <v>464</v>
      </c>
      <c r="D592" s="136" t="s">
        <v>519</v>
      </c>
      <c r="E592" s="136" t="s">
        <v>483</v>
      </c>
      <c r="F592" s="136" t="s">
        <v>520</v>
      </c>
      <c r="G592" s="136">
        <v>22</v>
      </c>
      <c r="H592" s="137">
        <v>73</v>
      </c>
      <c r="I592" s="138">
        <f t="shared" si="9"/>
        <v>1606</v>
      </c>
      <c r="J592" s="139" t="s">
        <v>472</v>
      </c>
      <c r="K592" s="140">
        <v>40.15</v>
      </c>
      <c r="L592">
        <f>Table13[[#This Row],[Price]]*Table13[[#This Row],[Units]]</f>
        <v>1606</v>
      </c>
    </row>
    <row r="593" spans="1:12" x14ac:dyDescent="0.35">
      <c r="A593" s="134">
        <v>45661</v>
      </c>
      <c r="B593" s="135" t="s">
        <v>1097</v>
      </c>
      <c r="C593" s="136" t="s">
        <v>501</v>
      </c>
      <c r="D593" s="136" t="s">
        <v>477</v>
      </c>
      <c r="E593" s="136" t="s">
        <v>483</v>
      </c>
      <c r="F593" s="136" t="s">
        <v>487</v>
      </c>
      <c r="G593" s="136">
        <v>47</v>
      </c>
      <c r="H593" s="137">
        <v>75</v>
      </c>
      <c r="I593" s="138">
        <f t="shared" si="9"/>
        <v>3525</v>
      </c>
      <c r="J593" s="139" t="s">
        <v>466</v>
      </c>
      <c r="K593" s="140">
        <v>77.55</v>
      </c>
      <c r="L593">
        <f>Table13[[#This Row],[Price]]*Table13[[#This Row],[Units]]</f>
        <v>3525</v>
      </c>
    </row>
    <row r="594" spans="1:12" x14ac:dyDescent="0.35">
      <c r="A594" s="134">
        <v>45661</v>
      </c>
      <c r="B594" s="135" t="s">
        <v>1098</v>
      </c>
      <c r="C594" s="136" t="s">
        <v>489</v>
      </c>
      <c r="D594" s="136" t="s">
        <v>519</v>
      </c>
      <c r="E594" s="136" t="s">
        <v>320</v>
      </c>
      <c r="F594" s="136" t="s">
        <v>510</v>
      </c>
      <c r="G594" s="136">
        <v>20</v>
      </c>
      <c r="H594" s="137">
        <v>30</v>
      </c>
      <c r="I594" s="138">
        <f t="shared" si="9"/>
        <v>600</v>
      </c>
      <c r="J594" s="139" t="s">
        <v>466</v>
      </c>
      <c r="K594" s="140">
        <v>16.8</v>
      </c>
      <c r="L594">
        <f>Table13[[#This Row],[Price]]*Table13[[#This Row],[Units]]</f>
        <v>600</v>
      </c>
    </row>
    <row r="595" spans="1:12" x14ac:dyDescent="0.35">
      <c r="A595" s="134">
        <v>45661</v>
      </c>
      <c r="B595" s="135" t="s">
        <v>1099</v>
      </c>
      <c r="C595" s="136" t="s">
        <v>469</v>
      </c>
      <c r="D595" s="136" t="s">
        <v>486</v>
      </c>
      <c r="E595" s="136" t="s">
        <v>324</v>
      </c>
      <c r="F595" s="136" t="s">
        <v>536</v>
      </c>
      <c r="G595" s="136">
        <v>27</v>
      </c>
      <c r="H595" s="137">
        <v>59</v>
      </c>
      <c r="I595" s="138">
        <f t="shared" si="9"/>
        <v>1593</v>
      </c>
      <c r="J595" s="139" t="s">
        <v>472</v>
      </c>
      <c r="K595" s="140">
        <v>35.045999999999999</v>
      </c>
      <c r="L595">
        <f>Table13[[#This Row],[Price]]*Table13[[#This Row],[Units]]</f>
        <v>1593</v>
      </c>
    </row>
    <row r="596" spans="1:12" x14ac:dyDescent="0.35">
      <c r="A596" s="134">
        <v>45661</v>
      </c>
      <c r="B596" s="135" t="s">
        <v>1100</v>
      </c>
      <c r="C596" s="136" t="s">
        <v>489</v>
      </c>
      <c r="D596" s="136" t="s">
        <v>465</v>
      </c>
      <c r="E596" s="136" t="s">
        <v>315</v>
      </c>
      <c r="F596" s="136" t="s">
        <v>487</v>
      </c>
      <c r="G596" s="136">
        <v>12</v>
      </c>
      <c r="H596" s="137">
        <v>72</v>
      </c>
      <c r="I596" s="138">
        <f t="shared" si="9"/>
        <v>864</v>
      </c>
      <c r="J596" s="139" t="s">
        <v>466</v>
      </c>
      <c r="K596" s="140">
        <v>23.327999999999999</v>
      </c>
      <c r="L596">
        <f>Table13[[#This Row],[Price]]*Table13[[#This Row],[Units]]</f>
        <v>864</v>
      </c>
    </row>
    <row r="597" spans="1:12" x14ac:dyDescent="0.35">
      <c r="A597" s="134">
        <v>45661</v>
      </c>
      <c r="B597" s="135" t="s">
        <v>1101</v>
      </c>
      <c r="C597" s="136" t="s">
        <v>492</v>
      </c>
      <c r="D597" s="136" t="s">
        <v>465</v>
      </c>
      <c r="E597" s="136" t="s">
        <v>390</v>
      </c>
      <c r="F597" s="136" t="s">
        <v>491</v>
      </c>
      <c r="G597" s="136">
        <v>45</v>
      </c>
      <c r="H597" s="137">
        <v>70</v>
      </c>
      <c r="I597" s="138">
        <f t="shared" si="9"/>
        <v>3150</v>
      </c>
      <c r="J597" s="139" t="s">
        <v>472</v>
      </c>
      <c r="K597" s="140">
        <v>94.5</v>
      </c>
      <c r="L597">
        <f>Table13[[#This Row],[Price]]*Table13[[#This Row],[Units]]</f>
        <v>3150</v>
      </c>
    </row>
    <row r="598" spans="1:12" x14ac:dyDescent="0.35">
      <c r="A598" s="134">
        <v>45661</v>
      </c>
      <c r="B598" s="135" t="s">
        <v>1102</v>
      </c>
      <c r="C598" s="136" t="s">
        <v>322</v>
      </c>
      <c r="D598" s="136" t="s">
        <v>519</v>
      </c>
      <c r="E598" s="136" t="s">
        <v>320</v>
      </c>
      <c r="F598" s="136" t="s">
        <v>523</v>
      </c>
      <c r="G598" s="136">
        <v>25</v>
      </c>
      <c r="H598" s="137">
        <v>57</v>
      </c>
      <c r="I598" s="138">
        <f t="shared" si="9"/>
        <v>1425</v>
      </c>
      <c r="J598" s="139" t="s">
        <v>466</v>
      </c>
      <c r="K598" s="140">
        <v>28.5</v>
      </c>
      <c r="L598">
        <f>Table13[[#This Row],[Price]]*Table13[[#This Row],[Units]]</f>
        <v>1425</v>
      </c>
    </row>
    <row r="599" spans="1:12" x14ac:dyDescent="0.35">
      <c r="A599" s="134">
        <v>45661</v>
      </c>
      <c r="B599" s="135" t="s">
        <v>1103</v>
      </c>
      <c r="C599" s="136" t="s">
        <v>476</v>
      </c>
      <c r="D599" s="136" t="s">
        <v>470</v>
      </c>
      <c r="E599" s="136" t="s">
        <v>483</v>
      </c>
      <c r="F599" s="136" t="s">
        <v>454</v>
      </c>
      <c r="G599" s="136">
        <v>17</v>
      </c>
      <c r="H599" s="137">
        <v>78</v>
      </c>
      <c r="I599" s="138">
        <f t="shared" si="9"/>
        <v>1326</v>
      </c>
      <c r="J599" s="139" t="s">
        <v>466</v>
      </c>
      <c r="K599" s="140">
        <v>37.128</v>
      </c>
      <c r="L599">
        <f>Table13[[#This Row],[Price]]*Table13[[#This Row],[Units]]</f>
        <v>1326</v>
      </c>
    </row>
    <row r="600" spans="1:12" x14ac:dyDescent="0.35">
      <c r="A600" s="134">
        <v>45662</v>
      </c>
      <c r="B600" s="135" t="s">
        <v>1104</v>
      </c>
      <c r="C600" s="136" t="s">
        <v>322</v>
      </c>
      <c r="D600" s="136" t="s">
        <v>477</v>
      </c>
      <c r="E600" s="136" t="s">
        <v>333</v>
      </c>
      <c r="F600" s="136" t="s">
        <v>520</v>
      </c>
      <c r="G600" s="136">
        <v>24</v>
      </c>
      <c r="H600" s="137">
        <v>75</v>
      </c>
      <c r="I600" s="138">
        <f t="shared" si="9"/>
        <v>1800</v>
      </c>
      <c r="J600" s="139" t="s">
        <v>472</v>
      </c>
      <c r="K600" s="140">
        <v>45</v>
      </c>
      <c r="L600">
        <f>Table13[[#This Row],[Price]]*Table13[[#This Row],[Units]]</f>
        <v>1800</v>
      </c>
    </row>
    <row r="601" spans="1:12" x14ac:dyDescent="0.35">
      <c r="A601" s="134">
        <v>45662</v>
      </c>
      <c r="B601" s="135" t="s">
        <v>1105</v>
      </c>
      <c r="C601" s="136" t="s">
        <v>484</v>
      </c>
      <c r="D601" s="136" t="s">
        <v>477</v>
      </c>
      <c r="E601" s="136" t="s">
        <v>324</v>
      </c>
      <c r="F601" s="136" t="s">
        <v>497</v>
      </c>
      <c r="G601" s="136">
        <v>36</v>
      </c>
      <c r="H601" s="137">
        <v>75</v>
      </c>
      <c r="I601" s="138">
        <f t="shared" si="9"/>
        <v>2700</v>
      </c>
      <c r="J601" s="139" t="s">
        <v>472</v>
      </c>
      <c r="K601" s="140">
        <v>75.599999999999994</v>
      </c>
      <c r="L601">
        <f>Table13[[#This Row],[Price]]*Table13[[#This Row],[Units]]</f>
        <v>2700</v>
      </c>
    </row>
    <row r="602" spans="1:12" x14ac:dyDescent="0.35">
      <c r="A602" s="134">
        <v>45662</v>
      </c>
      <c r="B602" s="135" t="s">
        <v>1106</v>
      </c>
      <c r="C602" s="136" t="s">
        <v>469</v>
      </c>
      <c r="D602" s="136" t="s">
        <v>486</v>
      </c>
      <c r="E602" s="136" t="s">
        <v>333</v>
      </c>
      <c r="F602" s="136" t="s">
        <v>487</v>
      </c>
      <c r="G602" s="136">
        <v>50</v>
      </c>
      <c r="H602" s="137">
        <v>76</v>
      </c>
      <c r="I602" s="138">
        <f t="shared" si="9"/>
        <v>3800</v>
      </c>
      <c r="J602" s="139" t="s">
        <v>472</v>
      </c>
      <c r="K602" s="140">
        <v>106.4</v>
      </c>
      <c r="L602">
        <f>Table13[[#This Row],[Price]]*Table13[[#This Row],[Units]]</f>
        <v>3800</v>
      </c>
    </row>
    <row r="603" spans="1:12" x14ac:dyDescent="0.35">
      <c r="A603" s="134">
        <v>45662</v>
      </c>
      <c r="B603" s="135" t="s">
        <v>1107</v>
      </c>
      <c r="C603" s="136" t="s">
        <v>484</v>
      </c>
      <c r="D603" s="136" t="s">
        <v>465</v>
      </c>
      <c r="E603" s="136" t="s">
        <v>320</v>
      </c>
      <c r="F603" s="136" t="s">
        <v>567</v>
      </c>
      <c r="G603" s="136">
        <v>26</v>
      </c>
      <c r="H603" s="137">
        <v>80</v>
      </c>
      <c r="I603" s="138">
        <f t="shared" si="9"/>
        <v>2080</v>
      </c>
      <c r="J603" s="139" t="s">
        <v>466</v>
      </c>
      <c r="K603" s="140">
        <v>41.6</v>
      </c>
      <c r="L603">
        <f>Table13[[#This Row],[Price]]*Table13[[#This Row],[Units]]</f>
        <v>2080</v>
      </c>
    </row>
    <row r="604" spans="1:12" x14ac:dyDescent="0.35">
      <c r="A604" s="134">
        <v>45662</v>
      </c>
      <c r="B604" s="135" t="s">
        <v>1108</v>
      </c>
      <c r="C604" s="136" t="s">
        <v>494</v>
      </c>
      <c r="D604" s="136" t="s">
        <v>490</v>
      </c>
      <c r="E604" s="136" t="s">
        <v>315</v>
      </c>
      <c r="F604" s="136" t="s">
        <v>491</v>
      </c>
      <c r="G604" s="136">
        <v>40</v>
      </c>
      <c r="H604" s="137">
        <v>45</v>
      </c>
      <c r="I604" s="138">
        <f t="shared" si="9"/>
        <v>1800</v>
      </c>
      <c r="J604" s="139" t="s">
        <v>466</v>
      </c>
      <c r="K604" s="140">
        <v>46.8</v>
      </c>
      <c r="L604">
        <f>Table13[[#This Row],[Price]]*Table13[[#This Row],[Units]]</f>
        <v>1800</v>
      </c>
    </row>
    <row r="605" spans="1:12" x14ac:dyDescent="0.35">
      <c r="A605" s="134">
        <v>45662</v>
      </c>
      <c r="B605" s="135" t="s">
        <v>1109</v>
      </c>
      <c r="C605" s="136" t="s">
        <v>494</v>
      </c>
      <c r="D605" s="136" t="s">
        <v>519</v>
      </c>
      <c r="E605" s="136" t="s">
        <v>320</v>
      </c>
      <c r="F605" s="136" t="s">
        <v>505</v>
      </c>
      <c r="G605" s="136">
        <v>12</v>
      </c>
      <c r="H605" s="137">
        <v>45</v>
      </c>
      <c r="I605" s="138">
        <f t="shared" si="9"/>
        <v>540</v>
      </c>
      <c r="J605" s="139" t="s">
        <v>472</v>
      </c>
      <c r="K605" s="140">
        <v>11.88</v>
      </c>
      <c r="L605">
        <f>Table13[[#This Row],[Price]]*Table13[[#This Row],[Units]]</f>
        <v>540</v>
      </c>
    </row>
    <row r="606" spans="1:12" x14ac:dyDescent="0.35">
      <c r="A606" s="134">
        <v>45662</v>
      </c>
      <c r="B606" s="135" t="s">
        <v>1110</v>
      </c>
      <c r="C606" s="136" t="s">
        <v>484</v>
      </c>
      <c r="D606" s="136" t="s">
        <v>486</v>
      </c>
      <c r="E606" s="136" t="s">
        <v>333</v>
      </c>
      <c r="F606" s="136" t="s">
        <v>500</v>
      </c>
      <c r="G606" s="136">
        <v>58</v>
      </c>
      <c r="H606" s="137">
        <v>47</v>
      </c>
      <c r="I606" s="138">
        <f t="shared" si="9"/>
        <v>2726</v>
      </c>
      <c r="J606" s="139" t="s">
        <v>503</v>
      </c>
      <c r="K606" s="140">
        <v>79.054000000000002</v>
      </c>
      <c r="L606">
        <f>Table13[[#This Row],[Price]]*Table13[[#This Row],[Units]]</f>
        <v>2726</v>
      </c>
    </row>
    <row r="607" spans="1:12" x14ac:dyDescent="0.35">
      <c r="A607" s="134">
        <v>45662</v>
      </c>
      <c r="B607" s="135" t="s">
        <v>1111</v>
      </c>
      <c r="C607" s="136" t="s">
        <v>322</v>
      </c>
      <c r="D607" s="136" t="s">
        <v>470</v>
      </c>
      <c r="E607" s="136" t="s">
        <v>483</v>
      </c>
      <c r="F607" s="136" t="s">
        <v>454</v>
      </c>
      <c r="G607" s="136">
        <v>11</v>
      </c>
      <c r="H607" s="137">
        <v>36</v>
      </c>
      <c r="I607" s="138">
        <f t="shared" si="9"/>
        <v>396</v>
      </c>
      <c r="J607" s="139" t="s">
        <v>472</v>
      </c>
      <c r="K607" s="140">
        <v>9.5039999999999996</v>
      </c>
      <c r="L607">
        <f>Table13[[#This Row],[Price]]*Table13[[#This Row],[Units]]</f>
        <v>396</v>
      </c>
    </row>
    <row r="608" spans="1:12" x14ac:dyDescent="0.35">
      <c r="A608" s="134">
        <v>45662</v>
      </c>
      <c r="B608" s="135" t="s">
        <v>1112</v>
      </c>
      <c r="C608" s="136" t="s">
        <v>322</v>
      </c>
      <c r="D608" s="136" t="s">
        <v>519</v>
      </c>
      <c r="E608" s="136" t="s">
        <v>324</v>
      </c>
      <c r="F608" s="136" t="s">
        <v>567</v>
      </c>
      <c r="G608" s="136">
        <v>43</v>
      </c>
      <c r="H608" s="137">
        <v>37</v>
      </c>
      <c r="I608" s="138">
        <f t="shared" si="9"/>
        <v>1591</v>
      </c>
      <c r="J608" s="139" t="s">
        <v>515</v>
      </c>
      <c r="K608" s="140">
        <v>42.957000000000001</v>
      </c>
      <c r="L608">
        <f>Table13[[#This Row],[Price]]*Table13[[#This Row],[Units]]</f>
        <v>1591</v>
      </c>
    </row>
    <row r="609" spans="1:12" x14ac:dyDescent="0.35">
      <c r="A609" s="134">
        <v>45662</v>
      </c>
      <c r="B609" s="135" t="s">
        <v>1113</v>
      </c>
      <c r="C609" s="136" t="s">
        <v>476</v>
      </c>
      <c r="D609" s="136" t="s">
        <v>519</v>
      </c>
      <c r="E609" s="136" t="s">
        <v>320</v>
      </c>
      <c r="F609" s="136" t="s">
        <v>500</v>
      </c>
      <c r="G609" s="136">
        <v>42</v>
      </c>
      <c r="H609" s="137">
        <v>64</v>
      </c>
      <c r="I609" s="138">
        <f t="shared" si="9"/>
        <v>2688</v>
      </c>
      <c r="J609" s="139" t="s">
        <v>466</v>
      </c>
      <c r="K609" s="140">
        <v>80.64</v>
      </c>
      <c r="L609">
        <f>Table13[[#This Row],[Price]]*Table13[[#This Row],[Units]]</f>
        <v>2688</v>
      </c>
    </row>
    <row r="610" spans="1:12" x14ac:dyDescent="0.35">
      <c r="A610" s="134">
        <v>45662</v>
      </c>
      <c r="B610" s="135" t="s">
        <v>1114</v>
      </c>
      <c r="C610" s="136" t="s">
        <v>494</v>
      </c>
      <c r="D610" s="136" t="s">
        <v>465</v>
      </c>
      <c r="E610" s="136" t="s">
        <v>324</v>
      </c>
      <c r="F610" s="136" t="s">
        <v>487</v>
      </c>
      <c r="G610" s="136">
        <v>53</v>
      </c>
      <c r="H610" s="137">
        <v>54</v>
      </c>
      <c r="I610" s="138">
        <f t="shared" si="9"/>
        <v>2862</v>
      </c>
      <c r="J610" s="139" t="s">
        <v>515</v>
      </c>
      <c r="K610" s="140">
        <v>57.24</v>
      </c>
      <c r="L610">
        <f>Table13[[#This Row],[Price]]*Table13[[#This Row],[Units]]</f>
        <v>2862</v>
      </c>
    </row>
    <row r="611" spans="1:12" x14ac:dyDescent="0.35">
      <c r="A611" s="134">
        <v>45662</v>
      </c>
      <c r="B611" s="135" t="s">
        <v>1115</v>
      </c>
      <c r="C611" s="136" t="s">
        <v>501</v>
      </c>
      <c r="D611" s="136" t="s">
        <v>477</v>
      </c>
      <c r="E611" s="136" t="s">
        <v>324</v>
      </c>
      <c r="F611" s="136" t="s">
        <v>471</v>
      </c>
      <c r="G611" s="136">
        <v>17</v>
      </c>
      <c r="H611" s="137">
        <v>59</v>
      </c>
      <c r="I611" s="138">
        <f t="shared" si="9"/>
        <v>1003</v>
      </c>
      <c r="J611" s="139" t="s">
        <v>466</v>
      </c>
      <c r="K611" s="140">
        <v>20.059999999999999</v>
      </c>
      <c r="L611">
        <f>Table13[[#This Row],[Price]]*Table13[[#This Row],[Units]]</f>
        <v>1003</v>
      </c>
    </row>
    <row r="612" spans="1:12" x14ac:dyDescent="0.35">
      <c r="A612" s="134">
        <v>45662</v>
      </c>
      <c r="B612" s="135" t="s">
        <v>1116</v>
      </c>
      <c r="C612" s="136" t="s">
        <v>322</v>
      </c>
      <c r="D612" s="136" t="s">
        <v>490</v>
      </c>
      <c r="E612" s="136" t="s">
        <v>315</v>
      </c>
      <c r="F612" s="136" t="s">
        <v>513</v>
      </c>
      <c r="G612" s="136">
        <v>29</v>
      </c>
      <c r="H612" s="137">
        <v>54</v>
      </c>
      <c r="I612" s="138">
        <f t="shared" si="9"/>
        <v>1566</v>
      </c>
      <c r="J612" s="139" t="s">
        <v>466</v>
      </c>
      <c r="K612" s="140">
        <v>43.847999999999999</v>
      </c>
      <c r="L612">
        <f>Table13[[#This Row],[Price]]*Table13[[#This Row],[Units]]</f>
        <v>1566</v>
      </c>
    </row>
    <row r="613" spans="1:12" x14ac:dyDescent="0.35">
      <c r="A613" s="134">
        <v>45662</v>
      </c>
      <c r="B613" s="135" t="s">
        <v>1117</v>
      </c>
      <c r="C613" s="136" t="s">
        <v>469</v>
      </c>
      <c r="D613" s="136" t="s">
        <v>470</v>
      </c>
      <c r="E613" s="136" t="s">
        <v>320</v>
      </c>
      <c r="F613" s="136" t="s">
        <v>536</v>
      </c>
      <c r="G613" s="136">
        <v>26</v>
      </c>
      <c r="H613" s="137">
        <v>38</v>
      </c>
      <c r="I613" s="138">
        <f t="shared" si="9"/>
        <v>988</v>
      </c>
      <c r="J613" s="139" t="s">
        <v>503</v>
      </c>
      <c r="K613" s="140">
        <v>20.748000000000001</v>
      </c>
      <c r="L613">
        <f>Table13[[#This Row],[Price]]*Table13[[#This Row],[Units]]</f>
        <v>988</v>
      </c>
    </row>
    <row r="614" spans="1:12" x14ac:dyDescent="0.35">
      <c r="A614" s="134">
        <v>45662</v>
      </c>
      <c r="B614" s="135" t="s">
        <v>1118</v>
      </c>
      <c r="C614" s="136" t="s">
        <v>484</v>
      </c>
      <c r="D614" s="136" t="s">
        <v>470</v>
      </c>
      <c r="E614" s="136" t="s">
        <v>483</v>
      </c>
      <c r="F614" s="136" t="s">
        <v>567</v>
      </c>
      <c r="G614" s="136">
        <v>53</v>
      </c>
      <c r="H614" s="137">
        <v>37</v>
      </c>
      <c r="I614" s="138">
        <f t="shared" si="9"/>
        <v>1961</v>
      </c>
      <c r="J614" s="139" t="s">
        <v>472</v>
      </c>
      <c r="K614" s="140">
        <v>43.142000000000003</v>
      </c>
      <c r="L614">
        <f>Table13[[#This Row],[Price]]*Table13[[#This Row],[Units]]</f>
        <v>1961</v>
      </c>
    </row>
    <row r="615" spans="1:12" x14ac:dyDescent="0.35">
      <c r="A615" s="134">
        <v>45662</v>
      </c>
      <c r="B615" s="135" t="s">
        <v>1119</v>
      </c>
      <c r="C615" s="136" t="s">
        <v>501</v>
      </c>
      <c r="D615" s="136" t="s">
        <v>486</v>
      </c>
      <c r="E615" s="136" t="s">
        <v>320</v>
      </c>
      <c r="F615" s="136" t="s">
        <v>454</v>
      </c>
      <c r="G615" s="136">
        <v>29</v>
      </c>
      <c r="H615" s="137">
        <v>32</v>
      </c>
      <c r="I615" s="138">
        <f t="shared" si="9"/>
        <v>928</v>
      </c>
      <c r="J615" s="139" t="s">
        <v>466</v>
      </c>
      <c r="K615" s="140">
        <v>20.416</v>
      </c>
      <c r="L615">
        <f>Table13[[#This Row],[Price]]*Table13[[#This Row],[Units]]</f>
        <v>928</v>
      </c>
    </row>
    <row r="616" spans="1:12" x14ac:dyDescent="0.35">
      <c r="A616" s="134">
        <v>45662</v>
      </c>
      <c r="B616" s="135" t="s">
        <v>1120</v>
      </c>
      <c r="C616" s="136" t="s">
        <v>476</v>
      </c>
      <c r="D616" s="136" t="s">
        <v>512</v>
      </c>
      <c r="E616" s="136" t="s">
        <v>320</v>
      </c>
      <c r="F616" s="136" t="s">
        <v>536</v>
      </c>
      <c r="G616" s="136">
        <v>59</v>
      </c>
      <c r="H616" s="137">
        <v>41</v>
      </c>
      <c r="I616" s="138">
        <f t="shared" si="9"/>
        <v>2419</v>
      </c>
      <c r="J616" s="139" t="s">
        <v>466</v>
      </c>
      <c r="K616" s="140">
        <v>50.798999999999999</v>
      </c>
      <c r="L616">
        <f>Table13[[#This Row],[Price]]*Table13[[#This Row],[Units]]</f>
        <v>2419</v>
      </c>
    </row>
    <row r="617" spans="1:12" x14ac:dyDescent="0.35">
      <c r="A617" s="134">
        <v>45662</v>
      </c>
      <c r="B617" s="135" t="s">
        <v>1121</v>
      </c>
      <c r="C617" s="136" t="s">
        <v>322</v>
      </c>
      <c r="D617" s="136" t="s">
        <v>490</v>
      </c>
      <c r="E617" s="136" t="s">
        <v>315</v>
      </c>
      <c r="F617" s="136" t="s">
        <v>567</v>
      </c>
      <c r="G617" s="136">
        <v>21</v>
      </c>
      <c r="H617" s="137">
        <v>44</v>
      </c>
      <c r="I617" s="138">
        <f t="shared" si="9"/>
        <v>924</v>
      </c>
      <c r="J617" s="139" t="s">
        <v>466</v>
      </c>
      <c r="K617" s="140">
        <v>26.795999999999999</v>
      </c>
      <c r="L617">
        <f>Table13[[#This Row],[Price]]*Table13[[#This Row],[Units]]</f>
        <v>924</v>
      </c>
    </row>
    <row r="618" spans="1:12" x14ac:dyDescent="0.35">
      <c r="A618" s="134">
        <v>45663</v>
      </c>
      <c r="B618" s="135" t="s">
        <v>1122</v>
      </c>
      <c r="C618" s="136" t="s">
        <v>492</v>
      </c>
      <c r="D618" s="136" t="s">
        <v>465</v>
      </c>
      <c r="E618" s="136" t="s">
        <v>390</v>
      </c>
      <c r="F618" s="136" t="s">
        <v>517</v>
      </c>
      <c r="G618" s="136">
        <v>28</v>
      </c>
      <c r="H618" s="137">
        <v>49</v>
      </c>
      <c r="I618" s="138">
        <f t="shared" si="9"/>
        <v>1372</v>
      </c>
      <c r="J618" s="139" t="s">
        <v>472</v>
      </c>
      <c r="K618" s="140">
        <v>28.812000000000001</v>
      </c>
      <c r="L618">
        <f>Table13[[#This Row],[Price]]*Table13[[#This Row],[Units]]</f>
        <v>1372</v>
      </c>
    </row>
    <row r="619" spans="1:12" x14ac:dyDescent="0.35">
      <c r="A619" s="134">
        <v>45664</v>
      </c>
      <c r="B619" s="135" t="s">
        <v>1123</v>
      </c>
      <c r="C619" s="136" t="s">
        <v>501</v>
      </c>
      <c r="D619" s="136" t="s">
        <v>470</v>
      </c>
      <c r="E619" s="136" t="s">
        <v>324</v>
      </c>
      <c r="F619" s="136" t="s">
        <v>500</v>
      </c>
      <c r="G619" s="136">
        <v>50</v>
      </c>
      <c r="H619" s="137">
        <v>47</v>
      </c>
      <c r="I619" s="138">
        <f t="shared" si="9"/>
        <v>2350</v>
      </c>
      <c r="J619" s="139" t="s">
        <v>466</v>
      </c>
      <c r="K619" s="140">
        <v>54.05</v>
      </c>
      <c r="L619">
        <f>Table13[[#This Row],[Price]]*Table13[[#This Row],[Units]]</f>
        <v>2350</v>
      </c>
    </row>
    <row r="620" spans="1:12" x14ac:dyDescent="0.35">
      <c r="A620" s="134">
        <v>45664</v>
      </c>
      <c r="B620" s="135" t="s">
        <v>1124</v>
      </c>
      <c r="C620" s="136" t="s">
        <v>494</v>
      </c>
      <c r="D620" s="136" t="s">
        <v>470</v>
      </c>
      <c r="E620" s="136" t="s">
        <v>333</v>
      </c>
      <c r="F620" s="136" t="s">
        <v>536</v>
      </c>
      <c r="G620" s="136">
        <v>58</v>
      </c>
      <c r="H620" s="137">
        <v>46</v>
      </c>
      <c r="I620" s="138">
        <f t="shared" si="9"/>
        <v>2668</v>
      </c>
      <c r="J620" s="139" t="s">
        <v>472</v>
      </c>
      <c r="K620" s="140">
        <v>66.7</v>
      </c>
      <c r="L620">
        <f>Table13[[#This Row],[Price]]*Table13[[#This Row],[Units]]</f>
        <v>2668</v>
      </c>
    </row>
    <row r="621" spans="1:12" x14ac:dyDescent="0.35">
      <c r="A621" s="134">
        <v>45664</v>
      </c>
      <c r="B621" s="135" t="s">
        <v>1125</v>
      </c>
      <c r="C621" s="136" t="s">
        <v>464</v>
      </c>
      <c r="D621" s="136" t="s">
        <v>470</v>
      </c>
      <c r="E621" s="136" t="s">
        <v>324</v>
      </c>
      <c r="F621" s="136" t="s">
        <v>497</v>
      </c>
      <c r="G621" s="136">
        <v>24</v>
      </c>
      <c r="H621" s="137">
        <v>35</v>
      </c>
      <c r="I621" s="138">
        <f t="shared" si="9"/>
        <v>840</v>
      </c>
      <c r="J621" s="139" t="s">
        <v>466</v>
      </c>
      <c r="K621" s="140">
        <v>23.52</v>
      </c>
      <c r="L621">
        <f>Table13[[#This Row],[Price]]*Table13[[#This Row],[Units]]</f>
        <v>840</v>
      </c>
    </row>
    <row r="622" spans="1:12" x14ac:dyDescent="0.35">
      <c r="A622" s="134">
        <v>45664</v>
      </c>
      <c r="B622" s="135" t="s">
        <v>1126</v>
      </c>
      <c r="C622" s="136" t="s">
        <v>494</v>
      </c>
      <c r="D622" s="136" t="s">
        <v>490</v>
      </c>
      <c r="E622" s="136" t="s">
        <v>333</v>
      </c>
      <c r="F622" s="136" t="s">
        <v>528</v>
      </c>
      <c r="G622" s="136">
        <v>55</v>
      </c>
      <c r="H622" s="137">
        <v>48</v>
      </c>
      <c r="I622" s="138">
        <f t="shared" si="9"/>
        <v>2640</v>
      </c>
      <c r="J622" s="139" t="s">
        <v>466</v>
      </c>
      <c r="K622" s="140">
        <v>55.44</v>
      </c>
      <c r="L622">
        <f>Table13[[#This Row],[Price]]*Table13[[#This Row],[Units]]</f>
        <v>2640</v>
      </c>
    </row>
    <row r="623" spans="1:12" x14ac:dyDescent="0.35">
      <c r="A623" s="134">
        <v>45664</v>
      </c>
      <c r="B623" s="135" t="s">
        <v>1127</v>
      </c>
      <c r="C623" s="136" t="s">
        <v>494</v>
      </c>
      <c r="D623" s="136" t="s">
        <v>477</v>
      </c>
      <c r="E623" s="136" t="s">
        <v>483</v>
      </c>
      <c r="F623" s="136" t="s">
        <v>505</v>
      </c>
      <c r="G623" s="136">
        <v>19</v>
      </c>
      <c r="H623" s="137">
        <v>73</v>
      </c>
      <c r="I623" s="138">
        <f t="shared" si="9"/>
        <v>1387</v>
      </c>
      <c r="J623" s="139" t="s">
        <v>472</v>
      </c>
      <c r="K623" s="140">
        <v>41.61</v>
      </c>
      <c r="L623">
        <f>Table13[[#This Row],[Price]]*Table13[[#This Row],[Units]]</f>
        <v>1387</v>
      </c>
    </row>
    <row r="624" spans="1:12" x14ac:dyDescent="0.35">
      <c r="A624" s="134">
        <v>45664</v>
      </c>
      <c r="B624" s="135" t="s">
        <v>1128</v>
      </c>
      <c r="C624" s="136" t="s">
        <v>492</v>
      </c>
      <c r="D624" s="136" t="s">
        <v>519</v>
      </c>
      <c r="E624" s="136" t="s">
        <v>333</v>
      </c>
      <c r="F624" s="136" t="s">
        <v>454</v>
      </c>
      <c r="G624" s="136">
        <v>37</v>
      </c>
      <c r="H624" s="137">
        <v>73</v>
      </c>
      <c r="I624" s="138">
        <f t="shared" si="9"/>
        <v>2701</v>
      </c>
      <c r="J624" s="139" t="s">
        <v>466</v>
      </c>
      <c r="K624" s="140">
        <v>59.421999999999997</v>
      </c>
      <c r="L624">
        <f>Table13[[#This Row],[Price]]*Table13[[#This Row],[Units]]</f>
        <v>2701</v>
      </c>
    </row>
    <row r="625" spans="1:12" x14ac:dyDescent="0.35">
      <c r="A625" s="134">
        <v>45664</v>
      </c>
      <c r="B625" s="135" t="s">
        <v>1129</v>
      </c>
      <c r="C625" s="136" t="s">
        <v>322</v>
      </c>
      <c r="D625" s="136" t="s">
        <v>470</v>
      </c>
      <c r="E625" s="136" t="s">
        <v>315</v>
      </c>
      <c r="F625" s="136" t="s">
        <v>500</v>
      </c>
      <c r="G625" s="136">
        <v>32</v>
      </c>
      <c r="H625" s="137">
        <v>34</v>
      </c>
      <c r="I625" s="138">
        <f t="shared" si="9"/>
        <v>1088</v>
      </c>
      <c r="J625" s="139" t="s">
        <v>466</v>
      </c>
      <c r="K625" s="140">
        <v>23.936</v>
      </c>
      <c r="L625">
        <f>Table13[[#This Row],[Price]]*Table13[[#This Row],[Units]]</f>
        <v>1088</v>
      </c>
    </row>
    <row r="626" spans="1:12" x14ac:dyDescent="0.35">
      <c r="A626" s="134">
        <v>45664</v>
      </c>
      <c r="B626" s="135" t="s">
        <v>1130</v>
      </c>
      <c r="C626" s="136" t="s">
        <v>322</v>
      </c>
      <c r="D626" s="136" t="s">
        <v>470</v>
      </c>
      <c r="E626" s="136" t="s">
        <v>483</v>
      </c>
      <c r="F626" s="136" t="s">
        <v>513</v>
      </c>
      <c r="G626" s="136">
        <v>46</v>
      </c>
      <c r="H626" s="137">
        <v>42</v>
      </c>
      <c r="I626" s="138">
        <f t="shared" si="9"/>
        <v>1932</v>
      </c>
      <c r="J626" s="139" t="s">
        <v>466</v>
      </c>
      <c r="K626" s="140">
        <v>38.64</v>
      </c>
      <c r="L626">
        <f>Table13[[#This Row],[Price]]*Table13[[#This Row],[Units]]</f>
        <v>1932</v>
      </c>
    </row>
    <row r="627" spans="1:12" x14ac:dyDescent="0.35">
      <c r="A627" s="134">
        <v>45664</v>
      </c>
      <c r="B627" s="135" t="s">
        <v>1131</v>
      </c>
      <c r="C627" s="136" t="s">
        <v>484</v>
      </c>
      <c r="D627" s="136" t="s">
        <v>519</v>
      </c>
      <c r="E627" s="136" t="s">
        <v>412</v>
      </c>
      <c r="F627" s="136" t="s">
        <v>513</v>
      </c>
      <c r="G627" s="136">
        <v>53</v>
      </c>
      <c r="H627" s="137">
        <v>36</v>
      </c>
      <c r="I627" s="138">
        <f t="shared" si="9"/>
        <v>1908</v>
      </c>
      <c r="J627" s="139" t="s">
        <v>472</v>
      </c>
      <c r="K627" s="140">
        <v>45.792000000000002</v>
      </c>
      <c r="L627">
        <f>Table13[[#This Row],[Price]]*Table13[[#This Row],[Units]]</f>
        <v>1908</v>
      </c>
    </row>
    <row r="628" spans="1:12" x14ac:dyDescent="0.35">
      <c r="A628" s="134">
        <v>45664</v>
      </c>
      <c r="B628" s="135" t="s">
        <v>1132</v>
      </c>
      <c r="C628" s="136" t="s">
        <v>494</v>
      </c>
      <c r="D628" s="136" t="s">
        <v>477</v>
      </c>
      <c r="E628" s="136" t="s">
        <v>320</v>
      </c>
      <c r="F628" s="136" t="s">
        <v>567</v>
      </c>
      <c r="G628" s="136">
        <v>33</v>
      </c>
      <c r="H628" s="137">
        <v>73</v>
      </c>
      <c r="I628" s="138">
        <f t="shared" si="9"/>
        <v>2409</v>
      </c>
      <c r="J628" s="139" t="s">
        <v>472</v>
      </c>
      <c r="K628" s="140">
        <v>50.588999999999999</v>
      </c>
      <c r="L628">
        <f>Table13[[#This Row],[Price]]*Table13[[#This Row],[Units]]</f>
        <v>2409</v>
      </c>
    </row>
    <row r="629" spans="1:12" x14ac:dyDescent="0.35">
      <c r="A629" s="134">
        <v>45664</v>
      </c>
      <c r="B629" s="135" t="s">
        <v>1133</v>
      </c>
      <c r="C629" s="136" t="s">
        <v>464</v>
      </c>
      <c r="D629" s="136" t="s">
        <v>470</v>
      </c>
      <c r="E629" s="136" t="s">
        <v>324</v>
      </c>
      <c r="F629" s="136" t="s">
        <v>454</v>
      </c>
      <c r="G629" s="136">
        <v>20</v>
      </c>
      <c r="H629" s="137">
        <v>59</v>
      </c>
      <c r="I629" s="138">
        <f t="shared" si="9"/>
        <v>1180</v>
      </c>
      <c r="J629" s="139" t="s">
        <v>466</v>
      </c>
      <c r="K629" s="140">
        <v>31.86</v>
      </c>
      <c r="L629">
        <f>Table13[[#This Row],[Price]]*Table13[[#This Row],[Units]]</f>
        <v>1180</v>
      </c>
    </row>
    <row r="630" spans="1:12" x14ac:dyDescent="0.35">
      <c r="A630" s="134">
        <v>45664</v>
      </c>
      <c r="B630" s="135" t="s">
        <v>1134</v>
      </c>
      <c r="C630" s="136" t="s">
        <v>464</v>
      </c>
      <c r="D630" s="136" t="s">
        <v>512</v>
      </c>
      <c r="E630" s="136" t="s">
        <v>483</v>
      </c>
      <c r="F630" s="136" t="s">
        <v>536</v>
      </c>
      <c r="G630" s="136">
        <v>46</v>
      </c>
      <c r="H630" s="137">
        <v>30</v>
      </c>
      <c r="I630" s="138">
        <f t="shared" si="9"/>
        <v>1380</v>
      </c>
      <c r="J630" s="139" t="s">
        <v>472</v>
      </c>
      <c r="K630" s="140">
        <v>37.26</v>
      </c>
      <c r="L630">
        <f>Table13[[#This Row],[Price]]*Table13[[#This Row],[Units]]</f>
        <v>1380</v>
      </c>
    </row>
    <row r="631" spans="1:12" x14ac:dyDescent="0.35">
      <c r="A631" s="134">
        <v>45664</v>
      </c>
      <c r="B631" s="135" t="s">
        <v>1135</v>
      </c>
      <c r="C631" s="136" t="s">
        <v>469</v>
      </c>
      <c r="D631" s="136" t="s">
        <v>465</v>
      </c>
      <c r="E631" s="136" t="s">
        <v>333</v>
      </c>
      <c r="F631" s="136" t="s">
        <v>536</v>
      </c>
      <c r="G631" s="136">
        <v>38</v>
      </c>
      <c r="H631" s="137">
        <v>36</v>
      </c>
      <c r="I631" s="138">
        <f t="shared" si="9"/>
        <v>1368</v>
      </c>
      <c r="J631" s="139" t="s">
        <v>466</v>
      </c>
      <c r="K631" s="140">
        <v>32.832000000000001</v>
      </c>
      <c r="L631">
        <f>Table13[[#This Row],[Price]]*Table13[[#This Row],[Units]]</f>
        <v>1368</v>
      </c>
    </row>
    <row r="632" spans="1:12" x14ac:dyDescent="0.35">
      <c r="A632" s="134">
        <v>45664</v>
      </c>
      <c r="B632" s="135" t="s">
        <v>1136</v>
      </c>
      <c r="C632" s="136" t="s">
        <v>492</v>
      </c>
      <c r="D632" s="136" t="s">
        <v>477</v>
      </c>
      <c r="E632" s="136" t="s">
        <v>315</v>
      </c>
      <c r="F632" s="136" t="s">
        <v>517</v>
      </c>
      <c r="G632" s="136">
        <v>20</v>
      </c>
      <c r="H632" s="137">
        <v>67</v>
      </c>
      <c r="I632" s="138">
        <f t="shared" si="9"/>
        <v>1340</v>
      </c>
      <c r="J632" s="139" t="s">
        <v>466</v>
      </c>
      <c r="K632" s="140">
        <v>32.159999999999997</v>
      </c>
      <c r="L632">
        <f>Table13[[#This Row],[Price]]*Table13[[#This Row],[Units]]</f>
        <v>1340</v>
      </c>
    </row>
    <row r="633" spans="1:12" x14ac:dyDescent="0.35">
      <c r="A633" s="134">
        <v>45664</v>
      </c>
      <c r="B633" s="135" t="s">
        <v>1137</v>
      </c>
      <c r="C633" s="136" t="s">
        <v>489</v>
      </c>
      <c r="D633" s="136" t="s">
        <v>519</v>
      </c>
      <c r="E633" s="136" t="s">
        <v>390</v>
      </c>
      <c r="F633" s="136" t="s">
        <v>567</v>
      </c>
      <c r="G633" s="136">
        <v>30</v>
      </c>
      <c r="H633" s="137">
        <v>67</v>
      </c>
      <c r="I633" s="138">
        <f t="shared" si="9"/>
        <v>2010</v>
      </c>
      <c r="J633" s="139" t="s">
        <v>466</v>
      </c>
      <c r="K633" s="140">
        <v>40.200000000000003</v>
      </c>
      <c r="L633">
        <f>Table13[[#This Row],[Price]]*Table13[[#This Row],[Units]]</f>
        <v>2010</v>
      </c>
    </row>
    <row r="634" spans="1:12" x14ac:dyDescent="0.35">
      <c r="A634" s="134">
        <v>45664</v>
      </c>
      <c r="B634" s="135" t="s">
        <v>1138</v>
      </c>
      <c r="C634" s="136" t="s">
        <v>501</v>
      </c>
      <c r="D634" s="136" t="s">
        <v>490</v>
      </c>
      <c r="E634" s="136" t="s">
        <v>315</v>
      </c>
      <c r="F634" s="136" t="s">
        <v>478</v>
      </c>
      <c r="G634" s="136">
        <v>50</v>
      </c>
      <c r="H634" s="137">
        <v>79</v>
      </c>
      <c r="I634" s="138">
        <f t="shared" si="9"/>
        <v>3950</v>
      </c>
      <c r="J634" s="139" t="s">
        <v>472</v>
      </c>
      <c r="K634" s="140">
        <v>79</v>
      </c>
      <c r="L634">
        <f>Table13[[#This Row],[Price]]*Table13[[#This Row],[Units]]</f>
        <v>3950</v>
      </c>
    </row>
    <row r="635" spans="1:12" x14ac:dyDescent="0.35">
      <c r="A635" s="134">
        <v>45664</v>
      </c>
      <c r="B635" s="135" t="s">
        <v>1139</v>
      </c>
      <c r="C635" s="136" t="s">
        <v>464</v>
      </c>
      <c r="D635" s="136" t="s">
        <v>470</v>
      </c>
      <c r="E635" s="136" t="s">
        <v>324</v>
      </c>
      <c r="F635" s="136" t="s">
        <v>487</v>
      </c>
      <c r="G635" s="136">
        <v>38</v>
      </c>
      <c r="H635" s="137">
        <v>59</v>
      </c>
      <c r="I635" s="138">
        <f t="shared" si="9"/>
        <v>2242</v>
      </c>
      <c r="J635" s="139" t="s">
        <v>466</v>
      </c>
      <c r="K635" s="140">
        <v>44.84</v>
      </c>
      <c r="L635">
        <f>Table13[[#This Row],[Price]]*Table13[[#This Row],[Units]]</f>
        <v>2242</v>
      </c>
    </row>
    <row r="636" spans="1:12" x14ac:dyDescent="0.35">
      <c r="A636" s="134">
        <v>45664</v>
      </c>
      <c r="B636" s="135" t="s">
        <v>1140</v>
      </c>
      <c r="C636" s="136" t="s">
        <v>494</v>
      </c>
      <c r="D636" s="136" t="s">
        <v>470</v>
      </c>
      <c r="E636" s="136" t="s">
        <v>324</v>
      </c>
      <c r="F636" s="136" t="s">
        <v>491</v>
      </c>
      <c r="G636" s="136">
        <v>27</v>
      </c>
      <c r="H636" s="137">
        <v>59</v>
      </c>
      <c r="I636" s="138">
        <f t="shared" si="9"/>
        <v>1593</v>
      </c>
      <c r="J636" s="139" t="s">
        <v>466</v>
      </c>
      <c r="K636" s="140">
        <v>33.453000000000003</v>
      </c>
      <c r="L636">
        <f>Table13[[#This Row],[Price]]*Table13[[#This Row],[Units]]</f>
        <v>1593</v>
      </c>
    </row>
    <row r="637" spans="1:12" x14ac:dyDescent="0.35">
      <c r="A637" s="134">
        <v>45664</v>
      </c>
      <c r="B637" s="135" t="s">
        <v>1141</v>
      </c>
      <c r="C637" s="136" t="s">
        <v>494</v>
      </c>
      <c r="D637" s="136" t="s">
        <v>470</v>
      </c>
      <c r="E637" s="136" t="s">
        <v>320</v>
      </c>
      <c r="F637" s="136" t="s">
        <v>520</v>
      </c>
      <c r="G637" s="136">
        <v>49</v>
      </c>
      <c r="H637" s="137">
        <v>65</v>
      </c>
      <c r="I637" s="138">
        <f t="shared" si="9"/>
        <v>3185</v>
      </c>
      <c r="J637" s="139" t="s">
        <v>515</v>
      </c>
      <c r="K637" s="140">
        <v>89.18</v>
      </c>
      <c r="L637">
        <f>Table13[[#This Row],[Price]]*Table13[[#This Row],[Units]]</f>
        <v>3185</v>
      </c>
    </row>
    <row r="638" spans="1:12" x14ac:dyDescent="0.35">
      <c r="A638" s="134">
        <v>45664</v>
      </c>
      <c r="B638" s="135" t="s">
        <v>1142</v>
      </c>
      <c r="C638" s="136" t="s">
        <v>476</v>
      </c>
      <c r="D638" s="136" t="s">
        <v>512</v>
      </c>
      <c r="E638" s="136" t="s">
        <v>315</v>
      </c>
      <c r="F638" s="136" t="s">
        <v>520</v>
      </c>
      <c r="G638" s="136">
        <v>22</v>
      </c>
      <c r="H638" s="137">
        <v>55</v>
      </c>
      <c r="I638" s="138">
        <f t="shared" si="9"/>
        <v>1210</v>
      </c>
      <c r="J638" s="139" t="s">
        <v>466</v>
      </c>
      <c r="K638" s="140">
        <v>33.880000000000003</v>
      </c>
      <c r="L638">
        <f>Table13[[#This Row],[Price]]*Table13[[#This Row],[Units]]</f>
        <v>1210</v>
      </c>
    </row>
    <row r="639" spans="1:12" x14ac:dyDescent="0.35">
      <c r="A639" s="134">
        <v>45664</v>
      </c>
      <c r="B639" s="135" t="s">
        <v>1143</v>
      </c>
      <c r="C639" s="136" t="s">
        <v>476</v>
      </c>
      <c r="D639" s="136" t="s">
        <v>512</v>
      </c>
      <c r="E639" s="136" t="s">
        <v>412</v>
      </c>
      <c r="F639" s="136" t="s">
        <v>454</v>
      </c>
      <c r="G639" s="136">
        <v>37</v>
      </c>
      <c r="H639" s="137">
        <v>47</v>
      </c>
      <c r="I639" s="138">
        <f t="shared" si="9"/>
        <v>1739</v>
      </c>
      <c r="J639" s="139" t="s">
        <v>466</v>
      </c>
      <c r="K639" s="140">
        <v>45.213999999999999</v>
      </c>
      <c r="L639">
        <f>Table13[[#This Row],[Price]]*Table13[[#This Row],[Units]]</f>
        <v>1739</v>
      </c>
    </row>
    <row r="640" spans="1:12" x14ac:dyDescent="0.35">
      <c r="A640" s="134">
        <v>45665</v>
      </c>
      <c r="B640" s="135" t="s">
        <v>1144</v>
      </c>
      <c r="C640" s="136" t="s">
        <v>489</v>
      </c>
      <c r="D640" s="136" t="s">
        <v>470</v>
      </c>
      <c r="E640" s="136" t="s">
        <v>315</v>
      </c>
      <c r="F640" s="136" t="s">
        <v>454</v>
      </c>
      <c r="G640" s="136">
        <v>34</v>
      </c>
      <c r="H640" s="137">
        <v>60</v>
      </c>
      <c r="I640" s="138">
        <f t="shared" si="9"/>
        <v>2040</v>
      </c>
      <c r="J640" s="139" t="s">
        <v>466</v>
      </c>
      <c r="K640" s="140">
        <v>48.96</v>
      </c>
      <c r="L640">
        <f>Table13[[#This Row],[Price]]*Table13[[#This Row],[Units]]</f>
        <v>2040</v>
      </c>
    </row>
    <row r="641" spans="1:12" x14ac:dyDescent="0.35">
      <c r="A641" s="134">
        <v>45665</v>
      </c>
      <c r="B641" s="135" t="s">
        <v>1145</v>
      </c>
      <c r="C641" s="136" t="s">
        <v>484</v>
      </c>
      <c r="D641" s="136" t="s">
        <v>490</v>
      </c>
      <c r="E641" s="136" t="s">
        <v>320</v>
      </c>
      <c r="F641" s="136" t="s">
        <v>517</v>
      </c>
      <c r="G641" s="136">
        <v>19</v>
      </c>
      <c r="H641" s="137">
        <v>52</v>
      </c>
      <c r="I641" s="138">
        <f t="shared" si="9"/>
        <v>988</v>
      </c>
      <c r="J641" s="139" t="s">
        <v>466</v>
      </c>
      <c r="K641" s="140">
        <v>25.687999999999999</v>
      </c>
      <c r="L641">
        <f>Table13[[#This Row],[Price]]*Table13[[#This Row],[Units]]</f>
        <v>988</v>
      </c>
    </row>
    <row r="642" spans="1:12" x14ac:dyDescent="0.35">
      <c r="A642" s="134">
        <v>45665</v>
      </c>
      <c r="B642" s="135" t="s">
        <v>1146</v>
      </c>
      <c r="C642" s="136" t="s">
        <v>322</v>
      </c>
      <c r="D642" s="136" t="s">
        <v>470</v>
      </c>
      <c r="E642" s="136" t="s">
        <v>333</v>
      </c>
      <c r="F642" s="136" t="s">
        <v>536</v>
      </c>
      <c r="G642" s="136">
        <v>12</v>
      </c>
      <c r="H642" s="137">
        <v>69</v>
      </c>
      <c r="I642" s="138">
        <f t="shared" si="9"/>
        <v>828</v>
      </c>
      <c r="J642" s="139" t="s">
        <v>466</v>
      </c>
      <c r="K642" s="140">
        <v>24.012</v>
      </c>
      <c r="L642">
        <f>Table13[[#This Row],[Price]]*Table13[[#This Row],[Units]]</f>
        <v>828</v>
      </c>
    </row>
    <row r="643" spans="1:12" x14ac:dyDescent="0.35">
      <c r="A643" s="134">
        <v>45665</v>
      </c>
      <c r="B643" s="135" t="s">
        <v>1147</v>
      </c>
      <c r="C643" s="136" t="s">
        <v>501</v>
      </c>
      <c r="D643" s="136" t="s">
        <v>477</v>
      </c>
      <c r="E643" s="136" t="s">
        <v>483</v>
      </c>
      <c r="F643" s="136" t="s">
        <v>536</v>
      </c>
      <c r="G643" s="136">
        <v>11</v>
      </c>
      <c r="H643" s="137">
        <v>63</v>
      </c>
      <c r="I643" s="138">
        <f t="shared" ref="I643:I706" si="10">G643*H643</f>
        <v>693</v>
      </c>
      <c r="J643" s="139" t="s">
        <v>466</v>
      </c>
      <c r="K643" s="140">
        <v>13.86</v>
      </c>
      <c r="L643">
        <f>Table13[[#This Row],[Price]]*Table13[[#This Row],[Units]]</f>
        <v>693</v>
      </c>
    </row>
    <row r="644" spans="1:12" x14ac:dyDescent="0.35">
      <c r="A644" s="134">
        <v>45665</v>
      </c>
      <c r="B644" s="135" t="s">
        <v>1148</v>
      </c>
      <c r="C644" s="136" t="s">
        <v>489</v>
      </c>
      <c r="D644" s="136" t="s">
        <v>477</v>
      </c>
      <c r="E644" s="136" t="s">
        <v>320</v>
      </c>
      <c r="F644" s="136" t="s">
        <v>487</v>
      </c>
      <c r="G644" s="136">
        <v>41</v>
      </c>
      <c r="H644" s="137">
        <v>48</v>
      </c>
      <c r="I644" s="138">
        <f t="shared" si="10"/>
        <v>1968</v>
      </c>
      <c r="J644" s="139" t="s">
        <v>466</v>
      </c>
      <c r="K644" s="140">
        <v>49.2</v>
      </c>
      <c r="L644">
        <f>Table13[[#This Row],[Price]]*Table13[[#This Row],[Units]]</f>
        <v>1968</v>
      </c>
    </row>
    <row r="645" spans="1:12" x14ac:dyDescent="0.35">
      <c r="A645" s="134">
        <v>45666</v>
      </c>
      <c r="B645" s="135" t="s">
        <v>1149</v>
      </c>
      <c r="C645" s="136" t="s">
        <v>469</v>
      </c>
      <c r="D645" s="136" t="s">
        <v>470</v>
      </c>
      <c r="E645" s="136" t="s">
        <v>320</v>
      </c>
      <c r="F645" s="136" t="s">
        <v>539</v>
      </c>
      <c r="G645" s="136">
        <v>27</v>
      </c>
      <c r="H645" s="137">
        <v>30</v>
      </c>
      <c r="I645" s="138">
        <f t="shared" si="10"/>
        <v>810</v>
      </c>
      <c r="J645" s="139" t="s">
        <v>466</v>
      </c>
      <c r="K645" s="140">
        <v>17.82</v>
      </c>
      <c r="L645">
        <f>Table13[[#This Row],[Price]]*Table13[[#This Row],[Units]]</f>
        <v>810</v>
      </c>
    </row>
    <row r="646" spans="1:12" x14ac:dyDescent="0.35">
      <c r="A646" s="134">
        <v>45666</v>
      </c>
      <c r="B646" s="135" t="s">
        <v>1150</v>
      </c>
      <c r="C646" s="136" t="s">
        <v>492</v>
      </c>
      <c r="D646" s="136" t="s">
        <v>519</v>
      </c>
      <c r="E646" s="136" t="s">
        <v>390</v>
      </c>
      <c r="F646" s="136" t="s">
        <v>510</v>
      </c>
      <c r="G646" s="136">
        <v>49</v>
      </c>
      <c r="H646" s="137">
        <v>31</v>
      </c>
      <c r="I646" s="138">
        <f t="shared" si="10"/>
        <v>1519</v>
      </c>
      <c r="J646" s="139" t="s">
        <v>472</v>
      </c>
      <c r="K646" s="140">
        <v>44.051000000000002</v>
      </c>
      <c r="L646">
        <f>Table13[[#This Row],[Price]]*Table13[[#This Row],[Units]]</f>
        <v>1519</v>
      </c>
    </row>
    <row r="647" spans="1:12" x14ac:dyDescent="0.35">
      <c r="A647" s="134">
        <v>45666</v>
      </c>
      <c r="B647" s="135" t="s">
        <v>1151</v>
      </c>
      <c r="C647" s="136" t="s">
        <v>492</v>
      </c>
      <c r="D647" s="136" t="s">
        <v>519</v>
      </c>
      <c r="E647" s="136" t="s">
        <v>324</v>
      </c>
      <c r="F647" s="136" t="s">
        <v>497</v>
      </c>
      <c r="G647" s="136">
        <v>15</v>
      </c>
      <c r="H647" s="137">
        <v>48</v>
      </c>
      <c r="I647" s="138">
        <f t="shared" si="10"/>
        <v>720</v>
      </c>
      <c r="J647" s="139" t="s">
        <v>466</v>
      </c>
      <c r="K647" s="140">
        <v>17.28</v>
      </c>
      <c r="L647">
        <f>Table13[[#This Row],[Price]]*Table13[[#This Row],[Units]]</f>
        <v>720</v>
      </c>
    </row>
    <row r="648" spans="1:12" x14ac:dyDescent="0.35">
      <c r="A648" s="134">
        <v>45666</v>
      </c>
      <c r="B648" s="135" t="s">
        <v>1152</v>
      </c>
      <c r="C648" s="136" t="s">
        <v>476</v>
      </c>
      <c r="D648" s="136" t="s">
        <v>486</v>
      </c>
      <c r="E648" s="136" t="s">
        <v>333</v>
      </c>
      <c r="F648" s="136" t="s">
        <v>539</v>
      </c>
      <c r="G648" s="136">
        <v>27</v>
      </c>
      <c r="H648" s="137">
        <v>64</v>
      </c>
      <c r="I648" s="138">
        <f t="shared" si="10"/>
        <v>1728</v>
      </c>
      <c r="J648" s="139" t="s">
        <v>515</v>
      </c>
      <c r="K648" s="140">
        <v>51.84</v>
      </c>
      <c r="L648">
        <f>Table13[[#This Row],[Price]]*Table13[[#This Row],[Units]]</f>
        <v>1728</v>
      </c>
    </row>
    <row r="649" spans="1:12" x14ac:dyDescent="0.35">
      <c r="A649" s="134">
        <v>45666</v>
      </c>
      <c r="B649" s="135" t="s">
        <v>1153</v>
      </c>
      <c r="C649" s="136" t="s">
        <v>501</v>
      </c>
      <c r="D649" s="136" t="s">
        <v>519</v>
      </c>
      <c r="E649" s="136" t="s">
        <v>333</v>
      </c>
      <c r="F649" s="136" t="s">
        <v>491</v>
      </c>
      <c r="G649" s="136">
        <v>19</v>
      </c>
      <c r="H649" s="137">
        <v>69</v>
      </c>
      <c r="I649" s="138">
        <f t="shared" si="10"/>
        <v>1311</v>
      </c>
      <c r="J649" s="139" t="s">
        <v>466</v>
      </c>
      <c r="K649" s="140">
        <v>34.085999999999999</v>
      </c>
      <c r="L649">
        <f>Table13[[#This Row],[Price]]*Table13[[#This Row],[Units]]</f>
        <v>1311</v>
      </c>
    </row>
    <row r="650" spans="1:12" x14ac:dyDescent="0.35">
      <c r="A650" s="134">
        <v>45666</v>
      </c>
      <c r="B650" s="135" t="s">
        <v>1154</v>
      </c>
      <c r="C650" s="136" t="s">
        <v>501</v>
      </c>
      <c r="D650" s="136" t="s">
        <v>490</v>
      </c>
      <c r="E650" s="136" t="s">
        <v>324</v>
      </c>
      <c r="F650" s="136" t="s">
        <v>539</v>
      </c>
      <c r="G650" s="136">
        <v>33</v>
      </c>
      <c r="H650" s="137">
        <v>79</v>
      </c>
      <c r="I650" s="138">
        <f t="shared" si="10"/>
        <v>2607</v>
      </c>
      <c r="J650" s="139" t="s">
        <v>466</v>
      </c>
      <c r="K650" s="140">
        <v>62.567999999999998</v>
      </c>
      <c r="L650">
        <f>Table13[[#This Row],[Price]]*Table13[[#This Row],[Units]]</f>
        <v>2607</v>
      </c>
    </row>
    <row r="651" spans="1:12" x14ac:dyDescent="0.35">
      <c r="A651" s="134">
        <v>45666</v>
      </c>
      <c r="B651" s="135" t="s">
        <v>1155</v>
      </c>
      <c r="C651" s="136" t="s">
        <v>489</v>
      </c>
      <c r="D651" s="136" t="s">
        <v>470</v>
      </c>
      <c r="E651" s="136" t="s">
        <v>315</v>
      </c>
      <c r="F651" s="136" t="s">
        <v>520</v>
      </c>
      <c r="G651" s="136">
        <v>53</v>
      </c>
      <c r="H651" s="137">
        <v>38</v>
      </c>
      <c r="I651" s="138">
        <f t="shared" si="10"/>
        <v>2014</v>
      </c>
      <c r="J651" s="139" t="s">
        <v>515</v>
      </c>
      <c r="K651" s="140">
        <v>52.363999999999997</v>
      </c>
      <c r="L651">
        <f>Table13[[#This Row],[Price]]*Table13[[#This Row],[Units]]</f>
        <v>2014</v>
      </c>
    </row>
    <row r="652" spans="1:12" x14ac:dyDescent="0.35">
      <c r="A652" s="134">
        <v>45666</v>
      </c>
      <c r="B652" s="135" t="s">
        <v>1156</v>
      </c>
      <c r="C652" s="136" t="s">
        <v>492</v>
      </c>
      <c r="D652" s="136" t="s">
        <v>470</v>
      </c>
      <c r="E652" s="136" t="s">
        <v>333</v>
      </c>
      <c r="F652" s="136" t="s">
        <v>510</v>
      </c>
      <c r="G652" s="136">
        <v>16</v>
      </c>
      <c r="H652" s="137">
        <v>47</v>
      </c>
      <c r="I652" s="138">
        <f t="shared" si="10"/>
        <v>752</v>
      </c>
      <c r="J652" s="139" t="s">
        <v>466</v>
      </c>
      <c r="K652" s="140">
        <v>18.8</v>
      </c>
      <c r="L652">
        <f>Table13[[#This Row],[Price]]*Table13[[#This Row],[Units]]</f>
        <v>752</v>
      </c>
    </row>
    <row r="653" spans="1:12" x14ac:dyDescent="0.35">
      <c r="A653" s="134">
        <v>45666</v>
      </c>
      <c r="B653" s="135" t="s">
        <v>1157</v>
      </c>
      <c r="C653" s="136" t="s">
        <v>494</v>
      </c>
      <c r="D653" s="136" t="s">
        <v>477</v>
      </c>
      <c r="E653" s="136" t="s">
        <v>324</v>
      </c>
      <c r="F653" s="136" t="s">
        <v>505</v>
      </c>
      <c r="G653" s="136">
        <v>49</v>
      </c>
      <c r="H653" s="137">
        <v>43</v>
      </c>
      <c r="I653" s="138">
        <f t="shared" si="10"/>
        <v>2107</v>
      </c>
      <c r="J653" s="139" t="s">
        <v>515</v>
      </c>
      <c r="K653" s="140">
        <v>56.889000000000003</v>
      </c>
      <c r="L653">
        <f>Table13[[#This Row],[Price]]*Table13[[#This Row],[Units]]</f>
        <v>2107</v>
      </c>
    </row>
    <row r="654" spans="1:12" x14ac:dyDescent="0.35">
      <c r="A654" s="134">
        <v>45667</v>
      </c>
      <c r="B654" s="135" t="s">
        <v>1158</v>
      </c>
      <c r="C654" s="136" t="s">
        <v>489</v>
      </c>
      <c r="D654" s="136" t="s">
        <v>477</v>
      </c>
      <c r="E654" s="136" t="s">
        <v>333</v>
      </c>
      <c r="F654" s="136" t="s">
        <v>510</v>
      </c>
      <c r="G654" s="136">
        <v>22</v>
      </c>
      <c r="H654" s="137">
        <v>53</v>
      </c>
      <c r="I654" s="138">
        <f t="shared" si="10"/>
        <v>1166</v>
      </c>
      <c r="J654" s="139" t="s">
        <v>503</v>
      </c>
      <c r="K654" s="140">
        <v>25.652000000000001</v>
      </c>
      <c r="L654">
        <f>Table13[[#This Row],[Price]]*Table13[[#This Row],[Units]]</f>
        <v>1166</v>
      </c>
    </row>
    <row r="655" spans="1:12" x14ac:dyDescent="0.35">
      <c r="A655" s="134">
        <v>45667</v>
      </c>
      <c r="B655" s="135" t="s">
        <v>1159</v>
      </c>
      <c r="C655" s="136" t="s">
        <v>492</v>
      </c>
      <c r="D655" s="136" t="s">
        <v>512</v>
      </c>
      <c r="E655" s="136" t="s">
        <v>390</v>
      </c>
      <c r="F655" s="136" t="s">
        <v>500</v>
      </c>
      <c r="G655" s="136">
        <v>30</v>
      </c>
      <c r="H655" s="137">
        <v>55</v>
      </c>
      <c r="I655" s="138">
        <f t="shared" si="10"/>
        <v>1650</v>
      </c>
      <c r="J655" s="139" t="s">
        <v>466</v>
      </c>
      <c r="K655" s="140">
        <v>34.65</v>
      </c>
      <c r="L655">
        <f>Table13[[#This Row],[Price]]*Table13[[#This Row],[Units]]</f>
        <v>1650</v>
      </c>
    </row>
    <row r="656" spans="1:12" x14ac:dyDescent="0.35">
      <c r="A656" s="134">
        <v>45667</v>
      </c>
      <c r="B656" s="135" t="s">
        <v>1160</v>
      </c>
      <c r="C656" s="136" t="s">
        <v>469</v>
      </c>
      <c r="D656" s="136" t="s">
        <v>512</v>
      </c>
      <c r="E656" s="136" t="s">
        <v>320</v>
      </c>
      <c r="F656" s="136" t="s">
        <v>497</v>
      </c>
      <c r="G656" s="136">
        <v>14</v>
      </c>
      <c r="H656" s="137">
        <v>68</v>
      </c>
      <c r="I656" s="138">
        <f t="shared" si="10"/>
        <v>952</v>
      </c>
      <c r="J656" s="139" t="s">
        <v>503</v>
      </c>
      <c r="K656" s="140">
        <v>28.56</v>
      </c>
      <c r="L656">
        <f>Table13[[#This Row],[Price]]*Table13[[#This Row],[Units]]</f>
        <v>952</v>
      </c>
    </row>
    <row r="657" spans="1:12" x14ac:dyDescent="0.35">
      <c r="A657" s="134">
        <v>45667</v>
      </c>
      <c r="B657" s="135" t="s">
        <v>1161</v>
      </c>
      <c r="C657" s="136" t="s">
        <v>476</v>
      </c>
      <c r="D657" s="136" t="s">
        <v>477</v>
      </c>
      <c r="E657" s="136" t="s">
        <v>333</v>
      </c>
      <c r="F657" s="136" t="s">
        <v>454</v>
      </c>
      <c r="G657" s="136">
        <v>59</v>
      </c>
      <c r="H657" s="137">
        <v>63</v>
      </c>
      <c r="I657" s="138">
        <f t="shared" si="10"/>
        <v>3717</v>
      </c>
      <c r="J657" s="139" t="s">
        <v>466</v>
      </c>
      <c r="K657" s="140">
        <v>89.207999999999998</v>
      </c>
      <c r="L657">
        <f>Table13[[#This Row],[Price]]*Table13[[#This Row],[Units]]</f>
        <v>3717</v>
      </c>
    </row>
    <row r="658" spans="1:12" x14ac:dyDescent="0.35">
      <c r="A658" s="134">
        <v>45667</v>
      </c>
      <c r="B658" s="135" t="s">
        <v>1162</v>
      </c>
      <c r="C658" s="136" t="s">
        <v>494</v>
      </c>
      <c r="D658" s="136" t="s">
        <v>477</v>
      </c>
      <c r="E658" s="136" t="s">
        <v>412</v>
      </c>
      <c r="F658" s="136" t="s">
        <v>567</v>
      </c>
      <c r="G658" s="136">
        <v>51</v>
      </c>
      <c r="H658" s="137">
        <v>78</v>
      </c>
      <c r="I658" s="138">
        <f t="shared" si="10"/>
        <v>3978</v>
      </c>
      <c r="J658" s="139" t="s">
        <v>472</v>
      </c>
      <c r="K658" s="140">
        <v>103.428</v>
      </c>
      <c r="L658">
        <f>Table13[[#This Row],[Price]]*Table13[[#This Row],[Units]]</f>
        <v>3978</v>
      </c>
    </row>
    <row r="659" spans="1:12" x14ac:dyDescent="0.35">
      <c r="A659" s="134">
        <v>45667</v>
      </c>
      <c r="B659" s="135" t="s">
        <v>1163</v>
      </c>
      <c r="C659" s="136" t="s">
        <v>469</v>
      </c>
      <c r="D659" s="136" t="s">
        <v>519</v>
      </c>
      <c r="E659" s="136" t="s">
        <v>390</v>
      </c>
      <c r="F659" s="136" t="s">
        <v>505</v>
      </c>
      <c r="G659" s="136">
        <v>14</v>
      </c>
      <c r="H659" s="137">
        <v>59</v>
      </c>
      <c r="I659" s="138">
        <f t="shared" si="10"/>
        <v>826</v>
      </c>
      <c r="J659" s="139" t="s">
        <v>466</v>
      </c>
      <c r="K659" s="140">
        <v>17.346</v>
      </c>
      <c r="L659">
        <f>Table13[[#This Row],[Price]]*Table13[[#This Row],[Units]]</f>
        <v>826</v>
      </c>
    </row>
    <row r="660" spans="1:12" x14ac:dyDescent="0.35">
      <c r="A660" s="134">
        <v>45667</v>
      </c>
      <c r="B660" s="135" t="s">
        <v>1164</v>
      </c>
      <c r="C660" s="136" t="s">
        <v>469</v>
      </c>
      <c r="D660" s="136" t="s">
        <v>470</v>
      </c>
      <c r="E660" s="136" t="s">
        <v>333</v>
      </c>
      <c r="F660" s="136" t="s">
        <v>500</v>
      </c>
      <c r="G660" s="136">
        <v>52</v>
      </c>
      <c r="H660" s="137">
        <v>80</v>
      </c>
      <c r="I660" s="138">
        <f t="shared" si="10"/>
        <v>4160</v>
      </c>
      <c r="J660" s="139" t="s">
        <v>472</v>
      </c>
      <c r="K660" s="140">
        <v>124.8</v>
      </c>
      <c r="L660">
        <f>Table13[[#This Row],[Price]]*Table13[[#This Row],[Units]]</f>
        <v>4160</v>
      </c>
    </row>
    <row r="661" spans="1:12" x14ac:dyDescent="0.35">
      <c r="A661" s="134">
        <v>45667</v>
      </c>
      <c r="B661" s="135" t="s">
        <v>1165</v>
      </c>
      <c r="C661" s="136" t="s">
        <v>469</v>
      </c>
      <c r="D661" s="136" t="s">
        <v>470</v>
      </c>
      <c r="E661" s="136" t="s">
        <v>390</v>
      </c>
      <c r="F661" s="136" t="s">
        <v>505</v>
      </c>
      <c r="G661" s="136">
        <v>49</v>
      </c>
      <c r="H661" s="137">
        <v>35</v>
      </c>
      <c r="I661" s="138">
        <f t="shared" si="10"/>
        <v>1715</v>
      </c>
      <c r="J661" s="139" t="s">
        <v>466</v>
      </c>
      <c r="K661" s="140">
        <v>41.16</v>
      </c>
      <c r="L661">
        <f>Table13[[#This Row],[Price]]*Table13[[#This Row],[Units]]</f>
        <v>1715</v>
      </c>
    </row>
    <row r="662" spans="1:12" x14ac:dyDescent="0.35">
      <c r="A662" s="134">
        <v>45667</v>
      </c>
      <c r="B662" s="135" t="s">
        <v>1166</v>
      </c>
      <c r="C662" s="136" t="s">
        <v>494</v>
      </c>
      <c r="D662" s="136" t="s">
        <v>486</v>
      </c>
      <c r="E662" s="136" t="s">
        <v>333</v>
      </c>
      <c r="F662" s="136" t="s">
        <v>539</v>
      </c>
      <c r="G662" s="136">
        <v>48</v>
      </c>
      <c r="H662" s="137">
        <v>72</v>
      </c>
      <c r="I662" s="138">
        <f t="shared" si="10"/>
        <v>3456</v>
      </c>
      <c r="J662" s="139" t="s">
        <v>466</v>
      </c>
      <c r="K662" s="140">
        <v>76.031999999999996</v>
      </c>
      <c r="L662">
        <f>Table13[[#This Row],[Price]]*Table13[[#This Row],[Units]]</f>
        <v>3456</v>
      </c>
    </row>
    <row r="663" spans="1:12" x14ac:dyDescent="0.35">
      <c r="A663" s="134">
        <v>45667</v>
      </c>
      <c r="B663" s="135" t="s">
        <v>1167</v>
      </c>
      <c r="C663" s="136" t="s">
        <v>469</v>
      </c>
      <c r="D663" s="136" t="s">
        <v>486</v>
      </c>
      <c r="E663" s="136" t="s">
        <v>333</v>
      </c>
      <c r="F663" s="136" t="s">
        <v>510</v>
      </c>
      <c r="G663" s="136">
        <v>47</v>
      </c>
      <c r="H663" s="137">
        <v>41</v>
      </c>
      <c r="I663" s="138">
        <f t="shared" si="10"/>
        <v>1927</v>
      </c>
      <c r="J663" s="139" t="s">
        <v>503</v>
      </c>
      <c r="K663" s="140">
        <v>46.247999999999998</v>
      </c>
      <c r="L663">
        <f>Table13[[#This Row],[Price]]*Table13[[#This Row],[Units]]</f>
        <v>1927</v>
      </c>
    </row>
    <row r="664" spans="1:12" x14ac:dyDescent="0.35">
      <c r="A664" s="134">
        <v>45668</v>
      </c>
      <c r="B664" s="135" t="s">
        <v>1168</v>
      </c>
      <c r="C664" s="136" t="s">
        <v>501</v>
      </c>
      <c r="D664" s="136" t="s">
        <v>477</v>
      </c>
      <c r="E664" s="136" t="s">
        <v>412</v>
      </c>
      <c r="F664" s="136" t="s">
        <v>478</v>
      </c>
      <c r="G664" s="136">
        <v>39</v>
      </c>
      <c r="H664" s="137">
        <v>51</v>
      </c>
      <c r="I664" s="138">
        <f t="shared" si="10"/>
        <v>1989</v>
      </c>
      <c r="J664" s="139" t="s">
        <v>503</v>
      </c>
      <c r="K664" s="140">
        <v>55.692</v>
      </c>
      <c r="L664">
        <f>Table13[[#This Row],[Price]]*Table13[[#This Row],[Units]]</f>
        <v>1989</v>
      </c>
    </row>
    <row r="665" spans="1:12" x14ac:dyDescent="0.35">
      <c r="A665" s="134">
        <v>45669</v>
      </c>
      <c r="B665" s="135" t="s">
        <v>1169</v>
      </c>
      <c r="C665" s="136" t="s">
        <v>494</v>
      </c>
      <c r="D665" s="136" t="s">
        <v>477</v>
      </c>
      <c r="E665" s="136" t="s">
        <v>324</v>
      </c>
      <c r="F665" s="136" t="s">
        <v>520</v>
      </c>
      <c r="G665" s="136">
        <v>10</v>
      </c>
      <c r="H665" s="137">
        <v>70</v>
      </c>
      <c r="I665" s="138">
        <f t="shared" si="10"/>
        <v>700</v>
      </c>
      <c r="J665" s="139" t="s">
        <v>515</v>
      </c>
      <c r="K665" s="140">
        <v>21</v>
      </c>
      <c r="L665">
        <f>Table13[[#This Row],[Price]]*Table13[[#This Row],[Units]]</f>
        <v>700</v>
      </c>
    </row>
    <row r="666" spans="1:12" x14ac:dyDescent="0.35">
      <c r="A666" s="134">
        <v>45669</v>
      </c>
      <c r="B666" s="135" t="s">
        <v>1170</v>
      </c>
      <c r="C666" s="136" t="s">
        <v>494</v>
      </c>
      <c r="D666" s="136" t="s">
        <v>486</v>
      </c>
      <c r="E666" s="136" t="s">
        <v>483</v>
      </c>
      <c r="F666" s="136" t="s">
        <v>517</v>
      </c>
      <c r="G666" s="136">
        <v>15</v>
      </c>
      <c r="H666" s="137">
        <v>52</v>
      </c>
      <c r="I666" s="138">
        <f t="shared" si="10"/>
        <v>780</v>
      </c>
      <c r="J666" s="139" t="s">
        <v>466</v>
      </c>
      <c r="K666" s="140">
        <v>16.38</v>
      </c>
      <c r="L666">
        <f>Table13[[#This Row],[Price]]*Table13[[#This Row],[Units]]</f>
        <v>780</v>
      </c>
    </row>
    <row r="667" spans="1:12" x14ac:dyDescent="0.35">
      <c r="A667" s="134">
        <v>45669</v>
      </c>
      <c r="B667" s="135" t="s">
        <v>1171</v>
      </c>
      <c r="C667" s="136" t="s">
        <v>494</v>
      </c>
      <c r="D667" s="136" t="s">
        <v>470</v>
      </c>
      <c r="E667" s="136" t="s">
        <v>333</v>
      </c>
      <c r="F667" s="136" t="s">
        <v>497</v>
      </c>
      <c r="G667" s="136">
        <v>58</v>
      </c>
      <c r="H667" s="137">
        <v>56</v>
      </c>
      <c r="I667" s="138">
        <f t="shared" si="10"/>
        <v>3248</v>
      </c>
      <c r="J667" s="139" t="s">
        <v>515</v>
      </c>
      <c r="K667" s="140">
        <v>84.447999999999993</v>
      </c>
      <c r="L667">
        <f>Table13[[#This Row],[Price]]*Table13[[#This Row],[Units]]</f>
        <v>3248</v>
      </c>
    </row>
    <row r="668" spans="1:12" x14ac:dyDescent="0.35">
      <c r="A668" s="134">
        <v>45669</v>
      </c>
      <c r="B668" s="135" t="s">
        <v>1172</v>
      </c>
      <c r="C668" s="136" t="s">
        <v>322</v>
      </c>
      <c r="D668" s="136" t="s">
        <v>477</v>
      </c>
      <c r="E668" s="136" t="s">
        <v>320</v>
      </c>
      <c r="F668" s="136" t="s">
        <v>567</v>
      </c>
      <c r="G668" s="136">
        <v>46</v>
      </c>
      <c r="H668" s="137">
        <v>31</v>
      </c>
      <c r="I668" s="138">
        <f t="shared" si="10"/>
        <v>1426</v>
      </c>
      <c r="J668" s="139" t="s">
        <v>503</v>
      </c>
      <c r="K668" s="140">
        <v>34.223999999999997</v>
      </c>
      <c r="L668">
        <f>Table13[[#This Row],[Price]]*Table13[[#This Row],[Units]]</f>
        <v>1426</v>
      </c>
    </row>
    <row r="669" spans="1:12" x14ac:dyDescent="0.35">
      <c r="A669" s="134">
        <v>45669</v>
      </c>
      <c r="B669" s="135" t="s">
        <v>1173</v>
      </c>
      <c r="C669" s="136" t="s">
        <v>494</v>
      </c>
      <c r="D669" s="136" t="s">
        <v>465</v>
      </c>
      <c r="E669" s="136" t="s">
        <v>320</v>
      </c>
      <c r="F669" s="136" t="s">
        <v>454</v>
      </c>
      <c r="G669" s="136">
        <v>30</v>
      </c>
      <c r="H669" s="137">
        <v>69</v>
      </c>
      <c r="I669" s="138">
        <f t="shared" si="10"/>
        <v>2070</v>
      </c>
      <c r="J669" s="139" t="s">
        <v>466</v>
      </c>
      <c r="K669" s="140">
        <v>62.1</v>
      </c>
      <c r="L669">
        <f>Table13[[#This Row],[Price]]*Table13[[#This Row],[Units]]</f>
        <v>2070</v>
      </c>
    </row>
    <row r="670" spans="1:12" x14ac:dyDescent="0.35">
      <c r="A670" s="134">
        <v>45669</v>
      </c>
      <c r="B670" s="135" t="s">
        <v>1174</v>
      </c>
      <c r="C670" s="136" t="s">
        <v>492</v>
      </c>
      <c r="D670" s="136" t="s">
        <v>519</v>
      </c>
      <c r="E670" s="136" t="s">
        <v>483</v>
      </c>
      <c r="F670" s="136" t="s">
        <v>528</v>
      </c>
      <c r="G670" s="136">
        <v>12</v>
      </c>
      <c r="H670" s="137">
        <v>58</v>
      </c>
      <c r="I670" s="138">
        <f t="shared" si="10"/>
        <v>696</v>
      </c>
      <c r="J670" s="139" t="s">
        <v>466</v>
      </c>
      <c r="K670" s="140">
        <v>18.792000000000002</v>
      </c>
      <c r="L670">
        <f>Table13[[#This Row],[Price]]*Table13[[#This Row],[Units]]</f>
        <v>696</v>
      </c>
    </row>
    <row r="671" spans="1:12" x14ac:dyDescent="0.35">
      <c r="A671" s="134">
        <v>45669</v>
      </c>
      <c r="B671" s="135" t="s">
        <v>1175</v>
      </c>
      <c r="C671" s="136" t="s">
        <v>492</v>
      </c>
      <c r="D671" s="136" t="s">
        <v>477</v>
      </c>
      <c r="E671" s="136" t="s">
        <v>315</v>
      </c>
      <c r="F671" s="136" t="s">
        <v>539</v>
      </c>
      <c r="G671" s="136">
        <v>11</v>
      </c>
      <c r="H671" s="137">
        <v>73</v>
      </c>
      <c r="I671" s="138">
        <f t="shared" si="10"/>
        <v>803</v>
      </c>
      <c r="J671" s="139" t="s">
        <v>472</v>
      </c>
      <c r="K671" s="140">
        <v>18.469000000000001</v>
      </c>
      <c r="L671">
        <f>Table13[[#This Row],[Price]]*Table13[[#This Row],[Units]]</f>
        <v>803</v>
      </c>
    </row>
    <row r="672" spans="1:12" x14ac:dyDescent="0.35">
      <c r="A672" s="134">
        <v>45669</v>
      </c>
      <c r="B672" s="135" t="s">
        <v>1176</v>
      </c>
      <c r="C672" s="136" t="s">
        <v>476</v>
      </c>
      <c r="D672" s="136" t="s">
        <v>465</v>
      </c>
      <c r="E672" s="136" t="s">
        <v>315</v>
      </c>
      <c r="F672" s="136" t="s">
        <v>491</v>
      </c>
      <c r="G672" s="136">
        <v>51</v>
      </c>
      <c r="H672" s="137">
        <v>38</v>
      </c>
      <c r="I672" s="138">
        <f t="shared" si="10"/>
        <v>1938</v>
      </c>
      <c r="J672" s="139" t="s">
        <v>515</v>
      </c>
      <c r="K672" s="140">
        <v>50.387999999999998</v>
      </c>
      <c r="L672">
        <f>Table13[[#This Row],[Price]]*Table13[[#This Row],[Units]]</f>
        <v>1938</v>
      </c>
    </row>
    <row r="673" spans="1:12" x14ac:dyDescent="0.35">
      <c r="A673" s="134">
        <v>45669</v>
      </c>
      <c r="B673" s="135" t="s">
        <v>1177</v>
      </c>
      <c r="C673" s="136" t="s">
        <v>492</v>
      </c>
      <c r="D673" s="136" t="s">
        <v>519</v>
      </c>
      <c r="E673" s="136" t="s">
        <v>483</v>
      </c>
      <c r="F673" s="136" t="s">
        <v>510</v>
      </c>
      <c r="G673" s="136">
        <v>48</v>
      </c>
      <c r="H673" s="137">
        <v>41</v>
      </c>
      <c r="I673" s="138">
        <f t="shared" si="10"/>
        <v>1968</v>
      </c>
      <c r="J673" s="139" t="s">
        <v>466</v>
      </c>
      <c r="K673" s="140">
        <v>55.103999999999999</v>
      </c>
      <c r="L673">
        <f>Table13[[#This Row],[Price]]*Table13[[#This Row],[Units]]</f>
        <v>1968</v>
      </c>
    </row>
    <row r="674" spans="1:12" x14ac:dyDescent="0.35">
      <c r="A674" s="134">
        <v>45669</v>
      </c>
      <c r="B674" s="135" t="s">
        <v>1178</v>
      </c>
      <c r="C674" s="136" t="s">
        <v>492</v>
      </c>
      <c r="D674" s="136" t="s">
        <v>519</v>
      </c>
      <c r="E674" s="136" t="s">
        <v>483</v>
      </c>
      <c r="F674" s="136" t="s">
        <v>487</v>
      </c>
      <c r="G674" s="136">
        <v>35</v>
      </c>
      <c r="H674" s="137">
        <v>36</v>
      </c>
      <c r="I674" s="138">
        <f t="shared" si="10"/>
        <v>1260</v>
      </c>
      <c r="J674" s="139" t="s">
        <v>466</v>
      </c>
      <c r="K674" s="140">
        <v>32.76</v>
      </c>
      <c r="L674">
        <f>Table13[[#This Row],[Price]]*Table13[[#This Row],[Units]]</f>
        <v>1260</v>
      </c>
    </row>
    <row r="675" spans="1:12" x14ac:dyDescent="0.35">
      <c r="A675" s="134">
        <v>45669</v>
      </c>
      <c r="B675" s="135" t="s">
        <v>1179</v>
      </c>
      <c r="C675" s="136" t="s">
        <v>469</v>
      </c>
      <c r="D675" s="136" t="s">
        <v>470</v>
      </c>
      <c r="E675" s="136" t="s">
        <v>324</v>
      </c>
      <c r="F675" s="136" t="s">
        <v>517</v>
      </c>
      <c r="G675" s="136">
        <v>45</v>
      </c>
      <c r="H675" s="137">
        <v>76</v>
      </c>
      <c r="I675" s="138">
        <f t="shared" si="10"/>
        <v>3420</v>
      </c>
      <c r="J675" s="139" t="s">
        <v>472</v>
      </c>
      <c r="K675" s="140">
        <v>82.08</v>
      </c>
      <c r="L675">
        <f>Table13[[#This Row],[Price]]*Table13[[#This Row],[Units]]</f>
        <v>3420</v>
      </c>
    </row>
    <row r="676" spans="1:12" x14ac:dyDescent="0.35">
      <c r="A676" s="134">
        <v>45669</v>
      </c>
      <c r="B676" s="135" t="s">
        <v>1180</v>
      </c>
      <c r="C676" s="136" t="s">
        <v>484</v>
      </c>
      <c r="D676" s="136" t="s">
        <v>470</v>
      </c>
      <c r="E676" s="136" t="s">
        <v>333</v>
      </c>
      <c r="F676" s="136" t="s">
        <v>505</v>
      </c>
      <c r="G676" s="136">
        <v>30</v>
      </c>
      <c r="H676" s="137">
        <v>68</v>
      </c>
      <c r="I676" s="138">
        <f t="shared" si="10"/>
        <v>2040</v>
      </c>
      <c r="J676" s="139" t="s">
        <v>515</v>
      </c>
      <c r="K676" s="140">
        <v>51</v>
      </c>
      <c r="L676">
        <f>Table13[[#This Row],[Price]]*Table13[[#This Row],[Units]]</f>
        <v>2040</v>
      </c>
    </row>
    <row r="677" spans="1:12" x14ac:dyDescent="0.35">
      <c r="A677" s="134">
        <v>45670</v>
      </c>
      <c r="B677" s="135" t="s">
        <v>1181</v>
      </c>
      <c r="C677" s="136" t="s">
        <v>322</v>
      </c>
      <c r="D677" s="136" t="s">
        <v>465</v>
      </c>
      <c r="E677" s="136" t="s">
        <v>324</v>
      </c>
      <c r="F677" s="136" t="s">
        <v>471</v>
      </c>
      <c r="G677" s="136">
        <v>33</v>
      </c>
      <c r="H677" s="137">
        <v>65</v>
      </c>
      <c r="I677" s="138">
        <f t="shared" si="10"/>
        <v>2145</v>
      </c>
      <c r="J677" s="139" t="s">
        <v>515</v>
      </c>
      <c r="K677" s="140">
        <v>55.77</v>
      </c>
      <c r="L677">
        <f>Table13[[#This Row],[Price]]*Table13[[#This Row],[Units]]</f>
        <v>2145</v>
      </c>
    </row>
    <row r="678" spans="1:12" x14ac:dyDescent="0.35">
      <c r="A678" s="134">
        <v>45670</v>
      </c>
      <c r="B678" s="135" t="s">
        <v>1182</v>
      </c>
      <c r="C678" s="136" t="s">
        <v>501</v>
      </c>
      <c r="D678" s="136" t="s">
        <v>470</v>
      </c>
      <c r="E678" s="136" t="s">
        <v>412</v>
      </c>
      <c r="F678" s="136" t="s">
        <v>536</v>
      </c>
      <c r="G678" s="136">
        <v>32</v>
      </c>
      <c r="H678" s="137">
        <v>70</v>
      </c>
      <c r="I678" s="138">
        <f t="shared" si="10"/>
        <v>2240</v>
      </c>
      <c r="J678" s="139" t="s">
        <v>472</v>
      </c>
      <c r="K678" s="140">
        <v>51.52</v>
      </c>
      <c r="L678">
        <f>Table13[[#This Row],[Price]]*Table13[[#This Row],[Units]]</f>
        <v>2240</v>
      </c>
    </row>
    <row r="679" spans="1:12" x14ac:dyDescent="0.35">
      <c r="A679" s="134">
        <v>45670</v>
      </c>
      <c r="B679" s="135" t="s">
        <v>1183</v>
      </c>
      <c r="C679" s="136" t="s">
        <v>322</v>
      </c>
      <c r="D679" s="136" t="s">
        <v>465</v>
      </c>
      <c r="E679" s="136" t="s">
        <v>333</v>
      </c>
      <c r="F679" s="136" t="s">
        <v>517</v>
      </c>
      <c r="G679" s="136">
        <v>14</v>
      </c>
      <c r="H679" s="137">
        <v>51</v>
      </c>
      <c r="I679" s="138">
        <f t="shared" si="10"/>
        <v>714</v>
      </c>
      <c r="J679" s="139" t="s">
        <v>472</v>
      </c>
      <c r="K679" s="140">
        <v>14.28</v>
      </c>
      <c r="L679">
        <f>Table13[[#This Row],[Price]]*Table13[[#This Row],[Units]]</f>
        <v>714</v>
      </c>
    </row>
    <row r="680" spans="1:12" x14ac:dyDescent="0.35">
      <c r="A680" s="134">
        <v>45670</v>
      </c>
      <c r="B680" s="135" t="s">
        <v>1184</v>
      </c>
      <c r="C680" s="136" t="s">
        <v>464</v>
      </c>
      <c r="D680" s="136" t="s">
        <v>490</v>
      </c>
      <c r="E680" s="136" t="s">
        <v>333</v>
      </c>
      <c r="F680" s="136" t="s">
        <v>471</v>
      </c>
      <c r="G680" s="136">
        <v>12</v>
      </c>
      <c r="H680" s="137">
        <v>77</v>
      </c>
      <c r="I680" s="138">
        <f t="shared" si="10"/>
        <v>924</v>
      </c>
      <c r="J680" s="139" t="s">
        <v>472</v>
      </c>
      <c r="K680" s="140">
        <v>26.795999999999999</v>
      </c>
      <c r="L680">
        <f>Table13[[#This Row],[Price]]*Table13[[#This Row],[Units]]</f>
        <v>924</v>
      </c>
    </row>
    <row r="681" spans="1:12" x14ac:dyDescent="0.35">
      <c r="A681" s="134">
        <v>45670</v>
      </c>
      <c r="B681" s="135" t="s">
        <v>1185</v>
      </c>
      <c r="C681" s="136" t="s">
        <v>492</v>
      </c>
      <c r="D681" s="136" t="s">
        <v>477</v>
      </c>
      <c r="E681" s="136" t="s">
        <v>333</v>
      </c>
      <c r="F681" s="136" t="s">
        <v>536</v>
      </c>
      <c r="G681" s="136">
        <v>36</v>
      </c>
      <c r="H681" s="137">
        <v>67</v>
      </c>
      <c r="I681" s="138">
        <f t="shared" si="10"/>
        <v>2412</v>
      </c>
      <c r="J681" s="139" t="s">
        <v>472</v>
      </c>
      <c r="K681" s="140">
        <v>50.652000000000001</v>
      </c>
      <c r="L681">
        <f>Table13[[#This Row],[Price]]*Table13[[#This Row],[Units]]</f>
        <v>2412</v>
      </c>
    </row>
    <row r="682" spans="1:12" x14ac:dyDescent="0.35">
      <c r="A682" s="134">
        <v>45671</v>
      </c>
      <c r="B682" s="135" t="s">
        <v>1186</v>
      </c>
      <c r="C682" s="136" t="s">
        <v>469</v>
      </c>
      <c r="D682" s="136" t="s">
        <v>465</v>
      </c>
      <c r="E682" s="136" t="s">
        <v>390</v>
      </c>
      <c r="F682" s="136" t="s">
        <v>500</v>
      </c>
      <c r="G682" s="136">
        <v>27</v>
      </c>
      <c r="H682" s="137">
        <v>34</v>
      </c>
      <c r="I682" s="138">
        <f t="shared" si="10"/>
        <v>918</v>
      </c>
      <c r="J682" s="139" t="s">
        <v>515</v>
      </c>
      <c r="K682" s="140">
        <v>25.704000000000001</v>
      </c>
      <c r="L682">
        <f>Table13[[#This Row],[Price]]*Table13[[#This Row],[Units]]</f>
        <v>918</v>
      </c>
    </row>
    <row r="683" spans="1:12" x14ac:dyDescent="0.35">
      <c r="A683" s="134">
        <v>45671</v>
      </c>
      <c r="B683" s="135" t="s">
        <v>1187</v>
      </c>
      <c r="C683" s="136" t="s">
        <v>469</v>
      </c>
      <c r="D683" s="136" t="s">
        <v>519</v>
      </c>
      <c r="E683" s="136" t="s">
        <v>390</v>
      </c>
      <c r="F683" s="136" t="s">
        <v>487</v>
      </c>
      <c r="G683" s="136">
        <v>27</v>
      </c>
      <c r="H683" s="137">
        <v>32</v>
      </c>
      <c r="I683" s="138">
        <f t="shared" si="10"/>
        <v>864</v>
      </c>
      <c r="J683" s="139" t="s">
        <v>515</v>
      </c>
      <c r="K683" s="140">
        <v>20.736000000000001</v>
      </c>
      <c r="L683">
        <f>Table13[[#This Row],[Price]]*Table13[[#This Row],[Units]]</f>
        <v>864</v>
      </c>
    </row>
    <row r="684" spans="1:12" x14ac:dyDescent="0.35">
      <c r="A684" s="134">
        <v>45672</v>
      </c>
      <c r="B684" s="135" t="s">
        <v>1188</v>
      </c>
      <c r="C684" s="136" t="s">
        <v>492</v>
      </c>
      <c r="D684" s="136" t="s">
        <v>477</v>
      </c>
      <c r="E684" s="136" t="s">
        <v>333</v>
      </c>
      <c r="F684" s="136" t="s">
        <v>523</v>
      </c>
      <c r="G684" s="136">
        <v>53</v>
      </c>
      <c r="H684" s="137">
        <v>33</v>
      </c>
      <c r="I684" s="138">
        <f t="shared" si="10"/>
        <v>1749</v>
      </c>
      <c r="J684" s="139" t="s">
        <v>466</v>
      </c>
      <c r="K684" s="140">
        <v>34.979999999999997</v>
      </c>
      <c r="L684">
        <f>Table13[[#This Row],[Price]]*Table13[[#This Row],[Units]]</f>
        <v>1749</v>
      </c>
    </row>
    <row r="685" spans="1:12" x14ac:dyDescent="0.35">
      <c r="A685" s="134">
        <v>45672</v>
      </c>
      <c r="B685" s="135" t="s">
        <v>1189</v>
      </c>
      <c r="C685" s="136" t="s">
        <v>322</v>
      </c>
      <c r="D685" s="136" t="s">
        <v>519</v>
      </c>
      <c r="E685" s="136" t="s">
        <v>483</v>
      </c>
      <c r="F685" s="136" t="s">
        <v>539</v>
      </c>
      <c r="G685" s="136">
        <v>45</v>
      </c>
      <c r="H685" s="137">
        <v>48</v>
      </c>
      <c r="I685" s="138">
        <f t="shared" si="10"/>
        <v>2160</v>
      </c>
      <c r="J685" s="139" t="s">
        <v>503</v>
      </c>
      <c r="K685" s="140">
        <v>43.2</v>
      </c>
      <c r="L685">
        <f>Table13[[#This Row],[Price]]*Table13[[#This Row],[Units]]</f>
        <v>2160</v>
      </c>
    </row>
    <row r="686" spans="1:12" x14ac:dyDescent="0.35">
      <c r="A686" s="134">
        <v>45672</v>
      </c>
      <c r="B686" s="135" t="s">
        <v>1190</v>
      </c>
      <c r="C686" s="136" t="s">
        <v>494</v>
      </c>
      <c r="D686" s="136" t="s">
        <v>519</v>
      </c>
      <c r="E686" s="136" t="s">
        <v>412</v>
      </c>
      <c r="F686" s="136" t="s">
        <v>487</v>
      </c>
      <c r="G686" s="136">
        <v>53</v>
      </c>
      <c r="H686" s="137">
        <v>79</v>
      </c>
      <c r="I686" s="138">
        <f t="shared" si="10"/>
        <v>4187</v>
      </c>
      <c r="J686" s="139" t="s">
        <v>503</v>
      </c>
      <c r="K686" s="140">
        <v>113.04900000000001</v>
      </c>
      <c r="L686">
        <f>Table13[[#This Row],[Price]]*Table13[[#This Row],[Units]]</f>
        <v>4187</v>
      </c>
    </row>
    <row r="687" spans="1:12" x14ac:dyDescent="0.35">
      <c r="A687" s="134">
        <v>45672</v>
      </c>
      <c r="B687" s="135" t="s">
        <v>1191</v>
      </c>
      <c r="C687" s="136" t="s">
        <v>494</v>
      </c>
      <c r="D687" s="136" t="s">
        <v>490</v>
      </c>
      <c r="E687" s="136" t="s">
        <v>483</v>
      </c>
      <c r="F687" s="136" t="s">
        <v>491</v>
      </c>
      <c r="G687" s="136">
        <v>16</v>
      </c>
      <c r="H687" s="137">
        <v>67</v>
      </c>
      <c r="I687" s="138">
        <f t="shared" si="10"/>
        <v>1072</v>
      </c>
      <c r="J687" s="139" t="s">
        <v>472</v>
      </c>
      <c r="K687" s="140">
        <v>31.088000000000001</v>
      </c>
      <c r="L687">
        <f>Table13[[#This Row],[Price]]*Table13[[#This Row],[Units]]</f>
        <v>1072</v>
      </c>
    </row>
    <row r="688" spans="1:12" x14ac:dyDescent="0.35">
      <c r="A688" s="134">
        <v>45672</v>
      </c>
      <c r="B688" s="135" t="s">
        <v>1192</v>
      </c>
      <c r="C688" s="136" t="s">
        <v>476</v>
      </c>
      <c r="D688" s="136" t="s">
        <v>519</v>
      </c>
      <c r="E688" s="136" t="s">
        <v>390</v>
      </c>
      <c r="F688" s="136" t="s">
        <v>471</v>
      </c>
      <c r="G688" s="136">
        <v>24</v>
      </c>
      <c r="H688" s="137">
        <v>73</v>
      </c>
      <c r="I688" s="138">
        <f t="shared" si="10"/>
        <v>1752</v>
      </c>
      <c r="J688" s="139" t="s">
        <v>466</v>
      </c>
      <c r="K688" s="140">
        <v>52.56</v>
      </c>
      <c r="L688">
        <f>Table13[[#This Row],[Price]]*Table13[[#This Row],[Units]]</f>
        <v>1752</v>
      </c>
    </row>
    <row r="689" spans="1:12" x14ac:dyDescent="0.35">
      <c r="A689" s="134">
        <v>45673</v>
      </c>
      <c r="B689" s="135" t="s">
        <v>1193</v>
      </c>
      <c r="C689" s="136" t="s">
        <v>322</v>
      </c>
      <c r="D689" s="136" t="s">
        <v>465</v>
      </c>
      <c r="E689" s="136" t="s">
        <v>320</v>
      </c>
      <c r="F689" s="136" t="s">
        <v>491</v>
      </c>
      <c r="G689" s="136">
        <v>16</v>
      </c>
      <c r="H689" s="137">
        <v>65</v>
      </c>
      <c r="I689" s="138">
        <f t="shared" si="10"/>
        <v>1040</v>
      </c>
      <c r="J689" s="139" t="s">
        <v>466</v>
      </c>
      <c r="K689" s="140">
        <v>27.04</v>
      </c>
      <c r="L689">
        <f>Table13[[#This Row],[Price]]*Table13[[#This Row],[Units]]</f>
        <v>1040</v>
      </c>
    </row>
    <row r="690" spans="1:12" x14ac:dyDescent="0.35">
      <c r="A690" s="134">
        <v>45673</v>
      </c>
      <c r="B690" s="135" t="s">
        <v>1194</v>
      </c>
      <c r="C690" s="136" t="s">
        <v>464</v>
      </c>
      <c r="D690" s="136" t="s">
        <v>465</v>
      </c>
      <c r="E690" s="136" t="s">
        <v>324</v>
      </c>
      <c r="F690" s="136" t="s">
        <v>513</v>
      </c>
      <c r="G690" s="136">
        <v>41</v>
      </c>
      <c r="H690" s="137">
        <v>78</v>
      </c>
      <c r="I690" s="138">
        <f t="shared" si="10"/>
        <v>3198</v>
      </c>
      <c r="J690" s="139" t="s">
        <v>466</v>
      </c>
      <c r="K690" s="140">
        <v>63.96</v>
      </c>
      <c r="L690">
        <f>Table13[[#This Row],[Price]]*Table13[[#This Row],[Units]]</f>
        <v>3198</v>
      </c>
    </row>
    <row r="691" spans="1:12" x14ac:dyDescent="0.35">
      <c r="A691" s="134">
        <v>45673</v>
      </c>
      <c r="B691" s="135" t="s">
        <v>1195</v>
      </c>
      <c r="C691" s="136" t="s">
        <v>501</v>
      </c>
      <c r="D691" s="136" t="s">
        <v>465</v>
      </c>
      <c r="E691" s="136" t="s">
        <v>324</v>
      </c>
      <c r="F691" s="136" t="s">
        <v>491</v>
      </c>
      <c r="G691" s="136">
        <v>49</v>
      </c>
      <c r="H691" s="137">
        <v>45</v>
      </c>
      <c r="I691" s="138">
        <f t="shared" si="10"/>
        <v>2205</v>
      </c>
      <c r="J691" s="139" t="s">
        <v>466</v>
      </c>
      <c r="K691" s="140">
        <v>55.125</v>
      </c>
      <c r="L691">
        <f>Table13[[#This Row],[Price]]*Table13[[#This Row],[Units]]</f>
        <v>2205</v>
      </c>
    </row>
    <row r="692" spans="1:12" x14ac:dyDescent="0.35">
      <c r="A692" s="134">
        <v>45673</v>
      </c>
      <c r="B692" s="135" t="s">
        <v>1196</v>
      </c>
      <c r="C692" s="136" t="s">
        <v>469</v>
      </c>
      <c r="D692" s="136" t="s">
        <v>490</v>
      </c>
      <c r="E692" s="136" t="s">
        <v>483</v>
      </c>
      <c r="F692" s="136" t="s">
        <v>505</v>
      </c>
      <c r="G692" s="136">
        <v>22</v>
      </c>
      <c r="H692" s="137">
        <v>71</v>
      </c>
      <c r="I692" s="138">
        <f t="shared" si="10"/>
        <v>1562</v>
      </c>
      <c r="J692" s="139" t="s">
        <v>466</v>
      </c>
      <c r="K692" s="140">
        <v>37.488</v>
      </c>
      <c r="L692">
        <f>Table13[[#This Row],[Price]]*Table13[[#This Row],[Units]]</f>
        <v>1562</v>
      </c>
    </row>
    <row r="693" spans="1:12" x14ac:dyDescent="0.35">
      <c r="A693" s="134">
        <v>45674</v>
      </c>
      <c r="B693" s="135" t="s">
        <v>1197</v>
      </c>
      <c r="C693" s="136" t="s">
        <v>494</v>
      </c>
      <c r="D693" s="136" t="s">
        <v>477</v>
      </c>
      <c r="E693" s="136" t="s">
        <v>412</v>
      </c>
      <c r="F693" s="136" t="s">
        <v>454</v>
      </c>
      <c r="G693" s="136">
        <v>59</v>
      </c>
      <c r="H693" s="137">
        <v>57</v>
      </c>
      <c r="I693" s="138">
        <f t="shared" si="10"/>
        <v>3363</v>
      </c>
      <c r="J693" s="139" t="s">
        <v>466</v>
      </c>
      <c r="K693" s="140">
        <v>100.89</v>
      </c>
      <c r="L693">
        <f>Table13[[#This Row],[Price]]*Table13[[#This Row],[Units]]</f>
        <v>3363</v>
      </c>
    </row>
    <row r="694" spans="1:12" x14ac:dyDescent="0.35">
      <c r="A694" s="134">
        <v>45674</v>
      </c>
      <c r="B694" s="135" t="s">
        <v>1198</v>
      </c>
      <c r="C694" s="136" t="s">
        <v>489</v>
      </c>
      <c r="D694" s="136" t="s">
        <v>490</v>
      </c>
      <c r="E694" s="136" t="s">
        <v>412</v>
      </c>
      <c r="F694" s="136" t="s">
        <v>523</v>
      </c>
      <c r="G694" s="136">
        <v>40</v>
      </c>
      <c r="H694" s="137">
        <v>41</v>
      </c>
      <c r="I694" s="138">
        <f t="shared" si="10"/>
        <v>1640</v>
      </c>
      <c r="J694" s="139" t="s">
        <v>466</v>
      </c>
      <c r="K694" s="140">
        <v>45.92</v>
      </c>
      <c r="L694">
        <f>Table13[[#This Row],[Price]]*Table13[[#This Row],[Units]]</f>
        <v>1640</v>
      </c>
    </row>
    <row r="695" spans="1:12" x14ac:dyDescent="0.35">
      <c r="A695" s="134">
        <v>45674</v>
      </c>
      <c r="B695" s="135" t="s">
        <v>1199</v>
      </c>
      <c r="C695" s="136" t="s">
        <v>501</v>
      </c>
      <c r="D695" s="136" t="s">
        <v>486</v>
      </c>
      <c r="E695" s="136" t="s">
        <v>324</v>
      </c>
      <c r="F695" s="136" t="s">
        <v>539</v>
      </c>
      <c r="G695" s="136">
        <v>52</v>
      </c>
      <c r="H695" s="137">
        <v>40</v>
      </c>
      <c r="I695" s="138">
        <f t="shared" si="10"/>
        <v>2080</v>
      </c>
      <c r="J695" s="139" t="s">
        <v>472</v>
      </c>
      <c r="K695" s="140">
        <v>41.6</v>
      </c>
      <c r="L695">
        <f>Table13[[#This Row],[Price]]*Table13[[#This Row],[Units]]</f>
        <v>2080</v>
      </c>
    </row>
    <row r="696" spans="1:12" x14ac:dyDescent="0.35">
      <c r="A696" s="134">
        <v>45674</v>
      </c>
      <c r="B696" s="135" t="s">
        <v>1200</v>
      </c>
      <c r="C696" s="136" t="s">
        <v>494</v>
      </c>
      <c r="D696" s="136" t="s">
        <v>490</v>
      </c>
      <c r="E696" s="136" t="s">
        <v>390</v>
      </c>
      <c r="F696" s="136" t="s">
        <v>497</v>
      </c>
      <c r="G696" s="136">
        <v>43</v>
      </c>
      <c r="H696" s="137">
        <v>67</v>
      </c>
      <c r="I696" s="138">
        <f t="shared" si="10"/>
        <v>2881</v>
      </c>
      <c r="J696" s="139" t="s">
        <v>472</v>
      </c>
      <c r="K696" s="140">
        <v>60.500999999999998</v>
      </c>
      <c r="L696">
        <f>Table13[[#This Row],[Price]]*Table13[[#This Row],[Units]]</f>
        <v>2881</v>
      </c>
    </row>
    <row r="697" spans="1:12" x14ac:dyDescent="0.35">
      <c r="A697" s="134">
        <v>45674</v>
      </c>
      <c r="B697" s="135" t="s">
        <v>1201</v>
      </c>
      <c r="C697" s="136" t="s">
        <v>494</v>
      </c>
      <c r="D697" s="136" t="s">
        <v>490</v>
      </c>
      <c r="E697" s="136" t="s">
        <v>320</v>
      </c>
      <c r="F697" s="136" t="s">
        <v>510</v>
      </c>
      <c r="G697" s="136">
        <v>44</v>
      </c>
      <c r="H697" s="137">
        <v>35</v>
      </c>
      <c r="I697" s="138">
        <f t="shared" si="10"/>
        <v>1540</v>
      </c>
      <c r="J697" s="139" t="s">
        <v>466</v>
      </c>
      <c r="K697" s="140">
        <v>40.04</v>
      </c>
      <c r="L697">
        <f>Table13[[#This Row],[Price]]*Table13[[#This Row],[Units]]</f>
        <v>1540</v>
      </c>
    </row>
    <row r="698" spans="1:12" x14ac:dyDescent="0.35">
      <c r="A698" s="134">
        <v>45674</v>
      </c>
      <c r="B698" s="135" t="s">
        <v>1202</v>
      </c>
      <c r="C698" s="136" t="s">
        <v>476</v>
      </c>
      <c r="D698" s="136" t="s">
        <v>490</v>
      </c>
      <c r="E698" s="136" t="s">
        <v>315</v>
      </c>
      <c r="F698" s="136" t="s">
        <v>520</v>
      </c>
      <c r="G698" s="136">
        <v>54</v>
      </c>
      <c r="H698" s="137">
        <v>72</v>
      </c>
      <c r="I698" s="138">
        <f t="shared" si="10"/>
        <v>3888</v>
      </c>
      <c r="J698" s="139" t="s">
        <v>515</v>
      </c>
      <c r="K698" s="140">
        <v>97.2</v>
      </c>
      <c r="L698">
        <f>Table13[[#This Row],[Price]]*Table13[[#This Row],[Units]]</f>
        <v>3888</v>
      </c>
    </row>
    <row r="699" spans="1:12" x14ac:dyDescent="0.35">
      <c r="A699" s="134">
        <v>45674</v>
      </c>
      <c r="B699" s="135" t="s">
        <v>1203</v>
      </c>
      <c r="C699" s="136" t="s">
        <v>484</v>
      </c>
      <c r="D699" s="136" t="s">
        <v>486</v>
      </c>
      <c r="E699" s="136" t="s">
        <v>320</v>
      </c>
      <c r="F699" s="136" t="s">
        <v>471</v>
      </c>
      <c r="G699" s="136">
        <v>24</v>
      </c>
      <c r="H699" s="137">
        <v>52</v>
      </c>
      <c r="I699" s="138">
        <f t="shared" si="10"/>
        <v>1248</v>
      </c>
      <c r="J699" s="139" t="s">
        <v>472</v>
      </c>
      <c r="K699" s="140">
        <v>27.456</v>
      </c>
      <c r="L699">
        <f>Table13[[#This Row],[Price]]*Table13[[#This Row],[Units]]</f>
        <v>1248</v>
      </c>
    </row>
    <row r="700" spans="1:12" x14ac:dyDescent="0.35">
      <c r="A700" s="134">
        <v>45674</v>
      </c>
      <c r="B700" s="135" t="s">
        <v>1204</v>
      </c>
      <c r="C700" s="136" t="s">
        <v>494</v>
      </c>
      <c r="D700" s="136" t="s">
        <v>477</v>
      </c>
      <c r="E700" s="136" t="s">
        <v>320</v>
      </c>
      <c r="F700" s="136" t="s">
        <v>536</v>
      </c>
      <c r="G700" s="136">
        <v>58</v>
      </c>
      <c r="H700" s="137">
        <v>69</v>
      </c>
      <c r="I700" s="138">
        <f t="shared" si="10"/>
        <v>4002</v>
      </c>
      <c r="J700" s="139" t="s">
        <v>466</v>
      </c>
      <c r="K700" s="140">
        <v>84.042000000000002</v>
      </c>
      <c r="L700">
        <f>Table13[[#This Row],[Price]]*Table13[[#This Row],[Units]]</f>
        <v>4002</v>
      </c>
    </row>
    <row r="701" spans="1:12" x14ac:dyDescent="0.35">
      <c r="A701" s="134">
        <v>45675</v>
      </c>
      <c r="B701" s="135" t="s">
        <v>1205</v>
      </c>
      <c r="C701" s="136" t="s">
        <v>489</v>
      </c>
      <c r="D701" s="136" t="s">
        <v>465</v>
      </c>
      <c r="E701" s="136" t="s">
        <v>483</v>
      </c>
      <c r="F701" s="136" t="s">
        <v>491</v>
      </c>
      <c r="G701" s="136">
        <v>20</v>
      </c>
      <c r="H701" s="137">
        <v>60</v>
      </c>
      <c r="I701" s="138">
        <f t="shared" si="10"/>
        <v>1200</v>
      </c>
      <c r="J701" s="139" t="s">
        <v>503</v>
      </c>
      <c r="K701" s="140">
        <v>33.6</v>
      </c>
      <c r="L701">
        <f>Table13[[#This Row],[Price]]*Table13[[#This Row],[Units]]</f>
        <v>1200</v>
      </c>
    </row>
    <row r="702" spans="1:12" x14ac:dyDescent="0.35">
      <c r="A702" s="134">
        <v>45675</v>
      </c>
      <c r="B702" s="135" t="s">
        <v>1206</v>
      </c>
      <c r="C702" s="136" t="s">
        <v>494</v>
      </c>
      <c r="D702" s="136" t="s">
        <v>465</v>
      </c>
      <c r="E702" s="136" t="s">
        <v>320</v>
      </c>
      <c r="F702" s="136" t="s">
        <v>539</v>
      </c>
      <c r="G702" s="136">
        <v>43</v>
      </c>
      <c r="H702" s="137">
        <v>44</v>
      </c>
      <c r="I702" s="138">
        <f t="shared" si="10"/>
        <v>1892</v>
      </c>
      <c r="J702" s="139" t="s">
        <v>472</v>
      </c>
      <c r="K702" s="140">
        <v>52.975999999999999</v>
      </c>
      <c r="L702">
        <f>Table13[[#This Row],[Price]]*Table13[[#This Row],[Units]]</f>
        <v>1892</v>
      </c>
    </row>
    <row r="703" spans="1:12" x14ac:dyDescent="0.35">
      <c r="A703" s="134">
        <v>45675</v>
      </c>
      <c r="B703" s="135" t="s">
        <v>1207</v>
      </c>
      <c r="C703" s="136" t="s">
        <v>484</v>
      </c>
      <c r="D703" s="136" t="s">
        <v>477</v>
      </c>
      <c r="E703" s="136" t="s">
        <v>412</v>
      </c>
      <c r="F703" s="136" t="s">
        <v>536</v>
      </c>
      <c r="G703" s="136">
        <v>16</v>
      </c>
      <c r="H703" s="137">
        <v>58</v>
      </c>
      <c r="I703" s="138">
        <f t="shared" si="10"/>
        <v>928</v>
      </c>
      <c r="J703" s="139" t="s">
        <v>515</v>
      </c>
      <c r="K703" s="140">
        <v>24.128</v>
      </c>
      <c r="L703">
        <f>Table13[[#This Row],[Price]]*Table13[[#This Row],[Units]]</f>
        <v>928</v>
      </c>
    </row>
    <row r="704" spans="1:12" x14ac:dyDescent="0.35">
      <c r="A704" s="134">
        <v>45675</v>
      </c>
      <c r="B704" s="135" t="s">
        <v>1208</v>
      </c>
      <c r="C704" s="136" t="s">
        <v>489</v>
      </c>
      <c r="D704" s="136" t="s">
        <v>477</v>
      </c>
      <c r="E704" s="136" t="s">
        <v>390</v>
      </c>
      <c r="F704" s="136" t="s">
        <v>523</v>
      </c>
      <c r="G704" s="136">
        <v>20</v>
      </c>
      <c r="H704" s="137">
        <v>50</v>
      </c>
      <c r="I704" s="138">
        <f t="shared" si="10"/>
        <v>1000</v>
      </c>
      <c r="J704" s="139" t="s">
        <v>466</v>
      </c>
      <c r="K704" s="140">
        <v>30</v>
      </c>
      <c r="L704">
        <f>Table13[[#This Row],[Price]]*Table13[[#This Row],[Units]]</f>
        <v>1000</v>
      </c>
    </row>
    <row r="705" spans="1:12" x14ac:dyDescent="0.35">
      <c r="A705" s="134">
        <v>45675</v>
      </c>
      <c r="B705" s="135" t="s">
        <v>1209</v>
      </c>
      <c r="C705" s="136" t="s">
        <v>484</v>
      </c>
      <c r="D705" s="136" t="s">
        <v>512</v>
      </c>
      <c r="E705" s="136" t="s">
        <v>333</v>
      </c>
      <c r="F705" s="136" t="s">
        <v>567</v>
      </c>
      <c r="G705" s="136">
        <v>48</v>
      </c>
      <c r="H705" s="137">
        <v>45</v>
      </c>
      <c r="I705" s="138">
        <f t="shared" si="10"/>
        <v>2160</v>
      </c>
      <c r="J705" s="139" t="s">
        <v>466</v>
      </c>
      <c r="K705" s="140">
        <v>54</v>
      </c>
      <c r="L705">
        <f>Table13[[#This Row],[Price]]*Table13[[#This Row],[Units]]</f>
        <v>2160</v>
      </c>
    </row>
    <row r="706" spans="1:12" x14ac:dyDescent="0.35">
      <c r="A706" s="134">
        <v>45675</v>
      </c>
      <c r="B706" s="135" t="s">
        <v>1210</v>
      </c>
      <c r="C706" s="136" t="s">
        <v>469</v>
      </c>
      <c r="D706" s="136" t="s">
        <v>470</v>
      </c>
      <c r="E706" s="136" t="s">
        <v>483</v>
      </c>
      <c r="F706" s="136" t="s">
        <v>471</v>
      </c>
      <c r="G706" s="136">
        <v>13</v>
      </c>
      <c r="H706" s="137">
        <v>56</v>
      </c>
      <c r="I706" s="138">
        <f t="shared" si="10"/>
        <v>728</v>
      </c>
      <c r="J706" s="139" t="s">
        <v>466</v>
      </c>
      <c r="K706" s="140">
        <v>18.928000000000001</v>
      </c>
      <c r="L706">
        <f>Table13[[#This Row],[Price]]*Table13[[#This Row],[Units]]</f>
        <v>728</v>
      </c>
    </row>
    <row r="707" spans="1:12" x14ac:dyDescent="0.35">
      <c r="A707" s="134">
        <v>45676</v>
      </c>
      <c r="B707" s="135" t="s">
        <v>1211</v>
      </c>
      <c r="C707" s="136" t="s">
        <v>322</v>
      </c>
      <c r="D707" s="136" t="s">
        <v>477</v>
      </c>
      <c r="E707" s="136" t="s">
        <v>320</v>
      </c>
      <c r="F707" s="136" t="s">
        <v>567</v>
      </c>
      <c r="G707" s="136">
        <v>59</v>
      </c>
      <c r="H707" s="137">
        <v>57</v>
      </c>
      <c r="I707" s="138">
        <f t="shared" ref="I707:I770" si="11">G707*H707</f>
        <v>3363</v>
      </c>
      <c r="J707" s="139" t="s">
        <v>515</v>
      </c>
      <c r="K707" s="140">
        <v>97.527000000000001</v>
      </c>
      <c r="L707">
        <f>Table13[[#This Row],[Price]]*Table13[[#This Row],[Units]]</f>
        <v>3363</v>
      </c>
    </row>
    <row r="708" spans="1:12" x14ac:dyDescent="0.35">
      <c r="A708" s="134">
        <v>45677</v>
      </c>
      <c r="B708" s="135" t="s">
        <v>1212</v>
      </c>
      <c r="C708" s="136" t="s">
        <v>469</v>
      </c>
      <c r="D708" s="136" t="s">
        <v>477</v>
      </c>
      <c r="E708" s="136" t="s">
        <v>390</v>
      </c>
      <c r="F708" s="136" t="s">
        <v>454</v>
      </c>
      <c r="G708" s="136">
        <v>25</v>
      </c>
      <c r="H708" s="137">
        <v>51</v>
      </c>
      <c r="I708" s="138">
        <f t="shared" si="11"/>
        <v>1275</v>
      </c>
      <c r="J708" s="139" t="s">
        <v>466</v>
      </c>
      <c r="K708" s="140">
        <v>35.700000000000003</v>
      </c>
      <c r="L708">
        <f>Table13[[#This Row],[Price]]*Table13[[#This Row],[Units]]</f>
        <v>1275</v>
      </c>
    </row>
    <row r="709" spans="1:12" x14ac:dyDescent="0.35">
      <c r="A709" s="134">
        <v>45677</v>
      </c>
      <c r="B709" s="135" t="s">
        <v>1213</v>
      </c>
      <c r="C709" s="136" t="s">
        <v>492</v>
      </c>
      <c r="D709" s="136" t="s">
        <v>477</v>
      </c>
      <c r="E709" s="136" t="s">
        <v>390</v>
      </c>
      <c r="F709" s="136" t="s">
        <v>510</v>
      </c>
      <c r="G709" s="136">
        <v>46</v>
      </c>
      <c r="H709" s="137">
        <v>53</v>
      </c>
      <c r="I709" s="138">
        <f t="shared" si="11"/>
        <v>2438</v>
      </c>
      <c r="J709" s="139" t="s">
        <v>515</v>
      </c>
      <c r="K709" s="140">
        <v>63.387999999999998</v>
      </c>
      <c r="L709">
        <f>Table13[[#This Row],[Price]]*Table13[[#This Row],[Units]]</f>
        <v>2438</v>
      </c>
    </row>
    <row r="710" spans="1:12" x14ac:dyDescent="0.35">
      <c r="A710" s="134">
        <v>45677</v>
      </c>
      <c r="B710" s="135" t="s">
        <v>1214</v>
      </c>
      <c r="C710" s="136" t="s">
        <v>494</v>
      </c>
      <c r="D710" s="136" t="s">
        <v>512</v>
      </c>
      <c r="E710" s="136" t="s">
        <v>320</v>
      </c>
      <c r="F710" s="136" t="s">
        <v>454</v>
      </c>
      <c r="G710" s="136">
        <v>34</v>
      </c>
      <c r="H710" s="137">
        <v>21</v>
      </c>
      <c r="I710" s="138">
        <f t="shared" si="11"/>
        <v>714</v>
      </c>
      <c r="J710" s="139" t="s">
        <v>472</v>
      </c>
      <c r="K710" s="140">
        <v>17.135999999999999</v>
      </c>
      <c r="L710">
        <f>Table13[[#This Row],[Price]]*Table13[[#This Row],[Units]]</f>
        <v>714</v>
      </c>
    </row>
    <row r="711" spans="1:12" x14ac:dyDescent="0.35">
      <c r="A711" s="134">
        <v>45677</v>
      </c>
      <c r="B711" s="135" t="s">
        <v>1215</v>
      </c>
      <c r="C711" s="136" t="s">
        <v>322</v>
      </c>
      <c r="D711" s="136" t="s">
        <v>490</v>
      </c>
      <c r="E711" s="136" t="s">
        <v>324</v>
      </c>
      <c r="F711" s="136" t="s">
        <v>517</v>
      </c>
      <c r="G711" s="136">
        <v>24</v>
      </c>
      <c r="H711" s="137">
        <v>49</v>
      </c>
      <c r="I711" s="138">
        <f t="shared" si="11"/>
        <v>1176</v>
      </c>
      <c r="J711" s="139" t="s">
        <v>503</v>
      </c>
      <c r="K711" s="140">
        <v>35.28</v>
      </c>
      <c r="L711">
        <f>Table13[[#This Row],[Price]]*Table13[[#This Row],[Units]]</f>
        <v>1176</v>
      </c>
    </row>
    <row r="712" spans="1:12" x14ac:dyDescent="0.35">
      <c r="A712" s="134">
        <v>45677</v>
      </c>
      <c r="B712" s="135" t="s">
        <v>1216</v>
      </c>
      <c r="C712" s="136" t="s">
        <v>322</v>
      </c>
      <c r="D712" s="136" t="s">
        <v>512</v>
      </c>
      <c r="E712" s="136" t="s">
        <v>320</v>
      </c>
      <c r="F712" s="136" t="s">
        <v>517</v>
      </c>
      <c r="G712" s="136">
        <v>29</v>
      </c>
      <c r="H712" s="137">
        <v>48</v>
      </c>
      <c r="I712" s="138">
        <f t="shared" si="11"/>
        <v>1392</v>
      </c>
      <c r="J712" s="139" t="s">
        <v>472</v>
      </c>
      <c r="K712" s="140">
        <v>32.015999999999998</v>
      </c>
      <c r="L712">
        <f>Table13[[#This Row],[Price]]*Table13[[#This Row],[Units]]</f>
        <v>1392</v>
      </c>
    </row>
    <row r="713" spans="1:12" x14ac:dyDescent="0.35">
      <c r="A713" s="134">
        <v>45677</v>
      </c>
      <c r="B713" s="135" t="s">
        <v>1217</v>
      </c>
      <c r="C713" s="136" t="s">
        <v>469</v>
      </c>
      <c r="D713" s="136" t="s">
        <v>512</v>
      </c>
      <c r="E713" s="136" t="s">
        <v>315</v>
      </c>
      <c r="F713" s="136" t="s">
        <v>487</v>
      </c>
      <c r="G713" s="136">
        <v>11</v>
      </c>
      <c r="H713" s="137">
        <v>30</v>
      </c>
      <c r="I713" s="138">
        <f t="shared" si="11"/>
        <v>330</v>
      </c>
      <c r="J713" s="139" t="s">
        <v>515</v>
      </c>
      <c r="K713" s="140">
        <v>6.93</v>
      </c>
      <c r="L713">
        <f>Table13[[#This Row],[Price]]*Table13[[#This Row],[Units]]</f>
        <v>330</v>
      </c>
    </row>
    <row r="714" spans="1:12" x14ac:dyDescent="0.35">
      <c r="A714" s="134">
        <v>45677</v>
      </c>
      <c r="B714" s="135" t="s">
        <v>1218</v>
      </c>
      <c r="C714" s="136" t="s">
        <v>494</v>
      </c>
      <c r="D714" s="136" t="s">
        <v>477</v>
      </c>
      <c r="E714" s="136" t="s">
        <v>483</v>
      </c>
      <c r="F714" s="136" t="s">
        <v>539</v>
      </c>
      <c r="G714" s="136">
        <v>40</v>
      </c>
      <c r="H714" s="137">
        <v>53</v>
      </c>
      <c r="I714" s="138">
        <f t="shared" si="11"/>
        <v>2120</v>
      </c>
      <c r="J714" s="139" t="s">
        <v>466</v>
      </c>
      <c r="K714" s="140">
        <v>48.76</v>
      </c>
      <c r="L714">
        <f>Table13[[#This Row],[Price]]*Table13[[#This Row],[Units]]</f>
        <v>2120</v>
      </c>
    </row>
    <row r="715" spans="1:12" x14ac:dyDescent="0.35">
      <c r="A715" s="134">
        <v>45677</v>
      </c>
      <c r="B715" s="135" t="s">
        <v>1219</v>
      </c>
      <c r="C715" s="136" t="s">
        <v>322</v>
      </c>
      <c r="D715" s="136" t="s">
        <v>477</v>
      </c>
      <c r="E715" s="136" t="s">
        <v>315</v>
      </c>
      <c r="F715" s="136" t="s">
        <v>539</v>
      </c>
      <c r="G715" s="136">
        <v>15</v>
      </c>
      <c r="H715" s="137">
        <v>40</v>
      </c>
      <c r="I715" s="138">
        <f t="shared" si="11"/>
        <v>600</v>
      </c>
      <c r="J715" s="139" t="s">
        <v>472</v>
      </c>
      <c r="K715" s="140">
        <v>16.8</v>
      </c>
      <c r="L715">
        <f>Table13[[#This Row],[Price]]*Table13[[#This Row],[Units]]</f>
        <v>600</v>
      </c>
    </row>
    <row r="716" spans="1:12" x14ac:dyDescent="0.35">
      <c r="A716" s="134">
        <v>45677</v>
      </c>
      <c r="B716" s="135" t="s">
        <v>1220</v>
      </c>
      <c r="C716" s="136" t="s">
        <v>501</v>
      </c>
      <c r="D716" s="136" t="s">
        <v>486</v>
      </c>
      <c r="E716" s="136" t="s">
        <v>333</v>
      </c>
      <c r="F716" s="136" t="s">
        <v>520</v>
      </c>
      <c r="G716" s="136">
        <v>29</v>
      </c>
      <c r="H716" s="137">
        <v>24</v>
      </c>
      <c r="I716" s="138">
        <f t="shared" si="11"/>
        <v>696</v>
      </c>
      <c r="J716" s="139" t="s">
        <v>515</v>
      </c>
      <c r="K716" s="140">
        <v>18.792000000000002</v>
      </c>
      <c r="L716">
        <f>Table13[[#This Row],[Price]]*Table13[[#This Row],[Units]]</f>
        <v>696</v>
      </c>
    </row>
    <row r="717" spans="1:12" x14ac:dyDescent="0.35">
      <c r="A717" s="134">
        <v>45677</v>
      </c>
      <c r="B717" s="135" t="s">
        <v>1221</v>
      </c>
      <c r="C717" s="136" t="s">
        <v>322</v>
      </c>
      <c r="D717" s="136" t="s">
        <v>519</v>
      </c>
      <c r="E717" s="136" t="s">
        <v>412</v>
      </c>
      <c r="F717" s="136" t="s">
        <v>520</v>
      </c>
      <c r="G717" s="136">
        <v>56</v>
      </c>
      <c r="H717" s="137">
        <v>46</v>
      </c>
      <c r="I717" s="138">
        <f t="shared" si="11"/>
        <v>2576</v>
      </c>
      <c r="J717" s="139" t="s">
        <v>472</v>
      </c>
      <c r="K717" s="140">
        <v>59.247999999999998</v>
      </c>
      <c r="L717">
        <f>Table13[[#This Row],[Price]]*Table13[[#This Row],[Units]]</f>
        <v>2576</v>
      </c>
    </row>
    <row r="718" spans="1:12" x14ac:dyDescent="0.35">
      <c r="A718" s="134">
        <v>45678</v>
      </c>
      <c r="B718" s="135" t="s">
        <v>1222</v>
      </c>
      <c r="C718" s="136" t="s">
        <v>469</v>
      </c>
      <c r="D718" s="136" t="s">
        <v>519</v>
      </c>
      <c r="E718" s="136" t="s">
        <v>333</v>
      </c>
      <c r="F718" s="136" t="s">
        <v>478</v>
      </c>
      <c r="G718" s="136">
        <v>12</v>
      </c>
      <c r="H718" s="137">
        <v>37</v>
      </c>
      <c r="I718" s="138">
        <f t="shared" si="11"/>
        <v>444</v>
      </c>
      <c r="J718" s="139" t="s">
        <v>515</v>
      </c>
      <c r="K718" s="140">
        <v>11.544</v>
      </c>
      <c r="L718">
        <f>Table13[[#This Row],[Price]]*Table13[[#This Row],[Units]]</f>
        <v>444</v>
      </c>
    </row>
    <row r="719" spans="1:12" x14ac:dyDescent="0.35">
      <c r="A719" s="134">
        <v>45678</v>
      </c>
      <c r="B719" s="135" t="s">
        <v>1223</v>
      </c>
      <c r="C719" s="136" t="s">
        <v>322</v>
      </c>
      <c r="D719" s="136" t="s">
        <v>465</v>
      </c>
      <c r="E719" s="136" t="s">
        <v>483</v>
      </c>
      <c r="F719" s="136" t="s">
        <v>497</v>
      </c>
      <c r="G719" s="136">
        <v>24</v>
      </c>
      <c r="H719" s="137">
        <v>47</v>
      </c>
      <c r="I719" s="138">
        <f t="shared" si="11"/>
        <v>1128</v>
      </c>
      <c r="J719" s="139" t="s">
        <v>466</v>
      </c>
      <c r="K719" s="140">
        <v>22.56</v>
      </c>
      <c r="L719">
        <f>Table13[[#This Row],[Price]]*Table13[[#This Row],[Units]]</f>
        <v>1128</v>
      </c>
    </row>
    <row r="720" spans="1:12" x14ac:dyDescent="0.35">
      <c r="A720" s="134">
        <v>45678</v>
      </c>
      <c r="B720" s="135" t="s">
        <v>1224</v>
      </c>
      <c r="C720" s="136" t="s">
        <v>322</v>
      </c>
      <c r="D720" s="136" t="s">
        <v>519</v>
      </c>
      <c r="E720" s="136" t="s">
        <v>315</v>
      </c>
      <c r="F720" s="136" t="s">
        <v>478</v>
      </c>
      <c r="G720" s="136">
        <v>30</v>
      </c>
      <c r="H720" s="137">
        <v>60</v>
      </c>
      <c r="I720" s="138">
        <f t="shared" si="11"/>
        <v>1800</v>
      </c>
      <c r="J720" s="139" t="s">
        <v>466</v>
      </c>
      <c r="K720" s="140">
        <v>48.6</v>
      </c>
      <c r="L720">
        <f>Table13[[#This Row],[Price]]*Table13[[#This Row],[Units]]</f>
        <v>1800</v>
      </c>
    </row>
    <row r="721" spans="1:12" x14ac:dyDescent="0.35">
      <c r="A721" s="134">
        <v>45678</v>
      </c>
      <c r="B721" s="135" t="s">
        <v>1225</v>
      </c>
      <c r="C721" s="136" t="s">
        <v>492</v>
      </c>
      <c r="D721" s="136" t="s">
        <v>470</v>
      </c>
      <c r="E721" s="136" t="s">
        <v>324</v>
      </c>
      <c r="F721" s="136" t="s">
        <v>454</v>
      </c>
      <c r="G721" s="136">
        <v>26</v>
      </c>
      <c r="H721" s="137">
        <v>53</v>
      </c>
      <c r="I721" s="138">
        <f t="shared" si="11"/>
        <v>1378</v>
      </c>
      <c r="J721" s="139" t="s">
        <v>515</v>
      </c>
      <c r="K721" s="140">
        <v>31.693999999999999</v>
      </c>
      <c r="L721">
        <f>Table13[[#This Row],[Price]]*Table13[[#This Row],[Units]]</f>
        <v>1378</v>
      </c>
    </row>
    <row r="722" spans="1:12" x14ac:dyDescent="0.35">
      <c r="A722" s="134">
        <v>45678</v>
      </c>
      <c r="B722" s="135" t="s">
        <v>1226</v>
      </c>
      <c r="C722" s="136" t="s">
        <v>494</v>
      </c>
      <c r="D722" s="136" t="s">
        <v>470</v>
      </c>
      <c r="E722" s="136" t="s">
        <v>333</v>
      </c>
      <c r="F722" s="136" t="s">
        <v>505</v>
      </c>
      <c r="G722" s="136">
        <v>56</v>
      </c>
      <c r="H722" s="137">
        <v>52</v>
      </c>
      <c r="I722" s="138">
        <f t="shared" si="11"/>
        <v>2912</v>
      </c>
      <c r="J722" s="139" t="s">
        <v>466</v>
      </c>
      <c r="K722" s="140">
        <v>87.36</v>
      </c>
      <c r="L722">
        <f>Table13[[#This Row],[Price]]*Table13[[#This Row],[Units]]</f>
        <v>2912</v>
      </c>
    </row>
    <row r="723" spans="1:12" x14ac:dyDescent="0.35">
      <c r="A723" s="134">
        <v>45678</v>
      </c>
      <c r="B723" s="135" t="s">
        <v>1227</v>
      </c>
      <c r="C723" s="136" t="s">
        <v>322</v>
      </c>
      <c r="D723" s="136" t="s">
        <v>477</v>
      </c>
      <c r="E723" s="136" t="s">
        <v>333</v>
      </c>
      <c r="F723" s="136" t="s">
        <v>513</v>
      </c>
      <c r="G723" s="136">
        <v>10</v>
      </c>
      <c r="H723" s="137">
        <v>48</v>
      </c>
      <c r="I723" s="138">
        <f t="shared" si="11"/>
        <v>480</v>
      </c>
      <c r="J723" s="139" t="s">
        <v>472</v>
      </c>
      <c r="K723" s="140">
        <v>12.48</v>
      </c>
      <c r="L723">
        <f>Table13[[#This Row],[Price]]*Table13[[#This Row],[Units]]</f>
        <v>480</v>
      </c>
    </row>
    <row r="724" spans="1:12" x14ac:dyDescent="0.35">
      <c r="A724" s="134">
        <v>45678</v>
      </c>
      <c r="B724" s="135" t="s">
        <v>1228</v>
      </c>
      <c r="C724" s="136" t="s">
        <v>464</v>
      </c>
      <c r="D724" s="136" t="s">
        <v>486</v>
      </c>
      <c r="E724" s="136" t="s">
        <v>483</v>
      </c>
      <c r="F724" s="136" t="s">
        <v>487</v>
      </c>
      <c r="G724" s="136">
        <v>38</v>
      </c>
      <c r="H724" s="137">
        <v>52</v>
      </c>
      <c r="I724" s="138">
        <f t="shared" si="11"/>
        <v>1976</v>
      </c>
      <c r="J724" s="139" t="s">
        <v>472</v>
      </c>
      <c r="K724" s="140">
        <v>55.328000000000003</v>
      </c>
      <c r="L724">
        <f>Table13[[#This Row],[Price]]*Table13[[#This Row],[Units]]</f>
        <v>1976</v>
      </c>
    </row>
    <row r="725" spans="1:12" x14ac:dyDescent="0.35">
      <c r="A725" s="134">
        <v>45678</v>
      </c>
      <c r="B725" s="135" t="s">
        <v>1229</v>
      </c>
      <c r="C725" s="136" t="s">
        <v>494</v>
      </c>
      <c r="D725" s="136" t="s">
        <v>486</v>
      </c>
      <c r="E725" s="136" t="s">
        <v>320</v>
      </c>
      <c r="F725" s="136" t="s">
        <v>539</v>
      </c>
      <c r="G725" s="136">
        <v>48</v>
      </c>
      <c r="H725" s="137">
        <v>47</v>
      </c>
      <c r="I725" s="138">
        <f t="shared" si="11"/>
        <v>2256</v>
      </c>
      <c r="J725" s="139" t="s">
        <v>466</v>
      </c>
      <c r="K725" s="140">
        <v>47.375999999999998</v>
      </c>
      <c r="L725">
        <f>Table13[[#This Row],[Price]]*Table13[[#This Row],[Units]]</f>
        <v>2256</v>
      </c>
    </row>
    <row r="726" spans="1:12" x14ac:dyDescent="0.35">
      <c r="A726" s="134">
        <v>45678</v>
      </c>
      <c r="B726" s="135" t="s">
        <v>1230</v>
      </c>
      <c r="C726" s="136" t="s">
        <v>484</v>
      </c>
      <c r="D726" s="136" t="s">
        <v>465</v>
      </c>
      <c r="E726" s="136" t="s">
        <v>320</v>
      </c>
      <c r="F726" s="136" t="s">
        <v>520</v>
      </c>
      <c r="G726" s="136">
        <v>41</v>
      </c>
      <c r="H726" s="137">
        <v>45</v>
      </c>
      <c r="I726" s="138">
        <f t="shared" si="11"/>
        <v>1845</v>
      </c>
      <c r="J726" s="139" t="s">
        <v>503</v>
      </c>
      <c r="K726" s="140">
        <v>47.97</v>
      </c>
      <c r="L726">
        <f>Table13[[#This Row],[Price]]*Table13[[#This Row],[Units]]</f>
        <v>1845</v>
      </c>
    </row>
    <row r="727" spans="1:12" x14ac:dyDescent="0.35">
      <c r="A727" s="134">
        <v>45678</v>
      </c>
      <c r="B727" s="135" t="s">
        <v>1231</v>
      </c>
      <c r="C727" s="136" t="s">
        <v>322</v>
      </c>
      <c r="D727" s="136" t="s">
        <v>519</v>
      </c>
      <c r="E727" s="136" t="s">
        <v>333</v>
      </c>
      <c r="F727" s="136" t="s">
        <v>536</v>
      </c>
      <c r="G727" s="136">
        <v>29</v>
      </c>
      <c r="H727" s="137">
        <v>47</v>
      </c>
      <c r="I727" s="138">
        <f t="shared" si="11"/>
        <v>1363</v>
      </c>
      <c r="J727" s="139" t="s">
        <v>466</v>
      </c>
      <c r="K727" s="140">
        <v>35.438000000000002</v>
      </c>
      <c r="L727">
        <f>Table13[[#This Row],[Price]]*Table13[[#This Row],[Units]]</f>
        <v>1363</v>
      </c>
    </row>
    <row r="728" spans="1:12" x14ac:dyDescent="0.35">
      <c r="A728" s="134">
        <v>45678</v>
      </c>
      <c r="B728" s="135" t="s">
        <v>1232</v>
      </c>
      <c r="C728" s="136" t="s">
        <v>464</v>
      </c>
      <c r="D728" s="136" t="s">
        <v>486</v>
      </c>
      <c r="E728" s="136" t="s">
        <v>324</v>
      </c>
      <c r="F728" s="136" t="s">
        <v>471</v>
      </c>
      <c r="G728" s="136">
        <v>28</v>
      </c>
      <c r="H728" s="137">
        <v>31</v>
      </c>
      <c r="I728" s="138">
        <f t="shared" si="11"/>
        <v>868</v>
      </c>
      <c r="J728" s="139" t="s">
        <v>466</v>
      </c>
      <c r="K728" s="140">
        <v>19.963999999999999</v>
      </c>
      <c r="L728">
        <f>Table13[[#This Row],[Price]]*Table13[[#This Row],[Units]]</f>
        <v>868</v>
      </c>
    </row>
    <row r="729" spans="1:12" x14ac:dyDescent="0.35">
      <c r="A729" s="134">
        <v>45678</v>
      </c>
      <c r="B729" s="135" t="s">
        <v>1233</v>
      </c>
      <c r="C729" s="136" t="s">
        <v>469</v>
      </c>
      <c r="D729" s="136" t="s">
        <v>465</v>
      </c>
      <c r="E729" s="136" t="s">
        <v>333</v>
      </c>
      <c r="F729" s="136" t="s">
        <v>539</v>
      </c>
      <c r="G729" s="136">
        <v>35</v>
      </c>
      <c r="H729" s="137">
        <v>53</v>
      </c>
      <c r="I729" s="138">
        <f t="shared" si="11"/>
        <v>1855</v>
      </c>
      <c r="J729" s="139" t="s">
        <v>466</v>
      </c>
      <c r="K729" s="140">
        <v>50.085000000000001</v>
      </c>
      <c r="L729">
        <f>Table13[[#This Row],[Price]]*Table13[[#This Row],[Units]]</f>
        <v>1855</v>
      </c>
    </row>
    <row r="730" spans="1:12" x14ac:dyDescent="0.35">
      <c r="A730" s="134">
        <v>45678</v>
      </c>
      <c r="B730" s="135" t="s">
        <v>1234</v>
      </c>
      <c r="C730" s="136" t="s">
        <v>469</v>
      </c>
      <c r="D730" s="136" t="s">
        <v>465</v>
      </c>
      <c r="E730" s="136" t="s">
        <v>483</v>
      </c>
      <c r="F730" s="136" t="s">
        <v>539</v>
      </c>
      <c r="G730" s="136">
        <v>60</v>
      </c>
      <c r="H730" s="137">
        <v>36</v>
      </c>
      <c r="I730" s="138">
        <f t="shared" si="11"/>
        <v>2160</v>
      </c>
      <c r="J730" s="139" t="s">
        <v>472</v>
      </c>
      <c r="K730" s="140">
        <v>45.36</v>
      </c>
      <c r="L730">
        <f>Table13[[#This Row],[Price]]*Table13[[#This Row],[Units]]</f>
        <v>2160</v>
      </c>
    </row>
    <row r="731" spans="1:12" x14ac:dyDescent="0.35">
      <c r="A731" s="134">
        <v>45678</v>
      </c>
      <c r="B731" s="135" t="s">
        <v>1235</v>
      </c>
      <c r="C731" s="136" t="s">
        <v>322</v>
      </c>
      <c r="D731" s="136" t="s">
        <v>512</v>
      </c>
      <c r="E731" s="136" t="s">
        <v>320</v>
      </c>
      <c r="F731" s="136" t="s">
        <v>520</v>
      </c>
      <c r="G731" s="136">
        <v>27</v>
      </c>
      <c r="H731" s="137">
        <v>48</v>
      </c>
      <c r="I731" s="138">
        <f t="shared" si="11"/>
        <v>1296</v>
      </c>
      <c r="J731" s="139" t="s">
        <v>515</v>
      </c>
      <c r="K731" s="140">
        <v>33.695999999999998</v>
      </c>
      <c r="L731">
        <f>Table13[[#This Row],[Price]]*Table13[[#This Row],[Units]]</f>
        <v>1296</v>
      </c>
    </row>
    <row r="732" spans="1:12" x14ac:dyDescent="0.35">
      <c r="A732" s="134">
        <v>45678</v>
      </c>
      <c r="B732" s="135" t="s">
        <v>1236</v>
      </c>
      <c r="C732" s="136" t="s">
        <v>489</v>
      </c>
      <c r="D732" s="136" t="s">
        <v>490</v>
      </c>
      <c r="E732" s="136" t="s">
        <v>333</v>
      </c>
      <c r="F732" s="136" t="s">
        <v>517</v>
      </c>
      <c r="G732" s="136">
        <v>16</v>
      </c>
      <c r="H732" s="137">
        <v>35</v>
      </c>
      <c r="I732" s="138">
        <f t="shared" si="11"/>
        <v>560</v>
      </c>
      <c r="J732" s="139" t="s">
        <v>515</v>
      </c>
      <c r="K732" s="140">
        <v>15.68</v>
      </c>
      <c r="L732">
        <f>Table13[[#This Row],[Price]]*Table13[[#This Row],[Units]]</f>
        <v>560</v>
      </c>
    </row>
    <row r="733" spans="1:12" x14ac:dyDescent="0.35">
      <c r="A733" s="134">
        <v>45679</v>
      </c>
      <c r="B733" s="135" t="s">
        <v>1237</v>
      </c>
      <c r="C733" s="136" t="s">
        <v>484</v>
      </c>
      <c r="D733" s="136" t="s">
        <v>477</v>
      </c>
      <c r="E733" s="136" t="s">
        <v>315</v>
      </c>
      <c r="F733" s="136" t="s">
        <v>497</v>
      </c>
      <c r="G733" s="136">
        <v>60</v>
      </c>
      <c r="H733" s="137">
        <v>60</v>
      </c>
      <c r="I733" s="138">
        <f t="shared" si="11"/>
        <v>3600</v>
      </c>
      <c r="J733" s="139" t="s">
        <v>472</v>
      </c>
      <c r="K733" s="140">
        <v>108</v>
      </c>
      <c r="L733">
        <f>Table13[[#This Row],[Price]]*Table13[[#This Row],[Units]]</f>
        <v>3600</v>
      </c>
    </row>
    <row r="734" spans="1:12" x14ac:dyDescent="0.35">
      <c r="A734" s="134">
        <v>45679</v>
      </c>
      <c r="B734" s="135" t="s">
        <v>1238</v>
      </c>
      <c r="C734" s="136" t="s">
        <v>322</v>
      </c>
      <c r="D734" s="136" t="s">
        <v>519</v>
      </c>
      <c r="E734" s="136" t="s">
        <v>315</v>
      </c>
      <c r="F734" s="136" t="s">
        <v>517</v>
      </c>
      <c r="G734" s="136">
        <v>44</v>
      </c>
      <c r="H734" s="137">
        <v>53</v>
      </c>
      <c r="I734" s="138">
        <f t="shared" si="11"/>
        <v>2332</v>
      </c>
      <c r="J734" s="139" t="s">
        <v>472</v>
      </c>
      <c r="K734" s="140">
        <v>51.304000000000002</v>
      </c>
      <c r="L734">
        <f>Table13[[#This Row],[Price]]*Table13[[#This Row],[Units]]</f>
        <v>2332</v>
      </c>
    </row>
    <row r="735" spans="1:12" x14ac:dyDescent="0.35">
      <c r="A735" s="134">
        <v>45679</v>
      </c>
      <c r="B735" s="135" t="s">
        <v>1239</v>
      </c>
      <c r="C735" s="136" t="s">
        <v>476</v>
      </c>
      <c r="D735" s="136" t="s">
        <v>470</v>
      </c>
      <c r="E735" s="136" t="s">
        <v>333</v>
      </c>
      <c r="F735" s="136" t="s">
        <v>567</v>
      </c>
      <c r="G735" s="136">
        <v>60</v>
      </c>
      <c r="H735" s="137">
        <v>38</v>
      </c>
      <c r="I735" s="138">
        <f t="shared" si="11"/>
        <v>2280</v>
      </c>
      <c r="J735" s="139" t="s">
        <v>466</v>
      </c>
      <c r="K735" s="140">
        <v>61.56</v>
      </c>
      <c r="L735">
        <f>Table13[[#This Row],[Price]]*Table13[[#This Row],[Units]]</f>
        <v>2280</v>
      </c>
    </row>
    <row r="736" spans="1:12" x14ac:dyDescent="0.35">
      <c r="A736" s="134">
        <v>45679</v>
      </c>
      <c r="B736" s="135" t="s">
        <v>1240</v>
      </c>
      <c r="C736" s="136" t="s">
        <v>476</v>
      </c>
      <c r="D736" s="136" t="s">
        <v>512</v>
      </c>
      <c r="E736" s="136" t="s">
        <v>320</v>
      </c>
      <c r="F736" s="136" t="s">
        <v>497</v>
      </c>
      <c r="G736" s="136">
        <v>51</v>
      </c>
      <c r="H736" s="137">
        <v>20</v>
      </c>
      <c r="I736" s="138">
        <f t="shared" si="11"/>
        <v>1020</v>
      </c>
      <c r="J736" s="139" t="s">
        <v>472</v>
      </c>
      <c r="K736" s="140">
        <v>24.48</v>
      </c>
      <c r="L736">
        <f>Table13[[#This Row],[Price]]*Table13[[#This Row],[Units]]</f>
        <v>1020</v>
      </c>
    </row>
    <row r="737" spans="1:12" x14ac:dyDescent="0.35">
      <c r="A737" s="134">
        <v>45680</v>
      </c>
      <c r="B737" s="135" t="s">
        <v>1241</v>
      </c>
      <c r="C737" s="136" t="s">
        <v>494</v>
      </c>
      <c r="D737" s="136" t="s">
        <v>512</v>
      </c>
      <c r="E737" s="136" t="s">
        <v>333</v>
      </c>
      <c r="F737" s="136" t="s">
        <v>528</v>
      </c>
      <c r="G737" s="136">
        <v>39</v>
      </c>
      <c r="H737" s="137">
        <v>26</v>
      </c>
      <c r="I737" s="138">
        <f t="shared" si="11"/>
        <v>1014</v>
      </c>
      <c r="J737" s="139" t="s">
        <v>466</v>
      </c>
      <c r="K737" s="140">
        <v>20.28</v>
      </c>
      <c r="L737">
        <f>Table13[[#This Row],[Price]]*Table13[[#This Row],[Units]]</f>
        <v>1014</v>
      </c>
    </row>
    <row r="738" spans="1:12" x14ac:dyDescent="0.35">
      <c r="A738" s="134">
        <v>45681</v>
      </c>
      <c r="B738" s="135" t="s">
        <v>1242</v>
      </c>
      <c r="C738" s="136" t="s">
        <v>489</v>
      </c>
      <c r="D738" s="136" t="s">
        <v>490</v>
      </c>
      <c r="E738" s="136" t="s">
        <v>315</v>
      </c>
      <c r="F738" s="136" t="s">
        <v>510</v>
      </c>
      <c r="G738" s="136">
        <v>59</v>
      </c>
      <c r="H738" s="137">
        <v>41</v>
      </c>
      <c r="I738" s="138">
        <f t="shared" si="11"/>
        <v>2419</v>
      </c>
      <c r="J738" s="139" t="s">
        <v>503</v>
      </c>
      <c r="K738" s="140">
        <v>65.313000000000002</v>
      </c>
      <c r="L738">
        <f>Table13[[#This Row],[Price]]*Table13[[#This Row],[Units]]</f>
        <v>2419</v>
      </c>
    </row>
    <row r="739" spans="1:12" x14ac:dyDescent="0.35">
      <c r="A739" s="134">
        <v>45681</v>
      </c>
      <c r="B739" s="135" t="s">
        <v>1243</v>
      </c>
      <c r="C739" s="136" t="s">
        <v>476</v>
      </c>
      <c r="D739" s="136" t="s">
        <v>512</v>
      </c>
      <c r="E739" s="136" t="s">
        <v>324</v>
      </c>
      <c r="F739" s="136" t="s">
        <v>500</v>
      </c>
      <c r="G739" s="136">
        <v>56</v>
      </c>
      <c r="H739" s="137">
        <v>25</v>
      </c>
      <c r="I739" s="138">
        <f t="shared" si="11"/>
        <v>1400</v>
      </c>
      <c r="J739" s="139" t="s">
        <v>466</v>
      </c>
      <c r="K739" s="140">
        <v>42</v>
      </c>
      <c r="L739">
        <f>Table13[[#This Row],[Price]]*Table13[[#This Row],[Units]]</f>
        <v>1400</v>
      </c>
    </row>
    <row r="740" spans="1:12" x14ac:dyDescent="0.35">
      <c r="A740" s="134">
        <v>45682</v>
      </c>
      <c r="B740" s="135" t="s">
        <v>1244</v>
      </c>
      <c r="C740" s="136" t="s">
        <v>322</v>
      </c>
      <c r="D740" s="136" t="s">
        <v>477</v>
      </c>
      <c r="E740" s="136" t="s">
        <v>390</v>
      </c>
      <c r="F740" s="136" t="s">
        <v>539</v>
      </c>
      <c r="G740" s="136">
        <v>41</v>
      </c>
      <c r="H740" s="137">
        <v>25</v>
      </c>
      <c r="I740" s="138">
        <f t="shared" si="11"/>
        <v>1025</v>
      </c>
      <c r="J740" s="139" t="s">
        <v>472</v>
      </c>
      <c r="K740" s="140">
        <v>26.65</v>
      </c>
      <c r="L740">
        <f>Table13[[#This Row],[Price]]*Table13[[#This Row],[Units]]</f>
        <v>1025</v>
      </c>
    </row>
    <row r="741" spans="1:12" x14ac:dyDescent="0.35">
      <c r="A741" s="134">
        <v>45682</v>
      </c>
      <c r="B741" s="135" t="s">
        <v>1245</v>
      </c>
      <c r="C741" s="136" t="s">
        <v>322</v>
      </c>
      <c r="D741" s="136" t="s">
        <v>477</v>
      </c>
      <c r="E741" s="136" t="s">
        <v>320</v>
      </c>
      <c r="F741" s="136" t="s">
        <v>505</v>
      </c>
      <c r="G741" s="136">
        <v>32</v>
      </c>
      <c r="H741" s="137">
        <v>51</v>
      </c>
      <c r="I741" s="138">
        <f t="shared" si="11"/>
        <v>1632</v>
      </c>
      <c r="J741" s="139" t="s">
        <v>472</v>
      </c>
      <c r="K741" s="140">
        <v>40.799999999999997</v>
      </c>
      <c r="L741">
        <f>Table13[[#This Row],[Price]]*Table13[[#This Row],[Units]]</f>
        <v>1632</v>
      </c>
    </row>
    <row r="742" spans="1:12" x14ac:dyDescent="0.35">
      <c r="A742" s="134">
        <v>45682</v>
      </c>
      <c r="B742" s="135" t="s">
        <v>1246</v>
      </c>
      <c r="C742" s="136" t="s">
        <v>494</v>
      </c>
      <c r="D742" s="136" t="s">
        <v>490</v>
      </c>
      <c r="E742" s="136" t="s">
        <v>390</v>
      </c>
      <c r="F742" s="136" t="s">
        <v>567</v>
      </c>
      <c r="G742" s="136">
        <v>10</v>
      </c>
      <c r="H742" s="137">
        <v>39</v>
      </c>
      <c r="I742" s="138">
        <f t="shared" si="11"/>
        <v>390</v>
      </c>
      <c r="J742" s="139" t="s">
        <v>472</v>
      </c>
      <c r="K742" s="140">
        <v>8.19</v>
      </c>
      <c r="L742">
        <f>Table13[[#This Row],[Price]]*Table13[[#This Row],[Units]]</f>
        <v>390</v>
      </c>
    </row>
    <row r="743" spans="1:12" x14ac:dyDescent="0.35">
      <c r="A743" s="134">
        <v>45682</v>
      </c>
      <c r="B743" s="135" t="s">
        <v>1247</v>
      </c>
      <c r="C743" s="136" t="s">
        <v>484</v>
      </c>
      <c r="D743" s="136" t="s">
        <v>470</v>
      </c>
      <c r="E743" s="136" t="s">
        <v>320</v>
      </c>
      <c r="F743" s="136" t="s">
        <v>497</v>
      </c>
      <c r="G743" s="136">
        <v>17</v>
      </c>
      <c r="H743" s="137">
        <v>55</v>
      </c>
      <c r="I743" s="138">
        <f t="shared" si="11"/>
        <v>935</v>
      </c>
      <c r="J743" s="139" t="s">
        <v>466</v>
      </c>
      <c r="K743" s="140">
        <v>24.31</v>
      </c>
      <c r="L743">
        <f>Table13[[#This Row],[Price]]*Table13[[#This Row],[Units]]</f>
        <v>935</v>
      </c>
    </row>
    <row r="744" spans="1:12" x14ac:dyDescent="0.35">
      <c r="A744" s="134">
        <v>45682</v>
      </c>
      <c r="B744" s="135" t="s">
        <v>1248</v>
      </c>
      <c r="C744" s="136" t="s">
        <v>476</v>
      </c>
      <c r="D744" s="136" t="s">
        <v>470</v>
      </c>
      <c r="E744" s="136" t="s">
        <v>324</v>
      </c>
      <c r="F744" s="136" t="s">
        <v>528</v>
      </c>
      <c r="G744" s="136">
        <v>37</v>
      </c>
      <c r="H744" s="137">
        <v>45</v>
      </c>
      <c r="I744" s="138">
        <f t="shared" si="11"/>
        <v>1665</v>
      </c>
      <c r="J744" s="139" t="s">
        <v>472</v>
      </c>
      <c r="K744" s="140">
        <v>33.299999999999997</v>
      </c>
      <c r="L744">
        <f>Table13[[#This Row],[Price]]*Table13[[#This Row],[Units]]</f>
        <v>1665</v>
      </c>
    </row>
    <row r="745" spans="1:12" x14ac:dyDescent="0.35">
      <c r="A745" s="134">
        <v>45682</v>
      </c>
      <c r="B745" s="135" t="s">
        <v>1249</v>
      </c>
      <c r="C745" s="136" t="s">
        <v>494</v>
      </c>
      <c r="D745" s="136" t="s">
        <v>490</v>
      </c>
      <c r="E745" s="136" t="s">
        <v>390</v>
      </c>
      <c r="F745" s="136" t="s">
        <v>536</v>
      </c>
      <c r="G745" s="136">
        <v>43</v>
      </c>
      <c r="H745" s="137">
        <v>25</v>
      </c>
      <c r="I745" s="138">
        <f t="shared" si="11"/>
        <v>1075</v>
      </c>
      <c r="J745" s="139" t="s">
        <v>466</v>
      </c>
      <c r="K745" s="140">
        <v>22.574999999999999</v>
      </c>
      <c r="L745">
        <f>Table13[[#This Row],[Price]]*Table13[[#This Row],[Units]]</f>
        <v>1075</v>
      </c>
    </row>
    <row r="746" spans="1:12" x14ac:dyDescent="0.35">
      <c r="A746" s="134">
        <v>45682</v>
      </c>
      <c r="B746" s="135" t="s">
        <v>1250</v>
      </c>
      <c r="C746" s="136" t="s">
        <v>476</v>
      </c>
      <c r="D746" s="136" t="s">
        <v>519</v>
      </c>
      <c r="E746" s="136" t="s">
        <v>333</v>
      </c>
      <c r="F746" s="136" t="s">
        <v>505</v>
      </c>
      <c r="G746" s="136">
        <v>53</v>
      </c>
      <c r="H746" s="137">
        <v>57</v>
      </c>
      <c r="I746" s="138">
        <f t="shared" si="11"/>
        <v>3021</v>
      </c>
      <c r="J746" s="139" t="s">
        <v>466</v>
      </c>
      <c r="K746" s="140">
        <v>66.462000000000003</v>
      </c>
      <c r="L746">
        <f>Table13[[#This Row],[Price]]*Table13[[#This Row],[Units]]</f>
        <v>3021</v>
      </c>
    </row>
    <row r="747" spans="1:12" x14ac:dyDescent="0.35">
      <c r="A747" s="134">
        <v>45682</v>
      </c>
      <c r="B747" s="135" t="s">
        <v>1251</v>
      </c>
      <c r="C747" s="136" t="s">
        <v>501</v>
      </c>
      <c r="D747" s="136" t="s">
        <v>477</v>
      </c>
      <c r="E747" s="136" t="s">
        <v>483</v>
      </c>
      <c r="F747" s="136" t="s">
        <v>539</v>
      </c>
      <c r="G747" s="136">
        <v>13</v>
      </c>
      <c r="H747" s="137">
        <v>49</v>
      </c>
      <c r="I747" s="138">
        <f t="shared" si="11"/>
        <v>637</v>
      </c>
      <c r="J747" s="139" t="s">
        <v>466</v>
      </c>
      <c r="K747" s="140">
        <v>15.925000000000001</v>
      </c>
      <c r="L747">
        <f>Table13[[#This Row],[Price]]*Table13[[#This Row],[Units]]</f>
        <v>637</v>
      </c>
    </row>
    <row r="748" spans="1:12" x14ac:dyDescent="0.35">
      <c r="A748" s="134">
        <v>45682</v>
      </c>
      <c r="B748" s="135" t="s">
        <v>1252</v>
      </c>
      <c r="C748" s="136" t="s">
        <v>489</v>
      </c>
      <c r="D748" s="136" t="s">
        <v>486</v>
      </c>
      <c r="E748" s="136" t="s">
        <v>315</v>
      </c>
      <c r="F748" s="136" t="s">
        <v>471</v>
      </c>
      <c r="G748" s="136">
        <v>30</v>
      </c>
      <c r="H748" s="137">
        <v>58</v>
      </c>
      <c r="I748" s="138">
        <f t="shared" si="11"/>
        <v>1740</v>
      </c>
      <c r="J748" s="139" t="s">
        <v>503</v>
      </c>
      <c r="K748" s="140">
        <v>48.72</v>
      </c>
      <c r="L748">
        <f>Table13[[#This Row],[Price]]*Table13[[#This Row],[Units]]</f>
        <v>1740</v>
      </c>
    </row>
    <row r="749" spans="1:12" x14ac:dyDescent="0.35">
      <c r="A749" s="134">
        <v>45682</v>
      </c>
      <c r="B749" s="135" t="s">
        <v>1253</v>
      </c>
      <c r="C749" s="136" t="s">
        <v>322</v>
      </c>
      <c r="D749" s="136" t="s">
        <v>486</v>
      </c>
      <c r="E749" s="136" t="s">
        <v>483</v>
      </c>
      <c r="F749" s="136" t="s">
        <v>478</v>
      </c>
      <c r="G749" s="136">
        <v>21</v>
      </c>
      <c r="H749" s="137">
        <v>47</v>
      </c>
      <c r="I749" s="138">
        <f t="shared" si="11"/>
        <v>987</v>
      </c>
      <c r="J749" s="139" t="s">
        <v>466</v>
      </c>
      <c r="K749" s="140">
        <v>28.623000000000001</v>
      </c>
      <c r="L749">
        <f>Table13[[#This Row],[Price]]*Table13[[#This Row],[Units]]</f>
        <v>987</v>
      </c>
    </row>
    <row r="750" spans="1:12" x14ac:dyDescent="0.35">
      <c r="A750" s="134">
        <v>45682</v>
      </c>
      <c r="B750" s="135" t="s">
        <v>1254</v>
      </c>
      <c r="C750" s="136" t="s">
        <v>469</v>
      </c>
      <c r="D750" s="136" t="s">
        <v>490</v>
      </c>
      <c r="E750" s="136" t="s">
        <v>324</v>
      </c>
      <c r="F750" s="136" t="s">
        <v>513</v>
      </c>
      <c r="G750" s="136">
        <v>12</v>
      </c>
      <c r="H750" s="137">
        <v>37</v>
      </c>
      <c r="I750" s="138">
        <f t="shared" si="11"/>
        <v>444</v>
      </c>
      <c r="J750" s="139" t="s">
        <v>503</v>
      </c>
      <c r="K750" s="140">
        <v>9.3239999999999998</v>
      </c>
      <c r="L750">
        <f>Table13[[#This Row],[Price]]*Table13[[#This Row],[Units]]</f>
        <v>444</v>
      </c>
    </row>
    <row r="751" spans="1:12" x14ac:dyDescent="0.35">
      <c r="A751" s="134">
        <v>45682</v>
      </c>
      <c r="B751" s="135" t="s">
        <v>1255</v>
      </c>
      <c r="C751" s="136" t="s">
        <v>322</v>
      </c>
      <c r="D751" s="136" t="s">
        <v>486</v>
      </c>
      <c r="E751" s="136" t="s">
        <v>483</v>
      </c>
      <c r="F751" s="136" t="s">
        <v>491</v>
      </c>
      <c r="G751" s="136">
        <v>25</v>
      </c>
      <c r="H751" s="137">
        <v>43</v>
      </c>
      <c r="I751" s="138">
        <f t="shared" si="11"/>
        <v>1075</v>
      </c>
      <c r="J751" s="139" t="s">
        <v>472</v>
      </c>
      <c r="K751" s="140">
        <v>31.175000000000001</v>
      </c>
      <c r="L751">
        <f>Table13[[#This Row],[Price]]*Table13[[#This Row],[Units]]</f>
        <v>1075</v>
      </c>
    </row>
    <row r="752" spans="1:12" x14ac:dyDescent="0.35">
      <c r="A752" s="134">
        <v>45682</v>
      </c>
      <c r="B752" s="135" t="s">
        <v>1256</v>
      </c>
      <c r="C752" s="136" t="s">
        <v>464</v>
      </c>
      <c r="D752" s="136" t="s">
        <v>490</v>
      </c>
      <c r="E752" s="136" t="s">
        <v>483</v>
      </c>
      <c r="F752" s="136" t="s">
        <v>505</v>
      </c>
      <c r="G752" s="136">
        <v>15</v>
      </c>
      <c r="H752" s="137">
        <v>30</v>
      </c>
      <c r="I752" s="138">
        <f t="shared" si="11"/>
        <v>450</v>
      </c>
      <c r="J752" s="139" t="s">
        <v>515</v>
      </c>
      <c r="K752" s="140">
        <v>12.6</v>
      </c>
      <c r="L752">
        <f>Table13[[#This Row],[Price]]*Table13[[#This Row],[Units]]</f>
        <v>450</v>
      </c>
    </row>
    <row r="753" spans="1:12" x14ac:dyDescent="0.35">
      <c r="A753" s="134">
        <v>45683</v>
      </c>
      <c r="B753" s="135" t="s">
        <v>1257</v>
      </c>
      <c r="C753" s="136" t="s">
        <v>501</v>
      </c>
      <c r="D753" s="136" t="s">
        <v>477</v>
      </c>
      <c r="E753" s="136" t="s">
        <v>320</v>
      </c>
      <c r="F753" s="136" t="s">
        <v>539</v>
      </c>
      <c r="G753" s="136">
        <v>56</v>
      </c>
      <c r="H753" s="137">
        <v>45</v>
      </c>
      <c r="I753" s="138">
        <f t="shared" si="11"/>
        <v>2520</v>
      </c>
      <c r="J753" s="139" t="s">
        <v>466</v>
      </c>
      <c r="K753" s="140">
        <v>57.96</v>
      </c>
      <c r="L753">
        <f>Table13[[#This Row],[Price]]*Table13[[#This Row],[Units]]</f>
        <v>2520</v>
      </c>
    </row>
    <row r="754" spans="1:12" x14ac:dyDescent="0.35">
      <c r="A754" s="134">
        <v>45683</v>
      </c>
      <c r="B754" s="135" t="s">
        <v>1258</v>
      </c>
      <c r="C754" s="136" t="s">
        <v>484</v>
      </c>
      <c r="D754" s="136" t="s">
        <v>470</v>
      </c>
      <c r="E754" s="136" t="s">
        <v>333</v>
      </c>
      <c r="F754" s="136" t="s">
        <v>536</v>
      </c>
      <c r="G754" s="136">
        <v>51</v>
      </c>
      <c r="H754" s="137">
        <v>55</v>
      </c>
      <c r="I754" s="138">
        <f t="shared" si="11"/>
        <v>2805</v>
      </c>
      <c r="J754" s="139" t="s">
        <v>466</v>
      </c>
      <c r="K754" s="140">
        <v>72.930000000000007</v>
      </c>
      <c r="L754">
        <f>Table13[[#This Row],[Price]]*Table13[[#This Row],[Units]]</f>
        <v>2805</v>
      </c>
    </row>
    <row r="755" spans="1:12" x14ac:dyDescent="0.35">
      <c r="A755" s="134">
        <v>45683</v>
      </c>
      <c r="B755" s="135" t="s">
        <v>1259</v>
      </c>
      <c r="C755" s="136" t="s">
        <v>489</v>
      </c>
      <c r="D755" s="136" t="s">
        <v>519</v>
      </c>
      <c r="E755" s="136" t="s">
        <v>390</v>
      </c>
      <c r="F755" s="136" t="s">
        <v>471</v>
      </c>
      <c r="G755" s="136">
        <v>15</v>
      </c>
      <c r="H755" s="137">
        <v>40</v>
      </c>
      <c r="I755" s="138">
        <f t="shared" si="11"/>
        <v>600</v>
      </c>
      <c r="J755" s="139" t="s">
        <v>466</v>
      </c>
      <c r="K755" s="140">
        <v>15</v>
      </c>
      <c r="L755">
        <f>Table13[[#This Row],[Price]]*Table13[[#This Row],[Units]]</f>
        <v>600</v>
      </c>
    </row>
    <row r="756" spans="1:12" x14ac:dyDescent="0.35">
      <c r="A756" s="134">
        <v>45683</v>
      </c>
      <c r="B756" s="135" t="s">
        <v>1260</v>
      </c>
      <c r="C756" s="136" t="s">
        <v>476</v>
      </c>
      <c r="D756" s="136" t="s">
        <v>470</v>
      </c>
      <c r="E756" s="136" t="s">
        <v>483</v>
      </c>
      <c r="F756" s="136" t="s">
        <v>500</v>
      </c>
      <c r="G756" s="136">
        <v>19</v>
      </c>
      <c r="H756" s="137">
        <v>23</v>
      </c>
      <c r="I756" s="138">
        <f t="shared" si="11"/>
        <v>437</v>
      </c>
      <c r="J756" s="139" t="s">
        <v>466</v>
      </c>
      <c r="K756" s="140">
        <v>8.74</v>
      </c>
      <c r="L756">
        <f>Table13[[#This Row],[Price]]*Table13[[#This Row],[Units]]</f>
        <v>437</v>
      </c>
    </row>
    <row r="757" spans="1:12" x14ac:dyDescent="0.35">
      <c r="A757" s="134">
        <v>45683</v>
      </c>
      <c r="B757" s="135" t="s">
        <v>1261</v>
      </c>
      <c r="C757" s="136" t="s">
        <v>476</v>
      </c>
      <c r="D757" s="136" t="s">
        <v>486</v>
      </c>
      <c r="E757" s="136" t="s">
        <v>483</v>
      </c>
      <c r="F757" s="136" t="s">
        <v>487</v>
      </c>
      <c r="G757" s="136">
        <v>45</v>
      </c>
      <c r="H757" s="137">
        <v>52</v>
      </c>
      <c r="I757" s="138">
        <f t="shared" si="11"/>
        <v>2340</v>
      </c>
      <c r="J757" s="139" t="s">
        <v>466</v>
      </c>
      <c r="K757" s="140">
        <v>60.84</v>
      </c>
      <c r="L757">
        <f>Table13[[#This Row],[Price]]*Table13[[#This Row],[Units]]</f>
        <v>2340</v>
      </c>
    </row>
    <row r="758" spans="1:12" x14ac:dyDescent="0.35">
      <c r="A758" s="134">
        <v>45683</v>
      </c>
      <c r="B758" s="135" t="s">
        <v>1262</v>
      </c>
      <c r="C758" s="136" t="s">
        <v>489</v>
      </c>
      <c r="D758" s="136" t="s">
        <v>519</v>
      </c>
      <c r="E758" s="136" t="s">
        <v>333</v>
      </c>
      <c r="F758" s="136" t="s">
        <v>478</v>
      </c>
      <c r="G758" s="136">
        <v>22</v>
      </c>
      <c r="H758" s="137">
        <v>59</v>
      </c>
      <c r="I758" s="138">
        <f t="shared" si="11"/>
        <v>1298</v>
      </c>
      <c r="J758" s="139" t="s">
        <v>515</v>
      </c>
      <c r="K758" s="140">
        <v>38.94</v>
      </c>
      <c r="L758">
        <f>Table13[[#This Row],[Price]]*Table13[[#This Row],[Units]]</f>
        <v>1298</v>
      </c>
    </row>
    <row r="759" spans="1:12" x14ac:dyDescent="0.35">
      <c r="A759" s="134">
        <v>45684</v>
      </c>
      <c r="B759" s="135" t="s">
        <v>1263</v>
      </c>
      <c r="C759" s="136" t="s">
        <v>494</v>
      </c>
      <c r="D759" s="136" t="s">
        <v>490</v>
      </c>
      <c r="E759" s="136" t="s">
        <v>483</v>
      </c>
      <c r="F759" s="136" t="s">
        <v>454</v>
      </c>
      <c r="G759" s="136">
        <v>38</v>
      </c>
      <c r="H759" s="137">
        <v>53</v>
      </c>
      <c r="I759" s="138">
        <f t="shared" si="11"/>
        <v>2014</v>
      </c>
      <c r="J759" s="139" t="s">
        <v>515</v>
      </c>
      <c r="K759" s="140">
        <v>44.308</v>
      </c>
      <c r="L759">
        <f>Table13[[#This Row],[Price]]*Table13[[#This Row],[Units]]</f>
        <v>2014</v>
      </c>
    </row>
    <row r="760" spans="1:12" x14ac:dyDescent="0.35">
      <c r="A760" s="134">
        <v>45684</v>
      </c>
      <c r="B760" s="135" t="s">
        <v>1264</v>
      </c>
      <c r="C760" s="136" t="s">
        <v>494</v>
      </c>
      <c r="D760" s="136" t="s">
        <v>490</v>
      </c>
      <c r="E760" s="136" t="s">
        <v>324</v>
      </c>
      <c r="F760" s="136" t="s">
        <v>513</v>
      </c>
      <c r="G760" s="136">
        <v>60</v>
      </c>
      <c r="H760" s="137">
        <v>33</v>
      </c>
      <c r="I760" s="138">
        <f t="shared" si="11"/>
        <v>1980</v>
      </c>
      <c r="J760" s="139" t="s">
        <v>515</v>
      </c>
      <c r="K760" s="140">
        <v>41.58</v>
      </c>
      <c r="L760">
        <f>Table13[[#This Row],[Price]]*Table13[[#This Row],[Units]]</f>
        <v>1980</v>
      </c>
    </row>
    <row r="761" spans="1:12" x14ac:dyDescent="0.35">
      <c r="A761" s="134">
        <v>45684</v>
      </c>
      <c r="B761" s="135" t="s">
        <v>1265</v>
      </c>
      <c r="C761" s="136" t="s">
        <v>494</v>
      </c>
      <c r="D761" s="136" t="s">
        <v>470</v>
      </c>
      <c r="E761" s="136" t="s">
        <v>320</v>
      </c>
      <c r="F761" s="136" t="s">
        <v>471</v>
      </c>
      <c r="G761" s="136">
        <v>11</v>
      </c>
      <c r="H761" s="137">
        <v>56</v>
      </c>
      <c r="I761" s="138">
        <f t="shared" si="11"/>
        <v>616</v>
      </c>
      <c r="J761" s="139" t="s">
        <v>466</v>
      </c>
      <c r="K761" s="140">
        <v>12.936</v>
      </c>
      <c r="L761">
        <f>Table13[[#This Row],[Price]]*Table13[[#This Row],[Units]]</f>
        <v>616</v>
      </c>
    </row>
    <row r="762" spans="1:12" x14ac:dyDescent="0.35">
      <c r="A762" s="134">
        <v>45684</v>
      </c>
      <c r="B762" s="135" t="s">
        <v>1266</v>
      </c>
      <c r="C762" s="136" t="s">
        <v>492</v>
      </c>
      <c r="D762" s="136" t="s">
        <v>477</v>
      </c>
      <c r="E762" s="136" t="s">
        <v>320</v>
      </c>
      <c r="F762" s="136" t="s">
        <v>471</v>
      </c>
      <c r="G762" s="136">
        <v>34</v>
      </c>
      <c r="H762" s="137">
        <v>20</v>
      </c>
      <c r="I762" s="138">
        <f t="shared" si="11"/>
        <v>680</v>
      </c>
      <c r="J762" s="139" t="s">
        <v>503</v>
      </c>
      <c r="K762" s="140">
        <v>19.04</v>
      </c>
      <c r="L762">
        <f>Table13[[#This Row],[Price]]*Table13[[#This Row],[Units]]</f>
        <v>680</v>
      </c>
    </row>
    <row r="763" spans="1:12" x14ac:dyDescent="0.35">
      <c r="A763" s="134">
        <v>45684</v>
      </c>
      <c r="B763" s="135" t="s">
        <v>1267</v>
      </c>
      <c r="C763" s="136" t="s">
        <v>494</v>
      </c>
      <c r="D763" s="136" t="s">
        <v>470</v>
      </c>
      <c r="E763" s="136" t="s">
        <v>390</v>
      </c>
      <c r="F763" s="136" t="s">
        <v>487</v>
      </c>
      <c r="G763" s="136">
        <v>27</v>
      </c>
      <c r="H763" s="137">
        <v>32</v>
      </c>
      <c r="I763" s="138">
        <f t="shared" si="11"/>
        <v>864</v>
      </c>
      <c r="J763" s="139" t="s">
        <v>466</v>
      </c>
      <c r="K763" s="140">
        <v>19.007999999999999</v>
      </c>
      <c r="L763">
        <f>Table13[[#This Row],[Price]]*Table13[[#This Row],[Units]]</f>
        <v>864</v>
      </c>
    </row>
    <row r="764" spans="1:12" x14ac:dyDescent="0.35">
      <c r="A764" s="134">
        <v>45684</v>
      </c>
      <c r="B764" s="135" t="s">
        <v>1268</v>
      </c>
      <c r="C764" s="136" t="s">
        <v>464</v>
      </c>
      <c r="D764" s="136" t="s">
        <v>470</v>
      </c>
      <c r="E764" s="136" t="s">
        <v>320</v>
      </c>
      <c r="F764" s="136" t="s">
        <v>510</v>
      </c>
      <c r="G764" s="136">
        <v>25</v>
      </c>
      <c r="H764" s="137">
        <v>56</v>
      </c>
      <c r="I764" s="138">
        <f t="shared" si="11"/>
        <v>1400</v>
      </c>
      <c r="J764" s="139" t="s">
        <v>515</v>
      </c>
      <c r="K764" s="140">
        <v>40.6</v>
      </c>
      <c r="L764">
        <f>Table13[[#This Row],[Price]]*Table13[[#This Row],[Units]]</f>
        <v>1400</v>
      </c>
    </row>
    <row r="765" spans="1:12" x14ac:dyDescent="0.35">
      <c r="A765" s="134">
        <v>45684</v>
      </c>
      <c r="B765" s="135" t="s">
        <v>1269</v>
      </c>
      <c r="C765" s="136" t="s">
        <v>494</v>
      </c>
      <c r="D765" s="136" t="s">
        <v>512</v>
      </c>
      <c r="E765" s="136" t="s">
        <v>320</v>
      </c>
      <c r="F765" s="136" t="s">
        <v>523</v>
      </c>
      <c r="G765" s="136">
        <v>16</v>
      </c>
      <c r="H765" s="137">
        <v>25</v>
      </c>
      <c r="I765" s="138">
        <f t="shared" si="11"/>
        <v>400</v>
      </c>
      <c r="J765" s="139" t="s">
        <v>472</v>
      </c>
      <c r="K765" s="140">
        <v>9.1999999999999993</v>
      </c>
      <c r="L765">
        <f>Table13[[#This Row],[Price]]*Table13[[#This Row],[Units]]</f>
        <v>400</v>
      </c>
    </row>
    <row r="766" spans="1:12" x14ac:dyDescent="0.35">
      <c r="A766" s="134">
        <v>45685</v>
      </c>
      <c r="B766" s="135" t="s">
        <v>1270</v>
      </c>
      <c r="C766" s="136" t="s">
        <v>322</v>
      </c>
      <c r="D766" s="136" t="s">
        <v>519</v>
      </c>
      <c r="E766" s="136" t="s">
        <v>483</v>
      </c>
      <c r="F766" s="136" t="s">
        <v>536</v>
      </c>
      <c r="G766" s="136">
        <v>13</v>
      </c>
      <c r="H766" s="137">
        <v>33</v>
      </c>
      <c r="I766" s="138">
        <f t="shared" si="11"/>
        <v>429</v>
      </c>
      <c r="J766" s="139" t="s">
        <v>466</v>
      </c>
      <c r="K766" s="140">
        <v>9.8670000000000009</v>
      </c>
      <c r="L766">
        <f>Table13[[#This Row],[Price]]*Table13[[#This Row],[Units]]</f>
        <v>429</v>
      </c>
    </row>
    <row r="767" spans="1:12" x14ac:dyDescent="0.35">
      <c r="A767" s="134">
        <v>45685</v>
      </c>
      <c r="B767" s="135" t="s">
        <v>1271</v>
      </c>
      <c r="C767" s="136" t="s">
        <v>322</v>
      </c>
      <c r="D767" s="136" t="s">
        <v>470</v>
      </c>
      <c r="E767" s="136" t="s">
        <v>483</v>
      </c>
      <c r="F767" s="136" t="s">
        <v>567</v>
      </c>
      <c r="G767" s="136">
        <v>36</v>
      </c>
      <c r="H767" s="137">
        <v>28</v>
      </c>
      <c r="I767" s="138">
        <f t="shared" si="11"/>
        <v>1008</v>
      </c>
      <c r="J767" s="139" t="s">
        <v>466</v>
      </c>
      <c r="K767" s="140">
        <v>23.184000000000001</v>
      </c>
      <c r="L767">
        <f>Table13[[#This Row],[Price]]*Table13[[#This Row],[Units]]</f>
        <v>1008</v>
      </c>
    </row>
    <row r="768" spans="1:12" x14ac:dyDescent="0.35">
      <c r="A768" s="134">
        <v>45685</v>
      </c>
      <c r="B768" s="135" t="s">
        <v>1272</v>
      </c>
      <c r="C768" s="136" t="s">
        <v>494</v>
      </c>
      <c r="D768" s="136" t="s">
        <v>519</v>
      </c>
      <c r="E768" s="136" t="s">
        <v>390</v>
      </c>
      <c r="F768" s="136" t="s">
        <v>510</v>
      </c>
      <c r="G768" s="136">
        <v>33</v>
      </c>
      <c r="H768" s="137">
        <v>51</v>
      </c>
      <c r="I768" s="138">
        <f t="shared" si="11"/>
        <v>1683</v>
      </c>
      <c r="J768" s="139" t="s">
        <v>466</v>
      </c>
      <c r="K768" s="140">
        <v>33.659999999999997</v>
      </c>
      <c r="L768">
        <f>Table13[[#This Row],[Price]]*Table13[[#This Row],[Units]]</f>
        <v>1683</v>
      </c>
    </row>
    <row r="769" spans="1:12" x14ac:dyDescent="0.35">
      <c r="A769" s="134">
        <v>45685</v>
      </c>
      <c r="B769" s="135" t="s">
        <v>1273</v>
      </c>
      <c r="C769" s="136" t="s">
        <v>492</v>
      </c>
      <c r="D769" s="136" t="s">
        <v>477</v>
      </c>
      <c r="E769" s="136" t="s">
        <v>320</v>
      </c>
      <c r="F769" s="136" t="s">
        <v>487</v>
      </c>
      <c r="G769" s="136">
        <v>30</v>
      </c>
      <c r="H769" s="137">
        <v>60</v>
      </c>
      <c r="I769" s="138">
        <f t="shared" si="11"/>
        <v>1800</v>
      </c>
      <c r="J769" s="139" t="s">
        <v>466</v>
      </c>
      <c r="K769" s="140">
        <v>43.2</v>
      </c>
      <c r="L769">
        <f>Table13[[#This Row],[Price]]*Table13[[#This Row],[Units]]</f>
        <v>1800</v>
      </c>
    </row>
    <row r="770" spans="1:12" x14ac:dyDescent="0.35">
      <c r="A770" s="134">
        <v>45685</v>
      </c>
      <c r="B770" s="135" t="s">
        <v>1274</v>
      </c>
      <c r="C770" s="136" t="s">
        <v>494</v>
      </c>
      <c r="D770" s="136" t="s">
        <v>470</v>
      </c>
      <c r="E770" s="136" t="s">
        <v>324</v>
      </c>
      <c r="F770" s="136" t="s">
        <v>487</v>
      </c>
      <c r="G770" s="136">
        <v>12</v>
      </c>
      <c r="H770" s="137">
        <v>59</v>
      </c>
      <c r="I770" s="138">
        <f t="shared" si="11"/>
        <v>708</v>
      </c>
      <c r="J770" s="139" t="s">
        <v>466</v>
      </c>
      <c r="K770" s="140">
        <v>16.283999999999999</v>
      </c>
      <c r="L770">
        <f>Table13[[#This Row],[Price]]*Table13[[#This Row],[Units]]</f>
        <v>708</v>
      </c>
    </row>
    <row r="771" spans="1:12" x14ac:dyDescent="0.35">
      <c r="A771" s="134">
        <v>45685</v>
      </c>
      <c r="B771" s="135" t="s">
        <v>1275</v>
      </c>
      <c r="C771" s="136" t="s">
        <v>464</v>
      </c>
      <c r="D771" s="136" t="s">
        <v>477</v>
      </c>
      <c r="E771" s="136" t="s">
        <v>324</v>
      </c>
      <c r="F771" s="136" t="s">
        <v>517</v>
      </c>
      <c r="G771" s="136">
        <v>14</v>
      </c>
      <c r="H771" s="137">
        <v>58</v>
      </c>
      <c r="I771" s="138">
        <f t="shared" ref="I771:I834" si="12">G771*H771</f>
        <v>812</v>
      </c>
      <c r="J771" s="139" t="s">
        <v>515</v>
      </c>
      <c r="K771" s="140">
        <v>21.111999999999998</v>
      </c>
      <c r="L771">
        <f>Table13[[#This Row],[Price]]*Table13[[#This Row],[Units]]</f>
        <v>812</v>
      </c>
    </row>
    <row r="772" spans="1:12" x14ac:dyDescent="0.35">
      <c r="A772" s="134">
        <v>45685</v>
      </c>
      <c r="B772" s="135" t="s">
        <v>1276</v>
      </c>
      <c r="C772" s="136" t="s">
        <v>322</v>
      </c>
      <c r="D772" s="136" t="s">
        <v>465</v>
      </c>
      <c r="E772" s="136" t="s">
        <v>412</v>
      </c>
      <c r="F772" s="136" t="s">
        <v>478</v>
      </c>
      <c r="G772" s="136">
        <v>24</v>
      </c>
      <c r="H772" s="137">
        <v>26</v>
      </c>
      <c r="I772" s="138">
        <f t="shared" si="12"/>
        <v>624</v>
      </c>
      <c r="J772" s="139" t="s">
        <v>466</v>
      </c>
      <c r="K772" s="140">
        <v>16.847999999999999</v>
      </c>
      <c r="L772">
        <f>Table13[[#This Row],[Price]]*Table13[[#This Row],[Units]]</f>
        <v>624</v>
      </c>
    </row>
    <row r="773" spans="1:12" x14ac:dyDescent="0.35">
      <c r="A773" s="134">
        <v>45685</v>
      </c>
      <c r="B773" s="135" t="s">
        <v>1277</v>
      </c>
      <c r="C773" s="136" t="s">
        <v>489</v>
      </c>
      <c r="D773" s="136" t="s">
        <v>477</v>
      </c>
      <c r="E773" s="136" t="s">
        <v>320</v>
      </c>
      <c r="F773" s="136" t="s">
        <v>567</v>
      </c>
      <c r="G773" s="136">
        <v>12</v>
      </c>
      <c r="H773" s="137">
        <v>38</v>
      </c>
      <c r="I773" s="138">
        <f t="shared" si="12"/>
        <v>456</v>
      </c>
      <c r="J773" s="139" t="s">
        <v>466</v>
      </c>
      <c r="K773" s="140">
        <v>9.1199999999999992</v>
      </c>
      <c r="L773">
        <f>Table13[[#This Row],[Price]]*Table13[[#This Row],[Units]]</f>
        <v>456</v>
      </c>
    </row>
    <row r="774" spans="1:12" x14ac:dyDescent="0.35">
      <c r="A774" s="134">
        <v>45685</v>
      </c>
      <c r="B774" s="135" t="s">
        <v>1278</v>
      </c>
      <c r="C774" s="136" t="s">
        <v>476</v>
      </c>
      <c r="D774" s="136" t="s">
        <v>477</v>
      </c>
      <c r="E774" s="136" t="s">
        <v>333</v>
      </c>
      <c r="F774" s="136" t="s">
        <v>528</v>
      </c>
      <c r="G774" s="136">
        <v>43</v>
      </c>
      <c r="H774" s="137">
        <v>57</v>
      </c>
      <c r="I774" s="138">
        <f t="shared" si="12"/>
        <v>2451</v>
      </c>
      <c r="J774" s="139" t="s">
        <v>466</v>
      </c>
      <c r="K774" s="140">
        <v>49.02</v>
      </c>
      <c r="L774">
        <f>Table13[[#This Row],[Price]]*Table13[[#This Row],[Units]]</f>
        <v>2451</v>
      </c>
    </row>
    <row r="775" spans="1:12" x14ac:dyDescent="0.35">
      <c r="A775" s="134">
        <v>45685</v>
      </c>
      <c r="B775" s="135" t="s">
        <v>1279</v>
      </c>
      <c r="C775" s="136" t="s">
        <v>469</v>
      </c>
      <c r="D775" s="136" t="s">
        <v>512</v>
      </c>
      <c r="E775" s="136" t="s">
        <v>483</v>
      </c>
      <c r="F775" s="136" t="s">
        <v>497</v>
      </c>
      <c r="G775" s="136">
        <v>41</v>
      </c>
      <c r="H775" s="137">
        <v>34</v>
      </c>
      <c r="I775" s="138">
        <f t="shared" si="12"/>
        <v>1394</v>
      </c>
      <c r="J775" s="139" t="s">
        <v>466</v>
      </c>
      <c r="K775" s="140">
        <v>32.061999999999998</v>
      </c>
      <c r="L775">
        <f>Table13[[#This Row],[Price]]*Table13[[#This Row],[Units]]</f>
        <v>1394</v>
      </c>
    </row>
    <row r="776" spans="1:12" x14ac:dyDescent="0.35">
      <c r="A776" s="134">
        <v>45685</v>
      </c>
      <c r="B776" s="135" t="s">
        <v>1280</v>
      </c>
      <c r="C776" s="136" t="s">
        <v>322</v>
      </c>
      <c r="D776" s="136" t="s">
        <v>477</v>
      </c>
      <c r="E776" s="136" t="s">
        <v>483</v>
      </c>
      <c r="F776" s="136" t="s">
        <v>500</v>
      </c>
      <c r="G776" s="136">
        <v>30</v>
      </c>
      <c r="H776" s="137">
        <v>22</v>
      </c>
      <c r="I776" s="138">
        <f t="shared" si="12"/>
        <v>660</v>
      </c>
      <c r="J776" s="139" t="s">
        <v>472</v>
      </c>
      <c r="K776" s="140">
        <v>17.82</v>
      </c>
      <c r="L776">
        <f>Table13[[#This Row],[Price]]*Table13[[#This Row],[Units]]</f>
        <v>660</v>
      </c>
    </row>
    <row r="777" spans="1:12" x14ac:dyDescent="0.35">
      <c r="A777" s="134">
        <v>45686</v>
      </c>
      <c r="B777" s="135" t="s">
        <v>1281</v>
      </c>
      <c r="C777" s="136" t="s">
        <v>492</v>
      </c>
      <c r="D777" s="136" t="s">
        <v>477</v>
      </c>
      <c r="E777" s="136" t="s">
        <v>483</v>
      </c>
      <c r="F777" s="136" t="s">
        <v>497</v>
      </c>
      <c r="G777" s="136">
        <v>33</v>
      </c>
      <c r="H777" s="137">
        <v>40</v>
      </c>
      <c r="I777" s="138">
        <f t="shared" si="12"/>
        <v>1320</v>
      </c>
      <c r="J777" s="139" t="s">
        <v>515</v>
      </c>
      <c r="K777" s="140">
        <v>27.72</v>
      </c>
      <c r="L777">
        <f>Table13[[#This Row],[Price]]*Table13[[#This Row],[Units]]</f>
        <v>1320</v>
      </c>
    </row>
    <row r="778" spans="1:12" x14ac:dyDescent="0.35">
      <c r="A778" s="134">
        <v>45686</v>
      </c>
      <c r="B778" s="135" t="s">
        <v>1282</v>
      </c>
      <c r="C778" s="136" t="s">
        <v>494</v>
      </c>
      <c r="D778" s="136" t="s">
        <v>465</v>
      </c>
      <c r="E778" s="136" t="s">
        <v>315</v>
      </c>
      <c r="F778" s="136" t="s">
        <v>478</v>
      </c>
      <c r="G778" s="136">
        <v>22</v>
      </c>
      <c r="H778" s="137">
        <v>23</v>
      </c>
      <c r="I778" s="138">
        <f t="shared" si="12"/>
        <v>506</v>
      </c>
      <c r="J778" s="139" t="s">
        <v>472</v>
      </c>
      <c r="K778" s="140">
        <v>10.625999999999999</v>
      </c>
      <c r="L778">
        <f>Table13[[#This Row],[Price]]*Table13[[#This Row],[Units]]</f>
        <v>506</v>
      </c>
    </row>
    <row r="779" spans="1:12" x14ac:dyDescent="0.35">
      <c r="A779" s="134">
        <v>45686</v>
      </c>
      <c r="B779" s="135" t="s">
        <v>1283</v>
      </c>
      <c r="C779" s="136" t="s">
        <v>476</v>
      </c>
      <c r="D779" s="136" t="s">
        <v>512</v>
      </c>
      <c r="E779" s="136" t="s">
        <v>315</v>
      </c>
      <c r="F779" s="136" t="s">
        <v>539</v>
      </c>
      <c r="G779" s="136">
        <v>31</v>
      </c>
      <c r="H779" s="137">
        <v>40</v>
      </c>
      <c r="I779" s="138">
        <f t="shared" si="12"/>
        <v>1240</v>
      </c>
      <c r="J779" s="139" t="s">
        <v>472</v>
      </c>
      <c r="K779" s="140">
        <v>37.200000000000003</v>
      </c>
      <c r="L779">
        <f>Table13[[#This Row],[Price]]*Table13[[#This Row],[Units]]</f>
        <v>1240</v>
      </c>
    </row>
    <row r="780" spans="1:12" x14ac:dyDescent="0.35">
      <c r="A780" s="134">
        <v>45686</v>
      </c>
      <c r="B780" s="135" t="s">
        <v>1284</v>
      </c>
      <c r="C780" s="136" t="s">
        <v>322</v>
      </c>
      <c r="D780" s="136" t="s">
        <v>490</v>
      </c>
      <c r="E780" s="136" t="s">
        <v>412</v>
      </c>
      <c r="F780" s="136" t="s">
        <v>513</v>
      </c>
      <c r="G780" s="136">
        <v>33</v>
      </c>
      <c r="H780" s="137">
        <v>38</v>
      </c>
      <c r="I780" s="138">
        <f t="shared" si="12"/>
        <v>1254</v>
      </c>
      <c r="J780" s="139" t="s">
        <v>472</v>
      </c>
      <c r="K780" s="140">
        <v>33.857999999999997</v>
      </c>
      <c r="L780">
        <f>Table13[[#This Row],[Price]]*Table13[[#This Row],[Units]]</f>
        <v>1254</v>
      </c>
    </row>
    <row r="781" spans="1:12" x14ac:dyDescent="0.35">
      <c r="A781" s="134">
        <v>45686</v>
      </c>
      <c r="B781" s="135" t="s">
        <v>1285</v>
      </c>
      <c r="C781" s="136" t="s">
        <v>489</v>
      </c>
      <c r="D781" s="136" t="s">
        <v>470</v>
      </c>
      <c r="E781" s="136" t="s">
        <v>390</v>
      </c>
      <c r="F781" s="136" t="s">
        <v>539</v>
      </c>
      <c r="G781" s="136">
        <v>34</v>
      </c>
      <c r="H781" s="137">
        <v>49</v>
      </c>
      <c r="I781" s="138">
        <f t="shared" si="12"/>
        <v>1666</v>
      </c>
      <c r="J781" s="139" t="s">
        <v>466</v>
      </c>
      <c r="K781" s="140">
        <v>43.316000000000003</v>
      </c>
      <c r="L781">
        <f>Table13[[#This Row],[Price]]*Table13[[#This Row],[Units]]</f>
        <v>1666</v>
      </c>
    </row>
    <row r="782" spans="1:12" x14ac:dyDescent="0.35">
      <c r="A782" s="134">
        <v>45686</v>
      </c>
      <c r="B782" s="135" t="s">
        <v>1286</v>
      </c>
      <c r="C782" s="136" t="s">
        <v>494</v>
      </c>
      <c r="D782" s="136" t="s">
        <v>519</v>
      </c>
      <c r="E782" s="136" t="s">
        <v>333</v>
      </c>
      <c r="F782" s="136" t="s">
        <v>539</v>
      </c>
      <c r="G782" s="136">
        <v>37</v>
      </c>
      <c r="H782" s="137">
        <v>21</v>
      </c>
      <c r="I782" s="138">
        <f t="shared" si="12"/>
        <v>777</v>
      </c>
      <c r="J782" s="139" t="s">
        <v>466</v>
      </c>
      <c r="K782" s="140">
        <v>16.317</v>
      </c>
      <c r="L782">
        <f>Table13[[#This Row],[Price]]*Table13[[#This Row],[Units]]</f>
        <v>777</v>
      </c>
    </row>
    <row r="783" spans="1:12" x14ac:dyDescent="0.35">
      <c r="A783" s="134">
        <v>45686</v>
      </c>
      <c r="B783" s="135" t="s">
        <v>1287</v>
      </c>
      <c r="C783" s="136" t="s">
        <v>469</v>
      </c>
      <c r="D783" s="136" t="s">
        <v>519</v>
      </c>
      <c r="E783" s="136" t="s">
        <v>315</v>
      </c>
      <c r="F783" s="136" t="s">
        <v>517</v>
      </c>
      <c r="G783" s="136">
        <v>28</v>
      </c>
      <c r="H783" s="137">
        <v>24</v>
      </c>
      <c r="I783" s="138">
        <f t="shared" si="12"/>
        <v>672</v>
      </c>
      <c r="J783" s="139" t="s">
        <v>503</v>
      </c>
      <c r="K783" s="140">
        <v>19.488</v>
      </c>
      <c r="L783">
        <f>Table13[[#This Row],[Price]]*Table13[[#This Row],[Units]]</f>
        <v>672</v>
      </c>
    </row>
    <row r="784" spans="1:12" x14ac:dyDescent="0.35">
      <c r="A784" s="134">
        <v>45686</v>
      </c>
      <c r="B784" s="135" t="s">
        <v>1288</v>
      </c>
      <c r="C784" s="136" t="s">
        <v>464</v>
      </c>
      <c r="D784" s="136" t="s">
        <v>470</v>
      </c>
      <c r="E784" s="136" t="s">
        <v>324</v>
      </c>
      <c r="F784" s="136" t="s">
        <v>513</v>
      </c>
      <c r="G784" s="136">
        <v>51</v>
      </c>
      <c r="H784" s="137">
        <v>41</v>
      </c>
      <c r="I784" s="138">
        <f t="shared" si="12"/>
        <v>2091</v>
      </c>
      <c r="J784" s="139" t="s">
        <v>466</v>
      </c>
      <c r="K784" s="140">
        <v>52.274999999999999</v>
      </c>
      <c r="L784">
        <f>Table13[[#This Row],[Price]]*Table13[[#This Row],[Units]]</f>
        <v>2091</v>
      </c>
    </row>
    <row r="785" spans="1:12" x14ac:dyDescent="0.35">
      <c r="A785" s="134">
        <v>45686</v>
      </c>
      <c r="B785" s="135" t="s">
        <v>1289</v>
      </c>
      <c r="C785" s="136" t="s">
        <v>492</v>
      </c>
      <c r="D785" s="136" t="s">
        <v>512</v>
      </c>
      <c r="E785" s="136" t="s">
        <v>390</v>
      </c>
      <c r="F785" s="136" t="s">
        <v>520</v>
      </c>
      <c r="G785" s="136">
        <v>25</v>
      </c>
      <c r="H785" s="137">
        <v>46</v>
      </c>
      <c r="I785" s="138">
        <f t="shared" si="12"/>
        <v>1150</v>
      </c>
      <c r="J785" s="139" t="s">
        <v>515</v>
      </c>
      <c r="K785" s="140">
        <v>27.6</v>
      </c>
      <c r="L785">
        <f>Table13[[#This Row],[Price]]*Table13[[#This Row],[Units]]</f>
        <v>1150</v>
      </c>
    </row>
    <row r="786" spans="1:12" x14ac:dyDescent="0.35">
      <c r="A786" s="134">
        <v>45686</v>
      </c>
      <c r="B786" s="135" t="s">
        <v>1290</v>
      </c>
      <c r="C786" s="136" t="s">
        <v>464</v>
      </c>
      <c r="D786" s="136" t="s">
        <v>470</v>
      </c>
      <c r="E786" s="136" t="s">
        <v>333</v>
      </c>
      <c r="F786" s="136" t="s">
        <v>487</v>
      </c>
      <c r="G786" s="136">
        <v>18</v>
      </c>
      <c r="H786" s="137">
        <v>21</v>
      </c>
      <c r="I786" s="138">
        <f t="shared" si="12"/>
        <v>378</v>
      </c>
      <c r="J786" s="139" t="s">
        <v>466</v>
      </c>
      <c r="K786" s="140">
        <v>10.962</v>
      </c>
      <c r="L786">
        <f>Table13[[#This Row],[Price]]*Table13[[#This Row],[Units]]</f>
        <v>378</v>
      </c>
    </row>
    <row r="787" spans="1:12" x14ac:dyDescent="0.35">
      <c r="A787" s="134">
        <v>45686</v>
      </c>
      <c r="B787" s="135" t="s">
        <v>1291</v>
      </c>
      <c r="C787" s="136" t="s">
        <v>492</v>
      </c>
      <c r="D787" s="136" t="s">
        <v>490</v>
      </c>
      <c r="E787" s="136" t="s">
        <v>483</v>
      </c>
      <c r="F787" s="136" t="s">
        <v>567</v>
      </c>
      <c r="G787" s="136">
        <v>10</v>
      </c>
      <c r="H787" s="137">
        <v>49</v>
      </c>
      <c r="I787" s="138">
        <f t="shared" si="12"/>
        <v>490</v>
      </c>
      <c r="J787" s="139" t="s">
        <v>472</v>
      </c>
      <c r="K787" s="140">
        <v>13.72</v>
      </c>
      <c r="L787">
        <f>Table13[[#This Row],[Price]]*Table13[[#This Row],[Units]]</f>
        <v>490</v>
      </c>
    </row>
    <row r="788" spans="1:12" x14ac:dyDescent="0.35">
      <c r="A788" s="134">
        <v>45686</v>
      </c>
      <c r="B788" s="135" t="s">
        <v>1292</v>
      </c>
      <c r="C788" s="136" t="s">
        <v>464</v>
      </c>
      <c r="D788" s="136" t="s">
        <v>470</v>
      </c>
      <c r="E788" s="136" t="s">
        <v>483</v>
      </c>
      <c r="F788" s="136" t="s">
        <v>454</v>
      </c>
      <c r="G788" s="136">
        <v>50</v>
      </c>
      <c r="H788" s="137">
        <v>50</v>
      </c>
      <c r="I788" s="138">
        <f t="shared" si="12"/>
        <v>2500</v>
      </c>
      <c r="J788" s="139" t="s">
        <v>472</v>
      </c>
      <c r="K788" s="140">
        <v>65</v>
      </c>
      <c r="L788">
        <f>Table13[[#This Row],[Price]]*Table13[[#This Row],[Units]]</f>
        <v>2500</v>
      </c>
    </row>
    <row r="789" spans="1:12" x14ac:dyDescent="0.35">
      <c r="A789" s="134">
        <v>45686</v>
      </c>
      <c r="B789" s="135" t="s">
        <v>1293</v>
      </c>
      <c r="C789" s="136" t="s">
        <v>492</v>
      </c>
      <c r="D789" s="136" t="s">
        <v>490</v>
      </c>
      <c r="E789" s="136" t="s">
        <v>324</v>
      </c>
      <c r="F789" s="136" t="s">
        <v>500</v>
      </c>
      <c r="G789" s="136">
        <v>14</v>
      </c>
      <c r="H789" s="137">
        <v>31</v>
      </c>
      <c r="I789" s="138">
        <f t="shared" si="12"/>
        <v>434</v>
      </c>
      <c r="J789" s="139" t="s">
        <v>472</v>
      </c>
      <c r="K789" s="140">
        <v>11.718</v>
      </c>
      <c r="L789">
        <f>Table13[[#This Row],[Price]]*Table13[[#This Row],[Units]]</f>
        <v>434</v>
      </c>
    </row>
    <row r="790" spans="1:12" x14ac:dyDescent="0.35">
      <c r="A790" s="134">
        <v>45686</v>
      </c>
      <c r="B790" s="135" t="s">
        <v>1294</v>
      </c>
      <c r="C790" s="136" t="s">
        <v>476</v>
      </c>
      <c r="D790" s="136" t="s">
        <v>470</v>
      </c>
      <c r="E790" s="136" t="s">
        <v>324</v>
      </c>
      <c r="F790" s="136" t="s">
        <v>539</v>
      </c>
      <c r="G790" s="136">
        <v>47</v>
      </c>
      <c r="H790" s="137">
        <v>59</v>
      </c>
      <c r="I790" s="138">
        <f t="shared" si="12"/>
        <v>2773</v>
      </c>
      <c r="J790" s="139" t="s">
        <v>466</v>
      </c>
      <c r="K790" s="140">
        <v>83.19</v>
      </c>
      <c r="L790">
        <f>Table13[[#This Row],[Price]]*Table13[[#This Row],[Units]]</f>
        <v>2773</v>
      </c>
    </row>
    <row r="791" spans="1:12" x14ac:dyDescent="0.35">
      <c r="A791" s="134">
        <v>45686</v>
      </c>
      <c r="B791" s="135" t="s">
        <v>1295</v>
      </c>
      <c r="C791" s="136" t="s">
        <v>501</v>
      </c>
      <c r="D791" s="136" t="s">
        <v>465</v>
      </c>
      <c r="E791" s="136" t="s">
        <v>315</v>
      </c>
      <c r="F791" s="136" t="s">
        <v>478</v>
      </c>
      <c r="G791" s="136">
        <v>16</v>
      </c>
      <c r="H791" s="137">
        <v>39</v>
      </c>
      <c r="I791" s="138">
        <f t="shared" si="12"/>
        <v>624</v>
      </c>
      <c r="J791" s="139" t="s">
        <v>466</v>
      </c>
      <c r="K791" s="140">
        <v>13.728</v>
      </c>
      <c r="L791">
        <f>Table13[[#This Row],[Price]]*Table13[[#This Row],[Units]]</f>
        <v>624</v>
      </c>
    </row>
    <row r="792" spans="1:12" x14ac:dyDescent="0.35">
      <c r="A792" s="134">
        <v>45686</v>
      </c>
      <c r="B792" s="135" t="s">
        <v>1296</v>
      </c>
      <c r="C792" s="136" t="s">
        <v>492</v>
      </c>
      <c r="D792" s="136" t="s">
        <v>519</v>
      </c>
      <c r="E792" s="136" t="s">
        <v>412</v>
      </c>
      <c r="F792" s="136" t="s">
        <v>520</v>
      </c>
      <c r="G792" s="136">
        <v>17</v>
      </c>
      <c r="H792" s="137">
        <v>40</v>
      </c>
      <c r="I792" s="138">
        <f t="shared" si="12"/>
        <v>680</v>
      </c>
      <c r="J792" s="139" t="s">
        <v>472</v>
      </c>
      <c r="K792" s="140">
        <v>19.04</v>
      </c>
      <c r="L792">
        <f>Table13[[#This Row],[Price]]*Table13[[#This Row],[Units]]</f>
        <v>680</v>
      </c>
    </row>
    <row r="793" spans="1:12" x14ac:dyDescent="0.35">
      <c r="A793" s="134">
        <v>45687</v>
      </c>
      <c r="B793" s="135" t="s">
        <v>1297</v>
      </c>
      <c r="C793" s="136" t="s">
        <v>492</v>
      </c>
      <c r="D793" s="136" t="s">
        <v>519</v>
      </c>
      <c r="E793" s="136" t="s">
        <v>483</v>
      </c>
      <c r="F793" s="136" t="s">
        <v>471</v>
      </c>
      <c r="G793" s="136">
        <v>43</v>
      </c>
      <c r="H793" s="137">
        <v>46</v>
      </c>
      <c r="I793" s="138">
        <f t="shared" si="12"/>
        <v>1978</v>
      </c>
      <c r="J793" s="139" t="s">
        <v>515</v>
      </c>
      <c r="K793" s="140">
        <v>41.537999999999997</v>
      </c>
      <c r="L793">
        <f>Table13[[#This Row],[Price]]*Table13[[#This Row],[Units]]</f>
        <v>1978</v>
      </c>
    </row>
    <row r="794" spans="1:12" x14ac:dyDescent="0.35">
      <c r="A794" s="134">
        <v>45687</v>
      </c>
      <c r="B794" s="135" t="s">
        <v>1298</v>
      </c>
      <c r="C794" s="136" t="s">
        <v>489</v>
      </c>
      <c r="D794" s="136" t="s">
        <v>477</v>
      </c>
      <c r="E794" s="136" t="s">
        <v>483</v>
      </c>
      <c r="F794" s="136" t="s">
        <v>454</v>
      </c>
      <c r="G794" s="136">
        <v>15</v>
      </c>
      <c r="H794" s="137">
        <v>60</v>
      </c>
      <c r="I794" s="138">
        <f t="shared" si="12"/>
        <v>900</v>
      </c>
      <c r="J794" s="139" t="s">
        <v>466</v>
      </c>
      <c r="K794" s="140">
        <v>18</v>
      </c>
      <c r="L794">
        <f>Table13[[#This Row],[Price]]*Table13[[#This Row],[Units]]</f>
        <v>900</v>
      </c>
    </row>
    <row r="795" spans="1:12" x14ac:dyDescent="0.35">
      <c r="A795" s="134">
        <v>45687</v>
      </c>
      <c r="B795" s="135" t="s">
        <v>1299</v>
      </c>
      <c r="C795" s="136" t="s">
        <v>501</v>
      </c>
      <c r="D795" s="136" t="s">
        <v>490</v>
      </c>
      <c r="E795" s="136" t="s">
        <v>315</v>
      </c>
      <c r="F795" s="136" t="s">
        <v>454</v>
      </c>
      <c r="G795" s="136">
        <v>17</v>
      </c>
      <c r="H795" s="137">
        <v>42</v>
      </c>
      <c r="I795" s="138">
        <f t="shared" si="12"/>
        <v>714</v>
      </c>
      <c r="J795" s="139" t="s">
        <v>466</v>
      </c>
      <c r="K795" s="140">
        <v>18.564</v>
      </c>
      <c r="L795">
        <f>Table13[[#This Row],[Price]]*Table13[[#This Row],[Units]]</f>
        <v>714</v>
      </c>
    </row>
    <row r="796" spans="1:12" x14ac:dyDescent="0.35">
      <c r="A796" s="134">
        <v>45687</v>
      </c>
      <c r="B796" s="135" t="s">
        <v>1300</v>
      </c>
      <c r="C796" s="136" t="s">
        <v>494</v>
      </c>
      <c r="D796" s="136" t="s">
        <v>465</v>
      </c>
      <c r="E796" s="136" t="s">
        <v>324</v>
      </c>
      <c r="F796" s="136" t="s">
        <v>567</v>
      </c>
      <c r="G796" s="136">
        <v>14</v>
      </c>
      <c r="H796" s="137">
        <v>42</v>
      </c>
      <c r="I796" s="138">
        <f t="shared" si="12"/>
        <v>588</v>
      </c>
      <c r="J796" s="139" t="s">
        <v>466</v>
      </c>
      <c r="K796" s="140">
        <v>15.288</v>
      </c>
      <c r="L796">
        <f>Table13[[#This Row],[Price]]*Table13[[#This Row],[Units]]</f>
        <v>588</v>
      </c>
    </row>
    <row r="797" spans="1:12" x14ac:dyDescent="0.35">
      <c r="A797" s="134">
        <v>45687</v>
      </c>
      <c r="B797" s="135" t="s">
        <v>1301</v>
      </c>
      <c r="C797" s="136" t="s">
        <v>464</v>
      </c>
      <c r="D797" s="136" t="s">
        <v>490</v>
      </c>
      <c r="E797" s="136" t="s">
        <v>320</v>
      </c>
      <c r="F797" s="136" t="s">
        <v>487</v>
      </c>
      <c r="G797" s="136">
        <v>40</v>
      </c>
      <c r="H797" s="137">
        <v>51</v>
      </c>
      <c r="I797" s="138">
        <f t="shared" si="12"/>
        <v>2040</v>
      </c>
      <c r="J797" s="139" t="s">
        <v>472</v>
      </c>
      <c r="K797" s="140">
        <v>42.84</v>
      </c>
      <c r="L797">
        <f>Table13[[#This Row],[Price]]*Table13[[#This Row],[Units]]</f>
        <v>2040</v>
      </c>
    </row>
    <row r="798" spans="1:12" x14ac:dyDescent="0.35">
      <c r="A798" s="134">
        <v>45687</v>
      </c>
      <c r="B798" s="135" t="s">
        <v>1302</v>
      </c>
      <c r="C798" s="136" t="s">
        <v>322</v>
      </c>
      <c r="D798" s="136" t="s">
        <v>477</v>
      </c>
      <c r="E798" s="136" t="s">
        <v>390</v>
      </c>
      <c r="F798" s="136" t="s">
        <v>487</v>
      </c>
      <c r="G798" s="136">
        <v>23</v>
      </c>
      <c r="H798" s="137">
        <v>57</v>
      </c>
      <c r="I798" s="138">
        <f t="shared" si="12"/>
        <v>1311</v>
      </c>
      <c r="J798" s="139" t="s">
        <v>503</v>
      </c>
      <c r="K798" s="140">
        <v>26.22</v>
      </c>
      <c r="L798">
        <f>Table13[[#This Row],[Price]]*Table13[[#This Row],[Units]]</f>
        <v>1311</v>
      </c>
    </row>
    <row r="799" spans="1:12" x14ac:dyDescent="0.35">
      <c r="A799" s="134">
        <v>45687</v>
      </c>
      <c r="B799" s="135" t="s">
        <v>1303</v>
      </c>
      <c r="C799" s="136" t="s">
        <v>489</v>
      </c>
      <c r="D799" s="136" t="s">
        <v>486</v>
      </c>
      <c r="E799" s="136" t="s">
        <v>483</v>
      </c>
      <c r="F799" s="136" t="s">
        <v>454</v>
      </c>
      <c r="G799" s="136">
        <v>46</v>
      </c>
      <c r="H799" s="137">
        <v>23</v>
      </c>
      <c r="I799" s="138">
        <f t="shared" si="12"/>
        <v>1058</v>
      </c>
      <c r="J799" s="139" t="s">
        <v>472</v>
      </c>
      <c r="K799" s="140">
        <v>30.681999999999999</v>
      </c>
      <c r="L799">
        <f>Table13[[#This Row],[Price]]*Table13[[#This Row],[Units]]</f>
        <v>1058</v>
      </c>
    </row>
    <row r="800" spans="1:12" x14ac:dyDescent="0.35">
      <c r="A800" s="134">
        <v>45687</v>
      </c>
      <c r="B800" s="135" t="s">
        <v>1304</v>
      </c>
      <c r="C800" s="136" t="s">
        <v>501</v>
      </c>
      <c r="D800" s="136" t="s">
        <v>477</v>
      </c>
      <c r="E800" s="136" t="s">
        <v>320</v>
      </c>
      <c r="F800" s="136" t="s">
        <v>539</v>
      </c>
      <c r="G800" s="136">
        <v>30</v>
      </c>
      <c r="H800" s="137">
        <v>46</v>
      </c>
      <c r="I800" s="138">
        <f t="shared" si="12"/>
        <v>1380</v>
      </c>
      <c r="J800" s="139" t="s">
        <v>472</v>
      </c>
      <c r="K800" s="140">
        <v>37.26</v>
      </c>
      <c r="L800">
        <f>Table13[[#This Row],[Price]]*Table13[[#This Row],[Units]]</f>
        <v>1380</v>
      </c>
    </row>
    <row r="801" spans="1:12" x14ac:dyDescent="0.35">
      <c r="A801" s="134">
        <v>45687</v>
      </c>
      <c r="B801" s="135" t="s">
        <v>1305</v>
      </c>
      <c r="C801" s="136" t="s">
        <v>322</v>
      </c>
      <c r="D801" s="136" t="s">
        <v>470</v>
      </c>
      <c r="E801" s="136" t="s">
        <v>412</v>
      </c>
      <c r="F801" s="136" t="s">
        <v>491</v>
      </c>
      <c r="G801" s="136">
        <v>43</v>
      </c>
      <c r="H801" s="137">
        <v>46</v>
      </c>
      <c r="I801" s="138">
        <f t="shared" si="12"/>
        <v>1978</v>
      </c>
      <c r="J801" s="139" t="s">
        <v>466</v>
      </c>
      <c r="K801" s="140">
        <v>51.427999999999997</v>
      </c>
      <c r="L801">
        <f>Table13[[#This Row],[Price]]*Table13[[#This Row],[Units]]</f>
        <v>1978</v>
      </c>
    </row>
    <row r="802" spans="1:12" x14ac:dyDescent="0.35">
      <c r="A802" s="134">
        <v>45687</v>
      </c>
      <c r="B802" s="135" t="s">
        <v>1306</v>
      </c>
      <c r="C802" s="136" t="s">
        <v>464</v>
      </c>
      <c r="D802" s="136" t="s">
        <v>470</v>
      </c>
      <c r="E802" s="136" t="s">
        <v>333</v>
      </c>
      <c r="F802" s="136" t="s">
        <v>513</v>
      </c>
      <c r="G802" s="136">
        <v>27</v>
      </c>
      <c r="H802" s="137">
        <v>25</v>
      </c>
      <c r="I802" s="138">
        <f t="shared" si="12"/>
        <v>675</v>
      </c>
      <c r="J802" s="139" t="s">
        <v>503</v>
      </c>
      <c r="K802" s="140">
        <v>16.875</v>
      </c>
      <c r="L802">
        <f>Table13[[#This Row],[Price]]*Table13[[#This Row],[Units]]</f>
        <v>675</v>
      </c>
    </row>
    <row r="803" spans="1:12" x14ac:dyDescent="0.35">
      <c r="A803" s="134">
        <v>45687</v>
      </c>
      <c r="B803" s="135" t="s">
        <v>1307</v>
      </c>
      <c r="C803" s="136" t="s">
        <v>322</v>
      </c>
      <c r="D803" s="136" t="s">
        <v>470</v>
      </c>
      <c r="E803" s="136" t="s">
        <v>315</v>
      </c>
      <c r="F803" s="136" t="s">
        <v>567</v>
      </c>
      <c r="G803" s="136">
        <v>39</v>
      </c>
      <c r="H803" s="137">
        <v>33</v>
      </c>
      <c r="I803" s="138">
        <f t="shared" si="12"/>
        <v>1287</v>
      </c>
      <c r="J803" s="139" t="s">
        <v>466</v>
      </c>
      <c r="K803" s="140">
        <v>30.888000000000002</v>
      </c>
      <c r="L803">
        <f>Table13[[#This Row],[Price]]*Table13[[#This Row],[Units]]</f>
        <v>1287</v>
      </c>
    </row>
    <row r="804" spans="1:12" x14ac:dyDescent="0.35">
      <c r="A804" s="134">
        <v>45687</v>
      </c>
      <c r="B804" s="135" t="s">
        <v>1308</v>
      </c>
      <c r="C804" s="136" t="s">
        <v>494</v>
      </c>
      <c r="D804" s="136" t="s">
        <v>477</v>
      </c>
      <c r="E804" s="136" t="s">
        <v>315</v>
      </c>
      <c r="F804" s="136" t="s">
        <v>520</v>
      </c>
      <c r="G804" s="136">
        <v>19</v>
      </c>
      <c r="H804" s="137">
        <v>55</v>
      </c>
      <c r="I804" s="138">
        <f t="shared" si="12"/>
        <v>1045</v>
      </c>
      <c r="J804" s="139" t="s">
        <v>515</v>
      </c>
      <c r="K804" s="140">
        <v>27.17</v>
      </c>
      <c r="L804">
        <f>Table13[[#This Row],[Price]]*Table13[[#This Row],[Units]]</f>
        <v>1045</v>
      </c>
    </row>
    <row r="805" spans="1:12" x14ac:dyDescent="0.35">
      <c r="A805" s="134">
        <v>45687</v>
      </c>
      <c r="B805" s="135" t="s">
        <v>1309</v>
      </c>
      <c r="C805" s="136" t="s">
        <v>476</v>
      </c>
      <c r="D805" s="136" t="s">
        <v>470</v>
      </c>
      <c r="E805" s="136" t="s">
        <v>320</v>
      </c>
      <c r="F805" s="136" t="s">
        <v>500</v>
      </c>
      <c r="G805" s="136">
        <v>23</v>
      </c>
      <c r="H805" s="137">
        <v>22</v>
      </c>
      <c r="I805" s="138">
        <f t="shared" si="12"/>
        <v>506</v>
      </c>
      <c r="J805" s="139" t="s">
        <v>503</v>
      </c>
      <c r="K805" s="140">
        <v>11.132</v>
      </c>
      <c r="L805">
        <f>Table13[[#This Row],[Price]]*Table13[[#This Row],[Units]]</f>
        <v>506</v>
      </c>
    </row>
    <row r="806" spans="1:12" x14ac:dyDescent="0.35">
      <c r="A806" s="134">
        <v>45688</v>
      </c>
      <c r="B806" s="135" t="s">
        <v>1310</v>
      </c>
      <c r="C806" s="136" t="s">
        <v>476</v>
      </c>
      <c r="D806" s="136" t="s">
        <v>470</v>
      </c>
      <c r="E806" s="136" t="s">
        <v>390</v>
      </c>
      <c r="F806" s="136" t="s">
        <v>528</v>
      </c>
      <c r="G806" s="136">
        <v>44</v>
      </c>
      <c r="H806" s="137">
        <v>21</v>
      </c>
      <c r="I806" s="138">
        <f t="shared" si="12"/>
        <v>924</v>
      </c>
      <c r="J806" s="139" t="s">
        <v>466</v>
      </c>
      <c r="K806" s="140">
        <v>19.404</v>
      </c>
      <c r="L806">
        <f>Table13[[#This Row],[Price]]*Table13[[#This Row],[Units]]</f>
        <v>924</v>
      </c>
    </row>
    <row r="807" spans="1:12" x14ac:dyDescent="0.35">
      <c r="A807" s="134">
        <v>45688</v>
      </c>
      <c r="B807" s="135" t="s">
        <v>1311</v>
      </c>
      <c r="C807" s="136" t="s">
        <v>469</v>
      </c>
      <c r="D807" s="136" t="s">
        <v>477</v>
      </c>
      <c r="E807" s="136" t="s">
        <v>412</v>
      </c>
      <c r="F807" s="136" t="s">
        <v>487</v>
      </c>
      <c r="G807" s="136">
        <v>29</v>
      </c>
      <c r="H807" s="137">
        <v>33</v>
      </c>
      <c r="I807" s="138">
        <f t="shared" si="12"/>
        <v>957</v>
      </c>
      <c r="J807" s="139" t="s">
        <v>466</v>
      </c>
      <c r="K807" s="140">
        <v>26.795999999999999</v>
      </c>
      <c r="L807">
        <f>Table13[[#This Row],[Price]]*Table13[[#This Row],[Units]]</f>
        <v>957</v>
      </c>
    </row>
    <row r="808" spans="1:12" x14ac:dyDescent="0.35">
      <c r="A808" s="134">
        <v>45688</v>
      </c>
      <c r="B808" s="135" t="s">
        <v>1312</v>
      </c>
      <c r="C808" s="136" t="s">
        <v>464</v>
      </c>
      <c r="D808" s="136" t="s">
        <v>470</v>
      </c>
      <c r="E808" s="136" t="s">
        <v>483</v>
      </c>
      <c r="F808" s="136" t="s">
        <v>513</v>
      </c>
      <c r="G808" s="136">
        <v>53</v>
      </c>
      <c r="H808" s="137">
        <v>35</v>
      </c>
      <c r="I808" s="138">
        <f t="shared" si="12"/>
        <v>1855</v>
      </c>
      <c r="J808" s="139" t="s">
        <v>466</v>
      </c>
      <c r="K808" s="140">
        <v>44.52</v>
      </c>
      <c r="L808">
        <f>Table13[[#This Row],[Price]]*Table13[[#This Row],[Units]]</f>
        <v>1855</v>
      </c>
    </row>
    <row r="809" spans="1:12" x14ac:dyDescent="0.35">
      <c r="A809" s="134">
        <v>45688</v>
      </c>
      <c r="B809" s="135" t="s">
        <v>1313</v>
      </c>
      <c r="C809" s="136" t="s">
        <v>494</v>
      </c>
      <c r="D809" s="136" t="s">
        <v>477</v>
      </c>
      <c r="E809" s="136" t="s">
        <v>320</v>
      </c>
      <c r="F809" s="136" t="s">
        <v>539</v>
      </c>
      <c r="G809" s="136">
        <v>39</v>
      </c>
      <c r="H809" s="137">
        <v>23</v>
      </c>
      <c r="I809" s="138">
        <f t="shared" si="12"/>
        <v>897</v>
      </c>
      <c r="J809" s="139" t="s">
        <v>472</v>
      </c>
      <c r="K809" s="140">
        <v>18.837</v>
      </c>
      <c r="L809">
        <f>Table13[[#This Row],[Price]]*Table13[[#This Row],[Units]]</f>
        <v>897</v>
      </c>
    </row>
    <row r="810" spans="1:12" x14ac:dyDescent="0.35">
      <c r="A810" s="134">
        <v>45688</v>
      </c>
      <c r="B810" s="135" t="s">
        <v>1314</v>
      </c>
      <c r="C810" s="136" t="s">
        <v>494</v>
      </c>
      <c r="D810" s="136" t="s">
        <v>470</v>
      </c>
      <c r="E810" s="136" t="s">
        <v>324</v>
      </c>
      <c r="F810" s="136" t="s">
        <v>505</v>
      </c>
      <c r="G810" s="136">
        <v>49</v>
      </c>
      <c r="H810" s="137">
        <v>37</v>
      </c>
      <c r="I810" s="138">
        <f t="shared" si="12"/>
        <v>1813</v>
      </c>
      <c r="J810" s="139" t="s">
        <v>503</v>
      </c>
      <c r="K810" s="140">
        <v>47.137999999999998</v>
      </c>
      <c r="L810">
        <f>Table13[[#This Row],[Price]]*Table13[[#This Row],[Units]]</f>
        <v>1813</v>
      </c>
    </row>
    <row r="811" spans="1:12" x14ac:dyDescent="0.35">
      <c r="A811" s="134">
        <v>45688</v>
      </c>
      <c r="B811" s="135" t="s">
        <v>1315</v>
      </c>
      <c r="C811" s="136" t="s">
        <v>494</v>
      </c>
      <c r="D811" s="136" t="s">
        <v>465</v>
      </c>
      <c r="E811" s="136" t="s">
        <v>412</v>
      </c>
      <c r="F811" s="136" t="s">
        <v>520</v>
      </c>
      <c r="G811" s="136">
        <v>44</v>
      </c>
      <c r="H811" s="137">
        <v>49</v>
      </c>
      <c r="I811" s="138">
        <f t="shared" si="12"/>
        <v>2156</v>
      </c>
      <c r="J811" s="139" t="s">
        <v>472</v>
      </c>
      <c r="K811" s="140">
        <v>58.212000000000003</v>
      </c>
      <c r="L811">
        <f>Table13[[#This Row],[Price]]*Table13[[#This Row],[Units]]</f>
        <v>2156</v>
      </c>
    </row>
    <row r="812" spans="1:12" x14ac:dyDescent="0.35">
      <c r="A812" s="134">
        <v>45688</v>
      </c>
      <c r="B812" s="135" t="s">
        <v>1316</v>
      </c>
      <c r="C812" s="136" t="s">
        <v>476</v>
      </c>
      <c r="D812" s="136" t="s">
        <v>465</v>
      </c>
      <c r="E812" s="136" t="s">
        <v>390</v>
      </c>
      <c r="F812" s="136" t="s">
        <v>471</v>
      </c>
      <c r="G812" s="136">
        <v>32</v>
      </c>
      <c r="H812" s="137">
        <v>54</v>
      </c>
      <c r="I812" s="138">
        <f t="shared" si="12"/>
        <v>1728</v>
      </c>
      <c r="J812" s="139" t="s">
        <v>472</v>
      </c>
      <c r="K812" s="140">
        <v>38.015999999999998</v>
      </c>
      <c r="L812">
        <f>Table13[[#This Row],[Price]]*Table13[[#This Row],[Units]]</f>
        <v>1728</v>
      </c>
    </row>
    <row r="813" spans="1:12" x14ac:dyDescent="0.35">
      <c r="A813" s="134">
        <v>45688</v>
      </c>
      <c r="B813" s="135" t="s">
        <v>1317</v>
      </c>
      <c r="C813" s="136" t="s">
        <v>489</v>
      </c>
      <c r="D813" s="136" t="s">
        <v>470</v>
      </c>
      <c r="E813" s="136" t="s">
        <v>390</v>
      </c>
      <c r="F813" s="136" t="s">
        <v>513</v>
      </c>
      <c r="G813" s="136">
        <v>21</v>
      </c>
      <c r="H813" s="137">
        <v>39</v>
      </c>
      <c r="I813" s="138">
        <f t="shared" si="12"/>
        <v>819</v>
      </c>
      <c r="J813" s="139" t="s">
        <v>466</v>
      </c>
      <c r="K813" s="140">
        <v>22.931999999999999</v>
      </c>
      <c r="L813">
        <f>Table13[[#This Row],[Price]]*Table13[[#This Row],[Units]]</f>
        <v>819</v>
      </c>
    </row>
    <row r="814" spans="1:12" x14ac:dyDescent="0.35">
      <c r="A814" s="134">
        <v>45688</v>
      </c>
      <c r="B814" s="135" t="s">
        <v>1318</v>
      </c>
      <c r="C814" s="136" t="s">
        <v>494</v>
      </c>
      <c r="D814" s="136" t="s">
        <v>490</v>
      </c>
      <c r="E814" s="136" t="s">
        <v>320</v>
      </c>
      <c r="F814" s="136" t="s">
        <v>539</v>
      </c>
      <c r="G814" s="136">
        <v>48</v>
      </c>
      <c r="H814" s="137">
        <v>43</v>
      </c>
      <c r="I814" s="138">
        <f t="shared" si="12"/>
        <v>2064</v>
      </c>
      <c r="J814" s="139" t="s">
        <v>466</v>
      </c>
      <c r="K814" s="140">
        <v>59.856000000000002</v>
      </c>
      <c r="L814">
        <f>Table13[[#This Row],[Price]]*Table13[[#This Row],[Units]]</f>
        <v>2064</v>
      </c>
    </row>
    <row r="815" spans="1:12" x14ac:dyDescent="0.35">
      <c r="A815" s="134">
        <v>45688</v>
      </c>
      <c r="B815" s="135" t="s">
        <v>1319</v>
      </c>
      <c r="C815" s="136" t="s">
        <v>489</v>
      </c>
      <c r="D815" s="136" t="s">
        <v>470</v>
      </c>
      <c r="E815" s="136" t="s">
        <v>324</v>
      </c>
      <c r="F815" s="136" t="s">
        <v>523</v>
      </c>
      <c r="G815" s="136">
        <v>24</v>
      </c>
      <c r="H815" s="137">
        <v>45</v>
      </c>
      <c r="I815" s="138">
        <f t="shared" si="12"/>
        <v>1080</v>
      </c>
      <c r="J815" s="139" t="s">
        <v>466</v>
      </c>
      <c r="K815" s="140">
        <v>21.6</v>
      </c>
      <c r="L815">
        <f>Table13[[#This Row],[Price]]*Table13[[#This Row],[Units]]</f>
        <v>1080</v>
      </c>
    </row>
    <row r="816" spans="1:12" x14ac:dyDescent="0.35">
      <c r="A816" s="134">
        <v>45688</v>
      </c>
      <c r="B816" s="135" t="s">
        <v>1320</v>
      </c>
      <c r="C816" s="136" t="s">
        <v>494</v>
      </c>
      <c r="D816" s="136" t="s">
        <v>470</v>
      </c>
      <c r="E816" s="136" t="s">
        <v>390</v>
      </c>
      <c r="F816" s="136" t="s">
        <v>539</v>
      </c>
      <c r="G816" s="136">
        <v>12</v>
      </c>
      <c r="H816" s="137">
        <v>55</v>
      </c>
      <c r="I816" s="138">
        <f t="shared" si="12"/>
        <v>660</v>
      </c>
      <c r="J816" s="139" t="s">
        <v>472</v>
      </c>
      <c r="K816" s="140">
        <v>17.82</v>
      </c>
      <c r="L816">
        <f>Table13[[#This Row],[Price]]*Table13[[#This Row],[Units]]</f>
        <v>660</v>
      </c>
    </row>
    <row r="817" spans="1:12" x14ac:dyDescent="0.35">
      <c r="A817" s="134">
        <v>45688</v>
      </c>
      <c r="B817" s="135" t="s">
        <v>1321</v>
      </c>
      <c r="C817" s="136" t="s">
        <v>464</v>
      </c>
      <c r="D817" s="136" t="s">
        <v>465</v>
      </c>
      <c r="E817" s="136" t="s">
        <v>320</v>
      </c>
      <c r="F817" s="136" t="s">
        <v>510</v>
      </c>
      <c r="G817" s="136">
        <v>56</v>
      </c>
      <c r="H817" s="137">
        <v>37</v>
      </c>
      <c r="I817" s="138">
        <f t="shared" si="12"/>
        <v>2072</v>
      </c>
      <c r="J817" s="139" t="s">
        <v>466</v>
      </c>
      <c r="K817" s="140">
        <v>60.088000000000001</v>
      </c>
      <c r="L817">
        <f>Table13[[#This Row],[Price]]*Table13[[#This Row],[Units]]</f>
        <v>2072</v>
      </c>
    </row>
    <row r="818" spans="1:12" x14ac:dyDescent="0.35">
      <c r="A818" s="134">
        <v>45688</v>
      </c>
      <c r="B818" s="135" t="s">
        <v>1322</v>
      </c>
      <c r="C818" s="136" t="s">
        <v>484</v>
      </c>
      <c r="D818" s="136" t="s">
        <v>490</v>
      </c>
      <c r="E818" s="136" t="s">
        <v>315</v>
      </c>
      <c r="F818" s="136" t="s">
        <v>454</v>
      </c>
      <c r="G818" s="136">
        <v>50</v>
      </c>
      <c r="H818" s="137">
        <v>43</v>
      </c>
      <c r="I818" s="138">
        <f t="shared" si="12"/>
        <v>2150</v>
      </c>
      <c r="J818" s="139" t="s">
        <v>466</v>
      </c>
      <c r="K818" s="140">
        <v>53.75</v>
      </c>
      <c r="L818">
        <f>Table13[[#This Row],[Price]]*Table13[[#This Row],[Units]]</f>
        <v>2150</v>
      </c>
    </row>
    <row r="819" spans="1:12" x14ac:dyDescent="0.35">
      <c r="A819" s="134">
        <v>45688</v>
      </c>
      <c r="B819" s="135" t="s">
        <v>1323</v>
      </c>
      <c r="C819" s="136" t="s">
        <v>501</v>
      </c>
      <c r="D819" s="136" t="s">
        <v>486</v>
      </c>
      <c r="E819" s="136" t="s">
        <v>315</v>
      </c>
      <c r="F819" s="136" t="s">
        <v>500</v>
      </c>
      <c r="G819" s="136">
        <v>14</v>
      </c>
      <c r="H819" s="137">
        <v>46</v>
      </c>
      <c r="I819" s="138">
        <f t="shared" si="12"/>
        <v>644</v>
      </c>
      <c r="J819" s="139" t="s">
        <v>466</v>
      </c>
      <c r="K819" s="140">
        <v>14.167999999999999</v>
      </c>
      <c r="L819">
        <f>Table13[[#This Row],[Price]]*Table13[[#This Row],[Units]]</f>
        <v>644</v>
      </c>
    </row>
    <row r="820" spans="1:12" x14ac:dyDescent="0.35">
      <c r="A820" s="134">
        <v>45688</v>
      </c>
      <c r="B820" s="135" t="s">
        <v>1324</v>
      </c>
      <c r="C820" s="136" t="s">
        <v>489</v>
      </c>
      <c r="D820" s="136" t="s">
        <v>470</v>
      </c>
      <c r="E820" s="136" t="s">
        <v>412</v>
      </c>
      <c r="F820" s="136" t="s">
        <v>567</v>
      </c>
      <c r="G820" s="136">
        <v>31</v>
      </c>
      <c r="H820" s="137">
        <v>31</v>
      </c>
      <c r="I820" s="138">
        <f t="shared" si="12"/>
        <v>961</v>
      </c>
      <c r="J820" s="139" t="s">
        <v>503</v>
      </c>
      <c r="K820" s="140">
        <v>25.946999999999999</v>
      </c>
      <c r="L820">
        <f>Table13[[#This Row],[Price]]*Table13[[#This Row],[Units]]</f>
        <v>961</v>
      </c>
    </row>
    <row r="821" spans="1:12" x14ac:dyDescent="0.35">
      <c r="A821" s="134">
        <v>45688</v>
      </c>
      <c r="B821" s="135" t="s">
        <v>1325</v>
      </c>
      <c r="C821" s="136" t="s">
        <v>322</v>
      </c>
      <c r="D821" s="136" t="s">
        <v>512</v>
      </c>
      <c r="E821" s="136" t="s">
        <v>320</v>
      </c>
      <c r="F821" s="136" t="s">
        <v>523</v>
      </c>
      <c r="G821" s="136">
        <v>27</v>
      </c>
      <c r="H821" s="137">
        <v>38</v>
      </c>
      <c r="I821" s="138">
        <f t="shared" si="12"/>
        <v>1026</v>
      </c>
      <c r="J821" s="139" t="s">
        <v>515</v>
      </c>
      <c r="K821" s="140">
        <v>30.78</v>
      </c>
      <c r="L821">
        <f>Table13[[#This Row],[Price]]*Table13[[#This Row],[Units]]</f>
        <v>1026</v>
      </c>
    </row>
    <row r="822" spans="1:12" x14ac:dyDescent="0.35">
      <c r="A822" s="134">
        <v>45689</v>
      </c>
      <c r="B822" s="135" t="s">
        <v>1326</v>
      </c>
      <c r="C822" s="136" t="s">
        <v>322</v>
      </c>
      <c r="D822" s="136" t="s">
        <v>470</v>
      </c>
      <c r="E822" s="136" t="s">
        <v>333</v>
      </c>
      <c r="F822" s="136" t="s">
        <v>471</v>
      </c>
      <c r="G822" s="136">
        <v>54</v>
      </c>
      <c r="H822" s="137">
        <v>59</v>
      </c>
      <c r="I822" s="138">
        <f t="shared" si="12"/>
        <v>3186</v>
      </c>
      <c r="J822" s="139" t="s">
        <v>515</v>
      </c>
      <c r="K822" s="140">
        <v>76.463999999999999</v>
      </c>
      <c r="L822">
        <f>Table13[[#This Row],[Price]]*Table13[[#This Row],[Units]]</f>
        <v>3186</v>
      </c>
    </row>
    <row r="823" spans="1:12" x14ac:dyDescent="0.35">
      <c r="A823" s="134">
        <v>45689</v>
      </c>
      <c r="B823" s="135" t="s">
        <v>1327</v>
      </c>
      <c r="C823" s="136" t="s">
        <v>464</v>
      </c>
      <c r="D823" s="136" t="s">
        <v>512</v>
      </c>
      <c r="E823" s="136" t="s">
        <v>320</v>
      </c>
      <c r="F823" s="136" t="s">
        <v>523</v>
      </c>
      <c r="G823" s="136">
        <v>45</v>
      </c>
      <c r="H823" s="137">
        <v>59</v>
      </c>
      <c r="I823" s="138">
        <f t="shared" si="12"/>
        <v>2655</v>
      </c>
      <c r="J823" s="139" t="s">
        <v>466</v>
      </c>
      <c r="K823" s="140">
        <v>74.34</v>
      </c>
      <c r="L823">
        <f>Table13[[#This Row],[Price]]*Table13[[#This Row],[Units]]</f>
        <v>2655</v>
      </c>
    </row>
    <row r="824" spans="1:12" x14ac:dyDescent="0.35">
      <c r="A824" s="134">
        <v>45689</v>
      </c>
      <c r="B824" s="135" t="s">
        <v>1328</v>
      </c>
      <c r="C824" s="136" t="s">
        <v>476</v>
      </c>
      <c r="D824" s="136" t="s">
        <v>490</v>
      </c>
      <c r="E824" s="136" t="s">
        <v>333</v>
      </c>
      <c r="F824" s="136" t="s">
        <v>497</v>
      </c>
      <c r="G824" s="136">
        <v>53</v>
      </c>
      <c r="H824" s="137">
        <v>34</v>
      </c>
      <c r="I824" s="138">
        <f t="shared" si="12"/>
        <v>1802</v>
      </c>
      <c r="J824" s="139" t="s">
        <v>466</v>
      </c>
      <c r="K824" s="140">
        <v>46.851999999999997</v>
      </c>
      <c r="L824">
        <f>Table13[[#This Row],[Price]]*Table13[[#This Row],[Units]]</f>
        <v>1802</v>
      </c>
    </row>
    <row r="825" spans="1:12" x14ac:dyDescent="0.35">
      <c r="A825" s="134">
        <v>45689</v>
      </c>
      <c r="B825" s="135" t="s">
        <v>1329</v>
      </c>
      <c r="C825" s="136" t="s">
        <v>501</v>
      </c>
      <c r="D825" s="136" t="s">
        <v>477</v>
      </c>
      <c r="E825" s="136" t="s">
        <v>320</v>
      </c>
      <c r="F825" s="136" t="s">
        <v>513</v>
      </c>
      <c r="G825" s="136">
        <v>34</v>
      </c>
      <c r="H825" s="137">
        <v>26</v>
      </c>
      <c r="I825" s="138">
        <f t="shared" si="12"/>
        <v>884</v>
      </c>
      <c r="J825" s="139" t="s">
        <v>466</v>
      </c>
      <c r="K825" s="140">
        <v>25.635999999999999</v>
      </c>
      <c r="L825">
        <f>Table13[[#This Row],[Price]]*Table13[[#This Row],[Units]]</f>
        <v>884</v>
      </c>
    </row>
    <row r="826" spans="1:12" x14ac:dyDescent="0.35">
      <c r="A826" s="134">
        <v>45689</v>
      </c>
      <c r="B826" s="135" t="s">
        <v>1330</v>
      </c>
      <c r="C826" s="136" t="s">
        <v>322</v>
      </c>
      <c r="D826" s="136" t="s">
        <v>477</v>
      </c>
      <c r="E826" s="136" t="s">
        <v>315</v>
      </c>
      <c r="F826" s="136" t="s">
        <v>454</v>
      </c>
      <c r="G826" s="136">
        <v>49</v>
      </c>
      <c r="H826" s="137">
        <v>53</v>
      </c>
      <c r="I826" s="138">
        <f t="shared" si="12"/>
        <v>2597</v>
      </c>
      <c r="J826" s="139" t="s">
        <v>466</v>
      </c>
      <c r="K826" s="140">
        <v>51.94</v>
      </c>
      <c r="L826">
        <f>Table13[[#This Row],[Price]]*Table13[[#This Row],[Units]]</f>
        <v>2597</v>
      </c>
    </row>
    <row r="827" spans="1:12" x14ac:dyDescent="0.35">
      <c r="A827" s="134">
        <v>45689</v>
      </c>
      <c r="B827" s="135" t="s">
        <v>1331</v>
      </c>
      <c r="C827" s="136" t="s">
        <v>484</v>
      </c>
      <c r="D827" s="136" t="s">
        <v>512</v>
      </c>
      <c r="E827" s="136" t="s">
        <v>324</v>
      </c>
      <c r="F827" s="136" t="s">
        <v>513</v>
      </c>
      <c r="G827" s="136">
        <v>46</v>
      </c>
      <c r="H827" s="137">
        <v>42</v>
      </c>
      <c r="I827" s="138">
        <f t="shared" si="12"/>
        <v>1932</v>
      </c>
      <c r="J827" s="139" t="s">
        <v>503</v>
      </c>
      <c r="K827" s="140">
        <v>52.164000000000001</v>
      </c>
      <c r="L827">
        <f>Table13[[#This Row],[Price]]*Table13[[#This Row],[Units]]</f>
        <v>1932</v>
      </c>
    </row>
    <row r="828" spans="1:12" x14ac:dyDescent="0.35">
      <c r="A828" s="134">
        <v>45689</v>
      </c>
      <c r="B828" s="135" t="s">
        <v>1332</v>
      </c>
      <c r="C828" s="136" t="s">
        <v>501</v>
      </c>
      <c r="D828" s="136" t="s">
        <v>470</v>
      </c>
      <c r="E828" s="136" t="s">
        <v>483</v>
      </c>
      <c r="F828" s="136" t="s">
        <v>487</v>
      </c>
      <c r="G828" s="136">
        <v>51</v>
      </c>
      <c r="H828" s="137">
        <v>53</v>
      </c>
      <c r="I828" s="138">
        <f t="shared" si="12"/>
        <v>2703</v>
      </c>
      <c r="J828" s="139" t="s">
        <v>503</v>
      </c>
      <c r="K828" s="140">
        <v>67.575000000000003</v>
      </c>
      <c r="L828">
        <f>Table13[[#This Row],[Price]]*Table13[[#This Row],[Units]]</f>
        <v>2703</v>
      </c>
    </row>
    <row r="829" spans="1:12" x14ac:dyDescent="0.35">
      <c r="A829" s="134">
        <v>45689</v>
      </c>
      <c r="B829" s="135" t="s">
        <v>1333</v>
      </c>
      <c r="C829" s="136" t="s">
        <v>489</v>
      </c>
      <c r="D829" s="136" t="s">
        <v>490</v>
      </c>
      <c r="E829" s="136" t="s">
        <v>324</v>
      </c>
      <c r="F829" s="136" t="s">
        <v>471</v>
      </c>
      <c r="G829" s="136">
        <v>60</v>
      </c>
      <c r="H829" s="137">
        <v>57</v>
      </c>
      <c r="I829" s="138">
        <f t="shared" si="12"/>
        <v>3420</v>
      </c>
      <c r="J829" s="139" t="s">
        <v>472</v>
      </c>
      <c r="K829" s="140">
        <v>102.6</v>
      </c>
      <c r="L829">
        <f>Table13[[#This Row],[Price]]*Table13[[#This Row],[Units]]</f>
        <v>3420</v>
      </c>
    </row>
    <row r="830" spans="1:12" x14ac:dyDescent="0.35">
      <c r="A830" s="134">
        <v>45689</v>
      </c>
      <c r="B830" s="135" t="s">
        <v>1334</v>
      </c>
      <c r="C830" s="136" t="s">
        <v>464</v>
      </c>
      <c r="D830" s="136" t="s">
        <v>486</v>
      </c>
      <c r="E830" s="136" t="s">
        <v>412</v>
      </c>
      <c r="F830" s="136" t="s">
        <v>523</v>
      </c>
      <c r="G830" s="136">
        <v>54</v>
      </c>
      <c r="H830" s="137">
        <v>34</v>
      </c>
      <c r="I830" s="138">
        <f t="shared" si="12"/>
        <v>1836</v>
      </c>
      <c r="J830" s="139" t="s">
        <v>503</v>
      </c>
      <c r="K830" s="140">
        <v>55.08</v>
      </c>
      <c r="L830">
        <f>Table13[[#This Row],[Price]]*Table13[[#This Row],[Units]]</f>
        <v>1836</v>
      </c>
    </row>
    <row r="831" spans="1:12" x14ac:dyDescent="0.35">
      <c r="A831" s="134">
        <v>45689</v>
      </c>
      <c r="B831" s="135" t="s">
        <v>1335</v>
      </c>
      <c r="C831" s="136" t="s">
        <v>322</v>
      </c>
      <c r="D831" s="136" t="s">
        <v>519</v>
      </c>
      <c r="E831" s="136" t="s">
        <v>315</v>
      </c>
      <c r="F831" s="136" t="s">
        <v>517</v>
      </c>
      <c r="G831" s="136">
        <v>55</v>
      </c>
      <c r="H831" s="137">
        <v>35</v>
      </c>
      <c r="I831" s="138">
        <f t="shared" si="12"/>
        <v>1925</v>
      </c>
      <c r="J831" s="139" t="s">
        <v>472</v>
      </c>
      <c r="K831" s="140">
        <v>42.35</v>
      </c>
      <c r="L831">
        <f>Table13[[#This Row],[Price]]*Table13[[#This Row],[Units]]</f>
        <v>1925</v>
      </c>
    </row>
    <row r="832" spans="1:12" x14ac:dyDescent="0.35">
      <c r="A832" s="134">
        <v>45689</v>
      </c>
      <c r="B832" s="135" t="s">
        <v>1336</v>
      </c>
      <c r="C832" s="136" t="s">
        <v>494</v>
      </c>
      <c r="D832" s="136" t="s">
        <v>470</v>
      </c>
      <c r="E832" s="136" t="s">
        <v>315</v>
      </c>
      <c r="F832" s="136" t="s">
        <v>454</v>
      </c>
      <c r="G832" s="136">
        <v>20</v>
      </c>
      <c r="H832" s="137">
        <v>42</v>
      </c>
      <c r="I832" s="138">
        <f t="shared" si="12"/>
        <v>840</v>
      </c>
      <c r="J832" s="139" t="s">
        <v>472</v>
      </c>
      <c r="K832" s="140">
        <v>20.16</v>
      </c>
      <c r="L832">
        <f>Table13[[#This Row],[Price]]*Table13[[#This Row],[Units]]</f>
        <v>840</v>
      </c>
    </row>
    <row r="833" spans="1:12" x14ac:dyDescent="0.35">
      <c r="A833" s="134">
        <v>45689</v>
      </c>
      <c r="B833" s="135" t="s">
        <v>1337</v>
      </c>
      <c r="C833" s="136" t="s">
        <v>494</v>
      </c>
      <c r="D833" s="136" t="s">
        <v>519</v>
      </c>
      <c r="E833" s="136" t="s">
        <v>320</v>
      </c>
      <c r="F833" s="136" t="s">
        <v>520</v>
      </c>
      <c r="G833" s="136">
        <v>45</v>
      </c>
      <c r="H833" s="137">
        <v>25</v>
      </c>
      <c r="I833" s="138">
        <f t="shared" si="12"/>
        <v>1125</v>
      </c>
      <c r="J833" s="139" t="s">
        <v>472</v>
      </c>
      <c r="K833" s="140">
        <v>27</v>
      </c>
      <c r="L833">
        <f>Table13[[#This Row],[Price]]*Table13[[#This Row],[Units]]</f>
        <v>1125</v>
      </c>
    </row>
    <row r="834" spans="1:12" x14ac:dyDescent="0.35">
      <c r="A834" s="134">
        <v>45689</v>
      </c>
      <c r="B834" s="135" t="s">
        <v>1338</v>
      </c>
      <c r="C834" s="136" t="s">
        <v>476</v>
      </c>
      <c r="D834" s="136" t="s">
        <v>477</v>
      </c>
      <c r="E834" s="136" t="s">
        <v>320</v>
      </c>
      <c r="F834" s="136" t="s">
        <v>471</v>
      </c>
      <c r="G834" s="136">
        <v>11</v>
      </c>
      <c r="H834" s="137">
        <v>25</v>
      </c>
      <c r="I834" s="138">
        <f t="shared" si="12"/>
        <v>275</v>
      </c>
      <c r="J834" s="139" t="s">
        <v>466</v>
      </c>
      <c r="K834" s="140">
        <v>8.25</v>
      </c>
      <c r="L834">
        <f>Table13[[#This Row],[Price]]*Table13[[#This Row],[Units]]</f>
        <v>275</v>
      </c>
    </row>
    <row r="835" spans="1:12" x14ac:dyDescent="0.35">
      <c r="A835" s="134">
        <v>45689</v>
      </c>
      <c r="B835" s="135" t="s">
        <v>1339</v>
      </c>
      <c r="C835" s="136" t="s">
        <v>464</v>
      </c>
      <c r="D835" s="136" t="s">
        <v>490</v>
      </c>
      <c r="E835" s="136" t="s">
        <v>320</v>
      </c>
      <c r="F835" s="136" t="s">
        <v>510</v>
      </c>
      <c r="G835" s="136">
        <v>36</v>
      </c>
      <c r="H835" s="137">
        <v>33</v>
      </c>
      <c r="I835" s="138">
        <f t="shared" ref="I835:I898" si="13">G835*H835</f>
        <v>1188</v>
      </c>
      <c r="J835" s="139" t="s">
        <v>472</v>
      </c>
      <c r="K835" s="140">
        <v>34.451999999999998</v>
      </c>
      <c r="L835">
        <f>Table13[[#This Row],[Price]]*Table13[[#This Row],[Units]]</f>
        <v>1188</v>
      </c>
    </row>
    <row r="836" spans="1:12" x14ac:dyDescent="0.35">
      <c r="A836" s="134">
        <v>45689</v>
      </c>
      <c r="B836" s="135" t="s">
        <v>1340</v>
      </c>
      <c r="C836" s="136" t="s">
        <v>322</v>
      </c>
      <c r="D836" s="136" t="s">
        <v>470</v>
      </c>
      <c r="E836" s="136" t="s">
        <v>324</v>
      </c>
      <c r="F836" s="136" t="s">
        <v>523</v>
      </c>
      <c r="G836" s="136">
        <v>23</v>
      </c>
      <c r="H836" s="137">
        <v>38</v>
      </c>
      <c r="I836" s="138">
        <f t="shared" si="13"/>
        <v>874</v>
      </c>
      <c r="J836" s="139" t="s">
        <v>472</v>
      </c>
      <c r="K836" s="140">
        <v>26.22</v>
      </c>
      <c r="L836">
        <f>Table13[[#This Row],[Price]]*Table13[[#This Row],[Units]]</f>
        <v>874</v>
      </c>
    </row>
    <row r="837" spans="1:12" x14ac:dyDescent="0.35">
      <c r="A837" s="134">
        <v>45689</v>
      </c>
      <c r="B837" s="135" t="s">
        <v>1341</v>
      </c>
      <c r="C837" s="136" t="s">
        <v>322</v>
      </c>
      <c r="D837" s="136" t="s">
        <v>512</v>
      </c>
      <c r="E837" s="136" t="s">
        <v>315</v>
      </c>
      <c r="F837" s="136" t="s">
        <v>500</v>
      </c>
      <c r="G837" s="136">
        <v>14</v>
      </c>
      <c r="H837" s="137">
        <v>26</v>
      </c>
      <c r="I837" s="138">
        <f t="shared" si="13"/>
        <v>364</v>
      </c>
      <c r="J837" s="139" t="s">
        <v>466</v>
      </c>
      <c r="K837" s="140">
        <v>7.6440000000000001</v>
      </c>
      <c r="L837">
        <f>Table13[[#This Row],[Price]]*Table13[[#This Row],[Units]]</f>
        <v>364</v>
      </c>
    </row>
    <row r="838" spans="1:12" x14ac:dyDescent="0.35">
      <c r="A838" s="134">
        <v>45689</v>
      </c>
      <c r="B838" s="135" t="s">
        <v>1342</v>
      </c>
      <c r="C838" s="136" t="s">
        <v>492</v>
      </c>
      <c r="D838" s="136" t="s">
        <v>490</v>
      </c>
      <c r="E838" s="136" t="s">
        <v>390</v>
      </c>
      <c r="F838" s="136" t="s">
        <v>471</v>
      </c>
      <c r="G838" s="136">
        <v>36</v>
      </c>
      <c r="H838" s="137">
        <v>57</v>
      </c>
      <c r="I838" s="138">
        <f t="shared" si="13"/>
        <v>2052</v>
      </c>
      <c r="J838" s="139" t="s">
        <v>515</v>
      </c>
      <c r="K838" s="140">
        <v>61.56</v>
      </c>
      <c r="L838">
        <f>Table13[[#This Row],[Price]]*Table13[[#This Row],[Units]]</f>
        <v>2052</v>
      </c>
    </row>
    <row r="839" spans="1:12" x14ac:dyDescent="0.35">
      <c r="A839" s="134">
        <v>45690</v>
      </c>
      <c r="B839" s="135" t="s">
        <v>1343</v>
      </c>
      <c r="C839" s="136" t="s">
        <v>476</v>
      </c>
      <c r="D839" s="136" t="s">
        <v>477</v>
      </c>
      <c r="E839" s="136" t="s">
        <v>320</v>
      </c>
      <c r="F839" s="136" t="s">
        <v>517</v>
      </c>
      <c r="G839" s="136">
        <v>16</v>
      </c>
      <c r="H839" s="137">
        <v>30</v>
      </c>
      <c r="I839" s="138">
        <f t="shared" si="13"/>
        <v>480</v>
      </c>
      <c r="J839" s="139" t="s">
        <v>466</v>
      </c>
      <c r="K839" s="140">
        <v>11.52</v>
      </c>
      <c r="L839">
        <f>Table13[[#This Row],[Price]]*Table13[[#This Row],[Units]]</f>
        <v>480</v>
      </c>
    </row>
    <row r="840" spans="1:12" x14ac:dyDescent="0.35">
      <c r="A840" s="134">
        <v>45690</v>
      </c>
      <c r="B840" s="135" t="s">
        <v>1344</v>
      </c>
      <c r="C840" s="136" t="s">
        <v>322</v>
      </c>
      <c r="D840" s="136" t="s">
        <v>477</v>
      </c>
      <c r="E840" s="136" t="s">
        <v>390</v>
      </c>
      <c r="F840" s="136" t="s">
        <v>487</v>
      </c>
      <c r="G840" s="136">
        <v>33</v>
      </c>
      <c r="H840" s="137">
        <v>21</v>
      </c>
      <c r="I840" s="138">
        <f t="shared" si="13"/>
        <v>693</v>
      </c>
      <c r="J840" s="139" t="s">
        <v>472</v>
      </c>
      <c r="K840" s="140">
        <v>14.553000000000001</v>
      </c>
      <c r="L840">
        <f>Table13[[#This Row],[Price]]*Table13[[#This Row],[Units]]</f>
        <v>693</v>
      </c>
    </row>
    <row r="841" spans="1:12" x14ac:dyDescent="0.35">
      <c r="A841" s="134">
        <v>45690</v>
      </c>
      <c r="B841" s="135" t="s">
        <v>1345</v>
      </c>
      <c r="C841" s="136" t="s">
        <v>501</v>
      </c>
      <c r="D841" s="136" t="s">
        <v>470</v>
      </c>
      <c r="E841" s="136" t="s">
        <v>390</v>
      </c>
      <c r="F841" s="136" t="s">
        <v>520</v>
      </c>
      <c r="G841" s="136">
        <v>19</v>
      </c>
      <c r="H841" s="137">
        <v>48</v>
      </c>
      <c r="I841" s="138">
        <f t="shared" si="13"/>
        <v>912</v>
      </c>
      <c r="J841" s="139" t="s">
        <v>466</v>
      </c>
      <c r="K841" s="140">
        <v>22.8</v>
      </c>
      <c r="L841">
        <f>Table13[[#This Row],[Price]]*Table13[[#This Row],[Units]]</f>
        <v>912</v>
      </c>
    </row>
    <row r="842" spans="1:12" x14ac:dyDescent="0.35">
      <c r="A842" s="134">
        <v>45691</v>
      </c>
      <c r="B842" s="135" t="s">
        <v>1346</v>
      </c>
      <c r="C842" s="136" t="s">
        <v>464</v>
      </c>
      <c r="D842" s="136" t="s">
        <v>470</v>
      </c>
      <c r="E842" s="136" t="s">
        <v>315</v>
      </c>
      <c r="F842" s="136" t="s">
        <v>471</v>
      </c>
      <c r="G842" s="136">
        <v>29</v>
      </c>
      <c r="H842" s="137">
        <v>57</v>
      </c>
      <c r="I842" s="138">
        <f t="shared" si="13"/>
        <v>1653</v>
      </c>
      <c r="J842" s="139" t="s">
        <v>466</v>
      </c>
      <c r="K842" s="140">
        <v>38.018999999999998</v>
      </c>
      <c r="L842">
        <f>Table13[[#This Row],[Price]]*Table13[[#This Row],[Units]]</f>
        <v>1653</v>
      </c>
    </row>
    <row r="843" spans="1:12" x14ac:dyDescent="0.35">
      <c r="A843" s="134">
        <v>45691</v>
      </c>
      <c r="B843" s="135" t="s">
        <v>1347</v>
      </c>
      <c r="C843" s="136" t="s">
        <v>322</v>
      </c>
      <c r="D843" s="136" t="s">
        <v>465</v>
      </c>
      <c r="E843" s="136" t="s">
        <v>483</v>
      </c>
      <c r="F843" s="136" t="s">
        <v>567</v>
      </c>
      <c r="G843" s="136">
        <v>56</v>
      </c>
      <c r="H843" s="137">
        <v>45</v>
      </c>
      <c r="I843" s="138">
        <f t="shared" si="13"/>
        <v>2520</v>
      </c>
      <c r="J843" s="139" t="s">
        <v>466</v>
      </c>
      <c r="K843" s="140">
        <v>63</v>
      </c>
      <c r="L843">
        <f>Table13[[#This Row],[Price]]*Table13[[#This Row],[Units]]</f>
        <v>2520</v>
      </c>
    </row>
    <row r="844" spans="1:12" x14ac:dyDescent="0.35">
      <c r="A844" s="134">
        <v>45691</v>
      </c>
      <c r="B844" s="135" t="s">
        <v>1348</v>
      </c>
      <c r="C844" s="136" t="s">
        <v>476</v>
      </c>
      <c r="D844" s="136" t="s">
        <v>477</v>
      </c>
      <c r="E844" s="136" t="s">
        <v>483</v>
      </c>
      <c r="F844" s="136" t="s">
        <v>536</v>
      </c>
      <c r="G844" s="136">
        <v>48</v>
      </c>
      <c r="H844" s="137">
        <v>43</v>
      </c>
      <c r="I844" s="138">
        <f t="shared" si="13"/>
        <v>2064</v>
      </c>
      <c r="J844" s="139" t="s">
        <v>515</v>
      </c>
      <c r="K844" s="140">
        <v>55.728000000000002</v>
      </c>
      <c r="L844">
        <f>Table13[[#This Row],[Price]]*Table13[[#This Row],[Units]]</f>
        <v>2064</v>
      </c>
    </row>
    <row r="845" spans="1:12" x14ac:dyDescent="0.35">
      <c r="A845" s="134">
        <v>45691</v>
      </c>
      <c r="B845" s="135" t="s">
        <v>1349</v>
      </c>
      <c r="C845" s="136" t="s">
        <v>494</v>
      </c>
      <c r="D845" s="136" t="s">
        <v>470</v>
      </c>
      <c r="E845" s="136" t="s">
        <v>324</v>
      </c>
      <c r="F845" s="136" t="s">
        <v>497</v>
      </c>
      <c r="G845" s="136">
        <v>37</v>
      </c>
      <c r="H845" s="137">
        <v>32</v>
      </c>
      <c r="I845" s="138">
        <f t="shared" si="13"/>
        <v>1184</v>
      </c>
      <c r="J845" s="139" t="s">
        <v>515</v>
      </c>
      <c r="K845" s="140">
        <v>35.520000000000003</v>
      </c>
      <c r="L845">
        <f>Table13[[#This Row],[Price]]*Table13[[#This Row],[Units]]</f>
        <v>1184</v>
      </c>
    </row>
    <row r="846" spans="1:12" x14ac:dyDescent="0.35">
      <c r="A846" s="134">
        <v>45691</v>
      </c>
      <c r="B846" s="135" t="s">
        <v>1350</v>
      </c>
      <c r="C846" s="136" t="s">
        <v>464</v>
      </c>
      <c r="D846" s="136" t="s">
        <v>470</v>
      </c>
      <c r="E846" s="136" t="s">
        <v>320</v>
      </c>
      <c r="F846" s="136" t="s">
        <v>513</v>
      </c>
      <c r="G846" s="136">
        <v>10</v>
      </c>
      <c r="H846" s="137">
        <v>22</v>
      </c>
      <c r="I846" s="138">
        <f t="shared" si="13"/>
        <v>220</v>
      </c>
      <c r="J846" s="139" t="s">
        <v>466</v>
      </c>
      <c r="K846" s="140">
        <v>6.6</v>
      </c>
      <c r="L846">
        <f>Table13[[#This Row],[Price]]*Table13[[#This Row],[Units]]</f>
        <v>220</v>
      </c>
    </row>
    <row r="847" spans="1:12" x14ac:dyDescent="0.35">
      <c r="A847" s="134">
        <v>45691</v>
      </c>
      <c r="B847" s="135" t="s">
        <v>1351</v>
      </c>
      <c r="C847" s="136" t="s">
        <v>489</v>
      </c>
      <c r="D847" s="136" t="s">
        <v>470</v>
      </c>
      <c r="E847" s="136" t="s">
        <v>315</v>
      </c>
      <c r="F847" s="136" t="s">
        <v>454</v>
      </c>
      <c r="G847" s="136">
        <v>54</v>
      </c>
      <c r="H847" s="137">
        <v>52</v>
      </c>
      <c r="I847" s="138">
        <f t="shared" si="13"/>
        <v>2808</v>
      </c>
      <c r="J847" s="139" t="s">
        <v>515</v>
      </c>
      <c r="K847" s="140">
        <v>64.584000000000003</v>
      </c>
      <c r="L847">
        <f>Table13[[#This Row],[Price]]*Table13[[#This Row],[Units]]</f>
        <v>2808</v>
      </c>
    </row>
    <row r="848" spans="1:12" x14ac:dyDescent="0.35">
      <c r="A848" s="134">
        <v>45691</v>
      </c>
      <c r="B848" s="135" t="s">
        <v>1352</v>
      </c>
      <c r="C848" s="136" t="s">
        <v>322</v>
      </c>
      <c r="D848" s="136" t="s">
        <v>519</v>
      </c>
      <c r="E848" s="136" t="s">
        <v>412</v>
      </c>
      <c r="F848" s="136" t="s">
        <v>491</v>
      </c>
      <c r="G848" s="136">
        <v>53</v>
      </c>
      <c r="H848" s="137">
        <v>38</v>
      </c>
      <c r="I848" s="138">
        <f t="shared" si="13"/>
        <v>2014</v>
      </c>
      <c r="J848" s="139" t="s">
        <v>472</v>
      </c>
      <c r="K848" s="140">
        <v>50.35</v>
      </c>
      <c r="L848">
        <f>Table13[[#This Row],[Price]]*Table13[[#This Row],[Units]]</f>
        <v>2014</v>
      </c>
    </row>
    <row r="849" spans="1:12" x14ac:dyDescent="0.35">
      <c r="A849" s="134">
        <v>45691</v>
      </c>
      <c r="B849" s="135" t="s">
        <v>1353</v>
      </c>
      <c r="C849" s="136" t="s">
        <v>322</v>
      </c>
      <c r="D849" s="136" t="s">
        <v>465</v>
      </c>
      <c r="E849" s="136" t="s">
        <v>320</v>
      </c>
      <c r="F849" s="136" t="s">
        <v>487</v>
      </c>
      <c r="G849" s="136">
        <v>55</v>
      </c>
      <c r="H849" s="137">
        <v>24</v>
      </c>
      <c r="I849" s="138">
        <f t="shared" si="13"/>
        <v>1320</v>
      </c>
      <c r="J849" s="139" t="s">
        <v>515</v>
      </c>
      <c r="K849" s="140">
        <v>29.04</v>
      </c>
      <c r="L849">
        <f>Table13[[#This Row],[Price]]*Table13[[#This Row],[Units]]</f>
        <v>1320</v>
      </c>
    </row>
    <row r="850" spans="1:12" x14ac:dyDescent="0.35">
      <c r="A850" s="134">
        <v>45691</v>
      </c>
      <c r="B850" s="135" t="s">
        <v>1354</v>
      </c>
      <c r="C850" s="136" t="s">
        <v>492</v>
      </c>
      <c r="D850" s="136" t="s">
        <v>477</v>
      </c>
      <c r="E850" s="136" t="s">
        <v>412</v>
      </c>
      <c r="F850" s="136" t="s">
        <v>471</v>
      </c>
      <c r="G850" s="136">
        <v>30</v>
      </c>
      <c r="H850" s="137">
        <v>58</v>
      </c>
      <c r="I850" s="138">
        <f t="shared" si="13"/>
        <v>1740</v>
      </c>
      <c r="J850" s="139" t="s">
        <v>515</v>
      </c>
      <c r="K850" s="140">
        <v>48.72</v>
      </c>
      <c r="L850">
        <f>Table13[[#This Row],[Price]]*Table13[[#This Row],[Units]]</f>
        <v>1740</v>
      </c>
    </row>
    <row r="851" spans="1:12" x14ac:dyDescent="0.35">
      <c r="A851" s="134">
        <v>45691</v>
      </c>
      <c r="B851" s="135" t="s">
        <v>1355</v>
      </c>
      <c r="C851" s="136" t="s">
        <v>322</v>
      </c>
      <c r="D851" s="136" t="s">
        <v>470</v>
      </c>
      <c r="E851" s="136" t="s">
        <v>483</v>
      </c>
      <c r="F851" s="136" t="s">
        <v>523</v>
      </c>
      <c r="G851" s="136">
        <v>31</v>
      </c>
      <c r="H851" s="137">
        <v>39</v>
      </c>
      <c r="I851" s="138">
        <f t="shared" si="13"/>
        <v>1209</v>
      </c>
      <c r="J851" s="139" t="s">
        <v>515</v>
      </c>
      <c r="K851" s="140">
        <v>24.18</v>
      </c>
      <c r="L851">
        <f>Table13[[#This Row],[Price]]*Table13[[#This Row],[Units]]</f>
        <v>1209</v>
      </c>
    </row>
    <row r="852" spans="1:12" x14ac:dyDescent="0.35">
      <c r="A852" s="134">
        <v>45691</v>
      </c>
      <c r="B852" s="135" t="s">
        <v>1356</v>
      </c>
      <c r="C852" s="136" t="s">
        <v>492</v>
      </c>
      <c r="D852" s="136" t="s">
        <v>477</v>
      </c>
      <c r="E852" s="136" t="s">
        <v>412</v>
      </c>
      <c r="F852" s="136" t="s">
        <v>536</v>
      </c>
      <c r="G852" s="136">
        <v>35</v>
      </c>
      <c r="H852" s="137">
        <v>40</v>
      </c>
      <c r="I852" s="138">
        <f t="shared" si="13"/>
        <v>1400</v>
      </c>
      <c r="J852" s="139" t="s">
        <v>466</v>
      </c>
      <c r="K852" s="140">
        <v>35</v>
      </c>
      <c r="L852">
        <f>Table13[[#This Row],[Price]]*Table13[[#This Row],[Units]]</f>
        <v>1400</v>
      </c>
    </row>
    <row r="853" spans="1:12" x14ac:dyDescent="0.35">
      <c r="A853" s="134">
        <v>45691</v>
      </c>
      <c r="B853" s="135" t="s">
        <v>1357</v>
      </c>
      <c r="C853" s="136" t="s">
        <v>492</v>
      </c>
      <c r="D853" s="136" t="s">
        <v>512</v>
      </c>
      <c r="E853" s="136" t="s">
        <v>483</v>
      </c>
      <c r="F853" s="136" t="s">
        <v>517</v>
      </c>
      <c r="G853" s="136">
        <v>33</v>
      </c>
      <c r="H853" s="137">
        <v>25</v>
      </c>
      <c r="I853" s="138">
        <f t="shared" si="13"/>
        <v>825</v>
      </c>
      <c r="J853" s="139" t="s">
        <v>503</v>
      </c>
      <c r="K853" s="140">
        <v>22.274999999999999</v>
      </c>
      <c r="L853">
        <f>Table13[[#This Row],[Price]]*Table13[[#This Row],[Units]]</f>
        <v>825</v>
      </c>
    </row>
    <row r="854" spans="1:12" x14ac:dyDescent="0.35">
      <c r="A854" s="134">
        <v>45691</v>
      </c>
      <c r="B854" s="135" t="s">
        <v>1358</v>
      </c>
      <c r="C854" s="136" t="s">
        <v>464</v>
      </c>
      <c r="D854" s="136" t="s">
        <v>470</v>
      </c>
      <c r="E854" s="136" t="s">
        <v>412</v>
      </c>
      <c r="F854" s="136" t="s">
        <v>528</v>
      </c>
      <c r="G854" s="136">
        <v>11</v>
      </c>
      <c r="H854" s="137">
        <v>36</v>
      </c>
      <c r="I854" s="138">
        <f t="shared" si="13"/>
        <v>396</v>
      </c>
      <c r="J854" s="139" t="s">
        <v>472</v>
      </c>
      <c r="K854" s="140">
        <v>11.484</v>
      </c>
      <c r="L854">
        <f>Table13[[#This Row],[Price]]*Table13[[#This Row],[Units]]</f>
        <v>396</v>
      </c>
    </row>
    <row r="855" spans="1:12" x14ac:dyDescent="0.35">
      <c r="A855" s="134">
        <v>45691</v>
      </c>
      <c r="B855" s="135" t="s">
        <v>1359</v>
      </c>
      <c r="C855" s="136" t="s">
        <v>476</v>
      </c>
      <c r="D855" s="136" t="s">
        <v>465</v>
      </c>
      <c r="E855" s="136" t="s">
        <v>320</v>
      </c>
      <c r="F855" s="136" t="s">
        <v>517</v>
      </c>
      <c r="G855" s="136">
        <v>42</v>
      </c>
      <c r="H855" s="137">
        <v>51</v>
      </c>
      <c r="I855" s="138">
        <f t="shared" si="13"/>
        <v>2142</v>
      </c>
      <c r="J855" s="139" t="s">
        <v>503</v>
      </c>
      <c r="K855" s="140">
        <v>51.408000000000001</v>
      </c>
      <c r="L855">
        <f>Table13[[#This Row],[Price]]*Table13[[#This Row],[Units]]</f>
        <v>2142</v>
      </c>
    </row>
    <row r="856" spans="1:12" x14ac:dyDescent="0.35">
      <c r="A856" s="134">
        <v>45692</v>
      </c>
      <c r="B856" s="135" t="s">
        <v>1360</v>
      </c>
      <c r="C856" s="136" t="s">
        <v>489</v>
      </c>
      <c r="D856" s="136" t="s">
        <v>465</v>
      </c>
      <c r="E856" s="136" t="s">
        <v>324</v>
      </c>
      <c r="F856" s="136" t="s">
        <v>523</v>
      </c>
      <c r="G856" s="136">
        <v>14</v>
      </c>
      <c r="H856" s="137">
        <v>22</v>
      </c>
      <c r="I856" s="138">
        <f t="shared" si="13"/>
        <v>308</v>
      </c>
      <c r="J856" s="139" t="s">
        <v>466</v>
      </c>
      <c r="K856" s="140">
        <v>8.9320000000000004</v>
      </c>
      <c r="L856">
        <f>Table13[[#This Row],[Price]]*Table13[[#This Row],[Units]]</f>
        <v>308</v>
      </c>
    </row>
    <row r="857" spans="1:12" x14ac:dyDescent="0.35">
      <c r="A857" s="134">
        <v>45692</v>
      </c>
      <c r="B857" s="135" t="s">
        <v>1361</v>
      </c>
      <c r="C857" s="136" t="s">
        <v>492</v>
      </c>
      <c r="D857" s="136" t="s">
        <v>512</v>
      </c>
      <c r="E857" s="136" t="s">
        <v>324</v>
      </c>
      <c r="F857" s="136" t="s">
        <v>487</v>
      </c>
      <c r="G857" s="136">
        <v>19</v>
      </c>
      <c r="H857" s="137">
        <v>54</v>
      </c>
      <c r="I857" s="138">
        <f t="shared" si="13"/>
        <v>1026</v>
      </c>
      <c r="J857" s="139" t="s">
        <v>503</v>
      </c>
      <c r="K857" s="140">
        <v>27.702000000000002</v>
      </c>
      <c r="L857">
        <f>Table13[[#This Row],[Price]]*Table13[[#This Row],[Units]]</f>
        <v>1026</v>
      </c>
    </row>
    <row r="858" spans="1:12" x14ac:dyDescent="0.35">
      <c r="A858" s="134">
        <v>45692</v>
      </c>
      <c r="B858" s="135" t="s">
        <v>1362</v>
      </c>
      <c r="C858" s="136" t="s">
        <v>484</v>
      </c>
      <c r="D858" s="136" t="s">
        <v>519</v>
      </c>
      <c r="E858" s="136" t="s">
        <v>483</v>
      </c>
      <c r="F858" s="136" t="s">
        <v>513</v>
      </c>
      <c r="G858" s="136">
        <v>22</v>
      </c>
      <c r="H858" s="137">
        <v>55</v>
      </c>
      <c r="I858" s="138">
        <f t="shared" si="13"/>
        <v>1210</v>
      </c>
      <c r="J858" s="139" t="s">
        <v>466</v>
      </c>
      <c r="K858" s="140">
        <v>24.2</v>
      </c>
      <c r="L858">
        <f>Table13[[#This Row],[Price]]*Table13[[#This Row],[Units]]</f>
        <v>1210</v>
      </c>
    </row>
    <row r="859" spans="1:12" x14ac:dyDescent="0.35">
      <c r="A859" s="134">
        <v>45693</v>
      </c>
      <c r="B859" s="135" t="s">
        <v>1363</v>
      </c>
      <c r="C859" s="136" t="s">
        <v>484</v>
      </c>
      <c r="D859" s="136" t="s">
        <v>486</v>
      </c>
      <c r="E859" s="136" t="s">
        <v>333</v>
      </c>
      <c r="F859" s="136" t="s">
        <v>517</v>
      </c>
      <c r="G859" s="136">
        <v>49</v>
      </c>
      <c r="H859" s="137">
        <v>20</v>
      </c>
      <c r="I859" s="138">
        <f t="shared" si="13"/>
        <v>980</v>
      </c>
      <c r="J859" s="139" t="s">
        <v>472</v>
      </c>
      <c r="K859" s="140">
        <v>20.58</v>
      </c>
      <c r="L859">
        <f>Table13[[#This Row],[Price]]*Table13[[#This Row],[Units]]</f>
        <v>980</v>
      </c>
    </row>
    <row r="860" spans="1:12" x14ac:dyDescent="0.35">
      <c r="A860" s="134">
        <v>45693</v>
      </c>
      <c r="B860" s="135" t="s">
        <v>1364</v>
      </c>
      <c r="C860" s="136" t="s">
        <v>492</v>
      </c>
      <c r="D860" s="136" t="s">
        <v>470</v>
      </c>
      <c r="E860" s="136" t="s">
        <v>324</v>
      </c>
      <c r="F860" s="136" t="s">
        <v>491</v>
      </c>
      <c r="G860" s="136">
        <v>54</v>
      </c>
      <c r="H860" s="137">
        <v>23</v>
      </c>
      <c r="I860" s="138">
        <f t="shared" si="13"/>
        <v>1242</v>
      </c>
      <c r="J860" s="139" t="s">
        <v>472</v>
      </c>
      <c r="K860" s="140">
        <v>33.533999999999999</v>
      </c>
      <c r="L860">
        <f>Table13[[#This Row],[Price]]*Table13[[#This Row],[Units]]</f>
        <v>1242</v>
      </c>
    </row>
    <row r="861" spans="1:12" x14ac:dyDescent="0.35">
      <c r="A861" s="134">
        <v>45693</v>
      </c>
      <c r="B861" s="135" t="s">
        <v>1365</v>
      </c>
      <c r="C861" s="136" t="s">
        <v>494</v>
      </c>
      <c r="D861" s="136" t="s">
        <v>465</v>
      </c>
      <c r="E861" s="136" t="s">
        <v>320</v>
      </c>
      <c r="F861" s="136" t="s">
        <v>454</v>
      </c>
      <c r="G861" s="136">
        <v>33</v>
      </c>
      <c r="H861" s="137">
        <v>37</v>
      </c>
      <c r="I861" s="138">
        <f t="shared" si="13"/>
        <v>1221</v>
      </c>
      <c r="J861" s="139" t="s">
        <v>466</v>
      </c>
      <c r="K861" s="140">
        <v>31.745999999999999</v>
      </c>
      <c r="L861">
        <f>Table13[[#This Row],[Price]]*Table13[[#This Row],[Units]]</f>
        <v>1221</v>
      </c>
    </row>
    <row r="862" spans="1:12" x14ac:dyDescent="0.35">
      <c r="A862" s="134">
        <v>45693</v>
      </c>
      <c r="B862" s="135" t="s">
        <v>1366</v>
      </c>
      <c r="C862" s="136" t="s">
        <v>492</v>
      </c>
      <c r="D862" s="136" t="s">
        <v>486</v>
      </c>
      <c r="E862" s="136" t="s">
        <v>333</v>
      </c>
      <c r="F862" s="136" t="s">
        <v>471</v>
      </c>
      <c r="G862" s="136">
        <v>41</v>
      </c>
      <c r="H862" s="137">
        <v>55</v>
      </c>
      <c r="I862" s="138">
        <f t="shared" si="13"/>
        <v>2255</v>
      </c>
      <c r="J862" s="139" t="s">
        <v>515</v>
      </c>
      <c r="K862" s="140">
        <v>56.375</v>
      </c>
      <c r="L862">
        <f>Table13[[#This Row],[Price]]*Table13[[#This Row],[Units]]</f>
        <v>2255</v>
      </c>
    </row>
    <row r="863" spans="1:12" x14ac:dyDescent="0.35">
      <c r="A863" s="134">
        <v>45693</v>
      </c>
      <c r="B863" s="135" t="s">
        <v>1367</v>
      </c>
      <c r="C863" s="136" t="s">
        <v>322</v>
      </c>
      <c r="D863" s="136" t="s">
        <v>477</v>
      </c>
      <c r="E863" s="136" t="s">
        <v>324</v>
      </c>
      <c r="F863" s="136" t="s">
        <v>471</v>
      </c>
      <c r="G863" s="136">
        <v>27</v>
      </c>
      <c r="H863" s="137">
        <v>49</v>
      </c>
      <c r="I863" s="138">
        <f t="shared" si="13"/>
        <v>1323</v>
      </c>
      <c r="J863" s="139" t="s">
        <v>515</v>
      </c>
      <c r="K863" s="140">
        <v>29.106000000000002</v>
      </c>
      <c r="L863">
        <f>Table13[[#This Row],[Price]]*Table13[[#This Row],[Units]]</f>
        <v>1323</v>
      </c>
    </row>
    <row r="864" spans="1:12" x14ac:dyDescent="0.35">
      <c r="A864" s="134">
        <v>45693</v>
      </c>
      <c r="B864" s="135" t="s">
        <v>1368</v>
      </c>
      <c r="C864" s="136" t="s">
        <v>322</v>
      </c>
      <c r="D864" s="136" t="s">
        <v>512</v>
      </c>
      <c r="E864" s="136" t="s">
        <v>483</v>
      </c>
      <c r="F864" s="136" t="s">
        <v>497</v>
      </c>
      <c r="G864" s="136">
        <v>38</v>
      </c>
      <c r="H864" s="137">
        <v>44</v>
      </c>
      <c r="I864" s="138">
        <f t="shared" si="13"/>
        <v>1672</v>
      </c>
      <c r="J864" s="139" t="s">
        <v>503</v>
      </c>
      <c r="K864" s="140">
        <v>48.488</v>
      </c>
      <c r="L864">
        <f>Table13[[#This Row],[Price]]*Table13[[#This Row],[Units]]</f>
        <v>1672</v>
      </c>
    </row>
    <row r="865" spans="1:12" x14ac:dyDescent="0.35">
      <c r="A865" s="134">
        <v>45693</v>
      </c>
      <c r="B865" s="135" t="s">
        <v>1369</v>
      </c>
      <c r="C865" s="136" t="s">
        <v>494</v>
      </c>
      <c r="D865" s="136" t="s">
        <v>477</v>
      </c>
      <c r="E865" s="136" t="s">
        <v>333</v>
      </c>
      <c r="F865" s="136" t="s">
        <v>497</v>
      </c>
      <c r="G865" s="136">
        <v>55</v>
      </c>
      <c r="H865" s="137">
        <v>60</v>
      </c>
      <c r="I865" s="138">
        <f t="shared" si="13"/>
        <v>3300</v>
      </c>
      <c r="J865" s="139" t="s">
        <v>472</v>
      </c>
      <c r="K865" s="140">
        <v>99</v>
      </c>
      <c r="L865">
        <f>Table13[[#This Row],[Price]]*Table13[[#This Row],[Units]]</f>
        <v>3300</v>
      </c>
    </row>
    <row r="866" spans="1:12" x14ac:dyDescent="0.35">
      <c r="A866" s="134">
        <v>45693</v>
      </c>
      <c r="B866" s="135" t="s">
        <v>1370</v>
      </c>
      <c r="C866" s="136" t="s">
        <v>469</v>
      </c>
      <c r="D866" s="136" t="s">
        <v>470</v>
      </c>
      <c r="E866" s="136" t="s">
        <v>333</v>
      </c>
      <c r="F866" s="136" t="s">
        <v>487</v>
      </c>
      <c r="G866" s="136">
        <v>16</v>
      </c>
      <c r="H866" s="137">
        <v>25</v>
      </c>
      <c r="I866" s="138">
        <f t="shared" si="13"/>
        <v>400</v>
      </c>
      <c r="J866" s="139" t="s">
        <v>472</v>
      </c>
      <c r="K866" s="140">
        <v>8.8000000000000007</v>
      </c>
      <c r="L866">
        <f>Table13[[#This Row],[Price]]*Table13[[#This Row],[Units]]</f>
        <v>400</v>
      </c>
    </row>
    <row r="867" spans="1:12" x14ac:dyDescent="0.35">
      <c r="A867" s="134">
        <v>45693</v>
      </c>
      <c r="B867" s="135" t="s">
        <v>1371</v>
      </c>
      <c r="C867" s="136" t="s">
        <v>484</v>
      </c>
      <c r="D867" s="136" t="s">
        <v>486</v>
      </c>
      <c r="E867" s="136" t="s">
        <v>483</v>
      </c>
      <c r="F867" s="136" t="s">
        <v>487</v>
      </c>
      <c r="G867" s="136">
        <v>55</v>
      </c>
      <c r="H867" s="137">
        <v>48</v>
      </c>
      <c r="I867" s="138">
        <f t="shared" si="13"/>
        <v>2640</v>
      </c>
      <c r="J867" s="139" t="s">
        <v>472</v>
      </c>
      <c r="K867" s="140">
        <v>55.44</v>
      </c>
      <c r="L867">
        <f>Table13[[#This Row],[Price]]*Table13[[#This Row],[Units]]</f>
        <v>2640</v>
      </c>
    </row>
    <row r="868" spans="1:12" x14ac:dyDescent="0.35">
      <c r="A868" s="134">
        <v>45693</v>
      </c>
      <c r="B868" s="135" t="s">
        <v>1372</v>
      </c>
      <c r="C868" s="136" t="s">
        <v>489</v>
      </c>
      <c r="D868" s="136" t="s">
        <v>486</v>
      </c>
      <c r="E868" s="136" t="s">
        <v>320</v>
      </c>
      <c r="F868" s="136" t="s">
        <v>491</v>
      </c>
      <c r="G868" s="136">
        <v>23</v>
      </c>
      <c r="H868" s="137">
        <v>43</v>
      </c>
      <c r="I868" s="138">
        <f t="shared" si="13"/>
        <v>989</v>
      </c>
      <c r="J868" s="139" t="s">
        <v>515</v>
      </c>
      <c r="K868" s="140">
        <v>19.78</v>
      </c>
      <c r="L868">
        <f>Table13[[#This Row],[Price]]*Table13[[#This Row],[Units]]</f>
        <v>989</v>
      </c>
    </row>
    <row r="869" spans="1:12" x14ac:dyDescent="0.35">
      <c r="A869" s="134">
        <v>45693</v>
      </c>
      <c r="B869" s="135" t="s">
        <v>1373</v>
      </c>
      <c r="C869" s="136" t="s">
        <v>476</v>
      </c>
      <c r="D869" s="136" t="s">
        <v>465</v>
      </c>
      <c r="E869" s="136" t="s">
        <v>324</v>
      </c>
      <c r="F869" s="136" t="s">
        <v>505</v>
      </c>
      <c r="G869" s="136">
        <v>46</v>
      </c>
      <c r="H869" s="137">
        <v>24</v>
      </c>
      <c r="I869" s="138">
        <f t="shared" si="13"/>
        <v>1104</v>
      </c>
      <c r="J869" s="139" t="s">
        <v>472</v>
      </c>
      <c r="K869" s="140">
        <v>22.08</v>
      </c>
      <c r="L869">
        <f>Table13[[#This Row],[Price]]*Table13[[#This Row],[Units]]</f>
        <v>1104</v>
      </c>
    </row>
    <row r="870" spans="1:12" x14ac:dyDescent="0.35">
      <c r="A870" s="134">
        <v>45693</v>
      </c>
      <c r="B870" s="135" t="s">
        <v>1374</v>
      </c>
      <c r="C870" s="136" t="s">
        <v>494</v>
      </c>
      <c r="D870" s="136" t="s">
        <v>477</v>
      </c>
      <c r="E870" s="136" t="s">
        <v>324</v>
      </c>
      <c r="F870" s="136" t="s">
        <v>520</v>
      </c>
      <c r="G870" s="136">
        <v>29</v>
      </c>
      <c r="H870" s="137">
        <v>47</v>
      </c>
      <c r="I870" s="138">
        <f t="shared" si="13"/>
        <v>1363</v>
      </c>
      <c r="J870" s="139" t="s">
        <v>466</v>
      </c>
      <c r="K870" s="140">
        <v>36.801000000000002</v>
      </c>
      <c r="L870">
        <f>Table13[[#This Row],[Price]]*Table13[[#This Row],[Units]]</f>
        <v>1363</v>
      </c>
    </row>
    <row r="871" spans="1:12" x14ac:dyDescent="0.35">
      <c r="A871" s="134">
        <v>45693</v>
      </c>
      <c r="B871" s="135" t="s">
        <v>1375</v>
      </c>
      <c r="C871" s="136" t="s">
        <v>322</v>
      </c>
      <c r="D871" s="136" t="s">
        <v>477</v>
      </c>
      <c r="E871" s="136" t="s">
        <v>324</v>
      </c>
      <c r="F871" s="136" t="s">
        <v>517</v>
      </c>
      <c r="G871" s="136">
        <v>39</v>
      </c>
      <c r="H871" s="137">
        <v>34</v>
      </c>
      <c r="I871" s="138">
        <f t="shared" si="13"/>
        <v>1326</v>
      </c>
      <c r="J871" s="139" t="s">
        <v>503</v>
      </c>
      <c r="K871" s="140">
        <v>35.802</v>
      </c>
      <c r="L871">
        <f>Table13[[#This Row],[Price]]*Table13[[#This Row],[Units]]</f>
        <v>1326</v>
      </c>
    </row>
    <row r="872" spans="1:12" x14ac:dyDescent="0.35">
      <c r="A872" s="134">
        <v>45694</v>
      </c>
      <c r="B872" s="135" t="s">
        <v>1376</v>
      </c>
      <c r="C872" s="136" t="s">
        <v>489</v>
      </c>
      <c r="D872" s="136" t="s">
        <v>519</v>
      </c>
      <c r="E872" s="136" t="s">
        <v>315</v>
      </c>
      <c r="F872" s="136" t="s">
        <v>505</v>
      </c>
      <c r="G872" s="136">
        <v>21</v>
      </c>
      <c r="H872" s="137">
        <v>53</v>
      </c>
      <c r="I872" s="138">
        <f t="shared" si="13"/>
        <v>1113</v>
      </c>
      <c r="J872" s="139" t="s">
        <v>466</v>
      </c>
      <c r="K872" s="140">
        <v>22.26</v>
      </c>
      <c r="L872">
        <f>Table13[[#This Row],[Price]]*Table13[[#This Row],[Units]]</f>
        <v>1113</v>
      </c>
    </row>
    <row r="873" spans="1:12" x14ac:dyDescent="0.35">
      <c r="A873" s="134">
        <v>45694</v>
      </c>
      <c r="B873" s="135" t="s">
        <v>1377</v>
      </c>
      <c r="C873" s="136" t="s">
        <v>501</v>
      </c>
      <c r="D873" s="136" t="s">
        <v>519</v>
      </c>
      <c r="E873" s="136" t="s">
        <v>412</v>
      </c>
      <c r="F873" s="136" t="s">
        <v>497</v>
      </c>
      <c r="G873" s="136">
        <v>44</v>
      </c>
      <c r="H873" s="137">
        <v>57</v>
      </c>
      <c r="I873" s="138">
        <f t="shared" si="13"/>
        <v>2508</v>
      </c>
      <c r="J873" s="139" t="s">
        <v>466</v>
      </c>
      <c r="K873" s="140">
        <v>52.667999999999999</v>
      </c>
      <c r="L873">
        <f>Table13[[#This Row],[Price]]*Table13[[#This Row],[Units]]</f>
        <v>2508</v>
      </c>
    </row>
    <row r="874" spans="1:12" x14ac:dyDescent="0.35">
      <c r="A874" s="134">
        <v>45694</v>
      </c>
      <c r="B874" s="135" t="s">
        <v>1378</v>
      </c>
      <c r="C874" s="136" t="s">
        <v>484</v>
      </c>
      <c r="D874" s="136" t="s">
        <v>470</v>
      </c>
      <c r="E874" s="136" t="s">
        <v>320</v>
      </c>
      <c r="F874" s="136" t="s">
        <v>487</v>
      </c>
      <c r="G874" s="136">
        <v>28</v>
      </c>
      <c r="H874" s="137">
        <v>56</v>
      </c>
      <c r="I874" s="138">
        <f t="shared" si="13"/>
        <v>1568</v>
      </c>
      <c r="J874" s="139" t="s">
        <v>466</v>
      </c>
      <c r="K874" s="140">
        <v>36.064</v>
      </c>
      <c r="L874">
        <f>Table13[[#This Row],[Price]]*Table13[[#This Row],[Units]]</f>
        <v>1568</v>
      </c>
    </row>
    <row r="875" spans="1:12" x14ac:dyDescent="0.35">
      <c r="A875" s="134">
        <v>45694</v>
      </c>
      <c r="B875" s="135" t="s">
        <v>1379</v>
      </c>
      <c r="C875" s="136" t="s">
        <v>322</v>
      </c>
      <c r="D875" s="136" t="s">
        <v>470</v>
      </c>
      <c r="E875" s="136" t="s">
        <v>333</v>
      </c>
      <c r="F875" s="136" t="s">
        <v>523</v>
      </c>
      <c r="G875" s="136">
        <v>40</v>
      </c>
      <c r="H875" s="137">
        <v>44</v>
      </c>
      <c r="I875" s="138">
        <f t="shared" si="13"/>
        <v>1760</v>
      </c>
      <c r="J875" s="139" t="s">
        <v>472</v>
      </c>
      <c r="K875" s="140">
        <v>38.72</v>
      </c>
      <c r="L875">
        <f>Table13[[#This Row],[Price]]*Table13[[#This Row],[Units]]</f>
        <v>1760</v>
      </c>
    </row>
    <row r="876" spans="1:12" x14ac:dyDescent="0.35">
      <c r="A876" s="134">
        <v>45694</v>
      </c>
      <c r="B876" s="135" t="s">
        <v>1380</v>
      </c>
      <c r="C876" s="136" t="s">
        <v>484</v>
      </c>
      <c r="D876" s="136" t="s">
        <v>477</v>
      </c>
      <c r="E876" s="136" t="s">
        <v>483</v>
      </c>
      <c r="F876" s="136" t="s">
        <v>517</v>
      </c>
      <c r="G876" s="136">
        <v>41</v>
      </c>
      <c r="H876" s="137">
        <v>49</v>
      </c>
      <c r="I876" s="138">
        <f t="shared" si="13"/>
        <v>2009</v>
      </c>
      <c r="J876" s="139" t="s">
        <v>466</v>
      </c>
      <c r="K876" s="140">
        <v>44.198</v>
      </c>
      <c r="L876">
        <f>Table13[[#This Row],[Price]]*Table13[[#This Row],[Units]]</f>
        <v>2009</v>
      </c>
    </row>
    <row r="877" spans="1:12" x14ac:dyDescent="0.35">
      <c r="A877" s="134">
        <v>45694</v>
      </c>
      <c r="B877" s="135" t="s">
        <v>1381</v>
      </c>
      <c r="C877" s="136" t="s">
        <v>464</v>
      </c>
      <c r="D877" s="136" t="s">
        <v>470</v>
      </c>
      <c r="E877" s="136" t="s">
        <v>483</v>
      </c>
      <c r="F877" s="136" t="s">
        <v>471</v>
      </c>
      <c r="G877" s="136">
        <v>55</v>
      </c>
      <c r="H877" s="137">
        <v>21</v>
      </c>
      <c r="I877" s="138">
        <f t="shared" si="13"/>
        <v>1155</v>
      </c>
      <c r="J877" s="139" t="s">
        <v>466</v>
      </c>
      <c r="K877" s="140">
        <v>25.41</v>
      </c>
      <c r="L877">
        <f>Table13[[#This Row],[Price]]*Table13[[#This Row],[Units]]</f>
        <v>1155</v>
      </c>
    </row>
    <row r="878" spans="1:12" x14ac:dyDescent="0.35">
      <c r="A878" s="134">
        <v>45694</v>
      </c>
      <c r="B878" s="135" t="s">
        <v>1382</v>
      </c>
      <c r="C878" s="136" t="s">
        <v>484</v>
      </c>
      <c r="D878" s="136" t="s">
        <v>470</v>
      </c>
      <c r="E878" s="136" t="s">
        <v>333</v>
      </c>
      <c r="F878" s="136" t="s">
        <v>520</v>
      </c>
      <c r="G878" s="136">
        <v>31</v>
      </c>
      <c r="H878" s="137">
        <v>59</v>
      </c>
      <c r="I878" s="138">
        <f t="shared" si="13"/>
        <v>1829</v>
      </c>
      <c r="J878" s="139" t="s">
        <v>466</v>
      </c>
      <c r="K878" s="140">
        <v>53.040999999999997</v>
      </c>
      <c r="L878">
        <f>Table13[[#This Row],[Price]]*Table13[[#This Row],[Units]]</f>
        <v>1829</v>
      </c>
    </row>
    <row r="879" spans="1:12" x14ac:dyDescent="0.35">
      <c r="A879" s="134">
        <v>45694</v>
      </c>
      <c r="B879" s="135" t="s">
        <v>1383</v>
      </c>
      <c r="C879" s="136" t="s">
        <v>501</v>
      </c>
      <c r="D879" s="136" t="s">
        <v>490</v>
      </c>
      <c r="E879" s="136" t="s">
        <v>390</v>
      </c>
      <c r="F879" s="136" t="s">
        <v>491</v>
      </c>
      <c r="G879" s="136">
        <v>26</v>
      </c>
      <c r="H879" s="137">
        <v>24</v>
      </c>
      <c r="I879" s="138">
        <f t="shared" si="13"/>
        <v>624</v>
      </c>
      <c r="J879" s="139" t="s">
        <v>472</v>
      </c>
      <c r="K879" s="140">
        <v>15.6</v>
      </c>
      <c r="L879">
        <f>Table13[[#This Row],[Price]]*Table13[[#This Row],[Units]]</f>
        <v>624</v>
      </c>
    </row>
    <row r="880" spans="1:12" x14ac:dyDescent="0.35">
      <c r="A880" s="134">
        <v>45694</v>
      </c>
      <c r="B880" s="135" t="s">
        <v>1384</v>
      </c>
      <c r="C880" s="136" t="s">
        <v>494</v>
      </c>
      <c r="D880" s="136" t="s">
        <v>519</v>
      </c>
      <c r="E880" s="136" t="s">
        <v>324</v>
      </c>
      <c r="F880" s="136" t="s">
        <v>513</v>
      </c>
      <c r="G880" s="136">
        <v>34</v>
      </c>
      <c r="H880" s="137">
        <v>24</v>
      </c>
      <c r="I880" s="138">
        <f t="shared" si="13"/>
        <v>816</v>
      </c>
      <c r="J880" s="139" t="s">
        <v>472</v>
      </c>
      <c r="K880" s="140">
        <v>16.32</v>
      </c>
      <c r="L880">
        <f>Table13[[#This Row],[Price]]*Table13[[#This Row],[Units]]</f>
        <v>816</v>
      </c>
    </row>
    <row r="881" spans="1:12" x14ac:dyDescent="0.35">
      <c r="A881" s="134">
        <v>45694</v>
      </c>
      <c r="B881" s="135" t="s">
        <v>1385</v>
      </c>
      <c r="C881" s="136" t="s">
        <v>322</v>
      </c>
      <c r="D881" s="136" t="s">
        <v>470</v>
      </c>
      <c r="E881" s="136" t="s">
        <v>324</v>
      </c>
      <c r="F881" s="136" t="s">
        <v>505</v>
      </c>
      <c r="G881" s="136">
        <v>11</v>
      </c>
      <c r="H881" s="137">
        <v>47</v>
      </c>
      <c r="I881" s="138">
        <f t="shared" si="13"/>
        <v>517</v>
      </c>
      <c r="J881" s="139" t="s">
        <v>515</v>
      </c>
      <c r="K881" s="140">
        <v>12.925000000000001</v>
      </c>
      <c r="L881">
        <f>Table13[[#This Row],[Price]]*Table13[[#This Row],[Units]]</f>
        <v>517</v>
      </c>
    </row>
    <row r="882" spans="1:12" x14ac:dyDescent="0.35">
      <c r="A882" s="134">
        <v>45695</v>
      </c>
      <c r="B882" s="135" t="s">
        <v>1386</v>
      </c>
      <c r="C882" s="136" t="s">
        <v>494</v>
      </c>
      <c r="D882" s="136" t="s">
        <v>490</v>
      </c>
      <c r="E882" s="136" t="s">
        <v>333</v>
      </c>
      <c r="F882" s="136" t="s">
        <v>539</v>
      </c>
      <c r="G882" s="136">
        <v>25</v>
      </c>
      <c r="H882" s="137">
        <v>20</v>
      </c>
      <c r="I882" s="138">
        <f t="shared" si="13"/>
        <v>500</v>
      </c>
      <c r="J882" s="139" t="s">
        <v>472</v>
      </c>
      <c r="K882" s="140">
        <v>13.5</v>
      </c>
      <c r="L882">
        <f>Table13[[#This Row],[Price]]*Table13[[#This Row],[Units]]</f>
        <v>500</v>
      </c>
    </row>
    <row r="883" spans="1:12" x14ac:dyDescent="0.35">
      <c r="A883" s="134">
        <v>45695</v>
      </c>
      <c r="B883" s="135" t="s">
        <v>1387</v>
      </c>
      <c r="C883" s="136" t="s">
        <v>494</v>
      </c>
      <c r="D883" s="136" t="s">
        <v>470</v>
      </c>
      <c r="E883" s="136" t="s">
        <v>333</v>
      </c>
      <c r="F883" s="136" t="s">
        <v>539</v>
      </c>
      <c r="G883" s="136">
        <v>36</v>
      </c>
      <c r="H883" s="137">
        <v>37</v>
      </c>
      <c r="I883" s="138">
        <f t="shared" si="13"/>
        <v>1332</v>
      </c>
      <c r="J883" s="139" t="s">
        <v>466</v>
      </c>
      <c r="K883" s="140">
        <v>35.963999999999999</v>
      </c>
      <c r="L883">
        <f>Table13[[#This Row],[Price]]*Table13[[#This Row],[Units]]</f>
        <v>1332</v>
      </c>
    </row>
    <row r="884" spans="1:12" x14ac:dyDescent="0.35">
      <c r="A884" s="134">
        <v>45695</v>
      </c>
      <c r="B884" s="135" t="s">
        <v>1388</v>
      </c>
      <c r="C884" s="136" t="s">
        <v>464</v>
      </c>
      <c r="D884" s="136" t="s">
        <v>477</v>
      </c>
      <c r="E884" s="136" t="s">
        <v>324</v>
      </c>
      <c r="F884" s="136" t="s">
        <v>500</v>
      </c>
      <c r="G884" s="136">
        <v>10</v>
      </c>
      <c r="H884" s="137">
        <v>25</v>
      </c>
      <c r="I884" s="138">
        <f t="shared" si="13"/>
        <v>250</v>
      </c>
      <c r="J884" s="139" t="s">
        <v>466</v>
      </c>
      <c r="K884" s="140">
        <v>5</v>
      </c>
      <c r="L884">
        <f>Table13[[#This Row],[Price]]*Table13[[#This Row],[Units]]</f>
        <v>250</v>
      </c>
    </row>
    <row r="885" spans="1:12" x14ac:dyDescent="0.35">
      <c r="A885" s="134">
        <v>45695</v>
      </c>
      <c r="B885" s="135" t="s">
        <v>1389</v>
      </c>
      <c r="C885" s="136" t="s">
        <v>464</v>
      </c>
      <c r="D885" s="136" t="s">
        <v>465</v>
      </c>
      <c r="E885" s="136" t="s">
        <v>324</v>
      </c>
      <c r="F885" s="136" t="s">
        <v>497</v>
      </c>
      <c r="G885" s="136">
        <v>30</v>
      </c>
      <c r="H885" s="137">
        <v>38</v>
      </c>
      <c r="I885" s="138">
        <f t="shared" si="13"/>
        <v>1140</v>
      </c>
      <c r="J885" s="139" t="s">
        <v>466</v>
      </c>
      <c r="K885" s="140">
        <v>34.200000000000003</v>
      </c>
      <c r="L885">
        <f>Table13[[#This Row],[Price]]*Table13[[#This Row],[Units]]</f>
        <v>1140</v>
      </c>
    </row>
    <row r="886" spans="1:12" x14ac:dyDescent="0.35">
      <c r="A886" s="134">
        <v>45695</v>
      </c>
      <c r="B886" s="135" t="s">
        <v>1390</v>
      </c>
      <c r="C886" s="136" t="s">
        <v>494</v>
      </c>
      <c r="D886" s="136" t="s">
        <v>465</v>
      </c>
      <c r="E886" s="136" t="s">
        <v>333</v>
      </c>
      <c r="F886" s="136" t="s">
        <v>500</v>
      </c>
      <c r="G886" s="136">
        <v>38</v>
      </c>
      <c r="H886" s="137">
        <v>50</v>
      </c>
      <c r="I886" s="138">
        <f t="shared" si="13"/>
        <v>1900</v>
      </c>
      <c r="J886" s="139" t="s">
        <v>472</v>
      </c>
      <c r="K886" s="140">
        <v>38</v>
      </c>
      <c r="L886">
        <f>Table13[[#This Row],[Price]]*Table13[[#This Row],[Units]]</f>
        <v>1900</v>
      </c>
    </row>
    <row r="887" spans="1:12" x14ac:dyDescent="0.35">
      <c r="A887" s="134">
        <v>45695</v>
      </c>
      <c r="B887" s="135" t="s">
        <v>1391</v>
      </c>
      <c r="C887" s="136" t="s">
        <v>322</v>
      </c>
      <c r="D887" s="136" t="s">
        <v>465</v>
      </c>
      <c r="E887" s="136" t="s">
        <v>324</v>
      </c>
      <c r="F887" s="136" t="s">
        <v>478</v>
      </c>
      <c r="G887" s="136">
        <v>27</v>
      </c>
      <c r="H887" s="137">
        <v>42</v>
      </c>
      <c r="I887" s="138">
        <f t="shared" si="13"/>
        <v>1134</v>
      </c>
      <c r="J887" s="139" t="s">
        <v>466</v>
      </c>
      <c r="K887" s="140">
        <v>27.216000000000001</v>
      </c>
      <c r="L887">
        <f>Table13[[#This Row],[Price]]*Table13[[#This Row],[Units]]</f>
        <v>1134</v>
      </c>
    </row>
    <row r="888" spans="1:12" x14ac:dyDescent="0.35">
      <c r="A888" s="134">
        <v>45696</v>
      </c>
      <c r="B888" s="135" t="s">
        <v>1392</v>
      </c>
      <c r="C888" s="136" t="s">
        <v>469</v>
      </c>
      <c r="D888" s="136" t="s">
        <v>512</v>
      </c>
      <c r="E888" s="136" t="s">
        <v>483</v>
      </c>
      <c r="F888" s="136" t="s">
        <v>478</v>
      </c>
      <c r="G888" s="136">
        <v>53</v>
      </c>
      <c r="H888" s="137">
        <v>30</v>
      </c>
      <c r="I888" s="138">
        <f t="shared" si="13"/>
        <v>1590</v>
      </c>
      <c r="J888" s="139" t="s">
        <v>466</v>
      </c>
      <c r="K888" s="140">
        <v>47.7</v>
      </c>
      <c r="L888">
        <f>Table13[[#This Row],[Price]]*Table13[[#This Row],[Units]]</f>
        <v>1590</v>
      </c>
    </row>
    <row r="889" spans="1:12" x14ac:dyDescent="0.35">
      <c r="A889" s="134">
        <v>45696</v>
      </c>
      <c r="B889" s="135" t="s">
        <v>1393</v>
      </c>
      <c r="C889" s="136" t="s">
        <v>492</v>
      </c>
      <c r="D889" s="136" t="s">
        <v>490</v>
      </c>
      <c r="E889" s="136" t="s">
        <v>315</v>
      </c>
      <c r="F889" s="136" t="s">
        <v>500</v>
      </c>
      <c r="G889" s="136">
        <v>20</v>
      </c>
      <c r="H889" s="137">
        <v>56</v>
      </c>
      <c r="I889" s="138">
        <f t="shared" si="13"/>
        <v>1120</v>
      </c>
      <c r="J889" s="139" t="s">
        <v>466</v>
      </c>
      <c r="K889" s="140">
        <v>32.479999999999997</v>
      </c>
      <c r="L889">
        <f>Table13[[#This Row],[Price]]*Table13[[#This Row],[Units]]</f>
        <v>1120</v>
      </c>
    </row>
    <row r="890" spans="1:12" x14ac:dyDescent="0.35">
      <c r="A890" s="134">
        <v>45696</v>
      </c>
      <c r="B890" s="135" t="s">
        <v>1394</v>
      </c>
      <c r="C890" s="136" t="s">
        <v>464</v>
      </c>
      <c r="D890" s="136" t="s">
        <v>519</v>
      </c>
      <c r="E890" s="136" t="s">
        <v>315</v>
      </c>
      <c r="F890" s="136" t="s">
        <v>497</v>
      </c>
      <c r="G890" s="136">
        <v>34</v>
      </c>
      <c r="H890" s="137">
        <v>21</v>
      </c>
      <c r="I890" s="138">
        <f t="shared" si="13"/>
        <v>714</v>
      </c>
      <c r="J890" s="139" t="s">
        <v>466</v>
      </c>
      <c r="K890" s="140">
        <v>16.422000000000001</v>
      </c>
      <c r="L890">
        <f>Table13[[#This Row],[Price]]*Table13[[#This Row],[Units]]</f>
        <v>714</v>
      </c>
    </row>
    <row r="891" spans="1:12" x14ac:dyDescent="0.35">
      <c r="A891" s="134">
        <v>45696</v>
      </c>
      <c r="B891" s="135" t="s">
        <v>1395</v>
      </c>
      <c r="C891" s="136" t="s">
        <v>501</v>
      </c>
      <c r="D891" s="136" t="s">
        <v>465</v>
      </c>
      <c r="E891" s="136" t="s">
        <v>315</v>
      </c>
      <c r="F891" s="136" t="s">
        <v>497</v>
      </c>
      <c r="G891" s="136">
        <v>55</v>
      </c>
      <c r="H891" s="137">
        <v>23</v>
      </c>
      <c r="I891" s="138">
        <f t="shared" si="13"/>
        <v>1265</v>
      </c>
      <c r="J891" s="139" t="s">
        <v>515</v>
      </c>
      <c r="K891" s="140">
        <v>29.094999999999999</v>
      </c>
      <c r="L891">
        <f>Table13[[#This Row],[Price]]*Table13[[#This Row],[Units]]</f>
        <v>1265</v>
      </c>
    </row>
    <row r="892" spans="1:12" x14ac:dyDescent="0.35">
      <c r="A892" s="134">
        <v>45696</v>
      </c>
      <c r="B892" s="135" t="s">
        <v>1396</v>
      </c>
      <c r="C892" s="136" t="s">
        <v>489</v>
      </c>
      <c r="D892" s="136" t="s">
        <v>519</v>
      </c>
      <c r="E892" s="136" t="s">
        <v>412</v>
      </c>
      <c r="F892" s="136" t="s">
        <v>528</v>
      </c>
      <c r="G892" s="136">
        <v>13</v>
      </c>
      <c r="H892" s="137">
        <v>39</v>
      </c>
      <c r="I892" s="138">
        <f t="shared" si="13"/>
        <v>507</v>
      </c>
      <c r="J892" s="139" t="s">
        <v>472</v>
      </c>
      <c r="K892" s="140">
        <v>10.14</v>
      </c>
      <c r="L892">
        <f>Table13[[#This Row],[Price]]*Table13[[#This Row],[Units]]</f>
        <v>507</v>
      </c>
    </row>
    <row r="893" spans="1:12" x14ac:dyDescent="0.35">
      <c r="A893" s="134">
        <v>45696</v>
      </c>
      <c r="B893" s="135" t="s">
        <v>1397</v>
      </c>
      <c r="C893" s="136" t="s">
        <v>494</v>
      </c>
      <c r="D893" s="136" t="s">
        <v>519</v>
      </c>
      <c r="E893" s="136" t="s">
        <v>320</v>
      </c>
      <c r="F893" s="136" t="s">
        <v>454</v>
      </c>
      <c r="G893" s="136">
        <v>10</v>
      </c>
      <c r="H893" s="137">
        <v>60</v>
      </c>
      <c r="I893" s="138">
        <f t="shared" si="13"/>
        <v>600</v>
      </c>
      <c r="J893" s="139" t="s">
        <v>466</v>
      </c>
      <c r="K893" s="140">
        <v>15</v>
      </c>
      <c r="L893">
        <f>Table13[[#This Row],[Price]]*Table13[[#This Row],[Units]]</f>
        <v>600</v>
      </c>
    </row>
    <row r="894" spans="1:12" x14ac:dyDescent="0.35">
      <c r="A894" s="134">
        <v>45696</v>
      </c>
      <c r="B894" s="135" t="s">
        <v>1398</v>
      </c>
      <c r="C894" s="136" t="s">
        <v>489</v>
      </c>
      <c r="D894" s="136" t="s">
        <v>465</v>
      </c>
      <c r="E894" s="136" t="s">
        <v>315</v>
      </c>
      <c r="F894" s="136" t="s">
        <v>487</v>
      </c>
      <c r="G894" s="136">
        <v>56</v>
      </c>
      <c r="H894" s="137">
        <v>43</v>
      </c>
      <c r="I894" s="138">
        <f t="shared" si="13"/>
        <v>2408</v>
      </c>
      <c r="J894" s="139" t="s">
        <v>515</v>
      </c>
      <c r="K894" s="140">
        <v>55.384</v>
      </c>
      <c r="L894">
        <f>Table13[[#This Row],[Price]]*Table13[[#This Row],[Units]]</f>
        <v>2408</v>
      </c>
    </row>
    <row r="895" spans="1:12" x14ac:dyDescent="0.35">
      <c r="A895" s="134">
        <v>45696</v>
      </c>
      <c r="B895" s="135" t="s">
        <v>1399</v>
      </c>
      <c r="C895" s="136" t="s">
        <v>469</v>
      </c>
      <c r="D895" s="136" t="s">
        <v>490</v>
      </c>
      <c r="E895" s="136" t="s">
        <v>324</v>
      </c>
      <c r="F895" s="136" t="s">
        <v>513</v>
      </c>
      <c r="G895" s="136">
        <v>22</v>
      </c>
      <c r="H895" s="137">
        <v>30</v>
      </c>
      <c r="I895" s="138">
        <f t="shared" si="13"/>
        <v>660</v>
      </c>
      <c r="J895" s="139" t="s">
        <v>466</v>
      </c>
      <c r="K895" s="140">
        <v>16.5</v>
      </c>
      <c r="L895">
        <f>Table13[[#This Row],[Price]]*Table13[[#This Row],[Units]]</f>
        <v>660</v>
      </c>
    </row>
    <row r="896" spans="1:12" x14ac:dyDescent="0.35">
      <c r="A896" s="134">
        <v>45696</v>
      </c>
      <c r="B896" s="135" t="s">
        <v>1400</v>
      </c>
      <c r="C896" s="136" t="s">
        <v>489</v>
      </c>
      <c r="D896" s="136" t="s">
        <v>465</v>
      </c>
      <c r="E896" s="136" t="s">
        <v>483</v>
      </c>
      <c r="F896" s="136" t="s">
        <v>505</v>
      </c>
      <c r="G896" s="136">
        <v>21</v>
      </c>
      <c r="H896" s="137">
        <v>35</v>
      </c>
      <c r="I896" s="138">
        <f t="shared" si="13"/>
        <v>735</v>
      </c>
      <c r="J896" s="139" t="s">
        <v>472</v>
      </c>
      <c r="K896" s="140">
        <v>14.7</v>
      </c>
      <c r="L896">
        <f>Table13[[#This Row],[Price]]*Table13[[#This Row],[Units]]</f>
        <v>735</v>
      </c>
    </row>
    <row r="897" spans="1:12" x14ac:dyDescent="0.35">
      <c r="A897" s="134">
        <v>45696</v>
      </c>
      <c r="B897" s="135" t="s">
        <v>1401</v>
      </c>
      <c r="C897" s="136" t="s">
        <v>322</v>
      </c>
      <c r="D897" s="136" t="s">
        <v>519</v>
      </c>
      <c r="E897" s="136" t="s">
        <v>324</v>
      </c>
      <c r="F897" s="136" t="s">
        <v>513</v>
      </c>
      <c r="G897" s="136">
        <v>22</v>
      </c>
      <c r="H897" s="137">
        <v>56</v>
      </c>
      <c r="I897" s="138">
        <f t="shared" si="13"/>
        <v>1232</v>
      </c>
      <c r="J897" s="139" t="s">
        <v>472</v>
      </c>
      <c r="K897" s="140">
        <v>34.496000000000002</v>
      </c>
      <c r="L897">
        <f>Table13[[#This Row],[Price]]*Table13[[#This Row],[Units]]</f>
        <v>1232</v>
      </c>
    </row>
    <row r="898" spans="1:12" x14ac:dyDescent="0.35">
      <c r="A898" s="134">
        <v>45696</v>
      </c>
      <c r="B898" s="135" t="s">
        <v>1402</v>
      </c>
      <c r="C898" s="136" t="s">
        <v>476</v>
      </c>
      <c r="D898" s="136" t="s">
        <v>477</v>
      </c>
      <c r="E898" s="136" t="s">
        <v>320</v>
      </c>
      <c r="F898" s="136" t="s">
        <v>510</v>
      </c>
      <c r="G898" s="136">
        <v>54</v>
      </c>
      <c r="H898" s="137">
        <v>44</v>
      </c>
      <c r="I898" s="138">
        <f t="shared" si="13"/>
        <v>2376</v>
      </c>
      <c r="J898" s="139" t="s">
        <v>466</v>
      </c>
      <c r="K898" s="140">
        <v>71.28</v>
      </c>
      <c r="L898">
        <f>Table13[[#This Row],[Price]]*Table13[[#This Row],[Units]]</f>
        <v>2376</v>
      </c>
    </row>
    <row r="899" spans="1:12" x14ac:dyDescent="0.35">
      <c r="A899" s="134">
        <v>45696</v>
      </c>
      <c r="B899" s="135" t="s">
        <v>1403</v>
      </c>
      <c r="C899" s="136" t="s">
        <v>484</v>
      </c>
      <c r="D899" s="136" t="s">
        <v>477</v>
      </c>
      <c r="E899" s="136" t="s">
        <v>390</v>
      </c>
      <c r="F899" s="136" t="s">
        <v>478</v>
      </c>
      <c r="G899" s="136">
        <v>23</v>
      </c>
      <c r="H899" s="137">
        <v>43</v>
      </c>
      <c r="I899" s="138">
        <f t="shared" ref="I899:I962" si="14">G899*H899</f>
        <v>989</v>
      </c>
      <c r="J899" s="139" t="s">
        <v>466</v>
      </c>
      <c r="K899" s="140">
        <v>26.702999999999999</v>
      </c>
      <c r="L899">
        <f>Table13[[#This Row],[Price]]*Table13[[#This Row],[Units]]</f>
        <v>989</v>
      </c>
    </row>
    <row r="900" spans="1:12" x14ac:dyDescent="0.35">
      <c r="A900" s="134">
        <v>45696</v>
      </c>
      <c r="B900" s="135" t="s">
        <v>1404</v>
      </c>
      <c r="C900" s="136" t="s">
        <v>492</v>
      </c>
      <c r="D900" s="136" t="s">
        <v>470</v>
      </c>
      <c r="E900" s="136" t="s">
        <v>324</v>
      </c>
      <c r="F900" s="136" t="s">
        <v>471</v>
      </c>
      <c r="G900" s="136">
        <v>48</v>
      </c>
      <c r="H900" s="137">
        <v>21</v>
      </c>
      <c r="I900" s="138">
        <f t="shared" si="14"/>
        <v>1008</v>
      </c>
      <c r="J900" s="139" t="s">
        <v>515</v>
      </c>
      <c r="K900" s="140">
        <v>30.24</v>
      </c>
      <c r="L900">
        <f>Table13[[#This Row],[Price]]*Table13[[#This Row],[Units]]</f>
        <v>1008</v>
      </c>
    </row>
    <row r="901" spans="1:12" x14ac:dyDescent="0.35">
      <c r="A901" s="134">
        <v>45697</v>
      </c>
      <c r="B901" s="135" t="s">
        <v>1405</v>
      </c>
      <c r="C901" s="136" t="s">
        <v>494</v>
      </c>
      <c r="D901" s="136" t="s">
        <v>519</v>
      </c>
      <c r="E901" s="136" t="s">
        <v>412</v>
      </c>
      <c r="F901" s="136" t="s">
        <v>510</v>
      </c>
      <c r="G901" s="136">
        <v>36</v>
      </c>
      <c r="H901" s="137">
        <v>38</v>
      </c>
      <c r="I901" s="138">
        <f t="shared" si="14"/>
        <v>1368</v>
      </c>
      <c r="J901" s="139" t="s">
        <v>472</v>
      </c>
      <c r="K901" s="140">
        <v>38.304000000000002</v>
      </c>
      <c r="L901">
        <f>Table13[[#This Row],[Price]]*Table13[[#This Row],[Units]]</f>
        <v>1368</v>
      </c>
    </row>
    <row r="902" spans="1:12" x14ac:dyDescent="0.35">
      <c r="A902" s="134">
        <v>45697</v>
      </c>
      <c r="B902" s="135" t="s">
        <v>1406</v>
      </c>
      <c r="C902" s="136" t="s">
        <v>476</v>
      </c>
      <c r="D902" s="136" t="s">
        <v>470</v>
      </c>
      <c r="E902" s="136" t="s">
        <v>315</v>
      </c>
      <c r="F902" s="136" t="s">
        <v>517</v>
      </c>
      <c r="G902" s="136">
        <v>31</v>
      </c>
      <c r="H902" s="137">
        <v>38</v>
      </c>
      <c r="I902" s="138">
        <f t="shared" si="14"/>
        <v>1178</v>
      </c>
      <c r="J902" s="139" t="s">
        <v>466</v>
      </c>
      <c r="K902" s="140">
        <v>35.340000000000003</v>
      </c>
      <c r="L902">
        <f>Table13[[#This Row],[Price]]*Table13[[#This Row],[Units]]</f>
        <v>1178</v>
      </c>
    </row>
    <row r="903" spans="1:12" x14ac:dyDescent="0.35">
      <c r="A903" s="134">
        <v>45697</v>
      </c>
      <c r="B903" s="135" t="s">
        <v>1407</v>
      </c>
      <c r="C903" s="136" t="s">
        <v>322</v>
      </c>
      <c r="D903" s="136" t="s">
        <v>465</v>
      </c>
      <c r="E903" s="136" t="s">
        <v>333</v>
      </c>
      <c r="F903" s="136" t="s">
        <v>500</v>
      </c>
      <c r="G903" s="136">
        <v>47</v>
      </c>
      <c r="H903" s="137">
        <v>46</v>
      </c>
      <c r="I903" s="138">
        <f t="shared" si="14"/>
        <v>2162</v>
      </c>
      <c r="J903" s="139" t="s">
        <v>466</v>
      </c>
      <c r="K903" s="140">
        <v>45.402000000000001</v>
      </c>
      <c r="L903">
        <f>Table13[[#This Row],[Price]]*Table13[[#This Row],[Units]]</f>
        <v>2162</v>
      </c>
    </row>
    <row r="904" spans="1:12" x14ac:dyDescent="0.35">
      <c r="A904" s="134">
        <v>45697</v>
      </c>
      <c r="B904" s="135" t="s">
        <v>1408</v>
      </c>
      <c r="C904" s="136" t="s">
        <v>464</v>
      </c>
      <c r="D904" s="136" t="s">
        <v>512</v>
      </c>
      <c r="E904" s="136" t="s">
        <v>315</v>
      </c>
      <c r="F904" s="136" t="s">
        <v>539</v>
      </c>
      <c r="G904" s="136">
        <v>48</v>
      </c>
      <c r="H904" s="137">
        <v>43</v>
      </c>
      <c r="I904" s="138">
        <f t="shared" si="14"/>
        <v>2064</v>
      </c>
      <c r="J904" s="139" t="s">
        <v>466</v>
      </c>
      <c r="K904" s="140">
        <v>55.728000000000002</v>
      </c>
      <c r="L904">
        <f>Table13[[#This Row],[Price]]*Table13[[#This Row],[Units]]</f>
        <v>2064</v>
      </c>
    </row>
    <row r="905" spans="1:12" x14ac:dyDescent="0.35">
      <c r="A905" s="134">
        <v>45697</v>
      </c>
      <c r="B905" s="135" t="s">
        <v>1409</v>
      </c>
      <c r="C905" s="136" t="s">
        <v>464</v>
      </c>
      <c r="D905" s="136" t="s">
        <v>512</v>
      </c>
      <c r="E905" s="136" t="s">
        <v>333</v>
      </c>
      <c r="F905" s="136" t="s">
        <v>539</v>
      </c>
      <c r="G905" s="136">
        <v>34</v>
      </c>
      <c r="H905" s="137">
        <v>43</v>
      </c>
      <c r="I905" s="138">
        <f t="shared" si="14"/>
        <v>1462</v>
      </c>
      <c r="J905" s="139" t="s">
        <v>466</v>
      </c>
      <c r="K905" s="140">
        <v>30.702000000000002</v>
      </c>
      <c r="L905">
        <f>Table13[[#This Row],[Price]]*Table13[[#This Row],[Units]]</f>
        <v>1462</v>
      </c>
    </row>
    <row r="906" spans="1:12" x14ac:dyDescent="0.35">
      <c r="A906" s="134">
        <v>45697</v>
      </c>
      <c r="B906" s="135" t="s">
        <v>1410</v>
      </c>
      <c r="C906" s="136" t="s">
        <v>494</v>
      </c>
      <c r="D906" s="136" t="s">
        <v>477</v>
      </c>
      <c r="E906" s="136" t="s">
        <v>324</v>
      </c>
      <c r="F906" s="136" t="s">
        <v>510</v>
      </c>
      <c r="G906" s="136">
        <v>17</v>
      </c>
      <c r="H906" s="137">
        <v>23</v>
      </c>
      <c r="I906" s="138">
        <f t="shared" si="14"/>
        <v>391</v>
      </c>
      <c r="J906" s="139" t="s">
        <v>515</v>
      </c>
      <c r="K906" s="140">
        <v>11.73</v>
      </c>
      <c r="L906">
        <f>Table13[[#This Row],[Price]]*Table13[[#This Row],[Units]]</f>
        <v>391</v>
      </c>
    </row>
    <row r="907" spans="1:12" x14ac:dyDescent="0.35">
      <c r="A907" s="134">
        <v>45697</v>
      </c>
      <c r="B907" s="135" t="s">
        <v>1411</v>
      </c>
      <c r="C907" s="136" t="s">
        <v>464</v>
      </c>
      <c r="D907" s="136" t="s">
        <v>486</v>
      </c>
      <c r="E907" s="136" t="s">
        <v>483</v>
      </c>
      <c r="F907" s="136" t="s">
        <v>471</v>
      </c>
      <c r="G907" s="136">
        <v>18</v>
      </c>
      <c r="H907" s="137">
        <v>46</v>
      </c>
      <c r="I907" s="138">
        <f t="shared" si="14"/>
        <v>828</v>
      </c>
      <c r="J907" s="139" t="s">
        <v>466</v>
      </c>
      <c r="K907" s="140">
        <v>21.527999999999999</v>
      </c>
      <c r="L907">
        <f>Table13[[#This Row],[Price]]*Table13[[#This Row],[Units]]</f>
        <v>828</v>
      </c>
    </row>
    <row r="908" spans="1:12" x14ac:dyDescent="0.35">
      <c r="A908" s="134">
        <v>45697</v>
      </c>
      <c r="B908" s="135" t="s">
        <v>1412</v>
      </c>
      <c r="C908" s="136" t="s">
        <v>476</v>
      </c>
      <c r="D908" s="136" t="s">
        <v>512</v>
      </c>
      <c r="E908" s="136" t="s">
        <v>315</v>
      </c>
      <c r="F908" s="136" t="s">
        <v>528</v>
      </c>
      <c r="G908" s="136">
        <v>19</v>
      </c>
      <c r="H908" s="137">
        <v>23</v>
      </c>
      <c r="I908" s="138">
        <f t="shared" si="14"/>
        <v>437</v>
      </c>
      <c r="J908" s="139" t="s">
        <v>472</v>
      </c>
      <c r="K908" s="140">
        <v>9.1769999999999996</v>
      </c>
      <c r="L908">
        <f>Table13[[#This Row],[Price]]*Table13[[#This Row],[Units]]</f>
        <v>437</v>
      </c>
    </row>
    <row r="909" spans="1:12" x14ac:dyDescent="0.35">
      <c r="A909" s="134">
        <v>45698</v>
      </c>
      <c r="B909" s="135" t="s">
        <v>1413</v>
      </c>
      <c r="C909" s="136" t="s">
        <v>322</v>
      </c>
      <c r="D909" s="136" t="s">
        <v>470</v>
      </c>
      <c r="E909" s="136" t="s">
        <v>315</v>
      </c>
      <c r="F909" s="136" t="s">
        <v>505</v>
      </c>
      <c r="G909" s="136">
        <v>33</v>
      </c>
      <c r="H909" s="137">
        <v>59</v>
      </c>
      <c r="I909" s="138">
        <f t="shared" si="14"/>
        <v>1947</v>
      </c>
      <c r="J909" s="139" t="s">
        <v>472</v>
      </c>
      <c r="K909" s="140">
        <v>46.728000000000002</v>
      </c>
      <c r="L909">
        <f>Table13[[#This Row],[Price]]*Table13[[#This Row],[Units]]</f>
        <v>1947</v>
      </c>
    </row>
    <row r="910" spans="1:12" x14ac:dyDescent="0.35">
      <c r="A910" s="134">
        <v>45699</v>
      </c>
      <c r="B910" s="135" t="s">
        <v>1414</v>
      </c>
      <c r="C910" s="136" t="s">
        <v>489</v>
      </c>
      <c r="D910" s="136" t="s">
        <v>519</v>
      </c>
      <c r="E910" s="136" t="s">
        <v>483</v>
      </c>
      <c r="F910" s="136" t="s">
        <v>517</v>
      </c>
      <c r="G910" s="136">
        <v>15</v>
      </c>
      <c r="H910" s="137">
        <v>56</v>
      </c>
      <c r="I910" s="138">
        <f t="shared" si="14"/>
        <v>840</v>
      </c>
      <c r="J910" s="139" t="s">
        <v>515</v>
      </c>
      <c r="K910" s="140">
        <v>22.68</v>
      </c>
      <c r="L910">
        <f>Table13[[#This Row],[Price]]*Table13[[#This Row],[Units]]</f>
        <v>840</v>
      </c>
    </row>
    <row r="911" spans="1:12" x14ac:dyDescent="0.35">
      <c r="A911" s="134">
        <v>45699</v>
      </c>
      <c r="B911" s="135" t="s">
        <v>1415</v>
      </c>
      <c r="C911" s="136" t="s">
        <v>322</v>
      </c>
      <c r="D911" s="136" t="s">
        <v>519</v>
      </c>
      <c r="E911" s="136" t="s">
        <v>483</v>
      </c>
      <c r="F911" s="136" t="s">
        <v>528</v>
      </c>
      <c r="G911" s="136">
        <v>60</v>
      </c>
      <c r="H911" s="137">
        <v>58</v>
      </c>
      <c r="I911" s="138">
        <f t="shared" si="14"/>
        <v>3480</v>
      </c>
      <c r="J911" s="139" t="s">
        <v>472</v>
      </c>
      <c r="K911" s="140">
        <v>83.52</v>
      </c>
      <c r="L911">
        <f>Table13[[#This Row],[Price]]*Table13[[#This Row],[Units]]</f>
        <v>3480</v>
      </c>
    </row>
    <row r="912" spans="1:12" x14ac:dyDescent="0.35">
      <c r="A912" s="134">
        <v>45699</v>
      </c>
      <c r="B912" s="135" t="s">
        <v>1416</v>
      </c>
      <c r="C912" s="136" t="s">
        <v>484</v>
      </c>
      <c r="D912" s="136" t="s">
        <v>512</v>
      </c>
      <c r="E912" s="136" t="s">
        <v>315</v>
      </c>
      <c r="F912" s="136" t="s">
        <v>471</v>
      </c>
      <c r="G912" s="136">
        <v>57</v>
      </c>
      <c r="H912" s="137">
        <v>40</v>
      </c>
      <c r="I912" s="138">
        <f t="shared" si="14"/>
        <v>2280</v>
      </c>
      <c r="J912" s="139" t="s">
        <v>466</v>
      </c>
      <c r="K912" s="140">
        <v>45.6</v>
      </c>
      <c r="L912">
        <f>Table13[[#This Row],[Price]]*Table13[[#This Row],[Units]]</f>
        <v>2280</v>
      </c>
    </row>
    <row r="913" spans="1:12" x14ac:dyDescent="0.35">
      <c r="A913" s="134">
        <v>45699</v>
      </c>
      <c r="B913" s="135" t="s">
        <v>1417</v>
      </c>
      <c r="C913" s="136" t="s">
        <v>476</v>
      </c>
      <c r="D913" s="136" t="s">
        <v>477</v>
      </c>
      <c r="E913" s="136" t="s">
        <v>324</v>
      </c>
      <c r="F913" s="136" t="s">
        <v>536</v>
      </c>
      <c r="G913" s="136">
        <v>14</v>
      </c>
      <c r="H913" s="137">
        <v>23</v>
      </c>
      <c r="I913" s="138">
        <f t="shared" si="14"/>
        <v>322</v>
      </c>
      <c r="J913" s="139" t="s">
        <v>515</v>
      </c>
      <c r="K913" s="140">
        <v>8.3719999999999999</v>
      </c>
      <c r="L913">
        <f>Table13[[#This Row],[Price]]*Table13[[#This Row],[Units]]</f>
        <v>322</v>
      </c>
    </row>
    <row r="914" spans="1:12" x14ac:dyDescent="0.35">
      <c r="A914" s="134">
        <v>45699</v>
      </c>
      <c r="B914" s="135" t="s">
        <v>1418</v>
      </c>
      <c r="C914" s="136" t="s">
        <v>489</v>
      </c>
      <c r="D914" s="136" t="s">
        <v>512</v>
      </c>
      <c r="E914" s="136" t="s">
        <v>320</v>
      </c>
      <c r="F914" s="136" t="s">
        <v>505</v>
      </c>
      <c r="G914" s="136">
        <v>51</v>
      </c>
      <c r="H914" s="137">
        <v>42</v>
      </c>
      <c r="I914" s="138">
        <f t="shared" si="14"/>
        <v>2142</v>
      </c>
      <c r="J914" s="139" t="s">
        <v>472</v>
      </c>
      <c r="K914" s="140">
        <v>62.118000000000002</v>
      </c>
      <c r="L914">
        <f>Table13[[#This Row],[Price]]*Table13[[#This Row],[Units]]</f>
        <v>2142</v>
      </c>
    </row>
    <row r="915" spans="1:12" x14ac:dyDescent="0.35">
      <c r="A915" s="134">
        <v>45699</v>
      </c>
      <c r="B915" s="135" t="s">
        <v>1419</v>
      </c>
      <c r="C915" s="136" t="s">
        <v>492</v>
      </c>
      <c r="D915" s="136" t="s">
        <v>470</v>
      </c>
      <c r="E915" s="136" t="s">
        <v>333</v>
      </c>
      <c r="F915" s="136" t="s">
        <v>510</v>
      </c>
      <c r="G915" s="136">
        <v>58</v>
      </c>
      <c r="H915" s="137">
        <v>31</v>
      </c>
      <c r="I915" s="138">
        <f t="shared" si="14"/>
        <v>1798</v>
      </c>
      <c r="J915" s="139" t="s">
        <v>472</v>
      </c>
      <c r="K915" s="140">
        <v>44.95</v>
      </c>
      <c r="L915">
        <f>Table13[[#This Row],[Price]]*Table13[[#This Row],[Units]]</f>
        <v>1798</v>
      </c>
    </row>
    <row r="916" spans="1:12" x14ac:dyDescent="0.35">
      <c r="A916" s="134">
        <v>45699</v>
      </c>
      <c r="B916" s="135" t="s">
        <v>1420</v>
      </c>
      <c r="C916" s="136" t="s">
        <v>464</v>
      </c>
      <c r="D916" s="136" t="s">
        <v>490</v>
      </c>
      <c r="E916" s="136" t="s">
        <v>320</v>
      </c>
      <c r="F916" s="136" t="s">
        <v>513</v>
      </c>
      <c r="G916" s="136">
        <v>18</v>
      </c>
      <c r="H916" s="137">
        <v>51</v>
      </c>
      <c r="I916" s="138">
        <f t="shared" si="14"/>
        <v>918</v>
      </c>
      <c r="J916" s="139" t="s">
        <v>466</v>
      </c>
      <c r="K916" s="140">
        <v>21.114000000000001</v>
      </c>
      <c r="L916">
        <f>Table13[[#This Row],[Price]]*Table13[[#This Row],[Units]]</f>
        <v>918</v>
      </c>
    </row>
    <row r="917" spans="1:12" x14ac:dyDescent="0.35">
      <c r="A917" s="134">
        <v>45699</v>
      </c>
      <c r="B917" s="135" t="s">
        <v>1421</v>
      </c>
      <c r="C917" s="136" t="s">
        <v>492</v>
      </c>
      <c r="D917" s="136" t="s">
        <v>470</v>
      </c>
      <c r="E917" s="136" t="s">
        <v>333</v>
      </c>
      <c r="F917" s="136" t="s">
        <v>454</v>
      </c>
      <c r="G917" s="136">
        <v>40</v>
      </c>
      <c r="H917" s="137">
        <v>47</v>
      </c>
      <c r="I917" s="138">
        <f t="shared" si="14"/>
        <v>1880</v>
      </c>
      <c r="J917" s="139" t="s">
        <v>515</v>
      </c>
      <c r="K917" s="140">
        <v>39.479999999999997</v>
      </c>
      <c r="L917">
        <f>Table13[[#This Row],[Price]]*Table13[[#This Row],[Units]]</f>
        <v>1880</v>
      </c>
    </row>
    <row r="918" spans="1:12" x14ac:dyDescent="0.35">
      <c r="A918" s="134">
        <v>45699</v>
      </c>
      <c r="B918" s="135" t="s">
        <v>1422</v>
      </c>
      <c r="C918" s="136" t="s">
        <v>494</v>
      </c>
      <c r="D918" s="136" t="s">
        <v>519</v>
      </c>
      <c r="E918" s="136" t="s">
        <v>412</v>
      </c>
      <c r="F918" s="136" t="s">
        <v>520</v>
      </c>
      <c r="G918" s="136">
        <v>54</v>
      </c>
      <c r="H918" s="137">
        <v>59</v>
      </c>
      <c r="I918" s="138">
        <f t="shared" si="14"/>
        <v>3186</v>
      </c>
      <c r="J918" s="139" t="s">
        <v>466</v>
      </c>
      <c r="K918" s="140">
        <v>82.835999999999999</v>
      </c>
      <c r="L918">
        <f>Table13[[#This Row],[Price]]*Table13[[#This Row],[Units]]</f>
        <v>3186</v>
      </c>
    </row>
    <row r="919" spans="1:12" x14ac:dyDescent="0.35">
      <c r="A919" s="134">
        <v>45700</v>
      </c>
      <c r="B919" s="135" t="s">
        <v>1423</v>
      </c>
      <c r="C919" s="136" t="s">
        <v>501</v>
      </c>
      <c r="D919" s="136" t="s">
        <v>512</v>
      </c>
      <c r="E919" s="136" t="s">
        <v>390</v>
      </c>
      <c r="F919" s="136" t="s">
        <v>520</v>
      </c>
      <c r="G919" s="136">
        <v>17</v>
      </c>
      <c r="H919" s="137">
        <v>34</v>
      </c>
      <c r="I919" s="138">
        <f t="shared" si="14"/>
        <v>578</v>
      </c>
      <c r="J919" s="139" t="s">
        <v>466</v>
      </c>
      <c r="K919" s="140">
        <v>16.762</v>
      </c>
      <c r="L919">
        <f>Table13[[#This Row],[Price]]*Table13[[#This Row],[Units]]</f>
        <v>578</v>
      </c>
    </row>
    <row r="920" spans="1:12" x14ac:dyDescent="0.35">
      <c r="A920" s="134">
        <v>45700</v>
      </c>
      <c r="B920" s="135" t="s">
        <v>1424</v>
      </c>
      <c r="C920" s="136" t="s">
        <v>494</v>
      </c>
      <c r="D920" s="136" t="s">
        <v>470</v>
      </c>
      <c r="E920" s="136" t="s">
        <v>324</v>
      </c>
      <c r="F920" s="136" t="s">
        <v>505</v>
      </c>
      <c r="G920" s="136">
        <v>24</v>
      </c>
      <c r="H920" s="137">
        <v>33</v>
      </c>
      <c r="I920" s="138">
        <f t="shared" si="14"/>
        <v>792</v>
      </c>
      <c r="J920" s="139" t="s">
        <v>472</v>
      </c>
      <c r="K920" s="140">
        <v>18.216000000000001</v>
      </c>
      <c r="L920">
        <f>Table13[[#This Row],[Price]]*Table13[[#This Row],[Units]]</f>
        <v>792</v>
      </c>
    </row>
    <row r="921" spans="1:12" x14ac:dyDescent="0.35">
      <c r="A921" s="134">
        <v>45700</v>
      </c>
      <c r="B921" s="135" t="s">
        <v>1425</v>
      </c>
      <c r="C921" s="136" t="s">
        <v>492</v>
      </c>
      <c r="D921" s="136" t="s">
        <v>490</v>
      </c>
      <c r="E921" s="136" t="s">
        <v>315</v>
      </c>
      <c r="F921" s="136" t="s">
        <v>487</v>
      </c>
      <c r="G921" s="136">
        <v>38</v>
      </c>
      <c r="H921" s="137">
        <v>59</v>
      </c>
      <c r="I921" s="138">
        <f t="shared" si="14"/>
        <v>2242</v>
      </c>
      <c r="J921" s="139" t="s">
        <v>472</v>
      </c>
      <c r="K921" s="140">
        <v>47.082000000000001</v>
      </c>
      <c r="L921">
        <f>Table13[[#This Row],[Price]]*Table13[[#This Row],[Units]]</f>
        <v>2242</v>
      </c>
    </row>
    <row r="922" spans="1:12" x14ac:dyDescent="0.35">
      <c r="A922" s="134">
        <v>45700</v>
      </c>
      <c r="B922" s="135" t="s">
        <v>1426</v>
      </c>
      <c r="C922" s="136" t="s">
        <v>494</v>
      </c>
      <c r="D922" s="136" t="s">
        <v>486</v>
      </c>
      <c r="E922" s="136" t="s">
        <v>324</v>
      </c>
      <c r="F922" s="136" t="s">
        <v>520</v>
      </c>
      <c r="G922" s="136">
        <v>18</v>
      </c>
      <c r="H922" s="137">
        <v>50</v>
      </c>
      <c r="I922" s="138">
        <f t="shared" si="14"/>
        <v>900</v>
      </c>
      <c r="J922" s="139" t="s">
        <v>515</v>
      </c>
      <c r="K922" s="140">
        <v>20.7</v>
      </c>
      <c r="L922">
        <f>Table13[[#This Row],[Price]]*Table13[[#This Row],[Units]]</f>
        <v>900</v>
      </c>
    </row>
    <row r="923" spans="1:12" x14ac:dyDescent="0.35">
      <c r="A923" s="134">
        <v>45700</v>
      </c>
      <c r="B923" s="135" t="s">
        <v>1427</v>
      </c>
      <c r="C923" s="136" t="s">
        <v>322</v>
      </c>
      <c r="D923" s="136" t="s">
        <v>486</v>
      </c>
      <c r="E923" s="136" t="s">
        <v>483</v>
      </c>
      <c r="F923" s="136" t="s">
        <v>454</v>
      </c>
      <c r="G923" s="136">
        <v>52</v>
      </c>
      <c r="H923" s="137">
        <v>55</v>
      </c>
      <c r="I923" s="138">
        <f t="shared" si="14"/>
        <v>2860</v>
      </c>
      <c r="J923" s="139" t="s">
        <v>515</v>
      </c>
      <c r="K923" s="140">
        <v>60.06</v>
      </c>
      <c r="L923">
        <f>Table13[[#This Row],[Price]]*Table13[[#This Row],[Units]]</f>
        <v>2860</v>
      </c>
    </row>
    <row r="924" spans="1:12" x14ac:dyDescent="0.35">
      <c r="A924" s="134">
        <v>45700</v>
      </c>
      <c r="B924" s="135" t="s">
        <v>1428</v>
      </c>
      <c r="C924" s="136" t="s">
        <v>476</v>
      </c>
      <c r="D924" s="136" t="s">
        <v>470</v>
      </c>
      <c r="E924" s="136" t="s">
        <v>315</v>
      </c>
      <c r="F924" s="136" t="s">
        <v>523</v>
      </c>
      <c r="G924" s="136">
        <v>25</v>
      </c>
      <c r="H924" s="137">
        <v>50</v>
      </c>
      <c r="I924" s="138">
        <f t="shared" si="14"/>
        <v>1250</v>
      </c>
      <c r="J924" s="139" t="s">
        <v>503</v>
      </c>
      <c r="K924" s="140">
        <v>28.75</v>
      </c>
      <c r="L924">
        <f>Table13[[#This Row],[Price]]*Table13[[#This Row],[Units]]</f>
        <v>1250</v>
      </c>
    </row>
    <row r="925" spans="1:12" x14ac:dyDescent="0.35">
      <c r="A925" s="134">
        <v>45700</v>
      </c>
      <c r="B925" s="135" t="s">
        <v>1429</v>
      </c>
      <c r="C925" s="136" t="s">
        <v>494</v>
      </c>
      <c r="D925" s="136" t="s">
        <v>519</v>
      </c>
      <c r="E925" s="136" t="s">
        <v>333</v>
      </c>
      <c r="F925" s="136" t="s">
        <v>454</v>
      </c>
      <c r="G925" s="136">
        <v>20</v>
      </c>
      <c r="H925" s="137">
        <v>21</v>
      </c>
      <c r="I925" s="138">
        <f t="shared" si="14"/>
        <v>420</v>
      </c>
      <c r="J925" s="139" t="s">
        <v>503</v>
      </c>
      <c r="K925" s="140">
        <v>8.82</v>
      </c>
      <c r="L925">
        <f>Table13[[#This Row],[Price]]*Table13[[#This Row],[Units]]</f>
        <v>420</v>
      </c>
    </row>
    <row r="926" spans="1:12" x14ac:dyDescent="0.35">
      <c r="A926" s="134">
        <v>45701</v>
      </c>
      <c r="B926" s="135" t="s">
        <v>1430</v>
      </c>
      <c r="C926" s="136" t="s">
        <v>489</v>
      </c>
      <c r="D926" s="136" t="s">
        <v>477</v>
      </c>
      <c r="E926" s="136" t="s">
        <v>320</v>
      </c>
      <c r="F926" s="136" t="s">
        <v>523</v>
      </c>
      <c r="G926" s="136">
        <v>12</v>
      </c>
      <c r="H926" s="137">
        <v>35</v>
      </c>
      <c r="I926" s="138">
        <f t="shared" si="14"/>
        <v>420</v>
      </c>
      <c r="J926" s="139" t="s">
        <v>472</v>
      </c>
      <c r="K926" s="140">
        <v>8.82</v>
      </c>
      <c r="L926">
        <f>Table13[[#This Row],[Price]]*Table13[[#This Row],[Units]]</f>
        <v>420</v>
      </c>
    </row>
    <row r="927" spans="1:12" x14ac:dyDescent="0.35">
      <c r="A927" s="134">
        <v>45701</v>
      </c>
      <c r="B927" s="135" t="s">
        <v>1431</v>
      </c>
      <c r="C927" s="136" t="s">
        <v>322</v>
      </c>
      <c r="D927" s="136" t="s">
        <v>490</v>
      </c>
      <c r="E927" s="136" t="s">
        <v>315</v>
      </c>
      <c r="F927" s="136" t="s">
        <v>454</v>
      </c>
      <c r="G927" s="136">
        <v>20</v>
      </c>
      <c r="H927" s="137">
        <v>30</v>
      </c>
      <c r="I927" s="138">
        <f t="shared" si="14"/>
        <v>600</v>
      </c>
      <c r="J927" s="139" t="s">
        <v>503</v>
      </c>
      <c r="K927" s="140">
        <v>14.4</v>
      </c>
      <c r="L927">
        <f>Table13[[#This Row],[Price]]*Table13[[#This Row],[Units]]</f>
        <v>600</v>
      </c>
    </row>
    <row r="928" spans="1:12" x14ac:dyDescent="0.35">
      <c r="A928" s="134">
        <v>45701</v>
      </c>
      <c r="B928" s="135" t="s">
        <v>1432</v>
      </c>
      <c r="C928" s="136" t="s">
        <v>489</v>
      </c>
      <c r="D928" s="136" t="s">
        <v>477</v>
      </c>
      <c r="E928" s="136" t="s">
        <v>483</v>
      </c>
      <c r="F928" s="136" t="s">
        <v>478</v>
      </c>
      <c r="G928" s="136">
        <v>41</v>
      </c>
      <c r="H928" s="137">
        <v>26</v>
      </c>
      <c r="I928" s="138">
        <f t="shared" si="14"/>
        <v>1066</v>
      </c>
      <c r="J928" s="139" t="s">
        <v>515</v>
      </c>
      <c r="K928" s="140">
        <v>27.716000000000001</v>
      </c>
      <c r="L928">
        <f>Table13[[#This Row],[Price]]*Table13[[#This Row],[Units]]</f>
        <v>1066</v>
      </c>
    </row>
    <row r="929" spans="1:12" x14ac:dyDescent="0.35">
      <c r="A929" s="134">
        <v>45701</v>
      </c>
      <c r="B929" s="135" t="s">
        <v>1433</v>
      </c>
      <c r="C929" s="136" t="s">
        <v>484</v>
      </c>
      <c r="D929" s="136" t="s">
        <v>470</v>
      </c>
      <c r="E929" s="136" t="s">
        <v>412</v>
      </c>
      <c r="F929" s="136" t="s">
        <v>454</v>
      </c>
      <c r="G929" s="136">
        <v>49</v>
      </c>
      <c r="H929" s="137">
        <v>45</v>
      </c>
      <c r="I929" s="138">
        <f t="shared" si="14"/>
        <v>2205</v>
      </c>
      <c r="J929" s="139" t="s">
        <v>466</v>
      </c>
      <c r="K929" s="140">
        <v>52.92</v>
      </c>
      <c r="L929">
        <f>Table13[[#This Row],[Price]]*Table13[[#This Row],[Units]]</f>
        <v>2205</v>
      </c>
    </row>
    <row r="930" spans="1:12" x14ac:dyDescent="0.35">
      <c r="A930" s="134">
        <v>45701</v>
      </c>
      <c r="B930" s="135" t="s">
        <v>1434</v>
      </c>
      <c r="C930" s="136" t="s">
        <v>469</v>
      </c>
      <c r="D930" s="136" t="s">
        <v>490</v>
      </c>
      <c r="E930" s="136" t="s">
        <v>315</v>
      </c>
      <c r="F930" s="136" t="s">
        <v>523</v>
      </c>
      <c r="G930" s="136">
        <v>11</v>
      </c>
      <c r="H930" s="137">
        <v>24</v>
      </c>
      <c r="I930" s="138">
        <f t="shared" si="14"/>
        <v>264</v>
      </c>
      <c r="J930" s="139" t="s">
        <v>515</v>
      </c>
      <c r="K930" s="140">
        <v>6.8639999999999999</v>
      </c>
      <c r="L930">
        <f>Table13[[#This Row],[Price]]*Table13[[#This Row],[Units]]</f>
        <v>264</v>
      </c>
    </row>
    <row r="931" spans="1:12" x14ac:dyDescent="0.35">
      <c r="A931" s="134">
        <v>45701</v>
      </c>
      <c r="B931" s="135" t="s">
        <v>1435</v>
      </c>
      <c r="C931" s="136" t="s">
        <v>464</v>
      </c>
      <c r="D931" s="136" t="s">
        <v>470</v>
      </c>
      <c r="E931" s="136" t="s">
        <v>320</v>
      </c>
      <c r="F931" s="136" t="s">
        <v>539</v>
      </c>
      <c r="G931" s="136">
        <v>49</v>
      </c>
      <c r="H931" s="137">
        <v>53</v>
      </c>
      <c r="I931" s="138">
        <f t="shared" si="14"/>
        <v>2597</v>
      </c>
      <c r="J931" s="139" t="s">
        <v>466</v>
      </c>
      <c r="K931" s="140">
        <v>54.536999999999999</v>
      </c>
      <c r="L931">
        <f>Table13[[#This Row],[Price]]*Table13[[#This Row],[Units]]</f>
        <v>2597</v>
      </c>
    </row>
    <row r="932" spans="1:12" x14ac:dyDescent="0.35">
      <c r="A932" s="134">
        <v>45701</v>
      </c>
      <c r="B932" s="135" t="s">
        <v>1436</v>
      </c>
      <c r="C932" s="136" t="s">
        <v>494</v>
      </c>
      <c r="D932" s="136" t="s">
        <v>470</v>
      </c>
      <c r="E932" s="136" t="s">
        <v>315</v>
      </c>
      <c r="F932" s="136" t="s">
        <v>536</v>
      </c>
      <c r="G932" s="136">
        <v>10</v>
      </c>
      <c r="H932" s="137">
        <v>36</v>
      </c>
      <c r="I932" s="138">
        <f t="shared" si="14"/>
        <v>360</v>
      </c>
      <c r="J932" s="139" t="s">
        <v>466</v>
      </c>
      <c r="K932" s="140">
        <v>8.64</v>
      </c>
      <c r="L932">
        <f>Table13[[#This Row],[Price]]*Table13[[#This Row],[Units]]</f>
        <v>360</v>
      </c>
    </row>
    <row r="933" spans="1:12" x14ac:dyDescent="0.35">
      <c r="A933" s="134">
        <v>45701</v>
      </c>
      <c r="B933" s="135" t="s">
        <v>1437</v>
      </c>
      <c r="C933" s="136" t="s">
        <v>469</v>
      </c>
      <c r="D933" s="136" t="s">
        <v>486</v>
      </c>
      <c r="E933" s="136" t="s">
        <v>333</v>
      </c>
      <c r="F933" s="136" t="s">
        <v>510</v>
      </c>
      <c r="G933" s="136">
        <v>17</v>
      </c>
      <c r="H933" s="137">
        <v>20</v>
      </c>
      <c r="I933" s="138">
        <f t="shared" si="14"/>
        <v>340</v>
      </c>
      <c r="J933" s="139" t="s">
        <v>472</v>
      </c>
      <c r="K933" s="140">
        <v>7.14</v>
      </c>
      <c r="L933">
        <f>Table13[[#This Row],[Price]]*Table13[[#This Row],[Units]]</f>
        <v>340</v>
      </c>
    </row>
    <row r="934" spans="1:12" x14ac:dyDescent="0.35">
      <c r="A934" s="134">
        <v>45701</v>
      </c>
      <c r="B934" s="135" t="s">
        <v>1438</v>
      </c>
      <c r="C934" s="136" t="s">
        <v>494</v>
      </c>
      <c r="D934" s="136" t="s">
        <v>470</v>
      </c>
      <c r="E934" s="136" t="s">
        <v>390</v>
      </c>
      <c r="F934" s="136" t="s">
        <v>567</v>
      </c>
      <c r="G934" s="136">
        <v>54</v>
      </c>
      <c r="H934" s="137">
        <v>59</v>
      </c>
      <c r="I934" s="138">
        <f t="shared" si="14"/>
        <v>3186</v>
      </c>
      <c r="J934" s="139" t="s">
        <v>472</v>
      </c>
      <c r="K934" s="140">
        <v>63.72</v>
      </c>
      <c r="L934">
        <f>Table13[[#This Row],[Price]]*Table13[[#This Row],[Units]]</f>
        <v>3186</v>
      </c>
    </row>
    <row r="935" spans="1:12" x14ac:dyDescent="0.35">
      <c r="A935" s="134">
        <v>45701</v>
      </c>
      <c r="B935" s="135" t="s">
        <v>1439</v>
      </c>
      <c r="C935" s="136" t="s">
        <v>489</v>
      </c>
      <c r="D935" s="136" t="s">
        <v>512</v>
      </c>
      <c r="E935" s="136" t="s">
        <v>333</v>
      </c>
      <c r="F935" s="136" t="s">
        <v>510</v>
      </c>
      <c r="G935" s="136">
        <v>44</v>
      </c>
      <c r="H935" s="137">
        <v>25</v>
      </c>
      <c r="I935" s="138">
        <f t="shared" si="14"/>
        <v>1100</v>
      </c>
      <c r="J935" s="139" t="s">
        <v>466</v>
      </c>
      <c r="K935" s="140">
        <v>33</v>
      </c>
      <c r="L935">
        <f>Table13[[#This Row],[Price]]*Table13[[#This Row],[Units]]</f>
        <v>1100</v>
      </c>
    </row>
    <row r="936" spans="1:12" x14ac:dyDescent="0.35">
      <c r="A936" s="134">
        <v>45701</v>
      </c>
      <c r="B936" s="135" t="s">
        <v>1440</v>
      </c>
      <c r="C936" s="136" t="s">
        <v>501</v>
      </c>
      <c r="D936" s="136" t="s">
        <v>519</v>
      </c>
      <c r="E936" s="136" t="s">
        <v>315</v>
      </c>
      <c r="F936" s="136" t="s">
        <v>510</v>
      </c>
      <c r="G936" s="136">
        <v>49</v>
      </c>
      <c r="H936" s="137">
        <v>32</v>
      </c>
      <c r="I936" s="138">
        <f t="shared" si="14"/>
        <v>1568</v>
      </c>
      <c r="J936" s="139" t="s">
        <v>503</v>
      </c>
      <c r="K936" s="140">
        <v>45.472000000000001</v>
      </c>
      <c r="L936">
        <f>Table13[[#This Row],[Price]]*Table13[[#This Row],[Units]]</f>
        <v>1568</v>
      </c>
    </row>
    <row r="937" spans="1:12" x14ac:dyDescent="0.35">
      <c r="A937" s="134">
        <v>45701</v>
      </c>
      <c r="B937" s="135" t="s">
        <v>1441</v>
      </c>
      <c r="C937" s="136" t="s">
        <v>322</v>
      </c>
      <c r="D937" s="136" t="s">
        <v>470</v>
      </c>
      <c r="E937" s="136" t="s">
        <v>483</v>
      </c>
      <c r="F937" s="136" t="s">
        <v>513</v>
      </c>
      <c r="G937" s="136">
        <v>12</v>
      </c>
      <c r="H937" s="137">
        <v>27</v>
      </c>
      <c r="I937" s="138">
        <f t="shared" si="14"/>
        <v>324</v>
      </c>
      <c r="J937" s="139" t="s">
        <v>466</v>
      </c>
      <c r="K937" s="140">
        <v>9.3960000000000008</v>
      </c>
      <c r="L937">
        <f>Table13[[#This Row],[Price]]*Table13[[#This Row],[Units]]</f>
        <v>324</v>
      </c>
    </row>
    <row r="938" spans="1:12" x14ac:dyDescent="0.35">
      <c r="A938" s="134">
        <v>45702</v>
      </c>
      <c r="B938" s="135" t="s">
        <v>1442</v>
      </c>
      <c r="C938" s="136" t="s">
        <v>489</v>
      </c>
      <c r="D938" s="136" t="s">
        <v>470</v>
      </c>
      <c r="E938" s="136" t="s">
        <v>412</v>
      </c>
      <c r="F938" s="136" t="s">
        <v>513</v>
      </c>
      <c r="G938" s="136">
        <v>52</v>
      </c>
      <c r="H938" s="137">
        <v>25</v>
      </c>
      <c r="I938" s="138">
        <f t="shared" si="14"/>
        <v>1300</v>
      </c>
      <c r="J938" s="139" t="s">
        <v>515</v>
      </c>
      <c r="K938" s="140">
        <v>35.1</v>
      </c>
      <c r="L938">
        <f>Table13[[#This Row],[Price]]*Table13[[#This Row],[Units]]</f>
        <v>1300</v>
      </c>
    </row>
    <row r="939" spans="1:12" x14ac:dyDescent="0.35">
      <c r="A939" s="134">
        <v>45702</v>
      </c>
      <c r="B939" s="135" t="s">
        <v>1443</v>
      </c>
      <c r="C939" s="136" t="s">
        <v>489</v>
      </c>
      <c r="D939" s="136" t="s">
        <v>470</v>
      </c>
      <c r="E939" s="136" t="s">
        <v>324</v>
      </c>
      <c r="F939" s="136" t="s">
        <v>517</v>
      </c>
      <c r="G939" s="136">
        <v>19</v>
      </c>
      <c r="H939" s="137">
        <v>46</v>
      </c>
      <c r="I939" s="138">
        <f t="shared" si="14"/>
        <v>874</v>
      </c>
      <c r="J939" s="139" t="s">
        <v>466</v>
      </c>
      <c r="K939" s="140">
        <v>18.353999999999999</v>
      </c>
      <c r="L939">
        <f>Table13[[#This Row],[Price]]*Table13[[#This Row],[Units]]</f>
        <v>874</v>
      </c>
    </row>
    <row r="940" spans="1:12" x14ac:dyDescent="0.35">
      <c r="A940" s="134">
        <v>45702</v>
      </c>
      <c r="B940" s="135" t="s">
        <v>1444</v>
      </c>
      <c r="C940" s="136" t="s">
        <v>322</v>
      </c>
      <c r="D940" s="136" t="s">
        <v>490</v>
      </c>
      <c r="E940" s="136" t="s">
        <v>333</v>
      </c>
      <c r="F940" s="136" t="s">
        <v>513</v>
      </c>
      <c r="G940" s="136">
        <v>37</v>
      </c>
      <c r="H940" s="137">
        <v>24</v>
      </c>
      <c r="I940" s="138">
        <f t="shared" si="14"/>
        <v>888</v>
      </c>
      <c r="J940" s="139" t="s">
        <v>472</v>
      </c>
      <c r="K940" s="140">
        <v>23.088000000000001</v>
      </c>
      <c r="L940">
        <f>Table13[[#This Row],[Price]]*Table13[[#This Row],[Units]]</f>
        <v>888</v>
      </c>
    </row>
    <row r="941" spans="1:12" x14ac:dyDescent="0.35">
      <c r="A941" s="134">
        <v>45702</v>
      </c>
      <c r="B941" s="135" t="s">
        <v>1445</v>
      </c>
      <c r="C941" s="136" t="s">
        <v>322</v>
      </c>
      <c r="D941" s="136" t="s">
        <v>477</v>
      </c>
      <c r="E941" s="136" t="s">
        <v>390</v>
      </c>
      <c r="F941" s="136" t="s">
        <v>536</v>
      </c>
      <c r="G941" s="136">
        <v>13</v>
      </c>
      <c r="H941" s="137">
        <v>21</v>
      </c>
      <c r="I941" s="138">
        <f t="shared" si="14"/>
        <v>273</v>
      </c>
      <c r="J941" s="139" t="s">
        <v>472</v>
      </c>
      <c r="K941" s="140">
        <v>7.9169999999999998</v>
      </c>
      <c r="L941">
        <f>Table13[[#This Row],[Price]]*Table13[[#This Row],[Units]]</f>
        <v>273</v>
      </c>
    </row>
    <row r="942" spans="1:12" x14ac:dyDescent="0.35">
      <c r="A942" s="134">
        <v>45702</v>
      </c>
      <c r="B942" s="135" t="s">
        <v>1446</v>
      </c>
      <c r="C942" s="136" t="s">
        <v>484</v>
      </c>
      <c r="D942" s="136" t="s">
        <v>477</v>
      </c>
      <c r="E942" s="136" t="s">
        <v>315</v>
      </c>
      <c r="F942" s="136" t="s">
        <v>497</v>
      </c>
      <c r="G942" s="136">
        <v>56</v>
      </c>
      <c r="H942" s="137">
        <v>25</v>
      </c>
      <c r="I942" s="138">
        <f t="shared" si="14"/>
        <v>1400</v>
      </c>
      <c r="J942" s="139" t="s">
        <v>466</v>
      </c>
      <c r="K942" s="140">
        <v>42</v>
      </c>
      <c r="L942">
        <f>Table13[[#This Row],[Price]]*Table13[[#This Row],[Units]]</f>
        <v>1400</v>
      </c>
    </row>
    <row r="943" spans="1:12" x14ac:dyDescent="0.35">
      <c r="A943" s="134">
        <v>45702</v>
      </c>
      <c r="B943" s="135" t="s">
        <v>1447</v>
      </c>
      <c r="C943" s="136" t="s">
        <v>492</v>
      </c>
      <c r="D943" s="136" t="s">
        <v>486</v>
      </c>
      <c r="E943" s="136" t="s">
        <v>320</v>
      </c>
      <c r="F943" s="136" t="s">
        <v>491</v>
      </c>
      <c r="G943" s="136">
        <v>20</v>
      </c>
      <c r="H943" s="137">
        <v>24</v>
      </c>
      <c r="I943" s="138">
        <f t="shared" si="14"/>
        <v>480</v>
      </c>
      <c r="J943" s="139" t="s">
        <v>466</v>
      </c>
      <c r="K943" s="140">
        <v>13.92</v>
      </c>
      <c r="L943">
        <f>Table13[[#This Row],[Price]]*Table13[[#This Row],[Units]]</f>
        <v>480</v>
      </c>
    </row>
    <row r="944" spans="1:12" x14ac:dyDescent="0.35">
      <c r="A944" s="134">
        <v>45702</v>
      </c>
      <c r="B944" s="135" t="s">
        <v>1448</v>
      </c>
      <c r="C944" s="136" t="s">
        <v>476</v>
      </c>
      <c r="D944" s="136" t="s">
        <v>465</v>
      </c>
      <c r="E944" s="136" t="s">
        <v>315</v>
      </c>
      <c r="F944" s="136" t="s">
        <v>497</v>
      </c>
      <c r="G944" s="136">
        <v>21</v>
      </c>
      <c r="H944" s="137">
        <v>41</v>
      </c>
      <c r="I944" s="138">
        <f t="shared" si="14"/>
        <v>861</v>
      </c>
      <c r="J944" s="139" t="s">
        <v>466</v>
      </c>
      <c r="K944" s="140">
        <v>23.247</v>
      </c>
      <c r="L944">
        <f>Table13[[#This Row],[Price]]*Table13[[#This Row],[Units]]</f>
        <v>861</v>
      </c>
    </row>
    <row r="945" spans="1:12" x14ac:dyDescent="0.35">
      <c r="A945" s="134">
        <v>45702</v>
      </c>
      <c r="B945" s="135" t="s">
        <v>1449</v>
      </c>
      <c r="C945" s="136" t="s">
        <v>469</v>
      </c>
      <c r="D945" s="136" t="s">
        <v>512</v>
      </c>
      <c r="E945" s="136" t="s">
        <v>324</v>
      </c>
      <c r="F945" s="136" t="s">
        <v>510</v>
      </c>
      <c r="G945" s="136">
        <v>17</v>
      </c>
      <c r="H945" s="137">
        <v>21</v>
      </c>
      <c r="I945" s="138">
        <f t="shared" si="14"/>
        <v>357</v>
      </c>
      <c r="J945" s="139" t="s">
        <v>466</v>
      </c>
      <c r="K945" s="140">
        <v>9.282</v>
      </c>
      <c r="L945">
        <f>Table13[[#This Row],[Price]]*Table13[[#This Row],[Units]]</f>
        <v>357</v>
      </c>
    </row>
    <row r="946" spans="1:12" x14ac:dyDescent="0.35">
      <c r="A946" s="134">
        <v>45702</v>
      </c>
      <c r="B946" s="135" t="s">
        <v>1450</v>
      </c>
      <c r="C946" s="136" t="s">
        <v>494</v>
      </c>
      <c r="D946" s="136" t="s">
        <v>465</v>
      </c>
      <c r="E946" s="136" t="s">
        <v>390</v>
      </c>
      <c r="F946" s="136" t="s">
        <v>513</v>
      </c>
      <c r="G946" s="136">
        <v>48</v>
      </c>
      <c r="H946" s="137">
        <v>49</v>
      </c>
      <c r="I946" s="138">
        <f t="shared" si="14"/>
        <v>2352</v>
      </c>
      <c r="J946" s="139" t="s">
        <v>466</v>
      </c>
      <c r="K946" s="140">
        <v>68.207999999999998</v>
      </c>
      <c r="L946">
        <f>Table13[[#This Row],[Price]]*Table13[[#This Row],[Units]]</f>
        <v>2352</v>
      </c>
    </row>
    <row r="947" spans="1:12" x14ac:dyDescent="0.35">
      <c r="A947" s="134">
        <v>45702</v>
      </c>
      <c r="B947" s="135" t="s">
        <v>1451</v>
      </c>
      <c r="C947" s="136" t="s">
        <v>476</v>
      </c>
      <c r="D947" s="136" t="s">
        <v>477</v>
      </c>
      <c r="E947" s="136" t="s">
        <v>333</v>
      </c>
      <c r="F947" s="136" t="s">
        <v>567</v>
      </c>
      <c r="G947" s="136">
        <v>51</v>
      </c>
      <c r="H947" s="137">
        <v>47</v>
      </c>
      <c r="I947" s="138">
        <f t="shared" si="14"/>
        <v>2397</v>
      </c>
      <c r="J947" s="139" t="s">
        <v>472</v>
      </c>
      <c r="K947" s="140">
        <v>59.924999999999997</v>
      </c>
      <c r="L947">
        <f>Table13[[#This Row],[Price]]*Table13[[#This Row],[Units]]</f>
        <v>2397</v>
      </c>
    </row>
    <row r="948" spans="1:12" x14ac:dyDescent="0.35">
      <c r="A948" s="134">
        <v>45702</v>
      </c>
      <c r="B948" s="135" t="s">
        <v>1452</v>
      </c>
      <c r="C948" s="136" t="s">
        <v>322</v>
      </c>
      <c r="D948" s="136" t="s">
        <v>470</v>
      </c>
      <c r="E948" s="136" t="s">
        <v>324</v>
      </c>
      <c r="F948" s="136" t="s">
        <v>539</v>
      </c>
      <c r="G948" s="136">
        <v>17</v>
      </c>
      <c r="H948" s="137">
        <v>31</v>
      </c>
      <c r="I948" s="138">
        <f t="shared" si="14"/>
        <v>527</v>
      </c>
      <c r="J948" s="139" t="s">
        <v>466</v>
      </c>
      <c r="K948" s="140">
        <v>13.175000000000001</v>
      </c>
      <c r="L948">
        <f>Table13[[#This Row],[Price]]*Table13[[#This Row],[Units]]</f>
        <v>527</v>
      </c>
    </row>
    <row r="949" spans="1:12" x14ac:dyDescent="0.35">
      <c r="A949" s="134">
        <v>45703</v>
      </c>
      <c r="B949" s="135" t="s">
        <v>1453</v>
      </c>
      <c r="C949" s="136" t="s">
        <v>492</v>
      </c>
      <c r="D949" s="136" t="s">
        <v>512</v>
      </c>
      <c r="E949" s="136" t="s">
        <v>315</v>
      </c>
      <c r="F949" s="136" t="s">
        <v>510</v>
      </c>
      <c r="G949" s="136">
        <v>45</v>
      </c>
      <c r="H949" s="137">
        <v>56</v>
      </c>
      <c r="I949" s="138">
        <f t="shared" si="14"/>
        <v>2520</v>
      </c>
      <c r="J949" s="139" t="s">
        <v>466</v>
      </c>
      <c r="K949" s="140">
        <v>60.48</v>
      </c>
      <c r="L949">
        <f>Table13[[#This Row],[Price]]*Table13[[#This Row],[Units]]</f>
        <v>2520</v>
      </c>
    </row>
    <row r="950" spans="1:12" x14ac:dyDescent="0.35">
      <c r="A950" s="134">
        <v>45703</v>
      </c>
      <c r="B950" s="135" t="s">
        <v>1454</v>
      </c>
      <c r="C950" s="136" t="s">
        <v>469</v>
      </c>
      <c r="D950" s="136" t="s">
        <v>490</v>
      </c>
      <c r="E950" s="136" t="s">
        <v>412</v>
      </c>
      <c r="F950" s="136" t="s">
        <v>517</v>
      </c>
      <c r="G950" s="136">
        <v>18</v>
      </c>
      <c r="H950" s="137">
        <v>41</v>
      </c>
      <c r="I950" s="138">
        <f t="shared" si="14"/>
        <v>738</v>
      </c>
      <c r="J950" s="139" t="s">
        <v>515</v>
      </c>
      <c r="K950" s="140">
        <v>15.497999999999999</v>
      </c>
      <c r="L950">
        <f>Table13[[#This Row],[Price]]*Table13[[#This Row],[Units]]</f>
        <v>738</v>
      </c>
    </row>
    <row r="951" spans="1:12" x14ac:dyDescent="0.35">
      <c r="A951" s="134">
        <v>45703</v>
      </c>
      <c r="B951" s="135" t="s">
        <v>1455</v>
      </c>
      <c r="C951" s="136" t="s">
        <v>322</v>
      </c>
      <c r="D951" s="136" t="s">
        <v>465</v>
      </c>
      <c r="E951" s="136" t="s">
        <v>390</v>
      </c>
      <c r="F951" s="136" t="s">
        <v>528</v>
      </c>
      <c r="G951" s="136">
        <v>42</v>
      </c>
      <c r="H951" s="137">
        <v>54</v>
      </c>
      <c r="I951" s="138">
        <f t="shared" si="14"/>
        <v>2268</v>
      </c>
      <c r="J951" s="139" t="s">
        <v>466</v>
      </c>
      <c r="K951" s="140">
        <v>68.040000000000006</v>
      </c>
      <c r="L951">
        <f>Table13[[#This Row],[Price]]*Table13[[#This Row],[Units]]</f>
        <v>2268</v>
      </c>
    </row>
    <row r="952" spans="1:12" x14ac:dyDescent="0.35">
      <c r="A952" s="134">
        <v>45703</v>
      </c>
      <c r="B952" s="135" t="s">
        <v>1456</v>
      </c>
      <c r="C952" s="136" t="s">
        <v>464</v>
      </c>
      <c r="D952" s="136" t="s">
        <v>465</v>
      </c>
      <c r="E952" s="136" t="s">
        <v>320</v>
      </c>
      <c r="F952" s="136" t="s">
        <v>510</v>
      </c>
      <c r="G952" s="136">
        <v>32</v>
      </c>
      <c r="H952" s="137">
        <v>33</v>
      </c>
      <c r="I952" s="138">
        <f t="shared" si="14"/>
        <v>1056</v>
      </c>
      <c r="J952" s="139" t="s">
        <v>472</v>
      </c>
      <c r="K952" s="140">
        <v>26.4</v>
      </c>
      <c r="L952">
        <f>Table13[[#This Row],[Price]]*Table13[[#This Row],[Units]]</f>
        <v>1056</v>
      </c>
    </row>
    <row r="953" spans="1:12" x14ac:dyDescent="0.35">
      <c r="A953" s="134">
        <v>45703</v>
      </c>
      <c r="B953" s="135" t="s">
        <v>1457</v>
      </c>
      <c r="C953" s="136" t="s">
        <v>484</v>
      </c>
      <c r="D953" s="136" t="s">
        <v>470</v>
      </c>
      <c r="E953" s="136" t="s">
        <v>483</v>
      </c>
      <c r="F953" s="136" t="s">
        <v>520</v>
      </c>
      <c r="G953" s="136">
        <v>17</v>
      </c>
      <c r="H953" s="137">
        <v>22</v>
      </c>
      <c r="I953" s="138">
        <f t="shared" si="14"/>
        <v>374</v>
      </c>
      <c r="J953" s="139" t="s">
        <v>466</v>
      </c>
      <c r="K953" s="140">
        <v>9.35</v>
      </c>
      <c r="L953">
        <f>Table13[[#This Row],[Price]]*Table13[[#This Row],[Units]]</f>
        <v>374</v>
      </c>
    </row>
    <row r="954" spans="1:12" x14ac:dyDescent="0.35">
      <c r="A954" s="134">
        <v>45703</v>
      </c>
      <c r="B954" s="135" t="s">
        <v>1458</v>
      </c>
      <c r="C954" s="136" t="s">
        <v>484</v>
      </c>
      <c r="D954" s="136" t="s">
        <v>477</v>
      </c>
      <c r="E954" s="136" t="s">
        <v>483</v>
      </c>
      <c r="F954" s="136" t="s">
        <v>528</v>
      </c>
      <c r="G954" s="136">
        <v>16</v>
      </c>
      <c r="H954" s="137">
        <v>24</v>
      </c>
      <c r="I954" s="138">
        <f t="shared" si="14"/>
        <v>384</v>
      </c>
      <c r="J954" s="139" t="s">
        <v>472</v>
      </c>
      <c r="K954" s="140">
        <v>9.2159999999999993</v>
      </c>
      <c r="L954">
        <f>Table13[[#This Row],[Price]]*Table13[[#This Row],[Units]]</f>
        <v>384</v>
      </c>
    </row>
    <row r="955" spans="1:12" x14ac:dyDescent="0.35">
      <c r="A955" s="134">
        <v>45703</v>
      </c>
      <c r="B955" s="135" t="s">
        <v>1459</v>
      </c>
      <c r="C955" s="136" t="s">
        <v>489</v>
      </c>
      <c r="D955" s="136" t="s">
        <v>470</v>
      </c>
      <c r="E955" s="136" t="s">
        <v>390</v>
      </c>
      <c r="F955" s="136" t="s">
        <v>539</v>
      </c>
      <c r="G955" s="136">
        <v>48</v>
      </c>
      <c r="H955" s="137">
        <v>58</v>
      </c>
      <c r="I955" s="138">
        <f t="shared" si="14"/>
        <v>2784</v>
      </c>
      <c r="J955" s="139" t="s">
        <v>472</v>
      </c>
      <c r="K955" s="140">
        <v>75.168000000000006</v>
      </c>
      <c r="L955">
        <f>Table13[[#This Row],[Price]]*Table13[[#This Row],[Units]]</f>
        <v>2784</v>
      </c>
    </row>
    <row r="956" spans="1:12" x14ac:dyDescent="0.35">
      <c r="A956" s="134">
        <v>45703</v>
      </c>
      <c r="B956" s="135" t="s">
        <v>1460</v>
      </c>
      <c r="C956" s="136" t="s">
        <v>469</v>
      </c>
      <c r="D956" s="136" t="s">
        <v>490</v>
      </c>
      <c r="E956" s="136" t="s">
        <v>315</v>
      </c>
      <c r="F956" s="136" t="s">
        <v>523</v>
      </c>
      <c r="G956" s="136">
        <v>27</v>
      </c>
      <c r="H956" s="137">
        <v>28</v>
      </c>
      <c r="I956" s="138">
        <f t="shared" si="14"/>
        <v>756</v>
      </c>
      <c r="J956" s="139" t="s">
        <v>466</v>
      </c>
      <c r="K956" s="140">
        <v>17.388000000000002</v>
      </c>
      <c r="L956">
        <f>Table13[[#This Row],[Price]]*Table13[[#This Row],[Units]]</f>
        <v>756</v>
      </c>
    </row>
    <row r="957" spans="1:12" x14ac:dyDescent="0.35">
      <c r="A957" s="134">
        <v>45703</v>
      </c>
      <c r="B957" s="135" t="s">
        <v>1461</v>
      </c>
      <c r="C957" s="136" t="s">
        <v>322</v>
      </c>
      <c r="D957" s="136" t="s">
        <v>512</v>
      </c>
      <c r="E957" s="136" t="s">
        <v>320</v>
      </c>
      <c r="F957" s="136" t="s">
        <v>491</v>
      </c>
      <c r="G957" s="136">
        <v>48</v>
      </c>
      <c r="H957" s="137">
        <v>47</v>
      </c>
      <c r="I957" s="138">
        <f t="shared" si="14"/>
        <v>2256</v>
      </c>
      <c r="J957" s="139" t="s">
        <v>503</v>
      </c>
      <c r="K957" s="140">
        <v>56.4</v>
      </c>
      <c r="L957">
        <f>Table13[[#This Row],[Price]]*Table13[[#This Row],[Units]]</f>
        <v>2256</v>
      </c>
    </row>
    <row r="958" spans="1:12" x14ac:dyDescent="0.35">
      <c r="A958" s="134">
        <v>45703</v>
      </c>
      <c r="B958" s="135" t="s">
        <v>1462</v>
      </c>
      <c r="C958" s="136" t="s">
        <v>494</v>
      </c>
      <c r="D958" s="136" t="s">
        <v>486</v>
      </c>
      <c r="E958" s="136" t="s">
        <v>315</v>
      </c>
      <c r="F958" s="136" t="s">
        <v>523</v>
      </c>
      <c r="G958" s="136">
        <v>38</v>
      </c>
      <c r="H958" s="137">
        <v>46</v>
      </c>
      <c r="I958" s="138">
        <f t="shared" si="14"/>
        <v>1748</v>
      </c>
      <c r="J958" s="139" t="s">
        <v>466</v>
      </c>
      <c r="K958" s="140">
        <v>50.692</v>
      </c>
      <c r="L958">
        <f>Table13[[#This Row],[Price]]*Table13[[#This Row],[Units]]</f>
        <v>1748</v>
      </c>
    </row>
    <row r="959" spans="1:12" x14ac:dyDescent="0.35">
      <c r="A959" s="134">
        <v>45703</v>
      </c>
      <c r="B959" s="135" t="s">
        <v>1463</v>
      </c>
      <c r="C959" s="136" t="s">
        <v>476</v>
      </c>
      <c r="D959" s="136" t="s">
        <v>470</v>
      </c>
      <c r="E959" s="136" t="s">
        <v>483</v>
      </c>
      <c r="F959" s="136" t="s">
        <v>517</v>
      </c>
      <c r="G959" s="136">
        <v>46</v>
      </c>
      <c r="H959" s="137">
        <v>53</v>
      </c>
      <c r="I959" s="138">
        <f t="shared" si="14"/>
        <v>2438</v>
      </c>
      <c r="J959" s="139" t="s">
        <v>472</v>
      </c>
      <c r="K959" s="140">
        <v>51.198</v>
      </c>
      <c r="L959">
        <f>Table13[[#This Row],[Price]]*Table13[[#This Row],[Units]]</f>
        <v>2438</v>
      </c>
    </row>
    <row r="960" spans="1:12" x14ac:dyDescent="0.35">
      <c r="A960" s="134">
        <v>45703</v>
      </c>
      <c r="B960" s="135" t="s">
        <v>1464</v>
      </c>
      <c r="C960" s="136" t="s">
        <v>322</v>
      </c>
      <c r="D960" s="136" t="s">
        <v>519</v>
      </c>
      <c r="E960" s="136" t="s">
        <v>315</v>
      </c>
      <c r="F960" s="136" t="s">
        <v>517</v>
      </c>
      <c r="G960" s="136">
        <v>49</v>
      </c>
      <c r="H960" s="137">
        <v>48</v>
      </c>
      <c r="I960" s="138">
        <f t="shared" si="14"/>
        <v>2352</v>
      </c>
      <c r="J960" s="139" t="s">
        <v>466</v>
      </c>
      <c r="K960" s="140">
        <v>47.04</v>
      </c>
      <c r="L960">
        <f>Table13[[#This Row],[Price]]*Table13[[#This Row],[Units]]</f>
        <v>2352</v>
      </c>
    </row>
    <row r="961" spans="1:12" x14ac:dyDescent="0.35">
      <c r="A961" s="134">
        <v>45703</v>
      </c>
      <c r="B961" s="135" t="s">
        <v>1465</v>
      </c>
      <c r="C961" s="136" t="s">
        <v>501</v>
      </c>
      <c r="D961" s="136" t="s">
        <v>465</v>
      </c>
      <c r="E961" s="136" t="s">
        <v>324</v>
      </c>
      <c r="F961" s="136" t="s">
        <v>497</v>
      </c>
      <c r="G961" s="136">
        <v>51</v>
      </c>
      <c r="H961" s="137">
        <v>53</v>
      </c>
      <c r="I961" s="138">
        <f t="shared" si="14"/>
        <v>2703</v>
      </c>
      <c r="J961" s="139" t="s">
        <v>466</v>
      </c>
      <c r="K961" s="140">
        <v>70.278000000000006</v>
      </c>
      <c r="L961">
        <f>Table13[[#This Row],[Price]]*Table13[[#This Row],[Units]]</f>
        <v>2703</v>
      </c>
    </row>
    <row r="962" spans="1:12" x14ac:dyDescent="0.35">
      <c r="A962" s="134">
        <v>45703</v>
      </c>
      <c r="B962" s="135" t="s">
        <v>1466</v>
      </c>
      <c r="C962" s="136" t="s">
        <v>484</v>
      </c>
      <c r="D962" s="136" t="s">
        <v>465</v>
      </c>
      <c r="E962" s="136" t="s">
        <v>390</v>
      </c>
      <c r="F962" s="136" t="s">
        <v>487</v>
      </c>
      <c r="G962" s="136">
        <v>55</v>
      </c>
      <c r="H962" s="137">
        <v>39</v>
      </c>
      <c r="I962" s="138">
        <f t="shared" si="14"/>
        <v>2145</v>
      </c>
      <c r="J962" s="139" t="s">
        <v>503</v>
      </c>
      <c r="K962" s="140">
        <v>47.19</v>
      </c>
      <c r="L962">
        <f>Table13[[#This Row],[Price]]*Table13[[#This Row],[Units]]</f>
        <v>2145</v>
      </c>
    </row>
    <row r="963" spans="1:12" x14ac:dyDescent="0.35">
      <c r="A963" s="134">
        <v>45703</v>
      </c>
      <c r="B963" s="135" t="s">
        <v>1467</v>
      </c>
      <c r="C963" s="136" t="s">
        <v>469</v>
      </c>
      <c r="D963" s="136" t="s">
        <v>477</v>
      </c>
      <c r="E963" s="136" t="s">
        <v>315</v>
      </c>
      <c r="F963" s="136" t="s">
        <v>517</v>
      </c>
      <c r="G963" s="136">
        <v>53</v>
      </c>
      <c r="H963" s="137">
        <v>42</v>
      </c>
      <c r="I963" s="138">
        <f t="shared" ref="I963:I1026" si="15">G963*H963</f>
        <v>2226</v>
      </c>
      <c r="J963" s="139" t="s">
        <v>466</v>
      </c>
      <c r="K963" s="140">
        <v>48.972000000000001</v>
      </c>
      <c r="L963">
        <f>Table13[[#This Row],[Price]]*Table13[[#This Row],[Units]]</f>
        <v>2226</v>
      </c>
    </row>
    <row r="964" spans="1:12" x14ac:dyDescent="0.35">
      <c r="A964" s="134">
        <v>45703</v>
      </c>
      <c r="B964" s="135" t="s">
        <v>1468</v>
      </c>
      <c r="C964" s="136" t="s">
        <v>484</v>
      </c>
      <c r="D964" s="136" t="s">
        <v>512</v>
      </c>
      <c r="E964" s="136" t="s">
        <v>315</v>
      </c>
      <c r="F964" s="136" t="s">
        <v>539</v>
      </c>
      <c r="G964" s="136">
        <v>17</v>
      </c>
      <c r="H964" s="137">
        <v>50</v>
      </c>
      <c r="I964" s="138">
        <f t="shared" si="15"/>
        <v>850</v>
      </c>
      <c r="J964" s="139" t="s">
        <v>515</v>
      </c>
      <c r="K964" s="140">
        <v>23.8</v>
      </c>
      <c r="L964">
        <f>Table13[[#This Row],[Price]]*Table13[[#This Row],[Units]]</f>
        <v>850</v>
      </c>
    </row>
    <row r="965" spans="1:12" x14ac:dyDescent="0.35">
      <c r="A965" s="134">
        <v>45703</v>
      </c>
      <c r="B965" s="135" t="s">
        <v>1469</v>
      </c>
      <c r="C965" s="136" t="s">
        <v>489</v>
      </c>
      <c r="D965" s="136" t="s">
        <v>519</v>
      </c>
      <c r="E965" s="136" t="s">
        <v>390</v>
      </c>
      <c r="F965" s="136" t="s">
        <v>520</v>
      </c>
      <c r="G965" s="136">
        <v>36</v>
      </c>
      <c r="H965" s="137">
        <v>52</v>
      </c>
      <c r="I965" s="138">
        <f t="shared" si="15"/>
        <v>1872</v>
      </c>
      <c r="J965" s="139" t="s">
        <v>466</v>
      </c>
      <c r="K965" s="140">
        <v>56.16</v>
      </c>
      <c r="L965">
        <f>Table13[[#This Row],[Price]]*Table13[[#This Row],[Units]]</f>
        <v>1872</v>
      </c>
    </row>
    <row r="966" spans="1:12" x14ac:dyDescent="0.35">
      <c r="A966" s="134">
        <v>45703</v>
      </c>
      <c r="B966" s="135" t="s">
        <v>1470</v>
      </c>
      <c r="C966" s="136" t="s">
        <v>501</v>
      </c>
      <c r="D966" s="136" t="s">
        <v>477</v>
      </c>
      <c r="E966" s="136" t="s">
        <v>324</v>
      </c>
      <c r="F966" s="136" t="s">
        <v>497</v>
      </c>
      <c r="G966" s="136">
        <v>45</v>
      </c>
      <c r="H966" s="137">
        <v>33</v>
      </c>
      <c r="I966" s="138">
        <f t="shared" si="15"/>
        <v>1485</v>
      </c>
      <c r="J966" s="139" t="s">
        <v>515</v>
      </c>
      <c r="K966" s="140">
        <v>31.184999999999999</v>
      </c>
      <c r="L966">
        <f>Table13[[#This Row],[Price]]*Table13[[#This Row],[Units]]</f>
        <v>1485</v>
      </c>
    </row>
    <row r="967" spans="1:12" x14ac:dyDescent="0.35">
      <c r="A967" s="134">
        <v>45703</v>
      </c>
      <c r="B967" s="135" t="s">
        <v>1471</v>
      </c>
      <c r="C967" s="136" t="s">
        <v>464</v>
      </c>
      <c r="D967" s="136" t="s">
        <v>519</v>
      </c>
      <c r="E967" s="136" t="s">
        <v>320</v>
      </c>
      <c r="F967" s="136" t="s">
        <v>491</v>
      </c>
      <c r="G967" s="136">
        <v>14</v>
      </c>
      <c r="H967" s="137">
        <v>26</v>
      </c>
      <c r="I967" s="138">
        <f t="shared" si="15"/>
        <v>364</v>
      </c>
      <c r="J967" s="139" t="s">
        <v>466</v>
      </c>
      <c r="K967" s="140">
        <v>9.4640000000000004</v>
      </c>
      <c r="L967">
        <f>Table13[[#This Row],[Price]]*Table13[[#This Row],[Units]]</f>
        <v>364</v>
      </c>
    </row>
    <row r="968" spans="1:12" x14ac:dyDescent="0.35">
      <c r="A968" s="134">
        <v>45703</v>
      </c>
      <c r="B968" s="135" t="s">
        <v>1472</v>
      </c>
      <c r="C968" s="136" t="s">
        <v>464</v>
      </c>
      <c r="D968" s="136" t="s">
        <v>477</v>
      </c>
      <c r="E968" s="136" t="s">
        <v>320</v>
      </c>
      <c r="F968" s="136" t="s">
        <v>487</v>
      </c>
      <c r="G968" s="136">
        <v>35</v>
      </c>
      <c r="H968" s="137">
        <v>41</v>
      </c>
      <c r="I968" s="138">
        <f t="shared" si="15"/>
        <v>1435</v>
      </c>
      <c r="J968" s="139" t="s">
        <v>515</v>
      </c>
      <c r="K968" s="140">
        <v>34.44</v>
      </c>
      <c r="L968">
        <f>Table13[[#This Row],[Price]]*Table13[[#This Row],[Units]]</f>
        <v>1435</v>
      </c>
    </row>
    <row r="969" spans="1:12" x14ac:dyDescent="0.35">
      <c r="A969" s="134">
        <v>45703</v>
      </c>
      <c r="B969" s="135" t="s">
        <v>1473</v>
      </c>
      <c r="C969" s="136" t="s">
        <v>489</v>
      </c>
      <c r="D969" s="136" t="s">
        <v>490</v>
      </c>
      <c r="E969" s="136" t="s">
        <v>324</v>
      </c>
      <c r="F969" s="136" t="s">
        <v>517</v>
      </c>
      <c r="G969" s="136">
        <v>28</v>
      </c>
      <c r="H969" s="137">
        <v>26</v>
      </c>
      <c r="I969" s="138">
        <f t="shared" si="15"/>
        <v>728</v>
      </c>
      <c r="J969" s="139" t="s">
        <v>472</v>
      </c>
      <c r="K969" s="140">
        <v>14.56</v>
      </c>
      <c r="L969">
        <f>Table13[[#This Row],[Price]]*Table13[[#This Row],[Units]]</f>
        <v>728</v>
      </c>
    </row>
    <row r="970" spans="1:12" x14ac:dyDescent="0.35">
      <c r="A970" s="134">
        <v>45703</v>
      </c>
      <c r="B970" s="135" t="s">
        <v>1474</v>
      </c>
      <c r="C970" s="136" t="s">
        <v>322</v>
      </c>
      <c r="D970" s="136" t="s">
        <v>486</v>
      </c>
      <c r="E970" s="136" t="s">
        <v>320</v>
      </c>
      <c r="F970" s="136" t="s">
        <v>491</v>
      </c>
      <c r="G970" s="136">
        <v>58</v>
      </c>
      <c r="H970" s="137">
        <v>25</v>
      </c>
      <c r="I970" s="138">
        <f t="shared" si="15"/>
        <v>1450</v>
      </c>
      <c r="J970" s="139" t="s">
        <v>472</v>
      </c>
      <c r="K970" s="140">
        <v>39.15</v>
      </c>
      <c r="L970">
        <f>Table13[[#This Row],[Price]]*Table13[[#This Row],[Units]]</f>
        <v>1450</v>
      </c>
    </row>
    <row r="971" spans="1:12" x14ac:dyDescent="0.35">
      <c r="A971" s="134">
        <v>45703</v>
      </c>
      <c r="B971" s="135" t="s">
        <v>1475</v>
      </c>
      <c r="C971" s="136" t="s">
        <v>494</v>
      </c>
      <c r="D971" s="136" t="s">
        <v>486</v>
      </c>
      <c r="E971" s="136" t="s">
        <v>324</v>
      </c>
      <c r="F971" s="136" t="s">
        <v>513</v>
      </c>
      <c r="G971" s="136">
        <v>34</v>
      </c>
      <c r="H971" s="137">
        <v>45</v>
      </c>
      <c r="I971" s="138">
        <f t="shared" si="15"/>
        <v>1530</v>
      </c>
      <c r="J971" s="139" t="s">
        <v>466</v>
      </c>
      <c r="K971" s="140">
        <v>39.78</v>
      </c>
      <c r="L971">
        <f>Table13[[#This Row],[Price]]*Table13[[#This Row],[Units]]</f>
        <v>1530</v>
      </c>
    </row>
    <row r="972" spans="1:12" x14ac:dyDescent="0.35">
      <c r="A972" s="134">
        <v>45703</v>
      </c>
      <c r="B972" s="135" t="s">
        <v>1476</v>
      </c>
      <c r="C972" s="136" t="s">
        <v>484</v>
      </c>
      <c r="D972" s="136" t="s">
        <v>519</v>
      </c>
      <c r="E972" s="136" t="s">
        <v>324</v>
      </c>
      <c r="F972" s="136" t="s">
        <v>520</v>
      </c>
      <c r="G972" s="136">
        <v>15</v>
      </c>
      <c r="H972" s="137">
        <v>28</v>
      </c>
      <c r="I972" s="138">
        <f t="shared" si="15"/>
        <v>420</v>
      </c>
      <c r="J972" s="139" t="s">
        <v>466</v>
      </c>
      <c r="K972" s="140">
        <v>8.82</v>
      </c>
      <c r="L972">
        <f>Table13[[#This Row],[Price]]*Table13[[#This Row],[Units]]</f>
        <v>420</v>
      </c>
    </row>
    <row r="973" spans="1:12" x14ac:dyDescent="0.35">
      <c r="A973" s="134">
        <v>45703</v>
      </c>
      <c r="B973" s="135" t="s">
        <v>1477</v>
      </c>
      <c r="C973" s="136" t="s">
        <v>489</v>
      </c>
      <c r="D973" s="136" t="s">
        <v>477</v>
      </c>
      <c r="E973" s="136" t="s">
        <v>324</v>
      </c>
      <c r="F973" s="136" t="s">
        <v>487</v>
      </c>
      <c r="G973" s="136">
        <v>27</v>
      </c>
      <c r="H973" s="137">
        <v>54</v>
      </c>
      <c r="I973" s="138">
        <f t="shared" si="15"/>
        <v>1458</v>
      </c>
      <c r="J973" s="139" t="s">
        <v>515</v>
      </c>
      <c r="K973" s="140">
        <v>40.823999999999998</v>
      </c>
      <c r="L973">
        <f>Table13[[#This Row],[Price]]*Table13[[#This Row],[Units]]</f>
        <v>1458</v>
      </c>
    </row>
    <row r="974" spans="1:12" x14ac:dyDescent="0.35">
      <c r="A974" s="134">
        <v>45703</v>
      </c>
      <c r="B974" s="135" t="s">
        <v>1478</v>
      </c>
      <c r="C974" s="136" t="s">
        <v>322</v>
      </c>
      <c r="D974" s="136" t="s">
        <v>490</v>
      </c>
      <c r="E974" s="136" t="s">
        <v>320</v>
      </c>
      <c r="F974" s="136" t="s">
        <v>567</v>
      </c>
      <c r="G974" s="136">
        <v>27</v>
      </c>
      <c r="H974" s="137">
        <v>33</v>
      </c>
      <c r="I974" s="138">
        <f t="shared" si="15"/>
        <v>891</v>
      </c>
      <c r="J974" s="139" t="s">
        <v>472</v>
      </c>
      <c r="K974" s="140">
        <v>19.602</v>
      </c>
      <c r="L974">
        <f>Table13[[#This Row],[Price]]*Table13[[#This Row],[Units]]</f>
        <v>891</v>
      </c>
    </row>
    <row r="975" spans="1:12" x14ac:dyDescent="0.35">
      <c r="A975" s="134">
        <v>45703</v>
      </c>
      <c r="B975" s="135" t="s">
        <v>1479</v>
      </c>
      <c r="C975" s="136" t="s">
        <v>322</v>
      </c>
      <c r="D975" s="136" t="s">
        <v>470</v>
      </c>
      <c r="E975" s="136" t="s">
        <v>483</v>
      </c>
      <c r="F975" s="136" t="s">
        <v>487</v>
      </c>
      <c r="G975" s="136">
        <v>31</v>
      </c>
      <c r="H975" s="137">
        <v>31</v>
      </c>
      <c r="I975" s="138">
        <f t="shared" si="15"/>
        <v>961</v>
      </c>
      <c r="J975" s="139" t="s">
        <v>466</v>
      </c>
      <c r="K975" s="140">
        <v>26.908000000000001</v>
      </c>
      <c r="L975">
        <f>Table13[[#This Row],[Price]]*Table13[[#This Row],[Units]]</f>
        <v>961</v>
      </c>
    </row>
    <row r="976" spans="1:12" x14ac:dyDescent="0.35">
      <c r="A976" s="134">
        <v>45703</v>
      </c>
      <c r="B976" s="135" t="s">
        <v>1480</v>
      </c>
      <c r="C976" s="136" t="s">
        <v>501</v>
      </c>
      <c r="D976" s="136" t="s">
        <v>519</v>
      </c>
      <c r="E976" s="136" t="s">
        <v>333</v>
      </c>
      <c r="F976" s="136" t="s">
        <v>471</v>
      </c>
      <c r="G976" s="136">
        <v>56</v>
      </c>
      <c r="H976" s="137">
        <v>35</v>
      </c>
      <c r="I976" s="138">
        <f t="shared" si="15"/>
        <v>1960</v>
      </c>
      <c r="J976" s="139" t="s">
        <v>472</v>
      </c>
      <c r="K976" s="140">
        <v>43.12</v>
      </c>
      <c r="L976">
        <f>Table13[[#This Row],[Price]]*Table13[[#This Row],[Units]]</f>
        <v>1960</v>
      </c>
    </row>
    <row r="977" spans="1:12" x14ac:dyDescent="0.35">
      <c r="A977" s="134">
        <v>45703</v>
      </c>
      <c r="B977" s="135" t="s">
        <v>1481</v>
      </c>
      <c r="C977" s="136" t="s">
        <v>464</v>
      </c>
      <c r="D977" s="136" t="s">
        <v>519</v>
      </c>
      <c r="E977" s="136" t="s">
        <v>315</v>
      </c>
      <c r="F977" s="136" t="s">
        <v>539</v>
      </c>
      <c r="G977" s="136">
        <v>17</v>
      </c>
      <c r="H977" s="137">
        <v>57</v>
      </c>
      <c r="I977" s="138">
        <f t="shared" si="15"/>
        <v>969</v>
      </c>
      <c r="J977" s="139" t="s">
        <v>466</v>
      </c>
      <c r="K977" s="140">
        <v>23.256</v>
      </c>
      <c r="L977">
        <f>Table13[[#This Row],[Price]]*Table13[[#This Row],[Units]]</f>
        <v>969</v>
      </c>
    </row>
    <row r="978" spans="1:12" x14ac:dyDescent="0.35">
      <c r="A978" s="134">
        <v>45703</v>
      </c>
      <c r="B978" s="135" t="s">
        <v>1482</v>
      </c>
      <c r="C978" s="136" t="s">
        <v>484</v>
      </c>
      <c r="D978" s="136" t="s">
        <v>519</v>
      </c>
      <c r="E978" s="136" t="s">
        <v>333</v>
      </c>
      <c r="F978" s="136" t="s">
        <v>478</v>
      </c>
      <c r="G978" s="136">
        <v>38</v>
      </c>
      <c r="H978" s="137">
        <v>31</v>
      </c>
      <c r="I978" s="138">
        <f t="shared" si="15"/>
        <v>1178</v>
      </c>
      <c r="J978" s="139" t="s">
        <v>466</v>
      </c>
      <c r="K978" s="140">
        <v>32.984000000000002</v>
      </c>
      <c r="L978">
        <f>Table13[[#This Row],[Price]]*Table13[[#This Row],[Units]]</f>
        <v>1178</v>
      </c>
    </row>
    <row r="979" spans="1:12" x14ac:dyDescent="0.35">
      <c r="A979" s="134">
        <v>45704</v>
      </c>
      <c r="B979" s="135" t="s">
        <v>1483</v>
      </c>
      <c r="C979" s="136" t="s">
        <v>322</v>
      </c>
      <c r="D979" s="136" t="s">
        <v>512</v>
      </c>
      <c r="E979" s="136" t="s">
        <v>333</v>
      </c>
      <c r="F979" s="136" t="s">
        <v>517</v>
      </c>
      <c r="G979" s="136">
        <v>60</v>
      </c>
      <c r="H979" s="137">
        <v>35</v>
      </c>
      <c r="I979" s="138">
        <f t="shared" si="15"/>
        <v>2100</v>
      </c>
      <c r="J979" s="139" t="s">
        <v>472</v>
      </c>
      <c r="K979" s="140">
        <v>63</v>
      </c>
      <c r="L979">
        <f>Table13[[#This Row],[Price]]*Table13[[#This Row],[Units]]</f>
        <v>2100</v>
      </c>
    </row>
    <row r="980" spans="1:12" x14ac:dyDescent="0.35">
      <c r="A980" s="134">
        <v>45704</v>
      </c>
      <c r="B980" s="135" t="s">
        <v>1484</v>
      </c>
      <c r="C980" s="136" t="s">
        <v>322</v>
      </c>
      <c r="D980" s="136" t="s">
        <v>490</v>
      </c>
      <c r="E980" s="136" t="s">
        <v>483</v>
      </c>
      <c r="F980" s="136" t="s">
        <v>471</v>
      </c>
      <c r="G980" s="136">
        <v>31</v>
      </c>
      <c r="H980" s="137">
        <v>25</v>
      </c>
      <c r="I980" s="138">
        <f t="shared" si="15"/>
        <v>775</v>
      </c>
      <c r="J980" s="139" t="s">
        <v>472</v>
      </c>
      <c r="K980" s="140">
        <v>20.925000000000001</v>
      </c>
      <c r="L980">
        <f>Table13[[#This Row],[Price]]*Table13[[#This Row],[Units]]</f>
        <v>775</v>
      </c>
    </row>
    <row r="981" spans="1:12" x14ac:dyDescent="0.35">
      <c r="A981" s="134">
        <v>45704</v>
      </c>
      <c r="B981" s="135" t="s">
        <v>1485</v>
      </c>
      <c r="C981" s="136" t="s">
        <v>322</v>
      </c>
      <c r="D981" s="136" t="s">
        <v>465</v>
      </c>
      <c r="E981" s="136" t="s">
        <v>320</v>
      </c>
      <c r="F981" s="136" t="s">
        <v>567</v>
      </c>
      <c r="G981" s="136">
        <v>35</v>
      </c>
      <c r="H981" s="137">
        <v>51</v>
      </c>
      <c r="I981" s="138">
        <f t="shared" si="15"/>
        <v>1785</v>
      </c>
      <c r="J981" s="139" t="s">
        <v>472</v>
      </c>
      <c r="K981" s="140">
        <v>49.98</v>
      </c>
      <c r="L981">
        <f>Table13[[#This Row],[Price]]*Table13[[#This Row],[Units]]</f>
        <v>1785</v>
      </c>
    </row>
    <row r="982" spans="1:12" x14ac:dyDescent="0.35">
      <c r="A982" s="134">
        <v>45704</v>
      </c>
      <c r="B982" s="135" t="s">
        <v>1486</v>
      </c>
      <c r="C982" s="136" t="s">
        <v>484</v>
      </c>
      <c r="D982" s="136" t="s">
        <v>512</v>
      </c>
      <c r="E982" s="136" t="s">
        <v>315</v>
      </c>
      <c r="F982" s="136" t="s">
        <v>520</v>
      </c>
      <c r="G982" s="136">
        <v>28</v>
      </c>
      <c r="H982" s="137">
        <v>28</v>
      </c>
      <c r="I982" s="138">
        <f t="shared" si="15"/>
        <v>784</v>
      </c>
      <c r="J982" s="139" t="s">
        <v>515</v>
      </c>
      <c r="K982" s="140">
        <v>18.032</v>
      </c>
      <c r="L982">
        <f>Table13[[#This Row],[Price]]*Table13[[#This Row],[Units]]</f>
        <v>784</v>
      </c>
    </row>
    <row r="983" spans="1:12" x14ac:dyDescent="0.35">
      <c r="A983" s="134">
        <v>45704</v>
      </c>
      <c r="B983" s="135" t="s">
        <v>1487</v>
      </c>
      <c r="C983" s="136" t="s">
        <v>489</v>
      </c>
      <c r="D983" s="136" t="s">
        <v>470</v>
      </c>
      <c r="E983" s="136" t="s">
        <v>390</v>
      </c>
      <c r="F983" s="136" t="s">
        <v>454</v>
      </c>
      <c r="G983" s="136">
        <v>13</v>
      </c>
      <c r="H983" s="137">
        <v>38</v>
      </c>
      <c r="I983" s="138">
        <f t="shared" si="15"/>
        <v>494</v>
      </c>
      <c r="J983" s="139" t="s">
        <v>466</v>
      </c>
      <c r="K983" s="140">
        <v>12.35</v>
      </c>
      <c r="L983">
        <f>Table13[[#This Row],[Price]]*Table13[[#This Row],[Units]]</f>
        <v>494</v>
      </c>
    </row>
    <row r="984" spans="1:12" x14ac:dyDescent="0.35">
      <c r="A984" s="134">
        <v>45705</v>
      </c>
      <c r="B984" s="135" t="s">
        <v>1488</v>
      </c>
      <c r="C984" s="136" t="s">
        <v>322</v>
      </c>
      <c r="D984" s="136" t="s">
        <v>490</v>
      </c>
      <c r="E984" s="136" t="s">
        <v>412</v>
      </c>
      <c r="F984" s="136" t="s">
        <v>517</v>
      </c>
      <c r="G984" s="136">
        <v>26</v>
      </c>
      <c r="H984" s="137">
        <v>41</v>
      </c>
      <c r="I984" s="138">
        <f t="shared" si="15"/>
        <v>1066</v>
      </c>
      <c r="J984" s="139" t="s">
        <v>466</v>
      </c>
      <c r="K984" s="140">
        <v>27.716000000000001</v>
      </c>
      <c r="L984">
        <f>Table13[[#This Row],[Price]]*Table13[[#This Row],[Units]]</f>
        <v>1066</v>
      </c>
    </row>
    <row r="985" spans="1:12" x14ac:dyDescent="0.35">
      <c r="A985" s="134">
        <v>45705</v>
      </c>
      <c r="B985" s="135" t="s">
        <v>1489</v>
      </c>
      <c r="C985" s="136" t="s">
        <v>476</v>
      </c>
      <c r="D985" s="136" t="s">
        <v>477</v>
      </c>
      <c r="E985" s="136" t="s">
        <v>320</v>
      </c>
      <c r="F985" s="136" t="s">
        <v>567</v>
      </c>
      <c r="G985" s="136">
        <v>10</v>
      </c>
      <c r="H985" s="137">
        <v>38</v>
      </c>
      <c r="I985" s="138">
        <f t="shared" si="15"/>
        <v>380</v>
      </c>
      <c r="J985" s="139" t="s">
        <v>466</v>
      </c>
      <c r="K985" s="140">
        <v>9.1199999999999992</v>
      </c>
      <c r="L985">
        <f>Table13[[#This Row],[Price]]*Table13[[#This Row],[Units]]</f>
        <v>380</v>
      </c>
    </row>
    <row r="986" spans="1:12" x14ac:dyDescent="0.35">
      <c r="A986" s="134">
        <v>45705</v>
      </c>
      <c r="B986" s="135" t="s">
        <v>1490</v>
      </c>
      <c r="C986" s="136" t="s">
        <v>489</v>
      </c>
      <c r="D986" s="136" t="s">
        <v>470</v>
      </c>
      <c r="E986" s="136" t="s">
        <v>333</v>
      </c>
      <c r="F986" s="136" t="s">
        <v>539</v>
      </c>
      <c r="G986" s="136">
        <v>41</v>
      </c>
      <c r="H986" s="137">
        <v>56</v>
      </c>
      <c r="I986" s="138">
        <f t="shared" si="15"/>
        <v>2296</v>
      </c>
      <c r="J986" s="139" t="s">
        <v>515</v>
      </c>
      <c r="K986" s="140">
        <v>59.695999999999998</v>
      </c>
      <c r="L986">
        <f>Table13[[#This Row],[Price]]*Table13[[#This Row],[Units]]</f>
        <v>2296</v>
      </c>
    </row>
    <row r="987" spans="1:12" x14ac:dyDescent="0.35">
      <c r="A987" s="134">
        <v>45706</v>
      </c>
      <c r="B987" s="135" t="s">
        <v>1491</v>
      </c>
      <c r="C987" s="136" t="s">
        <v>494</v>
      </c>
      <c r="D987" s="136" t="s">
        <v>512</v>
      </c>
      <c r="E987" s="136" t="s">
        <v>320</v>
      </c>
      <c r="F987" s="136" t="s">
        <v>491</v>
      </c>
      <c r="G987" s="136">
        <v>34</v>
      </c>
      <c r="H987" s="137">
        <v>30</v>
      </c>
      <c r="I987" s="138">
        <f t="shared" si="15"/>
        <v>1020</v>
      </c>
      <c r="J987" s="139" t="s">
        <v>466</v>
      </c>
      <c r="K987" s="140">
        <v>30.6</v>
      </c>
      <c r="L987">
        <f>Table13[[#This Row],[Price]]*Table13[[#This Row],[Units]]</f>
        <v>1020</v>
      </c>
    </row>
    <row r="988" spans="1:12" x14ac:dyDescent="0.35">
      <c r="A988" s="134">
        <v>45706</v>
      </c>
      <c r="B988" s="135" t="s">
        <v>1492</v>
      </c>
      <c r="C988" s="136" t="s">
        <v>494</v>
      </c>
      <c r="D988" s="136" t="s">
        <v>470</v>
      </c>
      <c r="E988" s="136" t="s">
        <v>390</v>
      </c>
      <c r="F988" s="136" t="s">
        <v>567</v>
      </c>
      <c r="G988" s="136">
        <v>10</v>
      </c>
      <c r="H988" s="137">
        <v>57</v>
      </c>
      <c r="I988" s="138">
        <f t="shared" si="15"/>
        <v>570</v>
      </c>
      <c r="J988" s="139" t="s">
        <v>503</v>
      </c>
      <c r="K988" s="140">
        <v>14.82</v>
      </c>
      <c r="L988">
        <f>Table13[[#This Row],[Price]]*Table13[[#This Row],[Units]]</f>
        <v>570</v>
      </c>
    </row>
    <row r="989" spans="1:12" x14ac:dyDescent="0.35">
      <c r="A989" s="134">
        <v>45706</v>
      </c>
      <c r="B989" s="135" t="s">
        <v>1493</v>
      </c>
      <c r="C989" s="136" t="s">
        <v>494</v>
      </c>
      <c r="D989" s="136" t="s">
        <v>470</v>
      </c>
      <c r="E989" s="136" t="s">
        <v>324</v>
      </c>
      <c r="F989" s="136" t="s">
        <v>523</v>
      </c>
      <c r="G989" s="136">
        <v>59</v>
      </c>
      <c r="H989" s="137">
        <v>26</v>
      </c>
      <c r="I989" s="138">
        <f t="shared" si="15"/>
        <v>1534</v>
      </c>
      <c r="J989" s="139" t="s">
        <v>466</v>
      </c>
      <c r="K989" s="140">
        <v>39.884</v>
      </c>
      <c r="L989">
        <f>Table13[[#This Row],[Price]]*Table13[[#This Row],[Units]]</f>
        <v>1534</v>
      </c>
    </row>
    <row r="990" spans="1:12" x14ac:dyDescent="0.35">
      <c r="A990" s="134">
        <v>45706</v>
      </c>
      <c r="B990" s="135" t="s">
        <v>1494</v>
      </c>
      <c r="C990" s="136" t="s">
        <v>501</v>
      </c>
      <c r="D990" s="136" t="s">
        <v>470</v>
      </c>
      <c r="E990" s="136" t="s">
        <v>320</v>
      </c>
      <c r="F990" s="136" t="s">
        <v>520</v>
      </c>
      <c r="G990" s="136">
        <v>25</v>
      </c>
      <c r="H990" s="137">
        <v>36</v>
      </c>
      <c r="I990" s="138">
        <f t="shared" si="15"/>
        <v>900</v>
      </c>
      <c r="J990" s="139" t="s">
        <v>466</v>
      </c>
      <c r="K990" s="140">
        <v>21.6</v>
      </c>
      <c r="L990">
        <f>Table13[[#This Row],[Price]]*Table13[[#This Row],[Units]]</f>
        <v>900</v>
      </c>
    </row>
    <row r="991" spans="1:12" x14ac:dyDescent="0.35">
      <c r="A991" s="134">
        <v>45706</v>
      </c>
      <c r="B991" s="135" t="s">
        <v>1495</v>
      </c>
      <c r="C991" s="136" t="s">
        <v>501</v>
      </c>
      <c r="D991" s="136" t="s">
        <v>477</v>
      </c>
      <c r="E991" s="136" t="s">
        <v>483</v>
      </c>
      <c r="F991" s="136" t="s">
        <v>487</v>
      </c>
      <c r="G991" s="136">
        <v>41</v>
      </c>
      <c r="H991" s="137">
        <v>43</v>
      </c>
      <c r="I991" s="138">
        <f t="shared" si="15"/>
        <v>1763</v>
      </c>
      <c r="J991" s="139" t="s">
        <v>472</v>
      </c>
      <c r="K991" s="140">
        <v>35.26</v>
      </c>
      <c r="L991">
        <f>Table13[[#This Row],[Price]]*Table13[[#This Row],[Units]]</f>
        <v>1763</v>
      </c>
    </row>
    <row r="992" spans="1:12" x14ac:dyDescent="0.35">
      <c r="A992" s="134">
        <v>45706</v>
      </c>
      <c r="B992" s="135" t="s">
        <v>1496</v>
      </c>
      <c r="C992" s="136" t="s">
        <v>501</v>
      </c>
      <c r="D992" s="136" t="s">
        <v>477</v>
      </c>
      <c r="E992" s="136" t="s">
        <v>324</v>
      </c>
      <c r="F992" s="136" t="s">
        <v>497</v>
      </c>
      <c r="G992" s="136">
        <v>50</v>
      </c>
      <c r="H992" s="137">
        <v>33</v>
      </c>
      <c r="I992" s="138">
        <f t="shared" si="15"/>
        <v>1650</v>
      </c>
      <c r="J992" s="139" t="s">
        <v>472</v>
      </c>
      <c r="K992" s="140">
        <v>47.85</v>
      </c>
      <c r="L992">
        <f>Table13[[#This Row],[Price]]*Table13[[#This Row],[Units]]</f>
        <v>1650</v>
      </c>
    </row>
    <row r="993" spans="1:12" x14ac:dyDescent="0.35">
      <c r="A993" s="134">
        <v>45706</v>
      </c>
      <c r="B993" s="135" t="s">
        <v>1497</v>
      </c>
      <c r="C993" s="136" t="s">
        <v>476</v>
      </c>
      <c r="D993" s="136" t="s">
        <v>486</v>
      </c>
      <c r="E993" s="136" t="s">
        <v>333</v>
      </c>
      <c r="F993" s="136" t="s">
        <v>478</v>
      </c>
      <c r="G993" s="136">
        <v>26</v>
      </c>
      <c r="H993" s="137">
        <v>53</v>
      </c>
      <c r="I993" s="138">
        <f t="shared" si="15"/>
        <v>1378</v>
      </c>
      <c r="J993" s="139" t="s">
        <v>503</v>
      </c>
      <c r="K993" s="140">
        <v>34.450000000000003</v>
      </c>
      <c r="L993">
        <f>Table13[[#This Row],[Price]]*Table13[[#This Row],[Units]]</f>
        <v>1378</v>
      </c>
    </row>
    <row r="994" spans="1:12" x14ac:dyDescent="0.35">
      <c r="A994" s="134">
        <v>45706</v>
      </c>
      <c r="B994" s="135" t="s">
        <v>1498</v>
      </c>
      <c r="C994" s="136" t="s">
        <v>469</v>
      </c>
      <c r="D994" s="136" t="s">
        <v>470</v>
      </c>
      <c r="E994" s="136" t="s">
        <v>333</v>
      </c>
      <c r="F994" s="136" t="s">
        <v>454</v>
      </c>
      <c r="G994" s="136">
        <v>17</v>
      </c>
      <c r="H994" s="137">
        <v>23</v>
      </c>
      <c r="I994" s="138">
        <f t="shared" si="15"/>
        <v>391</v>
      </c>
      <c r="J994" s="139" t="s">
        <v>515</v>
      </c>
      <c r="K994" s="140">
        <v>7.82</v>
      </c>
      <c r="L994">
        <f>Table13[[#This Row],[Price]]*Table13[[#This Row],[Units]]</f>
        <v>391</v>
      </c>
    </row>
    <row r="995" spans="1:12" x14ac:dyDescent="0.35">
      <c r="A995" s="134">
        <v>45706</v>
      </c>
      <c r="B995" s="135" t="s">
        <v>1499</v>
      </c>
      <c r="C995" s="136" t="s">
        <v>501</v>
      </c>
      <c r="D995" s="136" t="s">
        <v>477</v>
      </c>
      <c r="E995" s="136" t="s">
        <v>324</v>
      </c>
      <c r="F995" s="136" t="s">
        <v>523</v>
      </c>
      <c r="G995" s="136">
        <v>37</v>
      </c>
      <c r="H995" s="137">
        <v>24</v>
      </c>
      <c r="I995" s="138">
        <f t="shared" si="15"/>
        <v>888</v>
      </c>
      <c r="J995" s="139" t="s">
        <v>466</v>
      </c>
      <c r="K995" s="140">
        <v>22.2</v>
      </c>
      <c r="L995">
        <f>Table13[[#This Row],[Price]]*Table13[[#This Row],[Units]]</f>
        <v>888</v>
      </c>
    </row>
    <row r="996" spans="1:12" x14ac:dyDescent="0.35">
      <c r="A996" s="134">
        <v>45706</v>
      </c>
      <c r="B996" s="135" t="s">
        <v>1500</v>
      </c>
      <c r="C996" s="136" t="s">
        <v>464</v>
      </c>
      <c r="D996" s="136" t="s">
        <v>470</v>
      </c>
      <c r="E996" s="136" t="s">
        <v>483</v>
      </c>
      <c r="F996" s="136" t="s">
        <v>520</v>
      </c>
      <c r="G996" s="136">
        <v>54</v>
      </c>
      <c r="H996" s="137">
        <v>29</v>
      </c>
      <c r="I996" s="138">
        <f t="shared" si="15"/>
        <v>1566</v>
      </c>
      <c r="J996" s="139" t="s">
        <v>515</v>
      </c>
      <c r="K996" s="140">
        <v>34.451999999999998</v>
      </c>
      <c r="L996">
        <f>Table13[[#This Row],[Price]]*Table13[[#This Row],[Units]]</f>
        <v>1566</v>
      </c>
    </row>
    <row r="997" spans="1:12" x14ac:dyDescent="0.35">
      <c r="A997" s="134">
        <v>45706</v>
      </c>
      <c r="B997" s="135" t="s">
        <v>1501</v>
      </c>
      <c r="C997" s="136" t="s">
        <v>501</v>
      </c>
      <c r="D997" s="136" t="s">
        <v>465</v>
      </c>
      <c r="E997" s="136" t="s">
        <v>324</v>
      </c>
      <c r="F997" s="136" t="s">
        <v>497</v>
      </c>
      <c r="G997" s="136">
        <v>43</v>
      </c>
      <c r="H997" s="137">
        <v>44</v>
      </c>
      <c r="I997" s="138">
        <f t="shared" si="15"/>
        <v>1892</v>
      </c>
      <c r="J997" s="139" t="s">
        <v>515</v>
      </c>
      <c r="K997" s="140">
        <v>37.840000000000003</v>
      </c>
      <c r="L997">
        <f>Table13[[#This Row],[Price]]*Table13[[#This Row],[Units]]</f>
        <v>1892</v>
      </c>
    </row>
    <row r="998" spans="1:12" x14ac:dyDescent="0.35">
      <c r="A998" s="134">
        <v>45706</v>
      </c>
      <c r="B998" s="135" t="s">
        <v>1502</v>
      </c>
      <c r="C998" s="136" t="s">
        <v>489</v>
      </c>
      <c r="D998" s="136" t="s">
        <v>465</v>
      </c>
      <c r="E998" s="136" t="s">
        <v>324</v>
      </c>
      <c r="F998" s="136" t="s">
        <v>567</v>
      </c>
      <c r="G998" s="136">
        <v>51</v>
      </c>
      <c r="H998" s="137">
        <v>30</v>
      </c>
      <c r="I998" s="138">
        <f t="shared" si="15"/>
        <v>1530</v>
      </c>
      <c r="J998" s="139" t="s">
        <v>515</v>
      </c>
      <c r="K998" s="140">
        <v>44.37</v>
      </c>
      <c r="L998">
        <f>Table13[[#This Row],[Price]]*Table13[[#This Row],[Units]]</f>
        <v>1530</v>
      </c>
    </row>
    <row r="999" spans="1:12" x14ac:dyDescent="0.35">
      <c r="A999" s="134">
        <v>45706</v>
      </c>
      <c r="B999" s="135" t="s">
        <v>1503</v>
      </c>
      <c r="C999" s="136" t="s">
        <v>489</v>
      </c>
      <c r="D999" s="136" t="s">
        <v>519</v>
      </c>
      <c r="E999" s="136" t="s">
        <v>390</v>
      </c>
      <c r="F999" s="136" t="s">
        <v>478</v>
      </c>
      <c r="G999" s="136">
        <v>42</v>
      </c>
      <c r="H999" s="137">
        <v>57</v>
      </c>
      <c r="I999" s="138">
        <f t="shared" si="15"/>
        <v>2394</v>
      </c>
      <c r="J999" s="139" t="s">
        <v>466</v>
      </c>
      <c r="K999" s="140">
        <v>52.667999999999999</v>
      </c>
      <c r="L999">
        <f>Table13[[#This Row],[Price]]*Table13[[#This Row],[Units]]</f>
        <v>2394</v>
      </c>
    </row>
    <row r="1000" spans="1:12" x14ac:dyDescent="0.35">
      <c r="A1000" s="134">
        <v>45706</v>
      </c>
      <c r="B1000" s="135" t="s">
        <v>1504</v>
      </c>
      <c r="C1000" s="136" t="s">
        <v>476</v>
      </c>
      <c r="D1000" s="136" t="s">
        <v>477</v>
      </c>
      <c r="E1000" s="136" t="s">
        <v>483</v>
      </c>
      <c r="F1000" s="136" t="s">
        <v>491</v>
      </c>
      <c r="G1000" s="136">
        <v>59</v>
      </c>
      <c r="H1000" s="137">
        <v>55</v>
      </c>
      <c r="I1000" s="138">
        <f t="shared" si="15"/>
        <v>3245</v>
      </c>
      <c r="J1000" s="139" t="s">
        <v>515</v>
      </c>
      <c r="K1000" s="140">
        <v>71.39</v>
      </c>
      <c r="L1000">
        <f>Table13[[#This Row],[Price]]*Table13[[#This Row],[Units]]</f>
        <v>3245</v>
      </c>
    </row>
    <row r="1001" spans="1:12" x14ac:dyDescent="0.35">
      <c r="A1001" s="134">
        <v>45706</v>
      </c>
      <c r="B1001" s="135" t="s">
        <v>1505</v>
      </c>
      <c r="C1001" s="136" t="s">
        <v>469</v>
      </c>
      <c r="D1001" s="136" t="s">
        <v>512</v>
      </c>
      <c r="E1001" s="136" t="s">
        <v>320</v>
      </c>
      <c r="F1001" s="136" t="s">
        <v>517</v>
      </c>
      <c r="G1001" s="136">
        <v>16</v>
      </c>
      <c r="H1001" s="137">
        <v>48</v>
      </c>
      <c r="I1001" s="138">
        <f t="shared" si="15"/>
        <v>768</v>
      </c>
      <c r="J1001" s="139" t="s">
        <v>515</v>
      </c>
      <c r="K1001" s="140">
        <v>23.04</v>
      </c>
      <c r="L1001">
        <f>Table13[[#This Row],[Price]]*Table13[[#This Row],[Units]]</f>
        <v>768</v>
      </c>
    </row>
    <row r="1002" spans="1:12" x14ac:dyDescent="0.35">
      <c r="A1002" s="134">
        <v>45706</v>
      </c>
      <c r="B1002" s="135" t="s">
        <v>1506</v>
      </c>
      <c r="C1002" s="136" t="s">
        <v>494</v>
      </c>
      <c r="D1002" s="136" t="s">
        <v>486</v>
      </c>
      <c r="E1002" s="136" t="s">
        <v>483</v>
      </c>
      <c r="F1002" s="136" t="s">
        <v>523</v>
      </c>
      <c r="G1002" s="136">
        <v>56</v>
      </c>
      <c r="H1002" s="137">
        <v>59</v>
      </c>
      <c r="I1002" s="138">
        <f t="shared" si="15"/>
        <v>3304</v>
      </c>
      <c r="J1002" s="139" t="s">
        <v>503</v>
      </c>
      <c r="K1002" s="140">
        <v>69.384</v>
      </c>
      <c r="L1002">
        <f>Table13[[#This Row],[Price]]*Table13[[#This Row],[Units]]</f>
        <v>3304</v>
      </c>
    </row>
    <row r="1003" spans="1:12" x14ac:dyDescent="0.35">
      <c r="A1003" s="134">
        <v>45706</v>
      </c>
      <c r="B1003" s="135" t="s">
        <v>1507</v>
      </c>
      <c r="C1003" s="136" t="s">
        <v>322</v>
      </c>
      <c r="D1003" s="136" t="s">
        <v>477</v>
      </c>
      <c r="E1003" s="136" t="s">
        <v>315</v>
      </c>
      <c r="F1003" s="136" t="s">
        <v>567</v>
      </c>
      <c r="G1003" s="136">
        <v>42</v>
      </c>
      <c r="H1003" s="137">
        <v>59</v>
      </c>
      <c r="I1003" s="138">
        <f t="shared" si="15"/>
        <v>2478</v>
      </c>
      <c r="J1003" s="139" t="s">
        <v>515</v>
      </c>
      <c r="K1003" s="140">
        <v>49.56</v>
      </c>
      <c r="L1003">
        <f>Table13[[#This Row],[Price]]*Table13[[#This Row],[Units]]</f>
        <v>2478</v>
      </c>
    </row>
    <row r="1004" spans="1:12" x14ac:dyDescent="0.35">
      <c r="A1004" s="134">
        <v>45707</v>
      </c>
      <c r="B1004" s="135" t="s">
        <v>1508</v>
      </c>
      <c r="C1004" s="136" t="s">
        <v>484</v>
      </c>
      <c r="D1004" s="136" t="s">
        <v>470</v>
      </c>
      <c r="E1004" s="136" t="s">
        <v>315</v>
      </c>
      <c r="F1004" s="136" t="s">
        <v>517</v>
      </c>
      <c r="G1004" s="136">
        <v>42</v>
      </c>
      <c r="H1004" s="137">
        <v>42</v>
      </c>
      <c r="I1004" s="138">
        <f t="shared" si="15"/>
        <v>1764</v>
      </c>
      <c r="J1004" s="139" t="s">
        <v>466</v>
      </c>
      <c r="K1004" s="140">
        <v>44.1</v>
      </c>
      <c r="L1004">
        <f>Table13[[#This Row],[Price]]*Table13[[#This Row],[Units]]</f>
        <v>1764</v>
      </c>
    </row>
    <row r="1005" spans="1:12" x14ac:dyDescent="0.35">
      <c r="A1005" s="134">
        <v>45707</v>
      </c>
      <c r="B1005" s="135" t="s">
        <v>1509</v>
      </c>
      <c r="C1005" s="136" t="s">
        <v>464</v>
      </c>
      <c r="D1005" s="136" t="s">
        <v>477</v>
      </c>
      <c r="E1005" s="136" t="s">
        <v>324</v>
      </c>
      <c r="F1005" s="136" t="s">
        <v>523</v>
      </c>
      <c r="G1005" s="136">
        <v>37</v>
      </c>
      <c r="H1005" s="137">
        <v>32</v>
      </c>
      <c r="I1005" s="138">
        <f t="shared" si="15"/>
        <v>1184</v>
      </c>
      <c r="J1005" s="139" t="s">
        <v>515</v>
      </c>
      <c r="K1005" s="140">
        <v>34.335999999999999</v>
      </c>
      <c r="L1005">
        <f>Table13[[#This Row],[Price]]*Table13[[#This Row],[Units]]</f>
        <v>1184</v>
      </c>
    </row>
    <row r="1006" spans="1:12" x14ac:dyDescent="0.35">
      <c r="A1006" s="134">
        <v>45707</v>
      </c>
      <c r="B1006" s="135" t="s">
        <v>1510</v>
      </c>
      <c r="C1006" s="136" t="s">
        <v>469</v>
      </c>
      <c r="D1006" s="136" t="s">
        <v>490</v>
      </c>
      <c r="E1006" s="136" t="s">
        <v>324</v>
      </c>
      <c r="F1006" s="136" t="s">
        <v>528</v>
      </c>
      <c r="G1006" s="136">
        <v>47</v>
      </c>
      <c r="H1006" s="137">
        <v>49</v>
      </c>
      <c r="I1006" s="138">
        <f t="shared" si="15"/>
        <v>2303</v>
      </c>
      <c r="J1006" s="139" t="s">
        <v>466</v>
      </c>
      <c r="K1006" s="140">
        <v>62.180999999999997</v>
      </c>
      <c r="L1006">
        <f>Table13[[#This Row],[Price]]*Table13[[#This Row],[Units]]</f>
        <v>2303</v>
      </c>
    </row>
    <row r="1007" spans="1:12" x14ac:dyDescent="0.35">
      <c r="A1007" s="134">
        <v>45707</v>
      </c>
      <c r="B1007" s="135" t="s">
        <v>1511</v>
      </c>
      <c r="C1007" s="136" t="s">
        <v>494</v>
      </c>
      <c r="D1007" s="136" t="s">
        <v>465</v>
      </c>
      <c r="E1007" s="136" t="s">
        <v>483</v>
      </c>
      <c r="F1007" s="136" t="s">
        <v>505</v>
      </c>
      <c r="G1007" s="136">
        <v>28</v>
      </c>
      <c r="H1007" s="137">
        <v>52</v>
      </c>
      <c r="I1007" s="138">
        <f t="shared" si="15"/>
        <v>1456</v>
      </c>
      <c r="J1007" s="139" t="s">
        <v>472</v>
      </c>
      <c r="K1007" s="140">
        <v>30.576000000000001</v>
      </c>
      <c r="L1007">
        <f>Table13[[#This Row],[Price]]*Table13[[#This Row],[Units]]</f>
        <v>1456</v>
      </c>
    </row>
    <row r="1008" spans="1:12" x14ac:dyDescent="0.35">
      <c r="A1008" s="134">
        <v>45707</v>
      </c>
      <c r="B1008" s="135" t="s">
        <v>1512</v>
      </c>
      <c r="C1008" s="136" t="s">
        <v>322</v>
      </c>
      <c r="D1008" s="136" t="s">
        <v>470</v>
      </c>
      <c r="E1008" s="136" t="s">
        <v>315</v>
      </c>
      <c r="F1008" s="136" t="s">
        <v>491</v>
      </c>
      <c r="G1008" s="136">
        <v>36</v>
      </c>
      <c r="H1008" s="137">
        <v>37</v>
      </c>
      <c r="I1008" s="138">
        <f t="shared" si="15"/>
        <v>1332</v>
      </c>
      <c r="J1008" s="139" t="s">
        <v>515</v>
      </c>
      <c r="K1008" s="140">
        <v>26.64</v>
      </c>
      <c r="L1008">
        <f>Table13[[#This Row],[Price]]*Table13[[#This Row],[Units]]</f>
        <v>1332</v>
      </c>
    </row>
    <row r="1009" spans="1:12" x14ac:dyDescent="0.35">
      <c r="A1009" s="134">
        <v>45707</v>
      </c>
      <c r="B1009" s="135" t="s">
        <v>1513</v>
      </c>
      <c r="C1009" s="136" t="s">
        <v>476</v>
      </c>
      <c r="D1009" s="136" t="s">
        <v>486</v>
      </c>
      <c r="E1009" s="136" t="s">
        <v>333</v>
      </c>
      <c r="F1009" s="136" t="s">
        <v>517</v>
      </c>
      <c r="G1009" s="136">
        <v>57</v>
      </c>
      <c r="H1009" s="137">
        <v>40</v>
      </c>
      <c r="I1009" s="138">
        <f t="shared" si="15"/>
        <v>2280</v>
      </c>
      <c r="J1009" s="139" t="s">
        <v>515</v>
      </c>
      <c r="K1009" s="140">
        <v>57</v>
      </c>
      <c r="L1009">
        <f>Table13[[#This Row],[Price]]*Table13[[#This Row],[Units]]</f>
        <v>2280</v>
      </c>
    </row>
    <row r="1010" spans="1:12" x14ac:dyDescent="0.35">
      <c r="A1010" s="134">
        <v>45707</v>
      </c>
      <c r="B1010" s="135" t="s">
        <v>1514</v>
      </c>
      <c r="C1010" s="136" t="s">
        <v>501</v>
      </c>
      <c r="D1010" s="136" t="s">
        <v>470</v>
      </c>
      <c r="E1010" s="136" t="s">
        <v>483</v>
      </c>
      <c r="F1010" s="136" t="s">
        <v>528</v>
      </c>
      <c r="G1010" s="136">
        <v>10</v>
      </c>
      <c r="H1010" s="137">
        <v>20</v>
      </c>
      <c r="I1010" s="138">
        <f t="shared" si="15"/>
        <v>200</v>
      </c>
      <c r="J1010" s="139" t="s">
        <v>466</v>
      </c>
      <c r="K1010" s="140">
        <v>4.4000000000000004</v>
      </c>
      <c r="L1010">
        <f>Table13[[#This Row],[Price]]*Table13[[#This Row],[Units]]</f>
        <v>200</v>
      </c>
    </row>
    <row r="1011" spans="1:12" x14ac:dyDescent="0.35">
      <c r="A1011" s="134">
        <v>45707</v>
      </c>
      <c r="B1011" s="135" t="s">
        <v>1515</v>
      </c>
      <c r="C1011" s="136" t="s">
        <v>322</v>
      </c>
      <c r="D1011" s="136" t="s">
        <v>512</v>
      </c>
      <c r="E1011" s="136" t="s">
        <v>483</v>
      </c>
      <c r="F1011" s="136" t="s">
        <v>487</v>
      </c>
      <c r="G1011" s="136">
        <v>28</v>
      </c>
      <c r="H1011" s="137">
        <v>52</v>
      </c>
      <c r="I1011" s="138">
        <f t="shared" si="15"/>
        <v>1456</v>
      </c>
      <c r="J1011" s="139" t="s">
        <v>466</v>
      </c>
      <c r="K1011" s="140">
        <v>29.12</v>
      </c>
      <c r="L1011">
        <f>Table13[[#This Row],[Price]]*Table13[[#This Row],[Units]]</f>
        <v>1456</v>
      </c>
    </row>
    <row r="1012" spans="1:12" x14ac:dyDescent="0.35">
      <c r="A1012" s="134">
        <v>45708</v>
      </c>
      <c r="B1012" s="135" t="s">
        <v>1516</v>
      </c>
      <c r="C1012" s="136" t="s">
        <v>494</v>
      </c>
      <c r="D1012" s="136" t="s">
        <v>470</v>
      </c>
      <c r="E1012" s="136" t="s">
        <v>333</v>
      </c>
      <c r="F1012" s="136" t="s">
        <v>505</v>
      </c>
      <c r="G1012" s="136">
        <v>16</v>
      </c>
      <c r="H1012" s="137">
        <v>21</v>
      </c>
      <c r="I1012" s="138">
        <f t="shared" si="15"/>
        <v>336</v>
      </c>
      <c r="J1012" s="139" t="s">
        <v>515</v>
      </c>
      <c r="K1012" s="140">
        <v>9.4079999999999995</v>
      </c>
      <c r="L1012">
        <f>Table13[[#This Row],[Price]]*Table13[[#This Row],[Units]]</f>
        <v>336</v>
      </c>
    </row>
    <row r="1013" spans="1:12" x14ac:dyDescent="0.35">
      <c r="A1013" s="134">
        <v>45708</v>
      </c>
      <c r="B1013" s="135" t="s">
        <v>1517</v>
      </c>
      <c r="C1013" s="136" t="s">
        <v>322</v>
      </c>
      <c r="D1013" s="136" t="s">
        <v>486</v>
      </c>
      <c r="E1013" s="136" t="s">
        <v>324</v>
      </c>
      <c r="F1013" s="136" t="s">
        <v>500</v>
      </c>
      <c r="G1013" s="136">
        <v>33</v>
      </c>
      <c r="H1013" s="137">
        <v>45</v>
      </c>
      <c r="I1013" s="138">
        <f t="shared" si="15"/>
        <v>1485</v>
      </c>
      <c r="J1013" s="139" t="s">
        <v>515</v>
      </c>
      <c r="K1013" s="140">
        <v>31.184999999999999</v>
      </c>
      <c r="L1013">
        <f>Table13[[#This Row],[Price]]*Table13[[#This Row],[Units]]</f>
        <v>1485</v>
      </c>
    </row>
    <row r="1014" spans="1:12" x14ac:dyDescent="0.35">
      <c r="A1014" s="134">
        <v>45708</v>
      </c>
      <c r="B1014" s="135" t="s">
        <v>1518</v>
      </c>
      <c r="C1014" s="136" t="s">
        <v>494</v>
      </c>
      <c r="D1014" s="136" t="s">
        <v>519</v>
      </c>
      <c r="E1014" s="136" t="s">
        <v>315</v>
      </c>
      <c r="F1014" s="136" t="s">
        <v>517</v>
      </c>
      <c r="G1014" s="136">
        <v>27</v>
      </c>
      <c r="H1014" s="137">
        <v>37</v>
      </c>
      <c r="I1014" s="138">
        <f t="shared" si="15"/>
        <v>999</v>
      </c>
      <c r="J1014" s="139" t="s">
        <v>466</v>
      </c>
      <c r="K1014" s="140">
        <v>25.974</v>
      </c>
      <c r="L1014">
        <f>Table13[[#This Row],[Price]]*Table13[[#This Row],[Units]]</f>
        <v>999</v>
      </c>
    </row>
    <row r="1015" spans="1:12" x14ac:dyDescent="0.35">
      <c r="A1015" s="134">
        <v>45708</v>
      </c>
      <c r="B1015" s="135" t="s">
        <v>1519</v>
      </c>
      <c r="C1015" s="136" t="s">
        <v>469</v>
      </c>
      <c r="D1015" s="136" t="s">
        <v>490</v>
      </c>
      <c r="E1015" s="136" t="s">
        <v>320</v>
      </c>
      <c r="F1015" s="136" t="s">
        <v>539</v>
      </c>
      <c r="G1015" s="136">
        <v>42</v>
      </c>
      <c r="H1015" s="137">
        <v>58</v>
      </c>
      <c r="I1015" s="138">
        <f t="shared" si="15"/>
        <v>2436</v>
      </c>
      <c r="J1015" s="139" t="s">
        <v>466</v>
      </c>
      <c r="K1015" s="140">
        <v>56.027999999999999</v>
      </c>
      <c r="L1015">
        <f>Table13[[#This Row],[Price]]*Table13[[#This Row],[Units]]</f>
        <v>2436</v>
      </c>
    </row>
    <row r="1016" spans="1:12" x14ac:dyDescent="0.35">
      <c r="A1016" s="134">
        <v>45708</v>
      </c>
      <c r="B1016" s="135" t="s">
        <v>1520</v>
      </c>
      <c r="C1016" s="136" t="s">
        <v>464</v>
      </c>
      <c r="D1016" s="136" t="s">
        <v>470</v>
      </c>
      <c r="E1016" s="136" t="s">
        <v>390</v>
      </c>
      <c r="F1016" s="136" t="s">
        <v>523</v>
      </c>
      <c r="G1016" s="136">
        <v>59</v>
      </c>
      <c r="H1016" s="137">
        <v>53</v>
      </c>
      <c r="I1016" s="138">
        <f t="shared" si="15"/>
        <v>3127</v>
      </c>
      <c r="J1016" s="139" t="s">
        <v>503</v>
      </c>
      <c r="K1016" s="140">
        <v>90.683000000000007</v>
      </c>
      <c r="L1016">
        <f>Table13[[#This Row],[Price]]*Table13[[#This Row],[Units]]</f>
        <v>3127</v>
      </c>
    </row>
    <row r="1017" spans="1:12" x14ac:dyDescent="0.35">
      <c r="A1017" s="134">
        <v>45709</v>
      </c>
      <c r="B1017" s="135" t="s">
        <v>1521</v>
      </c>
      <c r="C1017" s="136" t="s">
        <v>489</v>
      </c>
      <c r="D1017" s="136" t="s">
        <v>519</v>
      </c>
      <c r="E1017" s="136" t="s">
        <v>324</v>
      </c>
      <c r="F1017" s="136" t="s">
        <v>478</v>
      </c>
      <c r="G1017" s="136">
        <v>35</v>
      </c>
      <c r="H1017" s="137">
        <v>34</v>
      </c>
      <c r="I1017" s="138">
        <f t="shared" si="15"/>
        <v>1190</v>
      </c>
      <c r="J1017" s="139" t="s">
        <v>466</v>
      </c>
      <c r="K1017" s="140">
        <v>32.130000000000003</v>
      </c>
      <c r="L1017">
        <f>Table13[[#This Row],[Price]]*Table13[[#This Row],[Units]]</f>
        <v>1190</v>
      </c>
    </row>
    <row r="1018" spans="1:12" x14ac:dyDescent="0.35">
      <c r="A1018" s="134">
        <v>45709</v>
      </c>
      <c r="B1018" s="135" t="s">
        <v>1522</v>
      </c>
      <c r="C1018" s="136" t="s">
        <v>494</v>
      </c>
      <c r="D1018" s="136" t="s">
        <v>465</v>
      </c>
      <c r="E1018" s="136" t="s">
        <v>315</v>
      </c>
      <c r="F1018" s="136" t="s">
        <v>510</v>
      </c>
      <c r="G1018" s="136">
        <v>57</v>
      </c>
      <c r="H1018" s="137">
        <v>29</v>
      </c>
      <c r="I1018" s="138">
        <f t="shared" si="15"/>
        <v>1653</v>
      </c>
      <c r="J1018" s="139" t="s">
        <v>466</v>
      </c>
      <c r="K1018" s="140">
        <v>49.59</v>
      </c>
      <c r="L1018">
        <f>Table13[[#This Row],[Price]]*Table13[[#This Row],[Units]]</f>
        <v>1653</v>
      </c>
    </row>
    <row r="1019" spans="1:12" x14ac:dyDescent="0.35">
      <c r="A1019" s="134">
        <v>45709</v>
      </c>
      <c r="B1019" s="135" t="s">
        <v>1523</v>
      </c>
      <c r="C1019" s="136" t="s">
        <v>476</v>
      </c>
      <c r="D1019" s="136" t="s">
        <v>477</v>
      </c>
      <c r="E1019" s="136" t="s">
        <v>324</v>
      </c>
      <c r="F1019" s="136" t="s">
        <v>478</v>
      </c>
      <c r="G1019" s="136">
        <v>16</v>
      </c>
      <c r="H1019" s="137">
        <v>59</v>
      </c>
      <c r="I1019" s="138">
        <f t="shared" si="15"/>
        <v>944</v>
      </c>
      <c r="J1019" s="139" t="s">
        <v>466</v>
      </c>
      <c r="K1019" s="140">
        <v>24.544</v>
      </c>
      <c r="L1019">
        <f>Table13[[#This Row],[Price]]*Table13[[#This Row],[Units]]</f>
        <v>944</v>
      </c>
    </row>
    <row r="1020" spans="1:12" x14ac:dyDescent="0.35">
      <c r="A1020" s="134">
        <v>45709</v>
      </c>
      <c r="B1020" s="135" t="s">
        <v>1524</v>
      </c>
      <c r="C1020" s="136" t="s">
        <v>489</v>
      </c>
      <c r="D1020" s="136" t="s">
        <v>486</v>
      </c>
      <c r="E1020" s="136" t="s">
        <v>333</v>
      </c>
      <c r="F1020" s="136" t="s">
        <v>528</v>
      </c>
      <c r="G1020" s="136">
        <v>12</v>
      </c>
      <c r="H1020" s="137">
        <v>37</v>
      </c>
      <c r="I1020" s="138">
        <f t="shared" si="15"/>
        <v>444</v>
      </c>
      <c r="J1020" s="139" t="s">
        <v>466</v>
      </c>
      <c r="K1020" s="140">
        <v>11.988</v>
      </c>
      <c r="L1020">
        <f>Table13[[#This Row],[Price]]*Table13[[#This Row],[Units]]</f>
        <v>444</v>
      </c>
    </row>
    <row r="1021" spans="1:12" x14ac:dyDescent="0.35">
      <c r="A1021" s="134">
        <v>45709</v>
      </c>
      <c r="B1021" s="135" t="s">
        <v>1525</v>
      </c>
      <c r="C1021" s="136" t="s">
        <v>501</v>
      </c>
      <c r="D1021" s="136" t="s">
        <v>470</v>
      </c>
      <c r="E1021" s="136" t="s">
        <v>324</v>
      </c>
      <c r="F1021" s="136" t="s">
        <v>478</v>
      </c>
      <c r="G1021" s="136">
        <v>59</v>
      </c>
      <c r="H1021" s="137">
        <v>57</v>
      </c>
      <c r="I1021" s="138">
        <f t="shared" si="15"/>
        <v>3363</v>
      </c>
      <c r="J1021" s="139" t="s">
        <v>466</v>
      </c>
      <c r="K1021" s="140">
        <v>97.527000000000001</v>
      </c>
      <c r="L1021">
        <f>Table13[[#This Row],[Price]]*Table13[[#This Row],[Units]]</f>
        <v>3363</v>
      </c>
    </row>
    <row r="1022" spans="1:12" x14ac:dyDescent="0.35">
      <c r="A1022" s="134">
        <v>45709</v>
      </c>
      <c r="B1022" s="135" t="s">
        <v>1526</v>
      </c>
      <c r="C1022" s="136" t="s">
        <v>484</v>
      </c>
      <c r="D1022" s="136" t="s">
        <v>470</v>
      </c>
      <c r="E1022" s="136" t="s">
        <v>483</v>
      </c>
      <c r="F1022" s="136" t="s">
        <v>505</v>
      </c>
      <c r="G1022" s="136">
        <v>29</v>
      </c>
      <c r="H1022" s="137">
        <v>23</v>
      </c>
      <c r="I1022" s="138">
        <f t="shared" si="15"/>
        <v>667</v>
      </c>
      <c r="J1022" s="139" t="s">
        <v>466</v>
      </c>
      <c r="K1022" s="140">
        <v>16.007999999999999</v>
      </c>
      <c r="L1022">
        <f>Table13[[#This Row],[Price]]*Table13[[#This Row],[Units]]</f>
        <v>667</v>
      </c>
    </row>
    <row r="1023" spans="1:12" x14ac:dyDescent="0.35">
      <c r="A1023" s="134">
        <v>45710</v>
      </c>
      <c r="B1023" s="135" t="s">
        <v>1527</v>
      </c>
      <c r="C1023" s="136" t="s">
        <v>494</v>
      </c>
      <c r="D1023" s="136" t="s">
        <v>486</v>
      </c>
      <c r="E1023" s="136" t="s">
        <v>320</v>
      </c>
      <c r="F1023" s="136" t="s">
        <v>505</v>
      </c>
      <c r="G1023" s="136">
        <v>49</v>
      </c>
      <c r="H1023" s="137">
        <v>25</v>
      </c>
      <c r="I1023" s="138">
        <f t="shared" si="15"/>
        <v>1225</v>
      </c>
      <c r="J1023" s="139" t="s">
        <v>466</v>
      </c>
      <c r="K1023" s="140">
        <v>36.75</v>
      </c>
      <c r="L1023">
        <f>Table13[[#This Row],[Price]]*Table13[[#This Row],[Units]]</f>
        <v>1225</v>
      </c>
    </row>
    <row r="1024" spans="1:12" x14ac:dyDescent="0.35">
      <c r="A1024" s="134">
        <v>45711</v>
      </c>
      <c r="B1024" s="135" t="s">
        <v>1528</v>
      </c>
      <c r="C1024" s="136" t="s">
        <v>494</v>
      </c>
      <c r="D1024" s="136" t="s">
        <v>465</v>
      </c>
      <c r="E1024" s="136" t="s">
        <v>390</v>
      </c>
      <c r="F1024" s="136" t="s">
        <v>497</v>
      </c>
      <c r="G1024" s="136">
        <v>17</v>
      </c>
      <c r="H1024" s="137">
        <v>35</v>
      </c>
      <c r="I1024" s="138">
        <f t="shared" si="15"/>
        <v>595</v>
      </c>
      <c r="J1024" s="139" t="s">
        <v>515</v>
      </c>
      <c r="K1024" s="140">
        <v>16.065000000000001</v>
      </c>
      <c r="L1024">
        <f>Table13[[#This Row],[Price]]*Table13[[#This Row],[Units]]</f>
        <v>595</v>
      </c>
    </row>
    <row r="1025" spans="1:12" x14ac:dyDescent="0.35">
      <c r="A1025" s="134">
        <v>45711</v>
      </c>
      <c r="B1025" s="135" t="s">
        <v>1529</v>
      </c>
      <c r="C1025" s="136" t="s">
        <v>464</v>
      </c>
      <c r="D1025" s="136" t="s">
        <v>470</v>
      </c>
      <c r="E1025" s="136" t="s">
        <v>320</v>
      </c>
      <c r="F1025" s="136" t="s">
        <v>520</v>
      </c>
      <c r="G1025" s="136">
        <v>14</v>
      </c>
      <c r="H1025" s="137">
        <v>57</v>
      </c>
      <c r="I1025" s="138">
        <f t="shared" si="15"/>
        <v>798</v>
      </c>
      <c r="J1025" s="139" t="s">
        <v>466</v>
      </c>
      <c r="K1025" s="140">
        <v>18.353999999999999</v>
      </c>
      <c r="L1025">
        <f>Table13[[#This Row],[Price]]*Table13[[#This Row],[Units]]</f>
        <v>798</v>
      </c>
    </row>
    <row r="1026" spans="1:12" x14ac:dyDescent="0.35">
      <c r="A1026" s="134">
        <v>45711</v>
      </c>
      <c r="B1026" s="135" t="s">
        <v>1530</v>
      </c>
      <c r="C1026" s="136" t="s">
        <v>489</v>
      </c>
      <c r="D1026" s="136" t="s">
        <v>486</v>
      </c>
      <c r="E1026" s="136" t="s">
        <v>412</v>
      </c>
      <c r="F1026" s="136" t="s">
        <v>471</v>
      </c>
      <c r="G1026" s="136">
        <v>12</v>
      </c>
      <c r="H1026" s="137">
        <v>34</v>
      </c>
      <c r="I1026" s="138">
        <f t="shared" si="15"/>
        <v>408</v>
      </c>
      <c r="J1026" s="139" t="s">
        <v>515</v>
      </c>
      <c r="K1026" s="140">
        <v>10.608000000000001</v>
      </c>
      <c r="L1026">
        <f>Table13[[#This Row],[Price]]*Table13[[#This Row],[Units]]</f>
        <v>408</v>
      </c>
    </row>
    <row r="1027" spans="1:12" x14ac:dyDescent="0.35">
      <c r="A1027" s="134">
        <v>45711</v>
      </c>
      <c r="B1027" s="135" t="s">
        <v>1531</v>
      </c>
      <c r="C1027" s="136" t="s">
        <v>476</v>
      </c>
      <c r="D1027" s="136" t="s">
        <v>477</v>
      </c>
      <c r="E1027" s="136" t="s">
        <v>324</v>
      </c>
      <c r="F1027" s="136" t="s">
        <v>520</v>
      </c>
      <c r="G1027" s="136">
        <v>30</v>
      </c>
      <c r="H1027" s="137">
        <v>37</v>
      </c>
      <c r="I1027" s="138">
        <f t="shared" ref="I1027:I1090" si="16">G1027*H1027</f>
        <v>1110</v>
      </c>
      <c r="J1027" s="139" t="s">
        <v>472</v>
      </c>
      <c r="K1027" s="140">
        <v>25.53</v>
      </c>
      <c r="L1027">
        <f>Table13[[#This Row],[Price]]*Table13[[#This Row],[Units]]</f>
        <v>1110</v>
      </c>
    </row>
    <row r="1028" spans="1:12" x14ac:dyDescent="0.35">
      <c r="A1028" s="134">
        <v>45711</v>
      </c>
      <c r="B1028" s="135" t="s">
        <v>1532</v>
      </c>
      <c r="C1028" s="136" t="s">
        <v>494</v>
      </c>
      <c r="D1028" s="136" t="s">
        <v>470</v>
      </c>
      <c r="E1028" s="136" t="s">
        <v>412</v>
      </c>
      <c r="F1028" s="136" t="s">
        <v>497</v>
      </c>
      <c r="G1028" s="136">
        <v>45</v>
      </c>
      <c r="H1028" s="137">
        <v>42</v>
      </c>
      <c r="I1028" s="138">
        <f t="shared" si="16"/>
        <v>1890</v>
      </c>
      <c r="J1028" s="139" t="s">
        <v>515</v>
      </c>
      <c r="K1028" s="140">
        <v>39.69</v>
      </c>
      <c r="L1028">
        <f>Table13[[#This Row],[Price]]*Table13[[#This Row],[Units]]</f>
        <v>1890</v>
      </c>
    </row>
    <row r="1029" spans="1:12" x14ac:dyDescent="0.35">
      <c r="A1029" s="134">
        <v>45711</v>
      </c>
      <c r="B1029" s="135" t="s">
        <v>1533</v>
      </c>
      <c r="C1029" s="136" t="s">
        <v>494</v>
      </c>
      <c r="D1029" s="136" t="s">
        <v>477</v>
      </c>
      <c r="E1029" s="136" t="s">
        <v>315</v>
      </c>
      <c r="F1029" s="136" t="s">
        <v>505</v>
      </c>
      <c r="G1029" s="136">
        <v>59</v>
      </c>
      <c r="H1029" s="137">
        <v>29</v>
      </c>
      <c r="I1029" s="138">
        <f t="shared" si="16"/>
        <v>1711</v>
      </c>
      <c r="J1029" s="139" t="s">
        <v>515</v>
      </c>
      <c r="K1029" s="140">
        <v>46.197000000000003</v>
      </c>
      <c r="L1029">
        <f>Table13[[#This Row],[Price]]*Table13[[#This Row],[Units]]</f>
        <v>1711</v>
      </c>
    </row>
    <row r="1030" spans="1:12" x14ac:dyDescent="0.35">
      <c r="A1030" s="134">
        <v>45711</v>
      </c>
      <c r="B1030" s="135" t="s">
        <v>1534</v>
      </c>
      <c r="C1030" s="136" t="s">
        <v>322</v>
      </c>
      <c r="D1030" s="136" t="s">
        <v>512</v>
      </c>
      <c r="E1030" s="136" t="s">
        <v>315</v>
      </c>
      <c r="F1030" s="136" t="s">
        <v>539</v>
      </c>
      <c r="G1030" s="136">
        <v>27</v>
      </c>
      <c r="H1030" s="137">
        <v>50</v>
      </c>
      <c r="I1030" s="138">
        <f t="shared" si="16"/>
        <v>1350</v>
      </c>
      <c r="J1030" s="139" t="s">
        <v>466</v>
      </c>
      <c r="K1030" s="140">
        <v>31.05</v>
      </c>
      <c r="L1030">
        <f>Table13[[#This Row],[Price]]*Table13[[#This Row],[Units]]</f>
        <v>1350</v>
      </c>
    </row>
    <row r="1031" spans="1:12" x14ac:dyDescent="0.35">
      <c r="A1031" s="134">
        <v>45712</v>
      </c>
      <c r="B1031" s="135" t="s">
        <v>1535</v>
      </c>
      <c r="C1031" s="136" t="s">
        <v>489</v>
      </c>
      <c r="D1031" s="136" t="s">
        <v>477</v>
      </c>
      <c r="E1031" s="136" t="s">
        <v>315</v>
      </c>
      <c r="F1031" s="136" t="s">
        <v>536</v>
      </c>
      <c r="G1031" s="136">
        <v>54</v>
      </c>
      <c r="H1031" s="137">
        <v>51</v>
      </c>
      <c r="I1031" s="138">
        <f t="shared" si="16"/>
        <v>2754</v>
      </c>
      <c r="J1031" s="139" t="s">
        <v>472</v>
      </c>
      <c r="K1031" s="140">
        <v>74.358000000000004</v>
      </c>
      <c r="L1031">
        <f>Table13[[#This Row],[Price]]*Table13[[#This Row],[Units]]</f>
        <v>2754</v>
      </c>
    </row>
    <row r="1032" spans="1:12" x14ac:dyDescent="0.35">
      <c r="A1032" s="134">
        <v>45712</v>
      </c>
      <c r="B1032" s="135" t="s">
        <v>1536</v>
      </c>
      <c r="C1032" s="136" t="s">
        <v>469</v>
      </c>
      <c r="D1032" s="136" t="s">
        <v>486</v>
      </c>
      <c r="E1032" s="136" t="s">
        <v>483</v>
      </c>
      <c r="F1032" s="136" t="s">
        <v>536</v>
      </c>
      <c r="G1032" s="136">
        <v>39</v>
      </c>
      <c r="H1032" s="137">
        <v>46</v>
      </c>
      <c r="I1032" s="138">
        <f t="shared" si="16"/>
        <v>1794</v>
      </c>
      <c r="J1032" s="139" t="s">
        <v>472</v>
      </c>
      <c r="K1032" s="140">
        <v>37.673999999999999</v>
      </c>
      <c r="L1032">
        <f>Table13[[#This Row],[Price]]*Table13[[#This Row],[Units]]</f>
        <v>1794</v>
      </c>
    </row>
    <row r="1033" spans="1:12" x14ac:dyDescent="0.35">
      <c r="A1033" s="134">
        <v>45712</v>
      </c>
      <c r="B1033" s="135" t="s">
        <v>1537</v>
      </c>
      <c r="C1033" s="136" t="s">
        <v>501</v>
      </c>
      <c r="D1033" s="136" t="s">
        <v>512</v>
      </c>
      <c r="E1033" s="136" t="s">
        <v>412</v>
      </c>
      <c r="F1033" s="136" t="s">
        <v>536</v>
      </c>
      <c r="G1033" s="136">
        <v>26</v>
      </c>
      <c r="H1033" s="137">
        <v>53</v>
      </c>
      <c r="I1033" s="138">
        <f t="shared" si="16"/>
        <v>1378</v>
      </c>
      <c r="J1033" s="139" t="s">
        <v>515</v>
      </c>
      <c r="K1033" s="140">
        <v>39.962000000000003</v>
      </c>
      <c r="L1033">
        <f>Table13[[#This Row],[Price]]*Table13[[#This Row],[Units]]</f>
        <v>1378</v>
      </c>
    </row>
    <row r="1034" spans="1:12" x14ac:dyDescent="0.35">
      <c r="A1034" s="134">
        <v>45713</v>
      </c>
      <c r="B1034" s="135" t="s">
        <v>1538</v>
      </c>
      <c r="C1034" s="136" t="s">
        <v>484</v>
      </c>
      <c r="D1034" s="136" t="s">
        <v>470</v>
      </c>
      <c r="E1034" s="136" t="s">
        <v>333</v>
      </c>
      <c r="F1034" s="136" t="s">
        <v>471</v>
      </c>
      <c r="G1034" s="136">
        <v>55</v>
      </c>
      <c r="H1034" s="137">
        <v>33</v>
      </c>
      <c r="I1034" s="138">
        <f t="shared" si="16"/>
        <v>1815</v>
      </c>
      <c r="J1034" s="139" t="s">
        <v>472</v>
      </c>
      <c r="K1034" s="140">
        <v>49.005000000000003</v>
      </c>
      <c r="L1034">
        <f>Table13[[#This Row],[Price]]*Table13[[#This Row],[Units]]</f>
        <v>1815</v>
      </c>
    </row>
    <row r="1035" spans="1:12" x14ac:dyDescent="0.35">
      <c r="A1035" s="134">
        <v>45713</v>
      </c>
      <c r="B1035" s="135" t="s">
        <v>1539</v>
      </c>
      <c r="C1035" s="136" t="s">
        <v>322</v>
      </c>
      <c r="D1035" s="136" t="s">
        <v>519</v>
      </c>
      <c r="E1035" s="136" t="s">
        <v>333</v>
      </c>
      <c r="F1035" s="136" t="s">
        <v>454</v>
      </c>
      <c r="G1035" s="136">
        <v>17</v>
      </c>
      <c r="H1035" s="137">
        <v>49</v>
      </c>
      <c r="I1035" s="138">
        <f t="shared" si="16"/>
        <v>833</v>
      </c>
      <c r="J1035" s="139" t="s">
        <v>466</v>
      </c>
      <c r="K1035" s="140">
        <v>23.324000000000002</v>
      </c>
      <c r="L1035">
        <f>Table13[[#This Row],[Price]]*Table13[[#This Row],[Units]]</f>
        <v>833</v>
      </c>
    </row>
    <row r="1036" spans="1:12" x14ac:dyDescent="0.35">
      <c r="A1036" s="134">
        <v>45713</v>
      </c>
      <c r="B1036" s="135" t="s">
        <v>1540</v>
      </c>
      <c r="C1036" s="136" t="s">
        <v>494</v>
      </c>
      <c r="D1036" s="136" t="s">
        <v>512</v>
      </c>
      <c r="E1036" s="136" t="s">
        <v>324</v>
      </c>
      <c r="F1036" s="136" t="s">
        <v>478</v>
      </c>
      <c r="G1036" s="136">
        <v>37</v>
      </c>
      <c r="H1036" s="137">
        <v>49</v>
      </c>
      <c r="I1036" s="138">
        <f t="shared" si="16"/>
        <v>1813</v>
      </c>
      <c r="J1036" s="139" t="s">
        <v>466</v>
      </c>
      <c r="K1036" s="140">
        <v>50.764000000000003</v>
      </c>
      <c r="L1036">
        <f>Table13[[#This Row],[Price]]*Table13[[#This Row],[Units]]</f>
        <v>1813</v>
      </c>
    </row>
    <row r="1037" spans="1:12" x14ac:dyDescent="0.35">
      <c r="A1037" s="134">
        <v>45713</v>
      </c>
      <c r="B1037" s="135" t="s">
        <v>1541</v>
      </c>
      <c r="C1037" s="136" t="s">
        <v>489</v>
      </c>
      <c r="D1037" s="136" t="s">
        <v>477</v>
      </c>
      <c r="E1037" s="136" t="s">
        <v>483</v>
      </c>
      <c r="F1037" s="136" t="s">
        <v>567</v>
      </c>
      <c r="G1037" s="136">
        <v>25</v>
      </c>
      <c r="H1037" s="137">
        <v>32</v>
      </c>
      <c r="I1037" s="138">
        <f t="shared" si="16"/>
        <v>800</v>
      </c>
      <c r="J1037" s="139" t="s">
        <v>466</v>
      </c>
      <c r="K1037" s="140">
        <v>20</v>
      </c>
      <c r="L1037">
        <f>Table13[[#This Row],[Price]]*Table13[[#This Row],[Units]]</f>
        <v>800</v>
      </c>
    </row>
    <row r="1038" spans="1:12" x14ac:dyDescent="0.35">
      <c r="A1038" s="134">
        <v>45713</v>
      </c>
      <c r="B1038" s="135" t="s">
        <v>1542</v>
      </c>
      <c r="C1038" s="136" t="s">
        <v>494</v>
      </c>
      <c r="D1038" s="136" t="s">
        <v>519</v>
      </c>
      <c r="E1038" s="136" t="s">
        <v>315</v>
      </c>
      <c r="F1038" s="136" t="s">
        <v>528</v>
      </c>
      <c r="G1038" s="136">
        <v>52</v>
      </c>
      <c r="H1038" s="137">
        <v>34</v>
      </c>
      <c r="I1038" s="138">
        <f t="shared" si="16"/>
        <v>1768</v>
      </c>
      <c r="J1038" s="139" t="s">
        <v>472</v>
      </c>
      <c r="K1038" s="140">
        <v>44.2</v>
      </c>
      <c r="L1038">
        <f>Table13[[#This Row],[Price]]*Table13[[#This Row],[Units]]</f>
        <v>1768</v>
      </c>
    </row>
    <row r="1039" spans="1:12" x14ac:dyDescent="0.35">
      <c r="A1039" s="134">
        <v>45713</v>
      </c>
      <c r="B1039" s="135" t="s">
        <v>1543</v>
      </c>
      <c r="C1039" s="136" t="s">
        <v>501</v>
      </c>
      <c r="D1039" s="136" t="s">
        <v>490</v>
      </c>
      <c r="E1039" s="136" t="s">
        <v>320</v>
      </c>
      <c r="F1039" s="136" t="s">
        <v>478</v>
      </c>
      <c r="G1039" s="136">
        <v>49</v>
      </c>
      <c r="H1039" s="137">
        <v>48</v>
      </c>
      <c r="I1039" s="138">
        <f t="shared" si="16"/>
        <v>2352</v>
      </c>
      <c r="J1039" s="139" t="s">
        <v>515</v>
      </c>
      <c r="K1039" s="140">
        <v>58.8</v>
      </c>
      <c r="L1039">
        <f>Table13[[#This Row],[Price]]*Table13[[#This Row],[Units]]</f>
        <v>2352</v>
      </c>
    </row>
    <row r="1040" spans="1:12" x14ac:dyDescent="0.35">
      <c r="A1040" s="134">
        <v>45713</v>
      </c>
      <c r="B1040" s="135" t="s">
        <v>1544</v>
      </c>
      <c r="C1040" s="136" t="s">
        <v>464</v>
      </c>
      <c r="D1040" s="136" t="s">
        <v>519</v>
      </c>
      <c r="E1040" s="136" t="s">
        <v>483</v>
      </c>
      <c r="F1040" s="136" t="s">
        <v>491</v>
      </c>
      <c r="G1040" s="136">
        <v>54</v>
      </c>
      <c r="H1040" s="137">
        <v>59</v>
      </c>
      <c r="I1040" s="138">
        <f t="shared" si="16"/>
        <v>3186</v>
      </c>
      <c r="J1040" s="139" t="s">
        <v>466</v>
      </c>
      <c r="K1040" s="140">
        <v>79.650000000000006</v>
      </c>
      <c r="L1040">
        <f>Table13[[#This Row],[Price]]*Table13[[#This Row],[Units]]</f>
        <v>3186</v>
      </c>
    </row>
    <row r="1041" spans="1:12" x14ac:dyDescent="0.35">
      <c r="A1041" s="134">
        <v>45713</v>
      </c>
      <c r="B1041" s="135" t="s">
        <v>1545</v>
      </c>
      <c r="C1041" s="136" t="s">
        <v>501</v>
      </c>
      <c r="D1041" s="136" t="s">
        <v>477</v>
      </c>
      <c r="E1041" s="136" t="s">
        <v>412</v>
      </c>
      <c r="F1041" s="136" t="s">
        <v>454</v>
      </c>
      <c r="G1041" s="136">
        <v>39</v>
      </c>
      <c r="H1041" s="137">
        <v>58</v>
      </c>
      <c r="I1041" s="138">
        <f t="shared" si="16"/>
        <v>2262</v>
      </c>
      <c r="J1041" s="139" t="s">
        <v>466</v>
      </c>
      <c r="K1041" s="140">
        <v>67.86</v>
      </c>
      <c r="L1041">
        <f>Table13[[#This Row],[Price]]*Table13[[#This Row],[Units]]</f>
        <v>2262</v>
      </c>
    </row>
    <row r="1042" spans="1:12" x14ac:dyDescent="0.35">
      <c r="A1042" s="134">
        <v>45713</v>
      </c>
      <c r="B1042" s="135" t="s">
        <v>1546</v>
      </c>
      <c r="C1042" s="136" t="s">
        <v>494</v>
      </c>
      <c r="D1042" s="136" t="s">
        <v>470</v>
      </c>
      <c r="E1042" s="136" t="s">
        <v>333</v>
      </c>
      <c r="F1042" s="136" t="s">
        <v>487</v>
      </c>
      <c r="G1042" s="136">
        <v>24</v>
      </c>
      <c r="H1042" s="137">
        <v>29</v>
      </c>
      <c r="I1042" s="138">
        <f t="shared" si="16"/>
        <v>696</v>
      </c>
      <c r="J1042" s="139" t="s">
        <v>515</v>
      </c>
      <c r="K1042" s="140">
        <v>15.311999999999999</v>
      </c>
      <c r="L1042">
        <f>Table13[[#This Row],[Price]]*Table13[[#This Row],[Units]]</f>
        <v>696</v>
      </c>
    </row>
    <row r="1043" spans="1:12" x14ac:dyDescent="0.35">
      <c r="A1043" s="134">
        <v>45713</v>
      </c>
      <c r="B1043" s="135" t="s">
        <v>1547</v>
      </c>
      <c r="C1043" s="136" t="s">
        <v>476</v>
      </c>
      <c r="D1043" s="136" t="s">
        <v>512</v>
      </c>
      <c r="E1043" s="136" t="s">
        <v>333</v>
      </c>
      <c r="F1043" s="136" t="s">
        <v>471</v>
      </c>
      <c r="G1043" s="136">
        <v>30</v>
      </c>
      <c r="H1043" s="137">
        <v>59</v>
      </c>
      <c r="I1043" s="138">
        <f t="shared" si="16"/>
        <v>1770</v>
      </c>
      <c r="J1043" s="139" t="s">
        <v>515</v>
      </c>
      <c r="K1043" s="140">
        <v>53.1</v>
      </c>
      <c r="L1043">
        <f>Table13[[#This Row],[Price]]*Table13[[#This Row],[Units]]</f>
        <v>1770</v>
      </c>
    </row>
    <row r="1044" spans="1:12" x14ac:dyDescent="0.35">
      <c r="A1044" s="134">
        <v>45713</v>
      </c>
      <c r="B1044" s="135" t="s">
        <v>1548</v>
      </c>
      <c r="C1044" s="136" t="s">
        <v>322</v>
      </c>
      <c r="D1044" s="136" t="s">
        <v>465</v>
      </c>
      <c r="E1044" s="136" t="s">
        <v>315</v>
      </c>
      <c r="F1044" s="136" t="s">
        <v>500</v>
      </c>
      <c r="G1044" s="136">
        <v>37</v>
      </c>
      <c r="H1044" s="137">
        <v>39</v>
      </c>
      <c r="I1044" s="138">
        <f t="shared" si="16"/>
        <v>1443</v>
      </c>
      <c r="J1044" s="139" t="s">
        <v>515</v>
      </c>
      <c r="K1044" s="140">
        <v>37.518000000000001</v>
      </c>
      <c r="L1044">
        <f>Table13[[#This Row],[Price]]*Table13[[#This Row],[Units]]</f>
        <v>1443</v>
      </c>
    </row>
    <row r="1045" spans="1:12" x14ac:dyDescent="0.35">
      <c r="A1045" s="134">
        <v>45713</v>
      </c>
      <c r="B1045" s="135" t="s">
        <v>1549</v>
      </c>
      <c r="C1045" s="136" t="s">
        <v>492</v>
      </c>
      <c r="D1045" s="136" t="s">
        <v>490</v>
      </c>
      <c r="E1045" s="136" t="s">
        <v>315</v>
      </c>
      <c r="F1045" s="136" t="s">
        <v>500</v>
      </c>
      <c r="G1045" s="136">
        <v>49</v>
      </c>
      <c r="H1045" s="137">
        <v>22</v>
      </c>
      <c r="I1045" s="138">
        <f t="shared" si="16"/>
        <v>1078</v>
      </c>
      <c r="J1045" s="139" t="s">
        <v>472</v>
      </c>
      <c r="K1045" s="140">
        <v>22.638000000000002</v>
      </c>
      <c r="L1045">
        <f>Table13[[#This Row],[Price]]*Table13[[#This Row],[Units]]</f>
        <v>1078</v>
      </c>
    </row>
    <row r="1046" spans="1:12" x14ac:dyDescent="0.35">
      <c r="A1046" s="134">
        <v>45713</v>
      </c>
      <c r="B1046" s="135" t="s">
        <v>1550</v>
      </c>
      <c r="C1046" s="136" t="s">
        <v>322</v>
      </c>
      <c r="D1046" s="136" t="s">
        <v>490</v>
      </c>
      <c r="E1046" s="136" t="s">
        <v>483</v>
      </c>
      <c r="F1046" s="136" t="s">
        <v>505</v>
      </c>
      <c r="G1046" s="136">
        <v>34</v>
      </c>
      <c r="H1046" s="137">
        <v>55</v>
      </c>
      <c r="I1046" s="138">
        <f t="shared" si="16"/>
        <v>1870</v>
      </c>
      <c r="J1046" s="139" t="s">
        <v>472</v>
      </c>
      <c r="K1046" s="140">
        <v>56.1</v>
      </c>
      <c r="L1046">
        <f>Table13[[#This Row],[Price]]*Table13[[#This Row],[Units]]</f>
        <v>1870</v>
      </c>
    </row>
    <row r="1047" spans="1:12" x14ac:dyDescent="0.35">
      <c r="A1047" s="134">
        <v>45713</v>
      </c>
      <c r="B1047" s="135" t="s">
        <v>1551</v>
      </c>
      <c r="C1047" s="136" t="s">
        <v>484</v>
      </c>
      <c r="D1047" s="136" t="s">
        <v>477</v>
      </c>
      <c r="E1047" s="136" t="s">
        <v>483</v>
      </c>
      <c r="F1047" s="136" t="s">
        <v>528</v>
      </c>
      <c r="G1047" s="136">
        <v>53</v>
      </c>
      <c r="H1047" s="137">
        <v>29</v>
      </c>
      <c r="I1047" s="138">
        <f t="shared" si="16"/>
        <v>1537</v>
      </c>
      <c r="J1047" s="139" t="s">
        <v>515</v>
      </c>
      <c r="K1047" s="140">
        <v>44.573</v>
      </c>
      <c r="L1047">
        <f>Table13[[#This Row],[Price]]*Table13[[#This Row],[Units]]</f>
        <v>1537</v>
      </c>
    </row>
    <row r="1048" spans="1:12" x14ac:dyDescent="0.35">
      <c r="A1048" s="134">
        <v>45713</v>
      </c>
      <c r="B1048" s="135" t="s">
        <v>1552</v>
      </c>
      <c r="C1048" s="136" t="s">
        <v>492</v>
      </c>
      <c r="D1048" s="136" t="s">
        <v>519</v>
      </c>
      <c r="E1048" s="136" t="s">
        <v>483</v>
      </c>
      <c r="F1048" s="136" t="s">
        <v>497</v>
      </c>
      <c r="G1048" s="136">
        <v>31</v>
      </c>
      <c r="H1048" s="137">
        <v>45</v>
      </c>
      <c r="I1048" s="138">
        <f t="shared" si="16"/>
        <v>1395</v>
      </c>
      <c r="J1048" s="139" t="s">
        <v>472</v>
      </c>
      <c r="K1048" s="140">
        <v>37.664999999999999</v>
      </c>
      <c r="L1048">
        <f>Table13[[#This Row],[Price]]*Table13[[#This Row],[Units]]</f>
        <v>1395</v>
      </c>
    </row>
    <row r="1049" spans="1:12" x14ac:dyDescent="0.35">
      <c r="A1049" s="134">
        <v>45713</v>
      </c>
      <c r="B1049" s="135" t="s">
        <v>1553</v>
      </c>
      <c r="C1049" s="136" t="s">
        <v>501</v>
      </c>
      <c r="D1049" s="136" t="s">
        <v>519</v>
      </c>
      <c r="E1049" s="136" t="s">
        <v>320</v>
      </c>
      <c r="F1049" s="136" t="s">
        <v>497</v>
      </c>
      <c r="G1049" s="136">
        <v>20</v>
      </c>
      <c r="H1049" s="137">
        <v>38</v>
      </c>
      <c r="I1049" s="138">
        <f t="shared" si="16"/>
        <v>760</v>
      </c>
      <c r="J1049" s="139" t="s">
        <v>472</v>
      </c>
      <c r="K1049" s="140">
        <v>21.28</v>
      </c>
      <c r="L1049">
        <f>Table13[[#This Row],[Price]]*Table13[[#This Row],[Units]]</f>
        <v>760</v>
      </c>
    </row>
    <row r="1050" spans="1:12" x14ac:dyDescent="0.35">
      <c r="A1050" s="134">
        <v>45713</v>
      </c>
      <c r="B1050" s="135" t="s">
        <v>1554</v>
      </c>
      <c r="C1050" s="136" t="s">
        <v>476</v>
      </c>
      <c r="D1050" s="136" t="s">
        <v>486</v>
      </c>
      <c r="E1050" s="136" t="s">
        <v>333</v>
      </c>
      <c r="F1050" s="136" t="s">
        <v>500</v>
      </c>
      <c r="G1050" s="136">
        <v>29</v>
      </c>
      <c r="H1050" s="137">
        <v>55</v>
      </c>
      <c r="I1050" s="138">
        <f t="shared" si="16"/>
        <v>1595</v>
      </c>
      <c r="J1050" s="139" t="s">
        <v>466</v>
      </c>
      <c r="K1050" s="140">
        <v>33.494999999999997</v>
      </c>
      <c r="L1050">
        <f>Table13[[#This Row],[Price]]*Table13[[#This Row],[Units]]</f>
        <v>1595</v>
      </c>
    </row>
    <row r="1051" spans="1:12" x14ac:dyDescent="0.35">
      <c r="A1051" s="134">
        <v>45713</v>
      </c>
      <c r="B1051" s="135" t="s">
        <v>1555</v>
      </c>
      <c r="C1051" s="136" t="s">
        <v>322</v>
      </c>
      <c r="D1051" s="136" t="s">
        <v>512</v>
      </c>
      <c r="E1051" s="136" t="s">
        <v>320</v>
      </c>
      <c r="F1051" s="136" t="s">
        <v>487</v>
      </c>
      <c r="G1051" s="136">
        <v>55</v>
      </c>
      <c r="H1051" s="137">
        <v>31</v>
      </c>
      <c r="I1051" s="138">
        <f t="shared" si="16"/>
        <v>1705</v>
      </c>
      <c r="J1051" s="139" t="s">
        <v>466</v>
      </c>
      <c r="K1051" s="140">
        <v>49.445</v>
      </c>
      <c r="L1051">
        <f>Table13[[#This Row],[Price]]*Table13[[#This Row],[Units]]</f>
        <v>1705</v>
      </c>
    </row>
    <row r="1052" spans="1:12" x14ac:dyDescent="0.35">
      <c r="A1052" s="134">
        <v>45713</v>
      </c>
      <c r="B1052" s="135" t="s">
        <v>1556</v>
      </c>
      <c r="C1052" s="136" t="s">
        <v>484</v>
      </c>
      <c r="D1052" s="136" t="s">
        <v>470</v>
      </c>
      <c r="E1052" s="136" t="s">
        <v>390</v>
      </c>
      <c r="F1052" s="136" t="s">
        <v>523</v>
      </c>
      <c r="G1052" s="136">
        <v>29</v>
      </c>
      <c r="H1052" s="137">
        <v>51</v>
      </c>
      <c r="I1052" s="138">
        <f t="shared" si="16"/>
        <v>1479</v>
      </c>
      <c r="J1052" s="139" t="s">
        <v>466</v>
      </c>
      <c r="K1052" s="140">
        <v>35.496000000000002</v>
      </c>
      <c r="L1052">
        <f>Table13[[#This Row],[Price]]*Table13[[#This Row],[Units]]</f>
        <v>1479</v>
      </c>
    </row>
    <row r="1053" spans="1:12" x14ac:dyDescent="0.35">
      <c r="A1053" s="134">
        <v>45714</v>
      </c>
      <c r="B1053" s="135" t="s">
        <v>1557</v>
      </c>
      <c r="C1053" s="136" t="s">
        <v>492</v>
      </c>
      <c r="D1053" s="136" t="s">
        <v>512</v>
      </c>
      <c r="E1053" s="136" t="s">
        <v>333</v>
      </c>
      <c r="F1053" s="136" t="s">
        <v>500</v>
      </c>
      <c r="G1053" s="136">
        <v>41</v>
      </c>
      <c r="H1053" s="137">
        <v>36</v>
      </c>
      <c r="I1053" s="138">
        <f t="shared" si="16"/>
        <v>1476</v>
      </c>
      <c r="J1053" s="139" t="s">
        <v>466</v>
      </c>
      <c r="K1053" s="140">
        <v>36.9</v>
      </c>
      <c r="L1053">
        <f>Table13[[#This Row],[Price]]*Table13[[#This Row],[Units]]</f>
        <v>1476</v>
      </c>
    </row>
    <row r="1054" spans="1:12" x14ac:dyDescent="0.35">
      <c r="A1054" s="134">
        <v>45714</v>
      </c>
      <c r="B1054" s="135" t="s">
        <v>1558</v>
      </c>
      <c r="C1054" s="136" t="s">
        <v>484</v>
      </c>
      <c r="D1054" s="136" t="s">
        <v>490</v>
      </c>
      <c r="E1054" s="136" t="s">
        <v>315</v>
      </c>
      <c r="F1054" s="136" t="s">
        <v>536</v>
      </c>
      <c r="G1054" s="136">
        <v>59</v>
      </c>
      <c r="H1054" s="137">
        <v>58</v>
      </c>
      <c r="I1054" s="138">
        <f t="shared" si="16"/>
        <v>3422</v>
      </c>
      <c r="J1054" s="139" t="s">
        <v>472</v>
      </c>
      <c r="K1054" s="140">
        <v>95.816000000000003</v>
      </c>
      <c r="L1054">
        <f>Table13[[#This Row],[Price]]*Table13[[#This Row],[Units]]</f>
        <v>3422</v>
      </c>
    </row>
    <row r="1055" spans="1:12" x14ac:dyDescent="0.35">
      <c r="A1055" s="134">
        <v>45714</v>
      </c>
      <c r="B1055" s="135" t="s">
        <v>1559</v>
      </c>
      <c r="C1055" s="136" t="s">
        <v>322</v>
      </c>
      <c r="D1055" s="136" t="s">
        <v>477</v>
      </c>
      <c r="E1055" s="136" t="s">
        <v>390</v>
      </c>
      <c r="F1055" s="136" t="s">
        <v>510</v>
      </c>
      <c r="G1055" s="136">
        <v>21</v>
      </c>
      <c r="H1055" s="137">
        <v>53</v>
      </c>
      <c r="I1055" s="138">
        <f t="shared" si="16"/>
        <v>1113</v>
      </c>
      <c r="J1055" s="139" t="s">
        <v>503</v>
      </c>
      <c r="K1055" s="140">
        <v>31.164000000000001</v>
      </c>
      <c r="L1055">
        <f>Table13[[#This Row],[Price]]*Table13[[#This Row],[Units]]</f>
        <v>1113</v>
      </c>
    </row>
    <row r="1056" spans="1:12" x14ac:dyDescent="0.35">
      <c r="A1056" s="134">
        <v>45714</v>
      </c>
      <c r="B1056" s="135" t="s">
        <v>1560</v>
      </c>
      <c r="C1056" s="136" t="s">
        <v>501</v>
      </c>
      <c r="D1056" s="136" t="s">
        <v>512</v>
      </c>
      <c r="E1056" s="136" t="s">
        <v>390</v>
      </c>
      <c r="F1056" s="136" t="s">
        <v>539</v>
      </c>
      <c r="G1056" s="136">
        <v>46</v>
      </c>
      <c r="H1056" s="137">
        <v>24</v>
      </c>
      <c r="I1056" s="138">
        <f t="shared" si="16"/>
        <v>1104</v>
      </c>
      <c r="J1056" s="139" t="s">
        <v>466</v>
      </c>
      <c r="K1056" s="140">
        <v>27.6</v>
      </c>
      <c r="L1056">
        <f>Table13[[#This Row],[Price]]*Table13[[#This Row],[Units]]</f>
        <v>1104</v>
      </c>
    </row>
    <row r="1057" spans="1:12" x14ac:dyDescent="0.35">
      <c r="A1057" s="134">
        <v>45714</v>
      </c>
      <c r="B1057" s="135" t="s">
        <v>1561</v>
      </c>
      <c r="C1057" s="136" t="s">
        <v>494</v>
      </c>
      <c r="D1057" s="136" t="s">
        <v>519</v>
      </c>
      <c r="E1057" s="136" t="s">
        <v>333</v>
      </c>
      <c r="F1057" s="136" t="s">
        <v>454</v>
      </c>
      <c r="G1057" s="136">
        <v>47</v>
      </c>
      <c r="H1057" s="137">
        <v>29</v>
      </c>
      <c r="I1057" s="138">
        <f t="shared" si="16"/>
        <v>1363</v>
      </c>
      <c r="J1057" s="139" t="s">
        <v>515</v>
      </c>
      <c r="K1057" s="140">
        <v>36.801000000000002</v>
      </c>
      <c r="L1057">
        <f>Table13[[#This Row],[Price]]*Table13[[#This Row],[Units]]</f>
        <v>1363</v>
      </c>
    </row>
    <row r="1058" spans="1:12" x14ac:dyDescent="0.35">
      <c r="A1058" s="134">
        <v>45714</v>
      </c>
      <c r="B1058" s="135" t="s">
        <v>1562</v>
      </c>
      <c r="C1058" s="136" t="s">
        <v>469</v>
      </c>
      <c r="D1058" s="136" t="s">
        <v>477</v>
      </c>
      <c r="E1058" s="136" t="s">
        <v>412</v>
      </c>
      <c r="F1058" s="136" t="s">
        <v>567</v>
      </c>
      <c r="G1058" s="136">
        <v>19</v>
      </c>
      <c r="H1058" s="137">
        <v>20</v>
      </c>
      <c r="I1058" s="138">
        <f t="shared" si="16"/>
        <v>380</v>
      </c>
      <c r="J1058" s="139" t="s">
        <v>503</v>
      </c>
      <c r="K1058" s="140">
        <v>7.98</v>
      </c>
      <c r="L1058">
        <f>Table13[[#This Row],[Price]]*Table13[[#This Row],[Units]]</f>
        <v>380</v>
      </c>
    </row>
    <row r="1059" spans="1:12" x14ac:dyDescent="0.35">
      <c r="A1059" s="134">
        <v>45714</v>
      </c>
      <c r="B1059" s="135" t="s">
        <v>1563</v>
      </c>
      <c r="C1059" s="136" t="s">
        <v>494</v>
      </c>
      <c r="D1059" s="136" t="s">
        <v>512</v>
      </c>
      <c r="E1059" s="136" t="s">
        <v>390</v>
      </c>
      <c r="F1059" s="136" t="s">
        <v>520</v>
      </c>
      <c r="G1059" s="136">
        <v>41</v>
      </c>
      <c r="H1059" s="137">
        <v>56</v>
      </c>
      <c r="I1059" s="138">
        <f t="shared" si="16"/>
        <v>2296</v>
      </c>
      <c r="J1059" s="139" t="s">
        <v>466</v>
      </c>
      <c r="K1059" s="140">
        <v>48.216000000000001</v>
      </c>
      <c r="L1059">
        <f>Table13[[#This Row],[Price]]*Table13[[#This Row],[Units]]</f>
        <v>2296</v>
      </c>
    </row>
    <row r="1060" spans="1:12" x14ac:dyDescent="0.35">
      <c r="A1060" s="134">
        <v>45714</v>
      </c>
      <c r="B1060" s="135" t="s">
        <v>1564</v>
      </c>
      <c r="C1060" s="136" t="s">
        <v>322</v>
      </c>
      <c r="D1060" s="136" t="s">
        <v>486</v>
      </c>
      <c r="E1060" s="136" t="s">
        <v>324</v>
      </c>
      <c r="F1060" s="136" t="s">
        <v>520</v>
      </c>
      <c r="G1060" s="136">
        <v>38</v>
      </c>
      <c r="H1060" s="137">
        <v>26</v>
      </c>
      <c r="I1060" s="138">
        <f t="shared" si="16"/>
        <v>988</v>
      </c>
      <c r="J1060" s="139" t="s">
        <v>472</v>
      </c>
      <c r="K1060" s="140">
        <v>21.736000000000001</v>
      </c>
      <c r="L1060">
        <f>Table13[[#This Row],[Price]]*Table13[[#This Row],[Units]]</f>
        <v>988</v>
      </c>
    </row>
    <row r="1061" spans="1:12" x14ac:dyDescent="0.35">
      <c r="A1061" s="134">
        <v>45715</v>
      </c>
      <c r="B1061" s="135" t="s">
        <v>1565</v>
      </c>
      <c r="C1061" s="136" t="s">
        <v>492</v>
      </c>
      <c r="D1061" s="136" t="s">
        <v>465</v>
      </c>
      <c r="E1061" s="136" t="s">
        <v>315</v>
      </c>
      <c r="F1061" s="136" t="s">
        <v>454</v>
      </c>
      <c r="G1061" s="136">
        <v>38</v>
      </c>
      <c r="H1061" s="137">
        <v>60</v>
      </c>
      <c r="I1061" s="138">
        <f t="shared" si="16"/>
        <v>2280</v>
      </c>
      <c r="J1061" s="139" t="s">
        <v>466</v>
      </c>
      <c r="K1061" s="140">
        <v>50.16</v>
      </c>
      <c r="L1061">
        <f>Table13[[#This Row],[Price]]*Table13[[#This Row],[Units]]</f>
        <v>2280</v>
      </c>
    </row>
    <row r="1062" spans="1:12" x14ac:dyDescent="0.35">
      <c r="A1062" s="134">
        <v>45715</v>
      </c>
      <c r="B1062" s="135" t="s">
        <v>1566</v>
      </c>
      <c r="C1062" s="136" t="s">
        <v>492</v>
      </c>
      <c r="D1062" s="136" t="s">
        <v>519</v>
      </c>
      <c r="E1062" s="136" t="s">
        <v>333</v>
      </c>
      <c r="F1062" s="136" t="s">
        <v>567</v>
      </c>
      <c r="G1062" s="136">
        <v>43</v>
      </c>
      <c r="H1062" s="137">
        <v>55</v>
      </c>
      <c r="I1062" s="138">
        <f t="shared" si="16"/>
        <v>2365</v>
      </c>
      <c r="J1062" s="139" t="s">
        <v>472</v>
      </c>
      <c r="K1062" s="140">
        <v>61.49</v>
      </c>
      <c r="L1062">
        <f>Table13[[#This Row],[Price]]*Table13[[#This Row],[Units]]</f>
        <v>2365</v>
      </c>
    </row>
    <row r="1063" spans="1:12" x14ac:dyDescent="0.35">
      <c r="A1063" s="134">
        <v>45715</v>
      </c>
      <c r="B1063" s="135" t="s">
        <v>1567</v>
      </c>
      <c r="C1063" s="136" t="s">
        <v>322</v>
      </c>
      <c r="D1063" s="136" t="s">
        <v>519</v>
      </c>
      <c r="E1063" s="136" t="s">
        <v>315</v>
      </c>
      <c r="F1063" s="136" t="s">
        <v>471</v>
      </c>
      <c r="G1063" s="136">
        <v>54</v>
      </c>
      <c r="H1063" s="137">
        <v>31</v>
      </c>
      <c r="I1063" s="138">
        <f t="shared" si="16"/>
        <v>1674</v>
      </c>
      <c r="J1063" s="139" t="s">
        <v>515</v>
      </c>
      <c r="K1063" s="140">
        <v>43.524000000000001</v>
      </c>
      <c r="L1063">
        <f>Table13[[#This Row],[Price]]*Table13[[#This Row],[Units]]</f>
        <v>1674</v>
      </c>
    </row>
    <row r="1064" spans="1:12" x14ac:dyDescent="0.35">
      <c r="A1064" s="134">
        <v>45715</v>
      </c>
      <c r="B1064" s="135" t="s">
        <v>1568</v>
      </c>
      <c r="C1064" s="136" t="s">
        <v>494</v>
      </c>
      <c r="D1064" s="136" t="s">
        <v>477</v>
      </c>
      <c r="E1064" s="136" t="s">
        <v>483</v>
      </c>
      <c r="F1064" s="136" t="s">
        <v>505</v>
      </c>
      <c r="G1064" s="136">
        <v>38</v>
      </c>
      <c r="H1064" s="137">
        <v>41</v>
      </c>
      <c r="I1064" s="138">
        <f t="shared" si="16"/>
        <v>1558</v>
      </c>
      <c r="J1064" s="139" t="s">
        <v>472</v>
      </c>
      <c r="K1064" s="140">
        <v>43.624000000000002</v>
      </c>
      <c r="L1064">
        <f>Table13[[#This Row],[Price]]*Table13[[#This Row],[Units]]</f>
        <v>1558</v>
      </c>
    </row>
    <row r="1065" spans="1:12" x14ac:dyDescent="0.35">
      <c r="A1065" s="134">
        <v>45715</v>
      </c>
      <c r="B1065" s="135" t="s">
        <v>1569</v>
      </c>
      <c r="C1065" s="136" t="s">
        <v>494</v>
      </c>
      <c r="D1065" s="136" t="s">
        <v>470</v>
      </c>
      <c r="E1065" s="136" t="s">
        <v>324</v>
      </c>
      <c r="F1065" s="136" t="s">
        <v>513</v>
      </c>
      <c r="G1065" s="136">
        <v>36</v>
      </c>
      <c r="H1065" s="137">
        <v>44</v>
      </c>
      <c r="I1065" s="138">
        <f t="shared" si="16"/>
        <v>1584</v>
      </c>
      <c r="J1065" s="139" t="s">
        <v>466</v>
      </c>
      <c r="K1065" s="140">
        <v>39.6</v>
      </c>
      <c r="L1065">
        <f>Table13[[#This Row],[Price]]*Table13[[#This Row],[Units]]</f>
        <v>1584</v>
      </c>
    </row>
    <row r="1066" spans="1:12" x14ac:dyDescent="0.35">
      <c r="A1066" s="134">
        <v>45715</v>
      </c>
      <c r="B1066" s="135" t="s">
        <v>1570</v>
      </c>
      <c r="C1066" s="136" t="s">
        <v>322</v>
      </c>
      <c r="D1066" s="136" t="s">
        <v>470</v>
      </c>
      <c r="E1066" s="136" t="s">
        <v>390</v>
      </c>
      <c r="F1066" s="136" t="s">
        <v>536</v>
      </c>
      <c r="G1066" s="136">
        <v>28</v>
      </c>
      <c r="H1066" s="137">
        <v>28</v>
      </c>
      <c r="I1066" s="138">
        <f t="shared" si="16"/>
        <v>784</v>
      </c>
      <c r="J1066" s="139" t="s">
        <v>466</v>
      </c>
      <c r="K1066" s="140">
        <v>18.815999999999999</v>
      </c>
      <c r="L1066">
        <f>Table13[[#This Row],[Price]]*Table13[[#This Row],[Units]]</f>
        <v>784</v>
      </c>
    </row>
    <row r="1067" spans="1:12" x14ac:dyDescent="0.35">
      <c r="A1067" s="134">
        <v>45715</v>
      </c>
      <c r="B1067" s="135" t="s">
        <v>1571</v>
      </c>
      <c r="C1067" s="136" t="s">
        <v>322</v>
      </c>
      <c r="D1067" s="136" t="s">
        <v>465</v>
      </c>
      <c r="E1067" s="136" t="s">
        <v>333</v>
      </c>
      <c r="F1067" s="136" t="s">
        <v>478</v>
      </c>
      <c r="G1067" s="136">
        <v>11</v>
      </c>
      <c r="H1067" s="137">
        <v>53</v>
      </c>
      <c r="I1067" s="138">
        <f t="shared" si="16"/>
        <v>583</v>
      </c>
      <c r="J1067" s="139" t="s">
        <v>472</v>
      </c>
      <c r="K1067" s="140">
        <v>15.741</v>
      </c>
      <c r="L1067">
        <f>Table13[[#This Row],[Price]]*Table13[[#This Row],[Units]]</f>
        <v>583</v>
      </c>
    </row>
    <row r="1068" spans="1:12" x14ac:dyDescent="0.35">
      <c r="A1068" s="134">
        <v>45715</v>
      </c>
      <c r="B1068" s="135" t="s">
        <v>1572</v>
      </c>
      <c r="C1068" s="136" t="s">
        <v>489</v>
      </c>
      <c r="D1068" s="136" t="s">
        <v>512</v>
      </c>
      <c r="E1068" s="136" t="s">
        <v>324</v>
      </c>
      <c r="F1068" s="136" t="s">
        <v>454</v>
      </c>
      <c r="G1068" s="136">
        <v>39</v>
      </c>
      <c r="H1068" s="137">
        <v>45</v>
      </c>
      <c r="I1068" s="138">
        <f t="shared" si="16"/>
        <v>1755</v>
      </c>
      <c r="J1068" s="139" t="s">
        <v>466</v>
      </c>
      <c r="K1068" s="140">
        <v>35.1</v>
      </c>
      <c r="L1068">
        <f>Table13[[#This Row],[Price]]*Table13[[#This Row],[Units]]</f>
        <v>1755</v>
      </c>
    </row>
    <row r="1069" spans="1:12" x14ac:dyDescent="0.35">
      <c r="A1069" s="134">
        <v>45715</v>
      </c>
      <c r="B1069" s="135" t="s">
        <v>1573</v>
      </c>
      <c r="C1069" s="136" t="s">
        <v>494</v>
      </c>
      <c r="D1069" s="136" t="s">
        <v>465</v>
      </c>
      <c r="E1069" s="136" t="s">
        <v>483</v>
      </c>
      <c r="F1069" s="136" t="s">
        <v>513</v>
      </c>
      <c r="G1069" s="136">
        <v>59</v>
      </c>
      <c r="H1069" s="137">
        <v>41</v>
      </c>
      <c r="I1069" s="138">
        <f t="shared" si="16"/>
        <v>2419</v>
      </c>
      <c r="J1069" s="139" t="s">
        <v>472</v>
      </c>
      <c r="K1069" s="140">
        <v>55.637</v>
      </c>
      <c r="L1069">
        <f>Table13[[#This Row],[Price]]*Table13[[#This Row],[Units]]</f>
        <v>2419</v>
      </c>
    </row>
    <row r="1070" spans="1:12" x14ac:dyDescent="0.35">
      <c r="A1070" s="134">
        <v>45715</v>
      </c>
      <c r="B1070" s="135" t="s">
        <v>1574</v>
      </c>
      <c r="C1070" s="136" t="s">
        <v>501</v>
      </c>
      <c r="D1070" s="136" t="s">
        <v>512</v>
      </c>
      <c r="E1070" s="136" t="s">
        <v>320</v>
      </c>
      <c r="F1070" s="136" t="s">
        <v>539</v>
      </c>
      <c r="G1070" s="136">
        <v>57</v>
      </c>
      <c r="H1070" s="137">
        <v>39</v>
      </c>
      <c r="I1070" s="138">
        <f t="shared" si="16"/>
        <v>2223</v>
      </c>
      <c r="J1070" s="139" t="s">
        <v>515</v>
      </c>
      <c r="K1070" s="140">
        <v>62.244</v>
      </c>
      <c r="L1070">
        <f>Table13[[#This Row],[Price]]*Table13[[#This Row],[Units]]</f>
        <v>2223</v>
      </c>
    </row>
    <row r="1071" spans="1:12" x14ac:dyDescent="0.35">
      <c r="A1071" s="134">
        <v>45715</v>
      </c>
      <c r="B1071" s="135" t="s">
        <v>1575</v>
      </c>
      <c r="C1071" s="136" t="s">
        <v>492</v>
      </c>
      <c r="D1071" s="136" t="s">
        <v>519</v>
      </c>
      <c r="E1071" s="136" t="s">
        <v>324</v>
      </c>
      <c r="F1071" s="136" t="s">
        <v>505</v>
      </c>
      <c r="G1071" s="136">
        <v>42</v>
      </c>
      <c r="H1071" s="137">
        <v>50</v>
      </c>
      <c r="I1071" s="138">
        <f t="shared" si="16"/>
        <v>2100</v>
      </c>
      <c r="J1071" s="139" t="s">
        <v>515</v>
      </c>
      <c r="K1071" s="140">
        <v>58.8</v>
      </c>
      <c r="L1071">
        <f>Table13[[#This Row],[Price]]*Table13[[#This Row],[Units]]</f>
        <v>2100</v>
      </c>
    </row>
    <row r="1072" spans="1:12" x14ac:dyDescent="0.35">
      <c r="A1072" s="134">
        <v>45715</v>
      </c>
      <c r="B1072" s="135" t="s">
        <v>1576</v>
      </c>
      <c r="C1072" s="136" t="s">
        <v>492</v>
      </c>
      <c r="D1072" s="136" t="s">
        <v>470</v>
      </c>
      <c r="E1072" s="136" t="s">
        <v>483</v>
      </c>
      <c r="F1072" s="136" t="s">
        <v>471</v>
      </c>
      <c r="G1072" s="136">
        <v>52</v>
      </c>
      <c r="H1072" s="137">
        <v>22</v>
      </c>
      <c r="I1072" s="138">
        <f t="shared" si="16"/>
        <v>1144</v>
      </c>
      <c r="J1072" s="139" t="s">
        <v>466</v>
      </c>
      <c r="K1072" s="140">
        <v>29.744</v>
      </c>
      <c r="L1072">
        <f>Table13[[#This Row],[Price]]*Table13[[#This Row],[Units]]</f>
        <v>1144</v>
      </c>
    </row>
    <row r="1073" spans="1:12" x14ac:dyDescent="0.35">
      <c r="A1073" s="134">
        <v>45715</v>
      </c>
      <c r="B1073" s="135" t="s">
        <v>1577</v>
      </c>
      <c r="C1073" s="136" t="s">
        <v>476</v>
      </c>
      <c r="D1073" s="136" t="s">
        <v>477</v>
      </c>
      <c r="E1073" s="136" t="s">
        <v>315</v>
      </c>
      <c r="F1073" s="136" t="s">
        <v>517</v>
      </c>
      <c r="G1073" s="136">
        <v>22</v>
      </c>
      <c r="H1073" s="137">
        <v>29</v>
      </c>
      <c r="I1073" s="138">
        <f t="shared" si="16"/>
        <v>638</v>
      </c>
      <c r="J1073" s="139" t="s">
        <v>472</v>
      </c>
      <c r="K1073" s="140">
        <v>19.14</v>
      </c>
      <c r="L1073">
        <f>Table13[[#This Row],[Price]]*Table13[[#This Row],[Units]]</f>
        <v>638</v>
      </c>
    </row>
    <row r="1074" spans="1:12" x14ac:dyDescent="0.35">
      <c r="A1074" s="134">
        <v>45715</v>
      </c>
      <c r="B1074" s="135" t="s">
        <v>1578</v>
      </c>
      <c r="C1074" s="136" t="s">
        <v>494</v>
      </c>
      <c r="D1074" s="136" t="s">
        <v>512</v>
      </c>
      <c r="E1074" s="136" t="s">
        <v>390</v>
      </c>
      <c r="F1074" s="136" t="s">
        <v>536</v>
      </c>
      <c r="G1074" s="136">
        <v>40</v>
      </c>
      <c r="H1074" s="137">
        <v>44</v>
      </c>
      <c r="I1074" s="138">
        <f t="shared" si="16"/>
        <v>1760</v>
      </c>
      <c r="J1074" s="139" t="s">
        <v>466</v>
      </c>
      <c r="K1074" s="140">
        <v>42.24</v>
      </c>
      <c r="L1074">
        <f>Table13[[#This Row],[Price]]*Table13[[#This Row],[Units]]</f>
        <v>1760</v>
      </c>
    </row>
    <row r="1075" spans="1:12" x14ac:dyDescent="0.35">
      <c r="A1075" s="134">
        <v>45715</v>
      </c>
      <c r="B1075" s="135" t="s">
        <v>1579</v>
      </c>
      <c r="C1075" s="136" t="s">
        <v>476</v>
      </c>
      <c r="D1075" s="136" t="s">
        <v>512</v>
      </c>
      <c r="E1075" s="136" t="s">
        <v>320</v>
      </c>
      <c r="F1075" s="136" t="s">
        <v>520</v>
      </c>
      <c r="G1075" s="136">
        <v>41</v>
      </c>
      <c r="H1075" s="137">
        <v>27</v>
      </c>
      <c r="I1075" s="138">
        <f t="shared" si="16"/>
        <v>1107</v>
      </c>
      <c r="J1075" s="139" t="s">
        <v>515</v>
      </c>
      <c r="K1075" s="140">
        <v>23.247</v>
      </c>
      <c r="L1075">
        <f>Table13[[#This Row],[Price]]*Table13[[#This Row],[Units]]</f>
        <v>1107</v>
      </c>
    </row>
    <row r="1076" spans="1:12" x14ac:dyDescent="0.35">
      <c r="A1076" s="134">
        <v>45715</v>
      </c>
      <c r="B1076" s="135" t="s">
        <v>1580</v>
      </c>
      <c r="C1076" s="136" t="s">
        <v>494</v>
      </c>
      <c r="D1076" s="136" t="s">
        <v>490</v>
      </c>
      <c r="E1076" s="136" t="s">
        <v>412</v>
      </c>
      <c r="F1076" s="136" t="s">
        <v>567</v>
      </c>
      <c r="G1076" s="136">
        <v>16</v>
      </c>
      <c r="H1076" s="137">
        <v>42</v>
      </c>
      <c r="I1076" s="138">
        <f t="shared" si="16"/>
        <v>672</v>
      </c>
      <c r="J1076" s="139" t="s">
        <v>466</v>
      </c>
      <c r="K1076" s="140">
        <v>20.16</v>
      </c>
      <c r="L1076">
        <f>Table13[[#This Row],[Price]]*Table13[[#This Row],[Units]]</f>
        <v>672</v>
      </c>
    </row>
    <row r="1077" spans="1:12" x14ac:dyDescent="0.35">
      <c r="A1077" s="134">
        <v>45715</v>
      </c>
      <c r="B1077" s="135" t="s">
        <v>1581</v>
      </c>
      <c r="C1077" s="136" t="s">
        <v>501</v>
      </c>
      <c r="D1077" s="136" t="s">
        <v>486</v>
      </c>
      <c r="E1077" s="136" t="s">
        <v>483</v>
      </c>
      <c r="F1077" s="136" t="s">
        <v>523</v>
      </c>
      <c r="G1077" s="136">
        <v>37</v>
      </c>
      <c r="H1077" s="137">
        <v>38</v>
      </c>
      <c r="I1077" s="138">
        <f t="shared" si="16"/>
        <v>1406</v>
      </c>
      <c r="J1077" s="139" t="s">
        <v>515</v>
      </c>
      <c r="K1077" s="140">
        <v>39.368000000000002</v>
      </c>
      <c r="L1077">
        <f>Table13[[#This Row],[Price]]*Table13[[#This Row],[Units]]</f>
        <v>1406</v>
      </c>
    </row>
    <row r="1078" spans="1:12" x14ac:dyDescent="0.35">
      <c r="A1078" s="134">
        <v>45715</v>
      </c>
      <c r="B1078" s="135" t="s">
        <v>1582</v>
      </c>
      <c r="C1078" s="136" t="s">
        <v>464</v>
      </c>
      <c r="D1078" s="136" t="s">
        <v>490</v>
      </c>
      <c r="E1078" s="136" t="s">
        <v>324</v>
      </c>
      <c r="F1078" s="136" t="s">
        <v>528</v>
      </c>
      <c r="G1078" s="136">
        <v>29</v>
      </c>
      <c r="H1078" s="137">
        <v>37</v>
      </c>
      <c r="I1078" s="138">
        <f t="shared" si="16"/>
        <v>1073</v>
      </c>
      <c r="J1078" s="139" t="s">
        <v>515</v>
      </c>
      <c r="K1078" s="140">
        <v>28.971</v>
      </c>
      <c r="L1078">
        <f>Table13[[#This Row],[Price]]*Table13[[#This Row],[Units]]</f>
        <v>1073</v>
      </c>
    </row>
    <row r="1079" spans="1:12" x14ac:dyDescent="0.35">
      <c r="A1079" s="134">
        <v>45715</v>
      </c>
      <c r="B1079" s="135" t="s">
        <v>1583</v>
      </c>
      <c r="C1079" s="136" t="s">
        <v>476</v>
      </c>
      <c r="D1079" s="136" t="s">
        <v>465</v>
      </c>
      <c r="E1079" s="136" t="s">
        <v>333</v>
      </c>
      <c r="F1079" s="136" t="s">
        <v>478</v>
      </c>
      <c r="G1079" s="136">
        <v>53</v>
      </c>
      <c r="H1079" s="137">
        <v>29</v>
      </c>
      <c r="I1079" s="138">
        <f t="shared" si="16"/>
        <v>1537</v>
      </c>
      <c r="J1079" s="139" t="s">
        <v>466</v>
      </c>
      <c r="K1079" s="140">
        <v>38.424999999999997</v>
      </c>
      <c r="L1079">
        <f>Table13[[#This Row],[Price]]*Table13[[#This Row],[Units]]</f>
        <v>1537</v>
      </c>
    </row>
    <row r="1080" spans="1:12" x14ac:dyDescent="0.35">
      <c r="A1080" s="134">
        <v>45715</v>
      </c>
      <c r="B1080" s="135" t="s">
        <v>1584</v>
      </c>
      <c r="C1080" s="136" t="s">
        <v>484</v>
      </c>
      <c r="D1080" s="136" t="s">
        <v>470</v>
      </c>
      <c r="E1080" s="136" t="s">
        <v>412</v>
      </c>
      <c r="F1080" s="136" t="s">
        <v>520</v>
      </c>
      <c r="G1080" s="136">
        <v>48</v>
      </c>
      <c r="H1080" s="137">
        <v>59</v>
      </c>
      <c r="I1080" s="138">
        <f t="shared" si="16"/>
        <v>2832</v>
      </c>
      <c r="J1080" s="139" t="s">
        <v>472</v>
      </c>
      <c r="K1080" s="140">
        <v>79.296000000000006</v>
      </c>
      <c r="L1080">
        <f>Table13[[#This Row],[Price]]*Table13[[#This Row],[Units]]</f>
        <v>2832</v>
      </c>
    </row>
    <row r="1081" spans="1:12" x14ac:dyDescent="0.35">
      <c r="A1081" s="134">
        <v>45715</v>
      </c>
      <c r="B1081" s="135" t="s">
        <v>1585</v>
      </c>
      <c r="C1081" s="136" t="s">
        <v>464</v>
      </c>
      <c r="D1081" s="136" t="s">
        <v>477</v>
      </c>
      <c r="E1081" s="136" t="s">
        <v>390</v>
      </c>
      <c r="F1081" s="136" t="s">
        <v>528</v>
      </c>
      <c r="G1081" s="136">
        <v>43</v>
      </c>
      <c r="H1081" s="137">
        <v>56</v>
      </c>
      <c r="I1081" s="138">
        <f t="shared" si="16"/>
        <v>2408</v>
      </c>
      <c r="J1081" s="139" t="s">
        <v>472</v>
      </c>
      <c r="K1081" s="140">
        <v>50.567999999999998</v>
      </c>
      <c r="L1081">
        <f>Table13[[#This Row],[Price]]*Table13[[#This Row],[Units]]</f>
        <v>2408</v>
      </c>
    </row>
    <row r="1082" spans="1:12" x14ac:dyDescent="0.35">
      <c r="A1082" s="134">
        <v>45715</v>
      </c>
      <c r="B1082" s="135" t="s">
        <v>1586</v>
      </c>
      <c r="C1082" s="136" t="s">
        <v>489</v>
      </c>
      <c r="D1082" s="136" t="s">
        <v>490</v>
      </c>
      <c r="E1082" s="136" t="s">
        <v>324</v>
      </c>
      <c r="F1082" s="136" t="s">
        <v>528</v>
      </c>
      <c r="G1082" s="136">
        <v>13</v>
      </c>
      <c r="H1082" s="137">
        <v>36</v>
      </c>
      <c r="I1082" s="138">
        <f t="shared" si="16"/>
        <v>468</v>
      </c>
      <c r="J1082" s="139" t="s">
        <v>466</v>
      </c>
      <c r="K1082" s="140">
        <v>13.571999999999999</v>
      </c>
      <c r="L1082">
        <f>Table13[[#This Row],[Price]]*Table13[[#This Row],[Units]]</f>
        <v>468</v>
      </c>
    </row>
    <row r="1083" spans="1:12" x14ac:dyDescent="0.35">
      <c r="A1083" s="134">
        <v>45715</v>
      </c>
      <c r="B1083" s="135" t="s">
        <v>1587</v>
      </c>
      <c r="C1083" s="136" t="s">
        <v>494</v>
      </c>
      <c r="D1083" s="136" t="s">
        <v>512</v>
      </c>
      <c r="E1083" s="136" t="s">
        <v>483</v>
      </c>
      <c r="F1083" s="136" t="s">
        <v>510</v>
      </c>
      <c r="G1083" s="136">
        <v>21</v>
      </c>
      <c r="H1083" s="137">
        <v>47</v>
      </c>
      <c r="I1083" s="138">
        <f t="shared" si="16"/>
        <v>987</v>
      </c>
      <c r="J1083" s="139" t="s">
        <v>472</v>
      </c>
      <c r="K1083" s="140">
        <v>20.727</v>
      </c>
      <c r="L1083">
        <f>Table13[[#This Row],[Price]]*Table13[[#This Row],[Units]]</f>
        <v>987</v>
      </c>
    </row>
    <row r="1084" spans="1:12" x14ac:dyDescent="0.35">
      <c r="A1084" s="134">
        <v>45715</v>
      </c>
      <c r="B1084" s="135" t="s">
        <v>1588</v>
      </c>
      <c r="C1084" s="136" t="s">
        <v>492</v>
      </c>
      <c r="D1084" s="136" t="s">
        <v>470</v>
      </c>
      <c r="E1084" s="136" t="s">
        <v>333</v>
      </c>
      <c r="F1084" s="136" t="s">
        <v>520</v>
      </c>
      <c r="G1084" s="136">
        <v>30</v>
      </c>
      <c r="H1084" s="137">
        <v>30</v>
      </c>
      <c r="I1084" s="138">
        <f t="shared" si="16"/>
        <v>900</v>
      </c>
      <c r="J1084" s="139" t="s">
        <v>472</v>
      </c>
      <c r="K1084" s="140">
        <v>18</v>
      </c>
      <c r="L1084">
        <f>Table13[[#This Row],[Price]]*Table13[[#This Row],[Units]]</f>
        <v>900</v>
      </c>
    </row>
    <row r="1085" spans="1:12" x14ac:dyDescent="0.35">
      <c r="A1085" s="134">
        <v>45715</v>
      </c>
      <c r="B1085" s="135" t="s">
        <v>1589</v>
      </c>
      <c r="C1085" s="136" t="s">
        <v>484</v>
      </c>
      <c r="D1085" s="136" t="s">
        <v>512</v>
      </c>
      <c r="E1085" s="136" t="s">
        <v>333</v>
      </c>
      <c r="F1085" s="136" t="s">
        <v>497</v>
      </c>
      <c r="G1085" s="136">
        <v>35</v>
      </c>
      <c r="H1085" s="137">
        <v>56</v>
      </c>
      <c r="I1085" s="138">
        <f t="shared" si="16"/>
        <v>1960</v>
      </c>
      <c r="J1085" s="139" t="s">
        <v>466</v>
      </c>
      <c r="K1085" s="140">
        <v>43.12</v>
      </c>
      <c r="L1085">
        <f>Table13[[#This Row],[Price]]*Table13[[#This Row],[Units]]</f>
        <v>1960</v>
      </c>
    </row>
    <row r="1086" spans="1:12" x14ac:dyDescent="0.35">
      <c r="A1086" s="134">
        <v>45715</v>
      </c>
      <c r="B1086" s="135" t="s">
        <v>1590</v>
      </c>
      <c r="C1086" s="136" t="s">
        <v>494</v>
      </c>
      <c r="D1086" s="136" t="s">
        <v>470</v>
      </c>
      <c r="E1086" s="136" t="s">
        <v>483</v>
      </c>
      <c r="F1086" s="136" t="s">
        <v>487</v>
      </c>
      <c r="G1086" s="136">
        <v>34</v>
      </c>
      <c r="H1086" s="137">
        <v>51</v>
      </c>
      <c r="I1086" s="138">
        <f t="shared" si="16"/>
        <v>1734</v>
      </c>
      <c r="J1086" s="139" t="s">
        <v>472</v>
      </c>
      <c r="K1086" s="140">
        <v>50.286000000000001</v>
      </c>
      <c r="L1086">
        <f>Table13[[#This Row],[Price]]*Table13[[#This Row],[Units]]</f>
        <v>1734</v>
      </c>
    </row>
    <row r="1087" spans="1:12" x14ac:dyDescent="0.35">
      <c r="A1087" s="134">
        <v>45715</v>
      </c>
      <c r="B1087" s="135" t="s">
        <v>1591</v>
      </c>
      <c r="C1087" s="136" t="s">
        <v>322</v>
      </c>
      <c r="D1087" s="136" t="s">
        <v>490</v>
      </c>
      <c r="E1087" s="136" t="s">
        <v>390</v>
      </c>
      <c r="F1087" s="136" t="s">
        <v>491</v>
      </c>
      <c r="G1087" s="136">
        <v>38</v>
      </c>
      <c r="H1087" s="137">
        <v>26</v>
      </c>
      <c r="I1087" s="138">
        <f t="shared" si="16"/>
        <v>988</v>
      </c>
      <c r="J1087" s="139" t="s">
        <v>472</v>
      </c>
      <c r="K1087" s="140">
        <v>21.736000000000001</v>
      </c>
      <c r="L1087">
        <f>Table13[[#This Row],[Price]]*Table13[[#This Row],[Units]]</f>
        <v>988</v>
      </c>
    </row>
    <row r="1088" spans="1:12" x14ac:dyDescent="0.35">
      <c r="A1088" s="134">
        <v>45715</v>
      </c>
      <c r="B1088" s="135" t="s">
        <v>1592</v>
      </c>
      <c r="C1088" s="136" t="s">
        <v>476</v>
      </c>
      <c r="D1088" s="136" t="s">
        <v>512</v>
      </c>
      <c r="E1088" s="136" t="s">
        <v>324</v>
      </c>
      <c r="F1088" s="136" t="s">
        <v>505</v>
      </c>
      <c r="G1088" s="136">
        <v>32</v>
      </c>
      <c r="H1088" s="137">
        <v>29</v>
      </c>
      <c r="I1088" s="138">
        <f t="shared" si="16"/>
        <v>928</v>
      </c>
      <c r="J1088" s="139" t="s">
        <v>466</v>
      </c>
      <c r="K1088" s="140">
        <v>22.271999999999998</v>
      </c>
      <c r="L1088">
        <f>Table13[[#This Row],[Price]]*Table13[[#This Row],[Units]]</f>
        <v>928</v>
      </c>
    </row>
    <row r="1089" spans="1:12" x14ac:dyDescent="0.35">
      <c r="A1089" s="134">
        <v>45716</v>
      </c>
      <c r="B1089" s="135" t="s">
        <v>1593</v>
      </c>
      <c r="C1089" s="136" t="s">
        <v>494</v>
      </c>
      <c r="D1089" s="136" t="s">
        <v>477</v>
      </c>
      <c r="E1089" s="136" t="s">
        <v>320</v>
      </c>
      <c r="F1089" s="136" t="s">
        <v>539</v>
      </c>
      <c r="G1089" s="136">
        <v>55</v>
      </c>
      <c r="H1089" s="137">
        <v>46</v>
      </c>
      <c r="I1089" s="138">
        <f t="shared" si="16"/>
        <v>2530</v>
      </c>
      <c r="J1089" s="139" t="s">
        <v>472</v>
      </c>
      <c r="K1089" s="140">
        <v>58.19</v>
      </c>
      <c r="L1089">
        <f>Table13[[#This Row],[Price]]*Table13[[#This Row],[Units]]</f>
        <v>2530</v>
      </c>
    </row>
    <row r="1090" spans="1:12" x14ac:dyDescent="0.35">
      <c r="A1090" s="134">
        <v>45716</v>
      </c>
      <c r="B1090" s="135" t="s">
        <v>1594</v>
      </c>
      <c r="C1090" s="136" t="s">
        <v>464</v>
      </c>
      <c r="D1090" s="136" t="s">
        <v>477</v>
      </c>
      <c r="E1090" s="136" t="s">
        <v>483</v>
      </c>
      <c r="F1090" s="136" t="s">
        <v>471</v>
      </c>
      <c r="G1090" s="136">
        <v>48</v>
      </c>
      <c r="H1090" s="137">
        <v>38</v>
      </c>
      <c r="I1090" s="138">
        <f t="shared" si="16"/>
        <v>1824</v>
      </c>
      <c r="J1090" s="139" t="s">
        <v>466</v>
      </c>
      <c r="K1090" s="140">
        <v>51.072000000000003</v>
      </c>
      <c r="L1090">
        <f>Table13[[#This Row],[Price]]*Table13[[#This Row],[Units]]</f>
        <v>1824</v>
      </c>
    </row>
    <row r="1091" spans="1:12" x14ac:dyDescent="0.35">
      <c r="A1091" s="134">
        <v>45716</v>
      </c>
      <c r="B1091" s="135" t="s">
        <v>1595</v>
      </c>
      <c r="C1091" s="136" t="s">
        <v>484</v>
      </c>
      <c r="D1091" s="136" t="s">
        <v>470</v>
      </c>
      <c r="E1091" s="136" t="s">
        <v>320</v>
      </c>
      <c r="F1091" s="136" t="s">
        <v>454</v>
      </c>
      <c r="G1091" s="136">
        <v>21</v>
      </c>
      <c r="H1091" s="137">
        <v>54</v>
      </c>
      <c r="I1091" s="138">
        <f t="shared" ref="I1091:I1154" si="17">G1091*H1091</f>
        <v>1134</v>
      </c>
      <c r="J1091" s="139" t="s">
        <v>466</v>
      </c>
      <c r="K1091" s="140">
        <v>23.814</v>
      </c>
      <c r="L1091">
        <f>Table13[[#This Row],[Price]]*Table13[[#This Row],[Units]]</f>
        <v>1134</v>
      </c>
    </row>
    <row r="1092" spans="1:12" x14ac:dyDescent="0.35">
      <c r="A1092" s="134">
        <v>45716</v>
      </c>
      <c r="B1092" s="135" t="s">
        <v>1596</v>
      </c>
      <c r="C1092" s="136" t="s">
        <v>469</v>
      </c>
      <c r="D1092" s="136" t="s">
        <v>477</v>
      </c>
      <c r="E1092" s="136" t="s">
        <v>324</v>
      </c>
      <c r="F1092" s="136" t="s">
        <v>497</v>
      </c>
      <c r="G1092" s="136">
        <v>22</v>
      </c>
      <c r="H1092" s="137">
        <v>25</v>
      </c>
      <c r="I1092" s="138">
        <f t="shared" si="17"/>
        <v>550</v>
      </c>
      <c r="J1092" s="139" t="s">
        <v>466</v>
      </c>
      <c r="K1092" s="140">
        <v>12.1</v>
      </c>
      <c r="L1092">
        <f>Table13[[#This Row],[Price]]*Table13[[#This Row],[Units]]</f>
        <v>550</v>
      </c>
    </row>
    <row r="1093" spans="1:12" x14ac:dyDescent="0.35">
      <c r="A1093" s="134">
        <v>45716</v>
      </c>
      <c r="B1093" s="135" t="s">
        <v>1597</v>
      </c>
      <c r="C1093" s="136" t="s">
        <v>501</v>
      </c>
      <c r="D1093" s="136" t="s">
        <v>477</v>
      </c>
      <c r="E1093" s="136" t="s">
        <v>315</v>
      </c>
      <c r="F1093" s="136" t="s">
        <v>539</v>
      </c>
      <c r="G1093" s="136">
        <v>24</v>
      </c>
      <c r="H1093" s="137">
        <v>42</v>
      </c>
      <c r="I1093" s="138">
        <f t="shared" si="17"/>
        <v>1008</v>
      </c>
      <c r="J1093" s="139" t="s">
        <v>466</v>
      </c>
      <c r="K1093" s="140">
        <v>23.184000000000001</v>
      </c>
      <c r="L1093">
        <f>Table13[[#This Row],[Price]]*Table13[[#This Row],[Units]]</f>
        <v>1008</v>
      </c>
    </row>
    <row r="1094" spans="1:12" x14ac:dyDescent="0.35">
      <c r="A1094" s="134">
        <v>45716</v>
      </c>
      <c r="B1094" s="135" t="s">
        <v>1598</v>
      </c>
      <c r="C1094" s="136" t="s">
        <v>464</v>
      </c>
      <c r="D1094" s="136" t="s">
        <v>470</v>
      </c>
      <c r="E1094" s="136" t="s">
        <v>315</v>
      </c>
      <c r="F1094" s="136" t="s">
        <v>517</v>
      </c>
      <c r="G1094" s="136">
        <v>48</v>
      </c>
      <c r="H1094" s="137">
        <v>56</v>
      </c>
      <c r="I1094" s="138">
        <f t="shared" si="17"/>
        <v>2688</v>
      </c>
      <c r="J1094" s="139" t="s">
        <v>503</v>
      </c>
      <c r="K1094" s="140">
        <v>72.575999999999993</v>
      </c>
      <c r="L1094">
        <f>Table13[[#This Row],[Price]]*Table13[[#This Row],[Units]]</f>
        <v>2688</v>
      </c>
    </row>
    <row r="1095" spans="1:12" x14ac:dyDescent="0.35">
      <c r="A1095" s="134">
        <v>45716</v>
      </c>
      <c r="B1095" s="135" t="s">
        <v>1599</v>
      </c>
      <c r="C1095" s="136" t="s">
        <v>494</v>
      </c>
      <c r="D1095" s="136" t="s">
        <v>477</v>
      </c>
      <c r="E1095" s="136" t="s">
        <v>412</v>
      </c>
      <c r="F1095" s="136" t="s">
        <v>487</v>
      </c>
      <c r="G1095" s="136">
        <v>19</v>
      </c>
      <c r="H1095" s="137">
        <v>32</v>
      </c>
      <c r="I1095" s="138">
        <f t="shared" si="17"/>
        <v>608</v>
      </c>
      <c r="J1095" s="139" t="s">
        <v>466</v>
      </c>
      <c r="K1095" s="140">
        <v>15.2</v>
      </c>
      <c r="L1095">
        <f>Table13[[#This Row],[Price]]*Table13[[#This Row],[Units]]</f>
        <v>608</v>
      </c>
    </row>
    <row r="1096" spans="1:12" x14ac:dyDescent="0.35">
      <c r="A1096" s="134">
        <v>45716</v>
      </c>
      <c r="B1096" s="135" t="s">
        <v>1600</v>
      </c>
      <c r="C1096" s="136" t="s">
        <v>469</v>
      </c>
      <c r="D1096" s="136" t="s">
        <v>486</v>
      </c>
      <c r="E1096" s="136" t="s">
        <v>320</v>
      </c>
      <c r="F1096" s="136" t="s">
        <v>523</v>
      </c>
      <c r="G1096" s="136">
        <v>36</v>
      </c>
      <c r="H1096" s="137">
        <v>21</v>
      </c>
      <c r="I1096" s="138">
        <f t="shared" si="17"/>
        <v>756</v>
      </c>
      <c r="J1096" s="139" t="s">
        <v>503</v>
      </c>
      <c r="K1096" s="140">
        <v>21.167999999999999</v>
      </c>
      <c r="L1096">
        <f>Table13[[#This Row],[Price]]*Table13[[#This Row],[Units]]</f>
        <v>756</v>
      </c>
    </row>
    <row r="1097" spans="1:12" x14ac:dyDescent="0.35">
      <c r="A1097" s="134">
        <v>45716</v>
      </c>
      <c r="B1097" s="135" t="s">
        <v>1601</v>
      </c>
      <c r="C1097" s="136" t="s">
        <v>494</v>
      </c>
      <c r="D1097" s="136" t="s">
        <v>465</v>
      </c>
      <c r="E1097" s="136" t="s">
        <v>412</v>
      </c>
      <c r="F1097" s="136" t="s">
        <v>517</v>
      </c>
      <c r="G1097" s="136">
        <v>29</v>
      </c>
      <c r="H1097" s="137">
        <v>55</v>
      </c>
      <c r="I1097" s="138">
        <f t="shared" si="17"/>
        <v>1595</v>
      </c>
      <c r="J1097" s="139" t="s">
        <v>503</v>
      </c>
      <c r="K1097" s="140">
        <v>44.66</v>
      </c>
      <c r="L1097">
        <f>Table13[[#This Row],[Price]]*Table13[[#This Row],[Units]]</f>
        <v>1595</v>
      </c>
    </row>
    <row r="1098" spans="1:12" x14ac:dyDescent="0.35">
      <c r="A1098" s="134">
        <v>45717</v>
      </c>
      <c r="B1098" s="135" t="s">
        <v>1602</v>
      </c>
      <c r="C1098" s="136" t="s">
        <v>322</v>
      </c>
      <c r="D1098" s="136" t="s">
        <v>465</v>
      </c>
      <c r="E1098" s="136" t="s">
        <v>324</v>
      </c>
      <c r="F1098" s="136" t="s">
        <v>471</v>
      </c>
      <c r="G1098" s="136">
        <v>32</v>
      </c>
      <c r="H1098" s="137">
        <v>46</v>
      </c>
      <c r="I1098" s="138">
        <f t="shared" si="17"/>
        <v>1472</v>
      </c>
      <c r="J1098" s="139" t="s">
        <v>466</v>
      </c>
      <c r="K1098" s="140">
        <v>29.44</v>
      </c>
      <c r="L1098">
        <f>Table13[[#This Row],[Price]]*Table13[[#This Row],[Units]]</f>
        <v>1472</v>
      </c>
    </row>
    <row r="1099" spans="1:12" x14ac:dyDescent="0.35">
      <c r="A1099" s="134">
        <v>45717</v>
      </c>
      <c r="B1099" s="135" t="s">
        <v>1603</v>
      </c>
      <c r="C1099" s="136" t="s">
        <v>489</v>
      </c>
      <c r="D1099" s="136" t="s">
        <v>486</v>
      </c>
      <c r="E1099" s="136" t="s">
        <v>483</v>
      </c>
      <c r="F1099" s="136" t="s">
        <v>523</v>
      </c>
      <c r="G1099" s="136">
        <v>54</v>
      </c>
      <c r="H1099" s="137">
        <v>28</v>
      </c>
      <c r="I1099" s="138">
        <f t="shared" si="17"/>
        <v>1512</v>
      </c>
      <c r="J1099" s="139" t="s">
        <v>472</v>
      </c>
      <c r="K1099" s="140">
        <v>42.335999999999999</v>
      </c>
      <c r="L1099">
        <f>Table13[[#This Row],[Price]]*Table13[[#This Row],[Units]]</f>
        <v>1512</v>
      </c>
    </row>
    <row r="1100" spans="1:12" x14ac:dyDescent="0.35">
      <c r="A1100" s="134">
        <v>45717</v>
      </c>
      <c r="B1100" s="135" t="s">
        <v>1604</v>
      </c>
      <c r="C1100" s="136" t="s">
        <v>469</v>
      </c>
      <c r="D1100" s="136" t="s">
        <v>490</v>
      </c>
      <c r="E1100" s="136" t="s">
        <v>320</v>
      </c>
      <c r="F1100" s="136" t="s">
        <v>478</v>
      </c>
      <c r="G1100" s="136">
        <v>41</v>
      </c>
      <c r="H1100" s="137">
        <v>20</v>
      </c>
      <c r="I1100" s="138">
        <f t="shared" si="17"/>
        <v>820</v>
      </c>
      <c r="J1100" s="139" t="s">
        <v>515</v>
      </c>
      <c r="K1100" s="140">
        <v>17.22</v>
      </c>
      <c r="L1100">
        <f>Table13[[#This Row],[Price]]*Table13[[#This Row],[Units]]</f>
        <v>820</v>
      </c>
    </row>
    <row r="1101" spans="1:12" x14ac:dyDescent="0.35">
      <c r="A1101" s="134">
        <v>45717</v>
      </c>
      <c r="B1101" s="135" t="s">
        <v>1605</v>
      </c>
      <c r="C1101" s="136" t="s">
        <v>322</v>
      </c>
      <c r="D1101" s="136" t="s">
        <v>512</v>
      </c>
      <c r="E1101" s="136" t="s">
        <v>324</v>
      </c>
      <c r="F1101" s="136" t="s">
        <v>513</v>
      </c>
      <c r="G1101" s="136">
        <v>23</v>
      </c>
      <c r="H1101" s="137">
        <v>24</v>
      </c>
      <c r="I1101" s="138">
        <f t="shared" si="17"/>
        <v>552</v>
      </c>
      <c r="J1101" s="139" t="s">
        <v>466</v>
      </c>
      <c r="K1101" s="140">
        <v>13.247999999999999</v>
      </c>
      <c r="L1101">
        <f>Table13[[#This Row],[Price]]*Table13[[#This Row],[Units]]</f>
        <v>552</v>
      </c>
    </row>
    <row r="1102" spans="1:12" x14ac:dyDescent="0.35">
      <c r="A1102" s="134">
        <v>45717</v>
      </c>
      <c r="B1102" s="135" t="s">
        <v>1606</v>
      </c>
      <c r="C1102" s="136" t="s">
        <v>494</v>
      </c>
      <c r="D1102" s="136" t="s">
        <v>477</v>
      </c>
      <c r="E1102" s="136" t="s">
        <v>320</v>
      </c>
      <c r="F1102" s="136" t="s">
        <v>505</v>
      </c>
      <c r="G1102" s="136">
        <v>36</v>
      </c>
      <c r="H1102" s="137">
        <v>42</v>
      </c>
      <c r="I1102" s="138">
        <f t="shared" si="17"/>
        <v>1512</v>
      </c>
      <c r="J1102" s="139" t="s">
        <v>466</v>
      </c>
      <c r="K1102" s="140">
        <v>30.24</v>
      </c>
      <c r="L1102">
        <f>Table13[[#This Row],[Price]]*Table13[[#This Row],[Units]]</f>
        <v>1512</v>
      </c>
    </row>
    <row r="1103" spans="1:12" x14ac:dyDescent="0.35">
      <c r="A1103" s="134">
        <v>45717</v>
      </c>
      <c r="B1103" s="135" t="s">
        <v>1607</v>
      </c>
      <c r="C1103" s="136" t="s">
        <v>464</v>
      </c>
      <c r="D1103" s="136" t="s">
        <v>470</v>
      </c>
      <c r="E1103" s="136" t="s">
        <v>333</v>
      </c>
      <c r="F1103" s="136" t="s">
        <v>539</v>
      </c>
      <c r="G1103" s="136">
        <v>55</v>
      </c>
      <c r="H1103" s="137">
        <v>26</v>
      </c>
      <c r="I1103" s="138">
        <f t="shared" si="17"/>
        <v>1430</v>
      </c>
      <c r="J1103" s="139" t="s">
        <v>472</v>
      </c>
      <c r="K1103" s="140">
        <v>32.89</v>
      </c>
      <c r="L1103">
        <f>Table13[[#This Row],[Price]]*Table13[[#This Row],[Units]]</f>
        <v>1430</v>
      </c>
    </row>
    <row r="1104" spans="1:12" x14ac:dyDescent="0.35">
      <c r="A1104" s="134">
        <v>45717</v>
      </c>
      <c r="B1104" s="135" t="s">
        <v>1608</v>
      </c>
      <c r="C1104" s="136" t="s">
        <v>484</v>
      </c>
      <c r="D1104" s="136" t="s">
        <v>519</v>
      </c>
      <c r="E1104" s="136" t="s">
        <v>483</v>
      </c>
      <c r="F1104" s="136" t="s">
        <v>510</v>
      </c>
      <c r="G1104" s="136">
        <v>12</v>
      </c>
      <c r="H1104" s="137">
        <v>54</v>
      </c>
      <c r="I1104" s="138">
        <f t="shared" si="17"/>
        <v>648</v>
      </c>
      <c r="J1104" s="139" t="s">
        <v>466</v>
      </c>
      <c r="K1104" s="140">
        <v>12.96</v>
      </c>
      <c r="L1104">
        <f>Table13[[#This Row],[Price]]*Table13[[#This Row],[Units]]</f>
        <v>648</v>
      </c>
    </row>
    <row r="1105" spans="1:12" x14ac:dyDescent="0.35">
      <c r="A1105" s="134">
        <v>45717</v>
      </c>
      <c r="B1105" s="135" t="s">
        <v>1609</v>
      </c>
      <c r="C1105" s="136" t="s">
        <v>322</v>
      </c>
      <c r="D1105" s="136" t="s">
        <v>519</v>
      </c>
      <c r="E1105" s="136" t="s">
        <v>320</v>
      </c>
      <c r="F1105" s="136" t="s">
        <v>491</v>
      </c>
      <c r="G1105" s="136">
        <v>23</v>
      </c>
      <c r="H1105" s="137">
        <v>23</v>
      </c>
      <c r="I1105" s="138">
        <f t="shared" si="17"/>
        <v>529</v>
      </c>
      <c r="J1105" s="139" t="s">
        <v>515</v>
      </c>
      <c r="K1105" s="140">
        <v>11.638</v>
      </c>
      <c r="L1105">
        <f>Table13[[#This Row],[Price]]*Table13[[#This Row],[Units]]</f>
        <v>529</v>
      </c>
    </row>
    <row r="1106" spans="1:12" x14ac:dyDescent="0.35">
      <c r="A1106" s="134">
        <v>45717</v>
      </c>
      <c r="B1106" s="135" t="s">
        <v>1610</v>
      </c>
      <c r="C1106" s="136" t="s">
        <v>489</v>
      </c>
      <c r="D1106" s="136" t="s">
        <v>465</v>
      </c>
      <c r="E1106" s="136" t="s">
        <v>390</v>
      </c>
      <c r="F1106" s="136" t="s">
        <v>513</v>
      </c>
      <c r="G1106" s="136">
        <v>10</v>
      </c>
      <c r="H1106" s="137">
        <v>36</v>
      </c>
      <c r="I1106" s="138">
        <f t="shared" si="17"/>
        <v>360</v>
      </c>
      <c r="J1106" s="139" t="s">
        <v>515</v>
      </c>
      <c r="K1106" s="140">
        <v>9</v>
      </c>
      <c r="L1106">
        <f>Table13[[#This Row],[Price]]*Table13[[#This Row],[Units]]</f>
        <v>360</v>
      </c>
    </row>
    <row r="1107" spans="1:12" x14ac:dyDescent="0.35">
      <c r="A1107" s="134">
        <v>45717</v>
      </c>
      <c r="B1107" s="135" t="s">
        <v>1611</v>
      </c>
      <c r="C1107" s="136" t="s">
        <v>484</v>
      </c>
      <c r="D1107" s="136" t="s">
        <v>486</v>
      </c>
      <c r="E1107" s="136" t="s">
        <v>333</v>
      </c>
      <c r="F1107" s="136" t="s">
        <v>500</v>
      </c>
      <c r="G1107" s="136">
        <v>15</v>
      </c>
      <c r="H1107" s="137">
        <v>34</v>
      </c>
      <c r="I1107" s="138">
        <f t="shared" si="17"/>
        <v>510</v>
      </c>
      <c r="J1107" s="139" t="s">
        <v>515</v>
      </c>
      <c r="K1107" s="140">
        <v>15.3</v>
      </c>
      <c r="L1107">
        <f>Table13[[#This Row],[Price]]*Table13[[#This Row],[Units]]</f>
        <v>510</v>
      </c>
    </row>
    <row r="1108" spans="1:12" x14ac:dyDescent="0.35">
      <c r="A1108" s="134">
        <v>45717</v>
      </c>
      <c r="B1108" s="135" t="s">
        <v>1612</v>
      </c>
      <c r="C1108" s="136" t="s">
        <v>469</v>
      </c>
      <c r="D1108" s="136" t="s">
        <v>477</v>
      </c>
      <c r="E1108" s="136" t="s">
        <v>320</v>
      </c>
      <c r="F1108" s="136" t="s">
        <v>517</v>
      </c>
      <c r="G1108" s="136">
        <v>30</v>
      </c>
      <c r="H1108" s="137">
        <v>30</v>
      </c>
      <c r="I1108" s="138">
        <f t="shared" si="17"/>
        <v>900</v>
      </c>
      <c r="J1108" s="139" t="s">
        <v>466</v>
      </c>
      <c r="K1108" s="140">
        <v>19.8</v>
      </c>
      <c r="L1108">
        <f>Table13[[#This Row],[Price]]*Table13[[#This Row],[Units]]</f>
        <v>900</v>
      </c>
    </row>
    <row r="1109" spans="1:12" x14ac:dyDescent="0.35">
      <c r="A1109" s="134">
        <v>45717</v>
      </c>
      <c r="B1109" s="135" t="s">
        <v>1613</v>
      </c>
      <c r="C1109" s="136" t="s">
        <v>322</v>
      </c>
      <c r="D1109" s="136" t="s">
        <v>465</v>
      </c>
      <c r="E1109" s="136" t="s">
        <v>483</v>
      </c>
      <c r="F1109" s="136" t="s">
        <v>454</v>
      </c>
      <c r="G1109" s="136">
        <v>14</v>
      </c>
      <c r="H1109" s="137">
        <v>54</v>
      </c>
      <c r="I1109" s="138">
        <f t="shared" si="17"/>
        <v>756</v>
      </c>
      <c r="J1109" s="139" t="s">
        <v>472</v>
      </c>
      <c r="K1109" s="140">
        <v>15.875999999999999</v>
      </c>
      <c r="L1109">
        <f>Table13[[#This Row],[Price]]*Table13[[#This Row],[Units]]</f>
        <v>756</v>
      </c>
    </row>
    <row r="1110" spans="1:12" x14ac:dyDescent="0.35">
      <c r="A1110" s="134">
        <v>45717</v>
      </c>
      <c r="B1110" s="135" t="s">
        <v>1614</v>
      </c>
      <c r="C1110" s="136" t="s">
        <v>464</v>
      </c>
      <c r="D1110" s="136" t="s">
        <v>486</v>
      </c>
      <c r="E1110" s="136" t="s">
        <v>315</v>
      </c>
      <c r="F1110" s="136" t="s">
        <v>491</v>
      </c>
      <c r="G1110" s="136">
        <v>45</v>
      </c>
      <c r="H1110" s="137">
        <v>25</v>
      </c>
      <c r="I1110" s="138">
        <f t="shared" si="17"/>
        <v>1125</v>
      </c>
      <c r="J1110" s="139" t="s">
        <v>515</v>
      </c>
      <c r="K1110" s="140">
        <v>32.625</v>
      </c>
      <c r="L1110">
        <f>Table13[[#This Row],[Price]]*Table13[[#This Row],[Units]]</f>
        <v>1125</v>
      </c>
    </row>
    <row r="1111" spans="1:12" x14ac:dyDescent="0.35">
      <c r="A1111" s="134">
        <v>45718</v>
      </c>
      <c r="B1111" s="135" t="s">
        <v>1615</v>
      </c>
      <c r="C1111" s="136" t="s">
        <v>501</v>
      </c>
      <c r="D1111" s="136" t="s">
        <v>477</v>
      </c>
      <c r="E1111" s="136" t="s">
        <v>315</v>
      </c>
      <c r="F1111" s="136" t="s">
        <v>510</v>
      </c>
      <c r="G1111" s="136">
        <v>47</v>
      </c>
      <c r="H1111" s="137">
        <v>58</v>
      </c>
      <c r="I1111" s="138">
        <f t="shared" si="17"/>
        <v>2726</v>
      </c>
      <c r="J1111" s="139" t="s">
        <v>466</v>
      </c>
      <c r="K1111" s="140">
        <v>59.972000000000001</v>
      </c>
      <c r="L1111">
        <f>Table13[[#This Row],[Price]]*Table13[[#This Row],[Units]]</f>
        <v>2726</v>
      </c>
    </row>
    <row r="1112" spans="1:12" x14ac:dyDescent="0.35">
      <c r="A1112" s="134">
        <v>45718</v>
      </c>
      <c r="B1112" s="135" t="s">
        <v>1616</v>
      </c>
      <c r="C1112" s="136" t="s">
        <v>489</v>
      </c>
      <c r="D1112" s="136" t="s">
        <v>477</v>
      </c>
      <c r="E1112" s="136" t="s">
        <v>324</v>
      </c>
      <c r="F1112" s="136" t="s">
        <v>528</v>
      </c>
      <c r="G1112" s="136">
        <v>43</v>
      </c>
      <c r="H1112" s="137">
        <v>50</v>
      </c>
      <c r="I1112" s="138">
        <f t="shared" si="17"/>
        <v>2150</v>
      </c>
      <c r="J1112" s="139" t="s">
        <v>472</v>
      </c>
      <c r="K1112" s="140">
        <v>62.35</v>
      </c>
      <c r="L1112">
        <f>Table13[[#This Row],[Price]]*Table13[[#This Row],[Units]]</f>
        <v>2150</v>
      </c>
    </row>
    <row r="1113" spans="1:12" x14ac:dyDescent="0.35">
      <c r="A1113" s="134">
        <v>45718</v>
      </c>
      <c r="B1113" s="135" t="s">
        <v>1617</v>
      </c>
      <c r="C1113" s="136" t="s">
        <v>494</v>
      </c>
      <c r="D1113" s="136" t="s">
        <v>486</v>
      </c>
      <c r="E1113" s="136" t="s">
        <v>320</v>
      </c>
      <c r="F1113" s="136" t="s">
        <v>520</v>
      </c>
      <c r="G1113" s="136">
        <v>17</v>
      </c>
      <c r="H1113" s="137">
        <v>43</v>
      </c>
      <c r="I1113" s="138">
        <f t="shared" si="17"/>
        <v>731</v>
      </c>
      <c r="J1113" s="139" t="s">
        <v>472</v>
      </c>
      <c r="K1113" s="140">
        <v>16.812999999999999</v>
      </c>
      <c r="L1113">
        <f>Table13[[#This Row],[Price]]*Table13[[#This Row],[Units]]</f>
        <v>731</v>
      </c>
    </row>
    <row r="1114" spans="1:12" x14ac:dyDescent="0.35">
      <c r="A1114" s="134">
        <v>45718</v>
      </c>
      <c r="B1114" s="135" t="s">
        <v>1618</v>
      </c>
      <c r="C1114" s="136" t="s">
        <v>492</v>
      </c>
      <c r="D1114" s="136" t="s">
        <v>477</v>
      </c>
      <c r="E1114" s="136" t="s">
        <v>315</v>
      </c>
      <c r="F1114" s="136" t="s">
        <v>528</v>
      </c>
      <c r="G1114" s="136">
        <v>53</v>
      </c>
      <c r="H1114" s="137">
        <v>25</v>
      </c>
      <c r="I1114" s="138">
        <f t="shared" si="17"/>
        <v>1325</v>
      </c>
      <c r="J1114" s="139" t="s">
        <v>472</v>
      </c>
      <c r="K1114" s="140">
        <v>31.8</v>
      </c>
      <c r="L1114">
        <f>Table13[[#This Row],[Price]]*Table13[[#This Row],[Units]]</f>
        <v>1325</v>
      </c>
    </row>
    <row r="1115" spans="1:12" x14ac:dyDescent="0.35">
      <c r="A1115" s="134">
        <v>45718</v>
      </c>
      <c r="B1115" s="135" t="s">
        <v>1619</v>
      </c>
      <c r="C1115" s="136" t="s">
        <v>492</v>
      </c>
      <c r="D1115" s="136" t="s">
        <v>512</v>
      </c>
      <c r="E1115" s="136" t="s">
        <v>324</v>
      </c>
      <c r="F1115" s="136" t="s">
        <v>478</v>
      </c>
      <c r="G1115" s="136">
        <v>27</v>
      </c>
      <c r="H1115" s="137">
        <v>43</v>
      </c>
      <c r="I1115" s="138">
        <f t="shared" si="17"/>
        <v>1161</v>
      </c>
      <c r="J1115" s="139" t="s">
        <v>466</v>
      </c>
      <c r="K1115" s="140">
        <v>27.864000000000001</v>
      </c>
      <c r="L1115">
        <f>Table13[[#This Row],[Price]]*Table13[[#This Row],[Units]]</f>
        <v>1161</v>
      </c>
    </row>
    <row r="1116" spans="1:12" x14ac:dyDescent="0.35">
      <c r="A1116" s="134">
        <v>45718</v>
      </c>
      <c r="B1116" s="135" t="s">
        <v>1620</v>
      </c>
      <c r="C1116" s="136" t="s">
        <v>464</v>
      </c>
      <c r="D1116" s="136" t="s">
        <v>470</v>
      </c>
      <c r="E1116" s="136" t="s">
        <v>483</v>
      </c>
      <c r="F1116" s="136" t="s">
        <v>454</v>
      </c>
      <c r="G1116" s="136">
        <v>26</v>
      </c>
      <c r="H1116" s="137">
        <v>34</v>
      </c>
      <c r="I1116" s="138">
        <f t="shared" si="17"/>
        <v>884</v>
      </c>
      <c r="J1116" s="139" t="s">
        <v>472</v>
      </c>
      <c r="K1116" s="140">
        <v>22.1</v>
      </c>
      <c r="L1116">
        <f>Table13[[#This Row],[Price]]*Table13[[#This Row],[Units]]</f>
        <v>884</v>
      </c>
    </row>
    <row r="1117" spans="1:12" x14ac:dyDescent="0.35">
      <c r="A1117" s="134">
        <v>45718</v>
      </c>
      <c r="B1117" s="135" t="s">
        <v>1621</v>
      </c>
      <c r="C1117" s="136" t="s">
        <v>492</v>
      </c>
      <c r="D1117" s="136" t="s">
        <v>512</v>
      </c>
      <c r="E1117" s="136" t="s">
        <v>320</v>
      </c>
      <c r="F1117" s="136" t="s">
        <v>523</v>
      </c>
      <c r="G1117" s="136">
        <v>30</v>
      </c>
      <c r="H1117" s="137">
        <v>50</v>
      </c>
      <c r="I1117" s="138">
        <f t="shared" si="17"/>
        <v>1500</v>
      </c>
      <c r="J1117" s="139" t="s">
        <v>472</v>
      </c>
      <c r="K1117" s="140">
        <v>33</v>
      </c>
      <c r="L1117">
        <f>Table13[[#This Row],[Price]]*Table13[[#This Row],[Units]]</f>
        <v>1500</v>
      </c>
    </row>
    <row r="1118" spans="1:12" x14ac:dyDescent="0.35">
      <c r="A1118" s="134">
        <v>45719</v>
      </c>
      <c r="B1118" s="135" t="s">
        <v>1622</v>
      </c>
      <c r="C1118" s="136" t="s">
        <v>484</v>
      </c>
      <c r="D1118" s="136" t="s">
        <v>486</v>
      </c>
      <c r="E1118" s="136" t="s">
        <v>333</v>
      </c>
      <c r="F1118" s="136" t="s">
        <v>517</v>
      </c>
      <c r="G1118" s="136">
        <v>11</v>
      </c>
      <c r="H1118" s="137">
        <v>53</v>
      </c>
      <c r="I1118" s="138">
        <f t="shared" si="17"/>
        <v>583</v>
      </c>
      <c r="J1118" s="139" t="s">
        <v>466</v>
      </c>
      <c r="K1118" s="140">
        <v>14.574999999999999</v>
      </c>
      <c r="L1118">
        <f>Table13[[#This Row],[Price]]*Table13[[#This Row],[Units]]</f>
        <v>583</v>
      </c>
    </row>
    <row r="1119" spans="1:12" x14ac:dyDescent="0.35">
      <c r="A1119" s="134">
        <v>45719</v>
      </c>
      <c r="B1119" s="135" t="s">
        <v>1623</v>
      </c>
      <c r="C1119" s="136" t="s">
        <v>492</v>
      </c>
      <c r="D1119" s="136" t="s">
        <v>512</v>
      </c>
      <c r="E1119" s="136" t="s">
        <v>324</v>
      </c>
      <c r="F1119" s="136" t="s">
        <v>505</v>
      </c>
      <c r="G1119" s="136">
        <v>40</v>
      </c>
      <c r="H1119" s="137">
        <v>55</v>
      </c>
      <c r="I1119" s="138">
        <f t="shared" si="17"/>
        <v>2200</v>
      </c>
      <c r="J1119" s="139" t="s">
        <v>466</v>
      </c>
      <c r="K1119" s="140">
        <v>63.8</v>
      </c>
      <c r="L1119">
        <f>Table13[[#This Row],[Price]]*Table13[[#This Row],[Units]]</f>
        <v>2200</v>
      </c>
    </row>
    <row r="1120" spans="1:12" x14ac:dyDescent="0.35">
      <c r="A1120" s="134">
        <v>45719</v>
      </c>
      <c r="B1120" s="135" t="s">
        <v>1624</v>
      </c>
      <c r="C1120" s="136" t="s">
        <v>464</v>
      </c>
      <c r="D1120" s="136" t="s">
        <v>470</v>
      </c>
      <c r="E1120" s="136" t="s">
        <v>324</v>
      </c>
      <c r="F1120" s="136" t="s">
        <v>528</v>
      </c>
      <c r="G1120" s="136">
        <v>14</v>
      </c>
      <c r="H1120" s="137">
        <v>58</v>
      </c>
      <c r="I1120" s="138">
        <f t="shared" si="17"/>
        <v>812</v>
      </c>
      <c r="J1120" s="139" t="s">
        <v>472</v>
      </c>
      <c r="K1120" s="140">
        <v>22.736000000000001</v>
      </c>
      <c r="L1120">
        <f>Table13[[#This Row],[Price]]*Table13[[#This Row],[Units]]</f>
        <v>812</v>
      </c>
    </row>
    <row r="1121" spans="1:12" x14ac:dyDescent="0.35">
      <c r="A1121" s="134">
        <v>45719</v>
      </c>
      <c r="B1121" s="135" t="s">
        <v>1625</v>
      </c>
      <c r="C1121" s="136" t="s">
        <v>489</v>
      </c>
      <c r="D1121" s="136" t="s">
        <v>470</v>
      </c>
      <c r="E1121" s="136" t="s">
        <v>483</v>
      </c>
      <c r="F1121" s="136" t="s">
        <v>478</v>
      </c>
      <c r="G1121" s="136">
        <v>58</v>
      </c>
      <c r="H1121" s="137">
        <v>35</v>
      </c>
      <c r="I1121" s="138">
        <f t="shared" si="17"/>
        <v>2030</v>
      </c>
      <c r="J1121" s="139" t="s">
        <v>503</v>
      </c>
      <c r="K1121" s="140">
        <v>58.87</v>
      </c>
      <c r="L1121">
        <f>Table13[[#This Row],[Price]]*Table13[[#This Row],[Units]]</f>
        <v>2030</v>
      </c>
    </row>
    <row r="1122" spans="1:12" x14ac:dyDescent="0.35">
      <c r="A1122" s="134">
        <v>45719</v>
      </c>
      <c r="B1122" s="135" t="s">
        <v>1626</v>
      </c>
      <c r="C1122" s="136" t="s">
        <v>464</v>
      </c>
      <c r="D1122" s="136" t="s">
        <v>470</v>
      </c>
      <c r="E1122" s="136" t="s">
        <v>315</v>
      </c>
      <c r="F1122" s="136" t="s">
        <v>567</v>
      </c>
      <c r="G1122" s="136">
        <v>59</v>
      </c>
      <c r="H1122" s="137">
        <v>55</v>
      </c>
      <c r="I1122" s="138">
        <f t="shared" si="17"/>
        <v>3245</v>
      </c>
      <c r="J1122" s="139" t="s">
        <v>503</v>
      </c>
      <c r="K1122" s="140">
        <v>64.900000000000006</v>
      </c>
      <c r="L1122">
        <f>Table13[[#This Row],[Price]]*Table13[[#This Row],[Units]]</f>
        <v>3245</v>
      </c>
    </row>
    <row r="1123" spans="1:12" x14ac:dyDescent="0.35">
      <c r="A1123" s="134">
        <v>45719</v>
      </c>
      <c r="B1123" s="135" t="s">
        <v>1627</v>
      </c>
      <c r="C1123" s="136" t="s">
        <v>484</v>
      </c>
      <c r="D1123" s="136" t="s">
        <v>470</v>
      </c>
      <c r="E1123" s="136" t="s">
        <v>315</v>
      </c>
      <c r="F1123" s="136" t="s">
        <v>505</v>
      </c>
      <c r="G1123" s="136">
        <v>21</v>
      </c>
      <c r="H1123" s="137">
        <v>34</v>
      </c>
      <c r="I1123" s="138">
        <f t="shared" si="17"/>
        <v>714</v>
      </c>
      <c r="J1123" s="139" t="s">
        <v>466</v>
      </c>
      <c r="K1123" s="140">
        <v>14.994</v>
      </c>
      <c r="L1123">
        <f>Table13[[#This Row],[Price]]*Table13[[#This Row],[Units]]</f>
        <v>714</v>
      </c>
    </row>
    <row r="1124" spans="1:12" x14ac:dyDescent="0.35">
      <c r="A1124" s="134">
        <v>45719</v>
      </c>
      <c r="B1124" s="135" t="s">
        <v>1628</v>
      </c>
      <c r="C1124" s="136" t="s">
        <v>464</v>
      </c>
      <c r="D1124" s="136" t="s">
        <v>490</v>
      </c>
      <c r="E1124" s="136" t="s">
        <v>324</v>
      </c>
      <c r="F1124" s="136" t="s">
        <v>454</v>
      </c>
      <c r="G1124" s="136">
        <v>33</v>
      </c>
      <c r="H1124" s="137">
        <v>56</v>
      </c>
      <c r="I1124" s="138">
        <f t="shared" si="17"/>
        <v>1848</v>
      </c>
      <c r="J1124" s="139" t="s">
        <v>466</v>
      </c>
      <c r="K1124" s="140">
        <v>49.896000000000001</v>
      </c>
      <c r="L1124">
        <f>Table13[[#This Row],[Price]]*Table13[[#This Row],[Units]]</f>
        <v>1848</v>
      </c>
    </row>
    <row r="1125" spans="1:12" x14ac:dyDescent="0.35">
      <c r="A1125" s="134">
        <v>45719</v>
      </c>
      <c r="B1125" s="135" t="s">
        <v>1629</v>
      </c>
      <c r="C1125" s="136" t="s">
        <v>469</v>
      </c>
      <c r="D1125" s="136" t="s">
        <v>486</v>
      </c>
      <c r="E1125" s="136" t="s">
        <v>324</v>
      </c>
      <c r="F1125" s="136" t="s">
        <v>517</v>
      </c>
      <c r="G1125" s="136">
        <v>17</v>
      </c>
      <c r="H1125" s="137">
        <v>59</v>
      </c>
      <c r="I1125" s="138">
        <f t="shared" si="17"/>
        <v>1003</v>
      </c>
      <c r="J1125" s="139" t="s">
        <v>472</v>
      </c>
      <c r="K1125" s="140">
        <v>30.09</v>
      </c>
      <c r="L1125">
        <f>Table13[[#This Row],[Price]]*Table13[[#This Row],[Units]]</f>
        <v>1003</v>
      </c>
    </row>
    <row r="1126" spans="1:12" x14ac:dyDescent="0.35">
      <c r="A1126" s="134">
        <v>45719</v>
      </c>
      <c r="B1126" s="135" t="s">
        <v>1630</v>
      </c>
      <c r="C1126" s="136" t="s">
        <v>322</v>
      </c>
      <c r="D1126" s="136" t="s">
        <v>465</v>
      </c>
      <c r="E1126" s="136" t="s">
        <v>483</v>
      </c>
      <c r="F1126" s="136" t="s">
        <v>523</v>
      </c>
      <c r="G1126" s="136">
        <v>36</v>
      </c>
      <c r="H1126" s="137">
        <v>53</v>
      </c>
      <c r="I1126" s="138">
        <f t="shared" si="17"/>
        <v>1908</v>
      </c>
      <c r="J1126" s="139" t="s">
        <v>466</v>
      </c>
      <c r="K1126" s="140">
        <v>55.332000000000001</v>
      </c>
      <c r="L1126">
        <f>Table13[[#This Row],[Price]]*Table13[[#This Row],[Units]]</f>
        <v>1908</v>
      </c>
    </row>
    <row r="1127" spans="1:12" x14ac:dyDescent="0.35">
      <c r="A1127" s="134">
        <v>45719</v>
      </c>
      <c r="B1127" s="135" t="s">
        <v>1631</v>
      </c>
      <c r="C1127" s="136" t="s">
        <v>501</v>
      </c>
      <c r="D1127" s="136" t="s">
        <v>477</v>
      </c>
      <c r="E1127" s="136" t="s">
        <v>333</v>
      </c>
      <c r="F1127" s="136" t="s">
        <v>505</v>
      </c>
      <c r="G1127" s="136">
        <v>18</v>
      </c>
      <c r="H1127" s="137">
        <v>43</v>
      </c>
      <c r="I1127" s="138">
        <f t="shared" si="17"/>
        <v>774</v>
      </c>
      <c r="J1127" s="139" t="s">
        <v>472</v>
      </c>
      <c r="K1127" s="140">
        <v>17.027999999999999</v>
      </c>
      <c r="L1127">
        <f>Table13[[#This Row],[Price]]*Table13[[#This Row],[Units]]</f>
        <v>774</v>
      </c>
    </row>
    <row r="1128" spans="1:12" x14ac:dyDescent="0.35">
      <c r="A1128" s="134">
        <v>45719</v>
      </c>
      <c r="B1128" s="135" t="s">
        <v>1632</v>
      </c>
      <c r="C1128" s="136" t="s">
        <v>469</v>
      </c>
      <c r="D1128" s="136" t="s">
        <v>490</v>
      </c>
      <c r="E1128" s="136" t="s">
        <v>333</v>
      </c>
      <c r="F1128" s="136" t="s">
        <v>454</v>
      </c>
      <c r="G1128" s="136">
        <v>10</v>
      </c>
      <c r="H1128" s="137">
        <v>39</v>
      </c>
      <c r="I1128" s="138">
        <f t="shared" si="17"/>
        <v>390</v>
      </c>
      <c r="J1128" s="139" t="s">
        <v>472</v>
      </c>
      <c r="K1128" s="140">
        <v>10.53</v>
      </c>
      <c r="L1128">
        <f>Table13[[#This Row],[Price]]*Table13[[#This Row],[Units]]</f>
        <v>390</v>
      </c>
    </row>
    <row r="1129" spans="1:12" x14ac:dyDescent="0.35">
      <c r="A1129" s="134">
        <v>45719</v>
      </c>
      <c r="B1129" s="135" t="s">
        <v>1633</v>
      </c>
      <c r="C1129" s="136" t="s">
        <v>492</v>
      </c>
      <c r="D1129" s="136" t="s">
        <v>477</v>
      </c>
      <c r="E1129" s="136" t="s">
        <v>333</v>
      </c>
      <c r="F1129" s="136" t="s">
        <v>454</v>
      </c>
      <c r="G1129" s="136">
        <v>29</v>
      </c>
      <c r="H1129" s="137">
        <v>44</v>
      </c>
      <c r="I1129" s="138">
        <f t="shared" si="17"/>
        <v>1276</v>
      </c>
      <c r="J1129" s="139" t="s">
        <v>466</v>
      </c>
      <c r="K1129" s="140">
        <v>35.728000000000002</v>
      </c>
      <c r="L1129">
        <f>Table13[[#This Row],[Price]]*Table13[[#This Row],[Units]]</f>
        <v>1276</v>
      </c>
    </row>
    <row r="1130" spans="1:12" x14ac:dyDescent="0.35">
      <c r="A1130" s="134">
        <v>45719</v>
      </c>
      <c r="B1130" s="135" t="s">
        <v>1634</v>
      </c>
      <c r="C1130" s="136" t="s">
        <v>489</v>
      </c>
      <c r="D1130" s="136" t="s">
        <v>477</v>
      </c>
      <c r="E1130" s="136" t="s">
        <v>483</v>
      </c>
      <c r="F1130" s="136" t="s">
        <v>487</v>
      </c>
      <c r="G1130" s="136">
        <v>55</v>
      </c>
      <c r="H1130" s="137">
        <v>46</v>
      </c>
      <c r="I1130" s="138">
        <f t="shared" si="17"/>
        <v>2530</v>
      </c>
      <c r="J1130" s="139" t="s">
        <v>466</v>
      </c>
      <c r="K1130" s="140">
        <v>68.31</v>
      </c>
      <c r="L1130">
        <f>Table13[[#This Row],[Price]]*Table13[[#This Row],[Units]]</f>
        <v>2530</v>
      </c>
    </row>
    <row r="1131" spans="1:12" x14ac:dyDescent="0.35">
      <c r="A1131" s="134">
        <v>45719</v>
      </c>
      <c r="B1131" s="135" t="s">
        <v>1635</v>
      </c>
      <c r="C1131" s="136" t="s">
        <v>469</v>
      </c>
      <c r="D1131" s="136" t="s">
        <v>470</v>
      </c>
      <c r="E1131" s="136" t="s">
        <v>483</v>
      </c>
      <c r="F1131" s="136" t="s">
        <v>567</v>
      </c>
      <c r="G1131" s="136">
        <v>12</v>
      </c>
      <c r="H1131" s="137">
        <v>53</v>
      </c>
      <c r="I1131" s="138">
        <f t="shared" si="17"/>
        <v>636</v>
      </c>
      <c r="J1131" s="139" t="s">
        <v>472</v>
      </c>
      <c r="K1131" s="140">
        <v>13.356</v>
      </c>
      <c r="L1131">
        <f>Table13[[#This Row],[Price]]*Table13[[#This Row],[Units]]</f>
        <v>636</v>
      </c>
    </row>
    <row r="1132" spans="1:12" x14ac:dyDescent="0.35">
      <c r="A1132" s="134">
        <v>45719</v>
      </c>
      <c r="B1132" s="135" t="s">
        <v>1636</v>
      </c>
      <c r="C1132" s="136" t="s">
        <v>469</v>
      </c>
      <c r="D1132" s="136" t="s">
        <v>470</v>
      </c>
      <c r="E1132" s="136" t="s">
        <v>315</v>
      </c>
      <c r="F1132" s="136" t="s">
        <v>539</v>
      </c>
      <c r="G1132" s="136">
        <v>28</v>
      </c>
      <c r="H1132" s="137">
        <v>42</v>
      </c>
      <c r="I1132" s="138">
        <f t="shared" si="17"/>
        <v>1176</v>
      </c>
      <c r="J1132" s="139" t="s">
        <v>515</v>
      </c>
      <c r="K1132" s="140">
        <v>30.576000000000001</v>
      </c>
      <c r="L1132">
        <f>Table13[[#This Row],[Price]]*Table13[[#This Row],[Units]]</f>
        <v>1176</v>
      </c>
    </row>
    <row r="1133" spans="1:12" x14ac:dyDescent="0.35">
      <c r="A1133" s="134">
        <v>45719</v>
      </c>
      <c r="B1133" s="135" t="s">
        <v>1637</v>
      </c>
      <c r="C1133" s="136" t="s">
        <v>484</v>
      </c>
      <c r="D1133" s="136" t="s">
        <v>490</v>
      </c>
      <c r="E1133" s="136" t="s">
        <v>483</v>
      </c>
      <c r="F1133" s="136" t="s">
        <v>536</v>
      </c>
      <c r="G1133" s="136">
        <v>32</v>
      </c>
      <c r="H1133" s="137">
        <v>39</v>
      </c>
      <c r="I1133" s="138">
        <f t="shared" si="17"/>
        <v>1248</v>
      </c>
      <c r="J1133" s="139" t="s">
        <v>466</v>
      </c>
      <c r="K1133" s="140">
        <v>36.192</v>
      </c>
      <c r="L1133">
        <f>Table13[[#This Row],[Price]]*Table13[[#This Row],[Units]]</f>
        <v>1248</v>
      </c>
    </row>
    <row r="1134" spans="1:12" x14ac:dyDescent="0.35">
      <c r="A1134" s="134">
        <v>45719</v>
      </c>
      <c r="B1134" s="135" t="s">
        <v>1638</v>
      </c>
      <c r="C1134" s="136" t="s">
        <v>494</v>
      </c>
      <c r="D1134" s="136" t="s">
        <v>477</v>
      </c>
      <c r="E1134" s="136" t="s">
        <v>315</v>
      </c>
      <c r="F1134" s="136" t="s">
        <v>497</v>
      </c>
      <c r="G1134" s="136">
        <v>53</v>
      </c>
      <c r="H1134" s="137">
        <v>23</v>
      </c>
      <c r="I1134" s="138">
        <f t="shared" si="17"/>
        <v>1219</v>
      </c>
      <c r="J1134" s="139" t="s">
        <v>466</v>
      </c>
      <c r="K1134" s="140">
        <v>34.131999999999998</v>
      </c>
      <c r="L1134">
        <f>Table13[[#This Row],[Price]]*Table13[[#This Row],[Units]]</f>
        <v>1219</v>
      </c>
    </row>
    <row r="1135" spans="1:12" x14ac:dyDescent="0.35">
      <c r="A1135" s="134">
        <v>45719</v>
      </c>
      <c r="B1135" s="135" t="s">
        <v>1639</v>
      </c>
      <c r="C1135" s="136" t="s">
        <v>484</v>
      </c>
      <c r="D1135" s="136" t="s">
        <v>470</v>
      </c>
      <c r="E1135" s="136" t="s">
        <v>320</v>
      </c>
      <c r="F1135" s="136" t="s">
        <v>497</v>
      </c>
      <c r="G1135" s="136">
        <v>17</v>
      </c>
      <c r="H1135" s="137">
        <v>44</v>
      </c>
      <c r="I1135" s="138">
        <f t="shared" si="17"/>
        <v>748</v>
      </c>
      <c r="J1135" s="139" t="s">
        <v>466</v>
      </c>
      <c r="K1135" s="140">
        <v>14.96</v>
      </c>
      <c r="L1135">
        <f>Table13[[#This Row],[Price]]*Table13[[#This Row],[Units]]</f>
        <v>748</v>
      </c>
    </row>
    <row r="1136" spans="1:12" x14ac:dyDescent="0.35">
      <c r="A1136" s="134">
        <v>45720</v>
      </c>
      <c r="B1136" s="135" t="s">
        <v>1640</v>
      </c>
      <c r="C1136" s="136" t="s">
        <v>501</v>
      </c>
      <c r="D1136" s="136" t="s">
        <v>465</v>
      </c>
      <c r="E1136" s="136" t="s">
        <v>315</v>
      </c>
      <c r="F1136" s="136" t="s">
        <v>454</v>
      </c>
      <c r="G1136" s="136">
        <v>10</v>
      </c>
      <c r="H1136" s="137">
        <v>25</v>
      </c>
      <c r="I1136" s="138">
        <f t="shared" si="17"/>
        <v>250</v>
      </c>
      <c r="J1136" s="139" t="s">
        <v>466</v>
      </c>
      <c r="K1136" s="140">
        <v>7.5</v>
      </c>
      <c r="L1136">
        <f>Table13[[#This Row],[Price]]*Table13[[#This Row],[Units]]</f>
        <v>250</v>
      </c>
    </row>
    <row r="1137" spans="1:12" x14ac:dyDescent="0.35">
      <c r="A1137" s="134">
        <v>45720</v>
      </c>
      <c r="B1137" s="135" t="s">
        <v>1641</v>
      </c>
      <c r="C1137" s="136" t="s">
        <v>492</v>
      </c>
      <c r="D1137" s="136" t="s">
        <v>512</v>
      </c>
      <c r="E1137" s="136" t="s">
        <v>483</v>
      </c>
      <c r="F1137" s="136" t="s">
        <v>454</v>
      </c>
      <c r="G1137" s="136">
        <v>21</v>
      </c>
      <c r="H1137" s="137">
        <v>48</v>
      </c>
      <c r="I1137" s="138">
        <f t="shared" si="17"/>
        <v>1008</v>
      </c>
      <c r="J1137" s="139" t="s">
        <v>472</v>
      </c>
      <c r="K1137" s="140">
        <v>20.16</v>
      </c>
      <c r="L1137">
        <f>Table13[[#This Row],[Price]]*Table13[[#This Row],[Units]]</f>
        <v>1008</v>
      </c>
    </row>
    <row r="1138" spans="1:12" x14ac:dyDescent="0.35">
      <c r="A1138" s="134">
        <v>45721</v>
      </c>
      <c r="B1138" s="135" t="s">
        <v>1642</v>
      </c>
      <c r="C1138" s="136" t="s">
        <v>322</v>
      </c>
      <c r="D1138" s="136" t="s">
        <v>477</v>
      </c>
      <c r="E1138" s="136" t="s">
        <v>333</v>
      </c>
      <c r="F1138" s="136" t="s">
        <v>539</v>
      </c>
      <c r="G1138" s="136">
        <v>27</v>
      </c>
      <c r="H1138" s="137">
        <v>36</v>
      </c>
      <c r="I1138" s="138">
        <f t="shared" si="17"/>
        <v>972</v>
      </c>
      <c r="J1138" s="139" t="s">
        <v>515</v>
      </c>
      <c r="K1138" s="140">
        <v>19.440000000000001</v>
      </c>
      <c r="L1138">
        <f>Table13[[#This Row],[Price]]*Table13[[#This Row],[Units]]</f>
        <v>972</v>
      </c>
    </row>
    <row r="1139" spans="1:12" x14ac:dyDescent="0.35">
      <c r="A1139" s="134">
        <v>45721</v>
      </c>
      <c r="B1139" s="135" t="s">
        <v>1643</v>
      </c>
      <c r="C1139" s="136" t="s">
        <v>492</v>
      </c>
      <c r="D1139" s="136" t="s">
        <v>470</v>
      </c>
      <c r="E1139" s="136" t="s">
        <v>412</v>
      </c>
      <c r="F1139" s="136" t="s">
        <v>478</v>
      </c>
      <c r="G1139" s="136">
        <v>56</v>
      </c>
      <c r="H1139" s="137">
        <v>57</v>
      </c>
      <c r="I1139" s="138">
        <f t="shared" si="17"/>
        <v>3192</v>
      </c>
      <c r="J1139" s="139" t="s">
        <v>466</v>
      </c>
      <c r="K1139" s="140">
        <v>89.376000000000005</v>
      </c>
      <c r="L1139">
        <f>Table13[[#This Row],[Price]]*Table13[[#This Row],[Units]]</f>
        <v>3192</v>
      </c>
    </row>
    <row r="1140" spans="1:12" x14ac:dyDescent="0.35">
      <c r="A1140" s="134">
        <v>45721</v>
      </c>
      <c r="B1140" s="135" t="s">
        <v>1644</v>
      </c>
      <c r="C1140" s="136" t="s">
        <v>322</v>
      </c>
      <c r="D1140" s="136" t="s">
        <v>486</v>
      </c>
      <c r="E1140" s="136" t="s">
        <v>324</v>
      </c>
      <c r="F1140" s="136" t="s">
        <v>497</v>
      </c>
      <c r="G1140" s="136">
        <v>20</v>
      </c>
      <c r="H1140" s="137">
        <v>59</v>
      </c>
      <c r="I1140" s="138">
        <f t="shared" si="17"/>
        <v>1180</v>
      </c>
      <c r="J1140" s="139" t="s">
        <v>466</v>
      </c>
      <c r="K1140" s="140">
        <v>35.4</v>
      </c>
      <c r="L1140">
        <f>Table13[[#This Row],[Price]]*Table13[[#This Row],[Units]]</f>
        <v>1180</v>
      </c>
    </row>
    <row r="1141" spans="1:12" x14ac:dyDescent="0.35">
      <c r="A1141" s="134">
        <v>45721</v>
      </c>
      <c r="B1141" s="135" t="s">
        <v>1645</v>
      </c>
      <c r="C1141" s="136" t="s">
        <v>484</v>
      </c>
      <c r="D1141" s="136" t="s">
        <v>465</v>
      </c>
      <c r="E1141" s="136" t="s">
        <v>412</v>
      </c>
      <c r="F1141" s="136" t="s">
        <v>513</v>
      </c>
      <c r="G1141" s="136">
        <v>13</v>
      </c>
      <c r="H1141" s="137">
        <v>36</v>
      </c>
      <c r="I1141" s="138">
        <f t="shared" si="17"/>
        <v>468</v>
      </c>
      <c r="J1141" s="139" t="s">
        <v>466</v>
      </c>
      <c r="K1141" s="140">
        <v>11.231999999999999</v>
      </c>
      <c r="L1141">
        <f>Table13[[#This Row],[Price]]*Table13[[#This Row],[Units]]</f>
        <v>468</v>
      </c>
    </row>
    <row r="1142" spans="1:12" x14ac:dyDescent="0.35">
      <c r="A1142" s="134">
        <v>45721</v>
      </c>
      <c r="B1142" s="135" t="s">
        <v>1646</v>
      </c>
      <c r="C1142" s="136" t="s">
        <v>501</v>
      </c>
      <c r="D1142" s="136" t="s">
        <v>477</v>
      </c>
      <c r="E1142" s="136" t="s">
        <v>324</v>
      </c>
      <c r="F1142" s="136" t="s">
        <v>478</v>
      </c>
      <c r="G1142" s="136">
        <v>31</v>
      </c>
      <c r="H1142" s="137">
        <v>51</v>
      </c>
      <c r="I1142" s="138">
        <f t="shared" si="17"/>
        <v>1581</v>
      </c>
      <c r="J1142" s="139" t="s">
        <v>466</v>
      </c>
      <c r="K1142" s="140">
        <v>45.848999999999997</v>
      </c>
      <c r="L1142">
        <f>Table13[[#This Row],[Price]]*Table13[[#This Row],[Units]]</f>
        <v>1581</v>
      </c>
    </row>
    <row r="1143" spans="1:12" x14ac:dyDescent="0.35">
      <c r="A1143" s="134">
        <v>45721</v>
      </c>
      <c r="B1143" s="135" t="s">
        <v>1647</v>
      </c>
      <c r="C1143" s="136" t="s">
        <v>501</v>
      </c>
      <c r="D1143" s="136" t="s">
        <v>465</v>
      </c>
      <c r="E1143" s="136" t="s">
        <v>483</v>
      </c>
      <c r="F1143" s="136" t="s">
        <v>454</v>
      </c>
      <c r="G1143" s="136">
        <v>30</v>
      </c>
      <c r="H1143" s="137">
        <v>55</v>
      </c>
      <c r="I1143" s="138">
        <f t="shared" si="17"/>
        <v>1650</v>
      </c>
      <c r="J1143" s="139" t="s">
        <v>466</v>
      </c>
      <c r="K1143" s="140">
        <v>42.9</v>
      </c>
      <c r="L1143">
        <f>Table13[[#This Row],[Price]]*Table13[[#This Row],[Units]]</f>
        <v>1650</v>
      </c>
    </row>
    <row r="1144" spans="1:12" x14ac:dyDescent="0.35">
      <c r="A1144" s="134">
        <v>45721</v>
      </c>
      <c r="B1144" s="135" t="s">
        <v>1648</v>
      </c>
      <c r="C1144" s="136" t="s">
        <v>501</v>
      </c>
      <c r="D1144" s="136" t="s">
        <v>470</v>
      </c>
      <c r="E1144" s="136" t="s">
        <v>333</v>
      </c>
      <c r="F1144" s="136" t="s">
        <v>497</v>
      </c>
      <c r="G1144" s="136">
        <v>17</v>
      </c>
      <c r="H1144" s="137">
        <v>32</v>
      </c>
      <c r="I1144" s="138">
        <f t="shared" si="17"/>
        <v>544</v>
      </c>
      <c r="J1144" s="139" t="s">
        <v>503</v>
      </c>
      <c r="K1144" s="140">
        <v>11.968</v>
      </c>
      <c r="L1144">
        <f>Table13[[#This Row],[Price]]*Table13[[#This Row],[Units]]</f>
        <v>544</v>
      </c>
    </row>
    <row r="1145" spans="1:12" x14ac:dyDescent="0.35">
      <c r="A1145" s="134">
        <v>45721</v>
      </c>
      <c r="B1145" s="135" t="s">
        <v>1649</v>
      </c>
      <c r="C1145" s="136" t="s">
        <v>469</v>
      </c>
      <c r="D1145" s="136" t="s">
        <v>470</v>
      </c>
      <c r="E1145" s="136" t="s">
        <v>483</v>
      </c>
      <c r="F1145" s="136" t="s">
        <v>478</v>
      </c>
      <c r="G1145" s="136">
        <v>60</v>
      </c>
      <c r="H1145" s="137">
        <v>52</v>
      </c>
      <c r="I1145" s="138">
        <f t="shared" si="17"/>
        <v>3120</v>
      </c>
      <c r="J1145" s="139" t="s">
        <v>472</v>
      </c>
      <c r="K1145" s="140">
        <v>90.48</v>
      </c>
      <c r="L1145">
        <f>Table13[[#This Row],[Price]]*Table13[[#This Row],[Units]]</f>
        <v>3120</v>
      </c>
    </row>
    <row r="1146" spans="1:12" x14ac:dyDescent="0.35">
      <c r="A1146" s="134">
        <v>45721</v>
      </c>
      <c r="B1146" s="135" t="s">
        <v>1650</v>
      </c>
      <c r="C1146" s="136" t="s">
        <v>476</v>
      </c>
      <c r="D1146" s="136" t="s">
        <v>490</v>
      </c>
      <c r="E1146" s="136" t="s">
        <v>315</v>
      </c>
      <c r="F1146" s="136" t="s">
        <v>520</v>
      </c>
      <c r="G1146" s="136">
        <v>38</v>
      </c>
      <c r="H1146" s="137">
        <v>54</v>
      </c>
      <c r="I1146" s="138">
        <f t="shared" si="17"/>
        <v>2052</v>
      </c>
      <c r="J1146" s="139" t="s">
        <v>472</v>
      </c>
      <c r="K1146" s="140">
        <v>51.3</v>
      </c>
      <c r="L1146">
        <f>Table13[[#This Row],[Price]]*Table13[[#This Row],[Units]]</f>
        <v>2052</v>
      </c>
    </row>
    <row r="1147" spans="1:12" x14ac:dyDescent="0.35">
      <c r="A1147" s="134">
        <v>45722</v>
      </c>
      <c r="B1147" s="135" t="s">
        <v>1651</v>
      </c>
      <c r="C1147" s="136" t="s">
        <v>494</v>
      </c>
      <c r="D1147" s="136" t="s">
        <v>477</v>
      </c>
      <c r="E1147" s="136" t="s">
        <v>320</v>
      </c>
      <c r="F1147" s="136" t="s">
        <v>454</v>
      </c>
      <c r="G1147" s="136">
        <v>25</v>
      </c>
      <c r="H1147" s="137">
        <v>40</v>
      </c>
      <c r="I1147" s="138">
        <f t="shared" si="17"/>
        <v>1000</v>
      </c>
      <c r="J1147" s="139" t="s">
        <v>466</v>
      </c>
      <c r="K1147" s="140">
        <v>30</v>
      </c>
      <c r="L1147">
        <f>Table13[[#This Row],[Price]]*Table13[[#This Row],[Units]]</f>
        <v>1000</v>
      </c>
    </row>
    <row r="1148" spans="1:12" x14ac:dyDescent="0.35">
      <c r="A1148" s="134">
        <v>45722</v>
      </c>
      <c r="B1148" s="135" t="s">
        <v>1652</v>
      </c>
      <c r="C1148" s="136" t="s">
        <v>322</v>
      </c>
      <c r="D1148" s="136" t="s">
        <v>477</v>
      </c>
      <c r="E1148" s="136" t="s">
        <v>483</v>
      </c>
      <c r="F1148" s="136" t="s">
        <v>520</v>
      </c>
      <c r="G1148" s="136">
        <v>24</v>
      </c>
      <c r="H1148" s="137">
        <v>33</v>
      </c>
      <c r="I1148" s="138">
        <f t="shared" si="17"/>
        <v>792</v>
      </c>
      <c r="J1148" s="139" t="s">
        <v>472</v>
      </c>
      <c r="K1148" s="140">
        <v>19.007999999999999</v>
      </c>
      <c r="L1148">
        <f>Table13[[#This Row],[Price]]*Table13[[#This Row],[Units]]</f>
        <v>792</v>
      </c>
    </row>
    <row r="1149" spans="1:12" x14ac:dyDescent="0.35">
      <c r="A1149" s="134">
        <v>45722</v>
      </c>
      <c r="B1149" s="135" t="s">
        <v>1653</v>
      </c>
      <c r="C1149" s="136" t="s">
        <v>492</v>
      </c>
      <c r="D1149" s="136" t="s">
        <v>486</v>
      </c>
      <c r="E1149" s="136" t="s">
        <v>320</v>
      </c>
      <c r="F1149" s="136" t="s">
        <v>454</v>
      </c>
      <c r="G1149" s="136">
        <v>56</v>
      </c>
      <c r="H1149" s="137">
        <v>23</v>
      </c>
      <c r="I1149" s="138">
        <f t="shared" si="17"/>
        <v>1288</v>
      </c>
      <c r="J1149" s="139" t="s">
        <v>503</v>
      </c>
      <c r="K1149" s="140">
        <v>34.776000000000003</v>
      </c>
      <c r="L1149">
        <f>Table13[[#This Row],[Price]]*Table13[[#This Row],[Units]]</f>
        <v>1288</v>
      </c>
    </row>
    <row r="1150" spans="1:12" x14ac:dyDescent="0.35">
      <c r="A1150" s="134">
        <v>45722</v>
      </c>
      <c r="B1150" s="135" t="s">
        <v>1654</v>
      </c>
      <c r="C1150" s="136" t="s">
        <v>484</v>
      </c>
      <c r="D1150" s="136" t="s">
        <v>465</v>
      </c>
      <c r="E1150" s="136" t="s">
        <v>333</v>
      </c>
      <c r="F1150" s="136" t="s">
        <v>536</v>
      </c>
      <c r="G1150" s="136">
        <v>20</v>
      </c>
      <c r="H1150" s="137">
        <v>25</v>
      </c>
      <c r="I1150" s="138">
        <f t="shared" si="17"/>
        <v>500</v>
      </c>
      <c r="J1150" s="139" t="s">
        <v>466</v>
      </c>
      <c r="K1150" s="140">
        <v>13.5</v>
      </c>
      <c r="L1150">
        <f>Table13[[#This Row],[Price]]*Table13[[#This Row],[Units]]</f>
        <v>500</v>
      </c>
    </row>
    <row r="1151" spans="1:12" x14ac:dyDescent="0.35">
      <c r="A1151" s="134">
        <v>45723</v>
      </c>
      <c r="B1151" s="135" t="s">
        <v>1655</v>
      </c>
      <c r="C1151" s="136" t="s">
        <v>484</v>
      </c>
      <c r="D1151" s="136" t="s">
        <v>512</v>
      </c>
      <c r="E1151" s="136" t="s">
        <v>483</v>
      </c>
      <c r="F1151" s="136" t="s">
        <v>539</v>
      </c>
      <c r="G1151" s="136">
        <v>48</v>
      </c>
      <c r="H1151" s="137">
        <v>33</v>
      </c>
      <c r="I1151" s="138">
        <f t="shared" si="17"/>
        <v>1584</v>
      </c>
      <c r="J1151" s="139" t="s">
        <v>472</v>
      </c>
      <c r="K1151" s="140">
        <v>47.52</v>
      </c>
      <c r="L1151">
        <f>Table13[[#This Row],[Price]]*Table13[[#This Row],[Units]]</f>
        <v>1584</v>
      </c>
    </row>
    <row r="1152" spans="1:12" x14ac:dyDescent="0.35">
      <c r="A1152" s="134">
        <v>45723</v>
      </c>
      <c r="B1152" s="135" t="s">
        <v>1656</v>
      </c>
      <c r="C1152" s="136" t="s">
        <v>492</v>
      </c>
      <c r="D1152" s="136" t="s">
        <v>486</v>
      </c>
      <c r="E1152" s="136" t="s">
        <v>483</v>
      </c>
      <c r="F1152" s="136" t="s">
        <v>520</v>
      </c>
      <c r="G1152" s="136">
        <v>57</v>
      </c>
      <c r="H1152" s="137">
        <v>48</v>
      </c>
      <c r="I1152" s="138">
        <f t="shared" si="17"/>
        <v>2736</v>
      </c>
      <c r="J1152" s="139" t="s">
        <v>466</v>
      </c>
      <c r="K1152" s="140">
        <v>54.72</v>
      </c>
      <c r="L1152">
        <f>Table13[[#This Row],[Price]]*Table13[[#This Row],[Units]]</f>
        <v>2736</v>
      </c>
    </row>
    <row r="1153" spans="1:12" x14ac:dyDescent="0.35">
      <c r="A1153" s="134">
        <v>45724</v>
      </c>
      <c r="B1153" s="135" t="s">
        <v>1657</v>
      </c>
      <c r="C1153" s="136" t="s">
        <v>464</v>
      </c>
      <c r="D1153" s="136" t="s">
        <v>470</v>
      </c>
      <c r="E1153" s="136" t="s">
        <v>483</v>
      </c>
      <c r="F1153" s="136" t="s">
        <v>523</v>
      </c>
      <c r="G1153" s="136">
        <v>41</v>
      </c>
      <c r="H1153" s="137">
        <v>56</v>
      </c>
      <c r="I1153" s="138">
        <f t="shared" si="17"/>
        <v>2296</v>
      </c>
      <c r="J1153" s="139" t="s">
        <v>515</v>
      </c>
      <c r="K1153" s="140">
        <v>64.287999999999997</v>
      </c>
      <c r="L1153">
        <f>Table13[[#This Row],[Price]]*Table13[[#This Row],[Units]]</f>
        <v>2296</v>
      </c>
    </row>
    <row r="1154" spans="1:12" x14ac:dyDescent="0.35">
      <c r="A1154" s="134">
        <v>45724</v>
      </c>
      <c r="B1154" s="135" t="s">
        <v>1658</v>
      </c>
      <c r="C1154" s="136" t="s">
        <v>494</v>
      </c>
      <c r="D1154" s="136" t="s">
        <v>477</v>
      </c>
      <c r="E1154" s="136" t="s">
        <v>320</v>
      </c>
      <c r="F1154" s="136" t="s">
        <v>500</v>
      </c>
      <c r="G1154" s="136">
        <v>56</v>
      </c>
      <c r="H1154" s="137">
        <v>57</v>
      </c>
      <c r="I1154" s="138">
        <f t="shared" si="17"/>
        <v>3192</v>
      </c>
      <c r="J1154" s="139" t="s">
        <v>466</v>
      </c>
      <c r="K1154" s="140">
        <v>92.567999999999998</v>
      </c>
      <c r="L1154">
        <f>Table13[[#This Row],[Price]]*Table13[[#This Row],[Units]]</f>
        <v>3192</v>
      </c>
    </row>
    <row r="1155" spans="1:12" x14ac:dyDescent="0.35">
      <c r="A1155" s="134">
        <v>45724</v>
      </c>
      <c r="B1155" s="135" t="s">
        <v>1659</v>
      </c>
      <c r="C1155" s="136" t="s">
        <v>494</v>
      </c>
      <c r="D1155" s="136" t="s">
        <v>490</v>
      </c>
      <c r="E1155" s="136" t="s">
        <v>315</v>
      </c>
      <c r="F1155" s="136" t="s">
        <v>523</v>
      </c>
      <c r="G1155" s="136">
        <v>41</v>
      </c>
      <c r="H1155" s="137">
        <v>41</v>
      </c>
      <c r="I1155" s="138">
        <f t="shared" ref="I1155:I1218" si="18">G1155*H1155</f>
        <v>1681</v>
      </c>
      <c r="J1155" s="139" t="s">
        <v>515</v>
      </c>
      <c r="K1155" s="140">
        <v>42.024999999999999</v>
      </c>
      <c r="L1155">
        <f>Table13[[#This Row],[Price]]*Table13[[#This Row],[Units]]</f>
        <v>1681</v>
      </c>
    </row>
    <row r="1156" spans="1:12" x14ac:dyDescent="0.35">
      <c r="A1156" s="134">
        <v>45725</v>
      </c>
      <c r="B1156" s="135" t="s">
        <v>1660</v>
      </c>
      <c r="C1156" s="136" t="s">
        <v>322</v>
      </c>
      <c r="D1156" s="136" t="s">
        <v>519</v>
      </c>
      <c r="E1156" s="136" t="s">
        <v>483</v>
      </c>
      <c r="F1156" s="136" t="s">
        <v>505</v>
      </c>
      <c r="G1156" s="136">
        <v>33</v>
      </c>
      <c r="H1156" s="137">
        <v>43</v>
      </c>
      <c r="I1156" s="138">
        <f t="shared" si="18"/>
        <v>1419</v>
      </c>
      <c r="J1156" s="139" t="s">
        <v>515</v>
      </c>
      <c r="K1156" s="140">
        <v>34.055999999999997</v>
      </c>
      <c r="L1156">
        <f>Table13[[#This Row],[Price]]*Table13[[#This Row],[Units]]</f>
        <v>1419</v>
      </c>
    </row>
    <row r="1157" spans="1:12" x14ac:dyDescent="0.35">
      <c r="A1157" s="134">
        <v>45725</v>
      </c>
      <c r="B1157" s="135" t="s">
        <v>1661</v>
      </c>
      <c r="C1157" s="136" t="s">
        <v>469</v>
      </c>
      <c r="D1157" s="136" t="s">
        <v>465</v>
      </c>
      <c r="E1157" s="136" t="s">
        <v>483</v>
      </c>
      <c r="F1157" s="136" t="s">
        <v>517</v>
      </c>
      <c r="G1157" s="136">
        <v>17</v>
      </c>
      <c r="H1157" s="137">
        <v>21</v>
      </c>
      <c r="I1157" s="138">
        <f t="shared" si="18"/>
        <v>357</v>
      </c>
      <c r="J1157" s="139" t="s">
        <v>503</v>
      </c>
      <c r="K1157" s="140">
        <v>8.9250000000000007</v>
      </c>
      <c r="L1157">
        <f>Table13[[#This Row],[Price]]*Table13[[#This Row],[Units]]</f>
        <v>357</v>
      </c>
    </row>
    <row r="1158" spans="1:12" x14ac:dyDescent="0.35">
      <c r="A1158" s="134">
        <v>45725</v>
      </c>
      <c r="B1158" s="135" t="s">
        <v>1662</v>
      </c>
      <c r="C1158" s="136" t="s">
        <v>464</v>
      </c>
      <c r="D1158" s="136" t="s">
        <v>490</v>
      </c>
      <c r="E1158" s="136" t="s">
        <v>315</v>
      </c>
      <c r="F1158" s="136" t="s">
        <v>567</v>
      </c>
      <c r="G1158" s="136">
        <v>14</v>
      </c>
      <c r="H1158" s="137">
        <v>30</v>
      </c>
      <c r="I1158" s="138">
        <f t="shared" si="18"/>
        <v>420</v>
      </c>
      <c r="J1158" s="139" t="s">
        <v>466</v>
      </c>
      <c r="K1158" s="140">
        <v>8.82</v>
      </c>
      <c r="L1158">
        <f>Table13[[#This Row],[Price]]*Table13[[#This Row],[Units]]</f>
        <v>420</v>
      </c>
    </row>
    <row r="1159" spans="1:12" x14ac:dyDescent="0.35">
      <c r="A1159" s="134">
        <v>45725</v>
      </c>
      <c r="B1159" s="135" t="s">
        <v>1663</v>
      </c>
      <c r="C1159" s="136" t="s">
        <v>476</v>
      </c>
      <c r="D1159" s="136" t="s">
        <v>490</v>
      </c>
      <c r="E1159" s="136" t="s">
        <v>333</v>
      </c>
      <c r="F1159" s="136" t="s">
        <v>505</v>
      </c>
      <c r="G1159" s="136">
        <v>33</v>
      </c>
      <c r="H1159" s="137">
        <v>21</v>
      </c>
      <c r="I1159" s="138">
        <f t="shared" si="18"/>
        <v>693</v>
      </c>
      <c r="J1159" s="139" t="s">
        <v>515</v>
      </c>
      <c r="K1159" s="140">
        <v>20.79</v>
      </c>
      <c r="L1159">
        <f>Table13[[#This Row],[Price]]*Table13[[#This Row],[Units]]</f>
        <v>693</v>
      </c>
    </row>
    <row r="1160" spans="1:12" x14ac:dyDescent="0.35">
      <c r="A1160" s="134">
        <v>45725</v>
      </c>
      <c r="B1160" s="135" t="s">
        <v>1664</v>
      </c>
      <c r="C1160" s="136" t="s">
        <v>476</v>
      </c>
      <c r="D1160" s="136" t="s">
        <v>470</v>
      </c>
      <c r="E1160" s="136" t="s">
        <v>483</v>
      </c>
      <c r="F1160" s="136" t="s">
        <v>454</v>
      </c>
      <c r="G1160" s="136">
        <v>45</v>
      </c>
      <c r="H1160" s="137">
        <v>20</v>
      </c>
      <c r="I1160" s="138">
        <f t="shared" si="18"/>
        <v>900</v>
      </c>
      <c r="J1160" s="139" t="s">
        <v>503</v>
      </c>
      <c r="K1160" s="140">
        <v>21.6</v>
      </c>
      <c r="L1160">
        <f>Table13[[#This Row],[Price]]*Table13[[#This Row],[Units]]</f>
        <v>900</v>
      </c>
    </row>
    <row r="1161" spans="1:12" x14ac:dyDescent="0.35">
      <c r="A1161" s="134">
        <v>45725</v>
      </c>
      <c r="B1161" s="135" t="s">
        <v>1665</v>
      </c>
      <c r="C1161" s="136" t="s">
        <v>322</v>
      </c>
      <c r="D1161" s="136" t="s">
        <v>470</v>
      </c>
      <c r="E1161" s="136" t="s">
        <v>333</v>
      </c>
      <c r="F1161" s="136" t="s">
        <v>454</v>
      </c>
      <c r="G1161" s="136">
        <v>46</v>
      </c>
      <c r="H1161" s="137">
        <v>52</v>
      </c>
      <c r="I1161" s="138">
        <f t="shared" si="18"/>
        <v>2392</v>
      </c>
      <c r="J1161" s="139" t="s">
        <v>472</v>
      </c>
      <c r="K1161" s="140">
        <v>52.624000000000002</v>
      </c>
      <c r="L1161">
        <f>Table13[[#This Row],[Price]]*Table13[[#This Row],[Units]]</f>
        <v>2392</v>
      </c>
    </row>
    <row r="1162" spans="1:12" x14ac:dyDescent="0.35">
      <c r="A1162" s="134">
        <v>45725</v>
      </c>
      <c r="B1162" s="135" t="s">
        <v>1666</v>
      </c>
      <c r="C1162" s="136" t="s">
        <v>469</v>
      </c>
      <c r="D1162" s="136" t="s">
        <v>470</v>
      </c>
      <c r="E1162" s="136" t="s">
        <v>390</v>
      </c>
      <c r="F1162" s="136" t="s">
        <v>517</v>
      </c>
      <c r="G1162" s="136">
        <v>51</v>
      </c>
      <c r="H1162" s="137">
        <v>43</v>
      </c>
      <c r="I1162" s="138">
        <f t="shared" si="18"/>
        <v>2193</v>
      </c>
      <c r="J1162" s="139" t="s">
        <v>515</v>
      </c>
      <c r="K1162" s="140">
        <v>61.404000000000003</v>
      </c>
      <c r="L1162">
        <f>Table13[[#This Row],[Price]]*Table13[[#This Row],[Units]]</f>
        <v>2193</v>
      </c>
    </row>
    <row r="1163" spans="1:12" x14ac:dyDescent="0.35">
      <c r="A1163" s="134">
        <v>45725</v>
      </c>
      <c r="B1163" s="135" t="s">
        <v>1667</v>
      </c>
      <c r="C1163" s="136" t="s">
        <v>469</v>
      </c>
      <c r="D1163" s="136" t="s">
        <v>519</v>
      </c>
      <c r="E1163" s="136" t="s">
        <v>333</v>
      </c>
      <c r="F1163" s="136" t="s">
        <v>471</v>
      </c>
      <c r="G1163" s="136">
        <v>23</v>
      </c>
      <c r="H1163" s="137">
        <v>30</v>
      </c>
      <c r="I1163" s="138">
        <f t="shared" si="18"/>
        <v>690</v>
      </c>
      <c r="J1163" s="139" t="s">
        <v>515</v>
      </c>
      <c r="K1163" s="140">
        <v>20.010000000000002</v>
      </c>
      <c r="L1163">
        <f>Table13[[#This Row],[Price]]*Table13[[#This Row],[Units]]</f>
        <v>690</v>
      </c>
    </row>
    <row r="1164" spans="1:12" x14ac:dyDescent="0.35">
      <c r="A1164" s="134">
        <v>45726</v>
      </c>
      <c r="B1164" s="135" t="s">
        <v>1668</v>
      </c>
      <c r="C1164" s="136" t="s">
        <v>489</v>
      </c>
      <c r="D1164" s="136" t="s">
        <v>486</v>
      </c>
      <c r="E1164" s="136" t="s">
        <v>315</v>
      </c>
      <c r="F1164" s="136" t="s">
        <v>520</v>
      </c>
      <c r="G1164" s="136">
        <v>28</v>
      </c>
      <c r="H1164" s="137">
        <v>41</v>
      </c>
      <c r="I1164" s="138">
        <f t="shared" si="18"/>
        <v>1148</v>
      </c>
      <c r="J1164" s="139" t="s">
        <v>466</v>
      </c>
      <c r="K1164" s="140">
        <v>29.847999999999999</v>
      </c>
      <c r="L1164">
        <f>Table13[[#This Row],[Price]]*Table13[[#This Row],[Units]]</f>
        <v>1148</v>
      </c>
    </row>
    <row r="1165" spans="1:12" x14ac:dyDescent="0.35">
      <c r="A1165" s="134">
        <v>45726</v>
      </c>
      <c r="B1165" s="135" t="s">
        <v>1669</v>
      </c>
      <c r="C1165" s="136" t="s">
        <v>494</v>
      </c>
      <c r="D1165" s="136" t="s">
        <v>470</v>
      </c>
      <c r="E1165" s="136" t="s">
        <v>333</v>
      </c>
      <c r="F1165" s="136" t="s">
        <v>536</v>
      </c>
      <c r="G1165" s="136">
        <v>18</v>
      </c>
      <c r="H1165" s="137">
        <v>38</v>
      </c>
      <c r="I1165" s="138">
        <f t="shared" si="18"/>
        <v>684</v>
      </c>
      <c r="J1165" s="139" t="s">
        <v>515</v>
      </c>
      <c r="K1165" s="140">
        <v>20.52</v>
      </c>
      <c r="L1165">
        <f>Table13[[#This Row],[Price]]*Table13[[#This Row],[Units]]</f>
        <v>684</v>
      </c>
    </row>
    <row r="1166" spans="1:12" x14ac:dyDescent="0.35">
      <c r="A1166" s="134">
        <v>45726</v>
      </c>
      <c r="B1166" s="135" t="s">
        <v>1670</v>
      </c>
      <c r="C1166" s="136" t="s">
        <v>494</v>
      </c>
      <c r="D1166" s="136" t="s">
        <v>470</v>
      </c>
      <c r="E1166" s="136" t="s">
        <v>483</v>
      </c>
      <c r="F1166" s="136" t="s">
        <v>523</v>
      </c>
      <c r="G1166" s="136">
        <v>55</v>
      </c>
      <c r="H1166" s="137">
        <v>44</v>
      </c>
      <c r="I1166" s="138">
        <f t="shared" si="18"/>
        <v>2420</v>
      </c>
      <c r="J1166" s="139" t="s">
        <v>466</v>
      </c>
      <c r="K1166" s="140">
        <v>58.08</v>
      </c>
      <c r="L1166">
        <f>Table13[[#This Row],[Price]]*Table13[[#This Row],[Units]]</f>
        <v>2420</v>
      </c>
    </row>
    <row r="1167" spans="1:12" x14ac:dyDescent="0.35">
      <c r="A1167" s="134">
        <v>45726</v>
      </c>
      <c r="B1167" s="135" t="s">
        <v>1671</v>
      </c>
      <c r="C1167" s="136" t="s">
        <v>322</v>
      </c>
      <c r="D1167" s="136" t="s">
        <v>486</v>
      </c>
      <c r="E1167" s="136" t="s">
        <v>315</v>
      </c>
      <c r="F1167" s="136" t="s">
        <v>510</v>
      </c>
      <c r="G1167" s="136">
        <v>27</v>
      </c>
      <c r="H1167" s="137">
        <v>42</v>
      </c>
      <c r="I1167" s="138">
        <f t="shared" si="18"/>
        <v>1134</v>
      </c>
      <c r="J1167" s="139" t="s">
        <v>466</v>
      </c>
      <c r="K1167" s="140">
        <v>23.814</v>
      </c>
      <c r="L1167">
        <f>Table13[[#This Row],[Price]]*Table13[[#This Row],[Units]]</f>
        <v>1134</v>
      </c>
    </row>
    <row r="1168" spans="1:12" x14ac:dyDescent="0.35">
      <c r="A1168" s="134">
        <v>45726</v>
      </c>
      <c r="B1168" s="135" t="s">
        <v>1672</v>
      </c>
      <c r="C1168" s="136" t="s">
        <v>494</v>
      </c>
      <c r="D1168" s="136" t="s">
        <v>477</v>
      </c>
      <c r="E1168" s="136" t="s">
        <v>315</v>
      </c>
      <c r="F1168" s="136" t="s">
        <v>478</v>
      </c>
      <c r="G1168" s="136">
        <v>35</v>
      </c>
      <c r="H1168" s="137">
        <v>45</v>
      </c>
      <c r="I1168" s="138">
        <f t="shared" si="18"/>
        <v>1575</v>
      </c>
      <c r="J1168" s="139" t="s">
        <v>466</v>
      </c>
      <c r="K1168" s="140">
        <v>42.524999999999999</v>
      </c>
      <c r="L1168">
        <f>Table13[[#This Row],[Price]]*Table13[[#This Row],[Units]]</f>
        <v>1575</v>
      </c>
    </row>
    <row r="1169" spans="1:12" x14ac:dyDescent="0.35">
      <c r="A1169" s="134">
        <v>45726</v>
      </c>
      <c r="B1169" s="135" t="s">
        <v>1673</v>
      </c>
      <c r="C1169" s="136" t="s">
        <v>494</v>
      </c>
      <c r="D1169" s="136" t="s">
        <v>512</v>
      </c>
      <c r="E1169" s="136" t="s">
        <v>483</v>
      </c>
      <c r="F1169" s="136" t="s">
        <v>520</v>
      </c>
      <c r="G1169" s="136">
        <v>30</v>
      </c>
      <c r="H1169" s="137">
        <v>47</v>
      </c>
      <c r="I1169" s="138">
        <f t="shared" si="18"/>
        <v>1410</v>
      </c>
      <c r="J1169" s="139" t="s">
        <v>472</v>
      </c>
      <c r="K1169" s="140">
        <v>40.89</v>
      </c>
      <c r="L1169">
        <f>Table13[[#This Row],[Price]]*Table13[[#This Row],[Units]]</f>
        <v>1410</v>
      </c>
    </row>
    <row r="1170" spans="1:12" x14ac:dyDescent="0.35">
      <c r="A1170" s="134">
        <v>45727</v>
      </c>
      <c r="B1170" s="135" t="s">
        <v>1674</v>
      </c>
      <c r="C1170" s="136" t="s">
        <v>501</v>
      </c>
      <c r="D1170" s="136" t="s">
        <v>477</v>
      </c>
      <c r="E1170" s="136" t="s">
        <v>390</v>
      </c>
      <c r="F1170" s="136" t="s">
        <v>517</v>
      </c>
      <c r="G1170" s="136">
        <v>42</v>
      </c>
      <c r="H1170" s="137">
        <v>44</v>
      </c>
      <c r="I1170" s="138">
        <f t="shared" si="18"/>
        <v>1848</v>
      </c>
      <c r="J1170" s="139" t="s">
        <v>472</v>
      </c>
      <c r="K1170" s="140">
        <v>42.503999999999998</v>
      </c>
      <c r="L1170">
        <f>Table13[[#This Row],[Price]]*Table13[[#This Row],[Units]]</f>
        <v>1848</v>
      </c>
    </row>
    <row r="1171" spans="1:12" x14ac:dyDescent="0.35">
      <c r="A1171" s="134">
        <v>45727</v>
      </c>
      <c r="B1171" s="135" t="s">
        <v>1675</v>
      </c>
      <c r="C1171" s="136" t="s">
        <v>464</v>
      </c>
      <c r="D1171" s="136" t="s">
        <v>512</v>
      </c>
      <c r="E1171" s="136" t="s">
        <v>320</v>
      </c>
      <c r="F1171" s="136" t="s">
        <v>510</v>
      </c>
      <c r="G1171" s="136">
        <v>31</v>
      </c>
      <c r="H1171" s="137">
        <v>41</v>
      </c>
      <c r="I1171" s="138">
        <f t="shared" si="18"/>
        <v>1271</v>
      </c>
      <c r="J1171" s="139" t="s">
        <v>472</v>
      </c>
      <c r="K1171" s="140">
        <v>30.504000000000001</v>
      </c>
      <c r="L1171">
        <f>Table13[[#This Row],[Price]]*Table13[[#This Row],[Units]]</f>
        <v>1271</v>
      </c>
    </row>
    <row r="1172" spans="1:12" x14ac:dyDescent="0.35">
      <c r="A1172" s="134">
        <v>45727</v>
      </c>
      <c r="B1172" s="135" t="s">
        <v>1676</v>
      </c>
      <c r="C1172" s="136" t="s">
        <v>501</v>
      </c>
      <c r="D1172" s="136" t="s">
        <v>470</v>
      </c>
      <c r="E1172" s="136" t="s">
        <v>333</v>
      </c>
      <c r="F1172" s="136" t="s">
        <v>478</v>
      </c>
      <c r="G1172" s="136">
        <v>15</v>
      </c>
      <c r="H1172" s="137">
        <v>35</v>
      </c>
      <c r="I1172" s="138">
        <f t="shared" si="18"/>
        <v>525</v>
      </c>
      <c r="J1172" s="139" t="s">
        <v>472</v>
      </c>
      <c r="K1172" s="140">
        <v>13.65</v>
      </c>
      <c r="L1172">
        <f>Table13[[#This Row],[Price]]*Table13[[#This Row],[Units]]</f>
        <v>525</v>
      </c>
    </row>
    <row r="1173" spans="1:12" x14ac:dyDescent="0.35">
      <c r="A1173" s="134">
        <v>45727</v>
      </c>
      <c r="B1173" s="135" t="s">
        <v>1677</v>
      </c>
      <c r="C1173" s="136" t="s">
        <v>484</v>
      </c>
      <c r="D1173" s="136" t="s">
        <v>519</v>
      </c>
      <c r="E1173" s="136" t="s">
        <v>390</v>
      </c>
      <c r="F1173" s="136" t="s">
        <v>478</v>
      </c>
      <c r="G1173" s="136">
        <v>11</v>
      </c>
      <c r="H1173" s="137">
        <v>46</v>
      </c>
      <c r="I1173" s="138">
        <f t="shared" si="18"/>
        <v>506</v>
      </c>
      <c r="J1173" s="139" t="s">
        <v>503</v>
      </c>
      <c r="K1173" s="140">
        <v>12.144</v>
      </c>
      <c r="L1173">
        <f>Table13[[#This Row],[Price]]*Table13[[#This Row],[Units]]</f>
        <v>506</v>
      </c>
    </row>
    <row r="1174" spans="1:12" x14ac:dyDescent="0.35">
      <c r="A1174" s="134">
        <v>45727</v>
      </c>
      <c r="B1174" s="135" t="s">
        <v>1678</v>
      </c>
      <c r="C1174" s="136" t="s">
        <v>464</v>
      </c>
      <c r="D1174" s="136" t="s">
        <v>477</v>
      </c>
      <c r="E1174" s="136" t="s">
        <v>315</v>
      </c>
      <c r="F1174" s="136" t="s">
        <v>517</v>
      </c>
      <c r="G1174" s="136">
        <v>25</v>
      </c>
      <c r="H1174" s="137">
        <v>21</v>
      </c>
      <c r="I1174" s="138">
        <f t="shared" si="18"/>
        <v>525</v>
      </c>
      <c r="J1174" s="139" t="s">
        <v>466</v>
      </c>
      <c r="K1174" s="140">
        <v>12.6</v>
      </c>
      <c r="L1174">
        <f>Table13[[#This Row],[Price]]*Table13[[#This Row],[Units]]</f>
        <v>525</v>
      </c>
    </row>
    <row r="1175" spans="1:12" x14ac:dyDescent="0.35">
      <c r="A1175" s="134">
        <v>45727</v>
      </c>
      <c r="B1175" s="135" t="s">
        <v>1679</v>
      </c>
      <c r="C1175" s="136" t="s">
        <v>492</v>
      </c>
      <c r="D1175" s="136" t="s">
        <v>490</v>
      </c>
      <c r="E1175" s="136" t="s">
        <v>324</v>
      </c>
      <c r="F1175" s="136" t="s">
        <v>491</v>
      </c>
      <c r="G1175" s="136">
        <v>44</v>
      </c>
      <c r="H1175" s="137">
        <v>42</v>
      </c>
      <c r="I1175" s="138">
        <f t="shared" si="18"/>
        <v>1848</v>
      </c>
      <c r="J1175" s="139" t="s">
        <v>472</v>
      </c>
      <c r="K1175" s="140">
        <v>48.048000000000002</v>
      </c>
      <c r="L1175">
        <f>Table13[[#This Row],[Price]]*Table13[[#This Row],[Units]]</f>
        <v>1848</v>
      </c>
    </row>
    <row r="1176" spans="1:12" x14ac:dyDescent="0.35">
      <c r="A1176" s="134">
        <v>45727</v>
      </c>
      <c r="B1176" s="135" t="s">
        <v>1680</v>
      </c>
      <c r="C1176" s="136" t="s">
        <v>492</v>
      </c>
      <c r="D1176" s="136" t="s">
        <v>486</v>
      </c>
      <c r="E1176" s="136" t="s">
        <v>320</v>
      </c>
      <c r="F1176" s="136" t="s">
        <v>528</v>
      </c>
      <c r="G1176" s="136">
        <v>53</v>
      </c>
      <c r="H1176" s="137">
        <v>30</v>
      </c>
      <c r="I1176" s="138">
        <f t="shared" si="18"/>
        <v>1590</v>
      </c>
      <c r="J1176" s="139" t="s">
        <v>466</v>
      </c>
      <c r="K1176" s="140">
        <v>36.57</v>
      </c>
      <c r="L1176">
        <f>Table13[[#This Row],[Price]]*Table13[[#This Row],[Units]]</f>
        <v>1590</v>
      </c>
    </row>
    <row r="1177" spans="1:12" x14ac:dyDescent="0.35">
      <c r="A1177" s="134">
        <v>45727</v>
      </c>
      <c r="B1177" s="135" t="s">
        <v>1681</v>
      </c>
      <c r="C1177" s="136" t="s">
        <v>469</v>
      </c>
      <c r="D1177" s="136" t="s">
        <v>519</v>
      </c>
      <c r="E1177" s="136" t="s">
        <v>333</v>
      </c>
      <c r="F1177" s="136" t="s">
        <v>487</v>
      </c>
      <c r="G1177" s="136">
        <v>53</v>
      </c>
      <c r="H1177" s="137">
        <v>36</v>
      </c>
      <c r="I1177" s="138">
        <f t="shared" si="18"/>
        <v>1908</v>
      </c>
      <c r="J1177" s="139" t="s">
        <v>515</v>
      </c>
      <c r="K1177" s="140">
        <v>40.067999999999998</v>
      </c>
      <c r="L1177">
        <f>Table13[[#This Row],[Price]]*Table13[[#This Row],[Units]]</f>
        <v>1908</v>
      </c>
    </row>
    <row r="1178" spans="1:12" x14ac:dyDescent="0.35">
      <c r="A1178" s="134">
        <v>45727</v>
      </c>
      <c r="B1178" s="135" t="s">
        <v>1682</v>
      </c>
      <c r="C1178" s="136" t="s">
        <v>464</v>
      </c>
      <c r="D1178" s="136" t="s">
        <v>490</v>
      </c>
      <c r="E1178" s="136" t="s">
        <v>315</v>
      </c>
      <c r="F1178" s="136" t="s">
        <v>528</v>
      </c>
      <c r="G1178" s="136">
        <v>41</v>
      </c>
      <c r="H1178" s="137">
        <v>30</v>
      </c>
      <c r="I1178" s="138">
        <f t="shared" si="18"/>
        <v>1230</v>
      </c>
      <c r="J1178" s="139" t="s">
        <v>472</v>
      </c>
      <c r="K1178" s="140">
        <v>35.67</v>
      </c>
      <c r="L1178">
        <f>Table13[[#This Row],[Price]]*Table13[[#This Row],[Units]]</f>
        <v>1230</v>
      </c>
    </row>
    <row r="1179" spans="1:12" x14ac:dyDescent="0.35">
      <c r="A1179" s="134">
        <v>45727</v>
      </c>
      <c r="B1179" s="135" t="s">
        <v>1683</v>
      </c>
      <c r="C1179" s="136" t="s">
        <v>464</v>
      </c>
      <c r="D1179" s="136" t="s">
        <v>512</v>
      </c>
      <c r="E1179" s="136" t="s">
        <v>315</v>
      </c>
      <c r="F1179" s="136" t="s">
        <v>454</v>
      </c>
      <c r="G1179" s="136">
        <v>51</v>
      </c>
      <c r="H1179" s="137">
        <v>21</v>
      </c>
      <c r="I1179" s="138">
        <f t="shared" si="18"/>
        <v>1071</v>
      </c>
      <c r="J1179" s="139" t="s">
        <v>515</v>
      </c>
      <c r="K1179" s="140">
        <v>25.704000000000001</v>
      </c>
      <c r="L1179">
        <f>Table13[[#This Row],[Price]]*Table13[[#This Row],[Units]]</f>
        <v>1071</v>
      </c>
    </row>
    <row r="1180" spans="1:12" x14ac:dyDescent="0.35">
      <c r="A1180" s="134">
        <v>45727</v>
      </c>
      <c r="B1180" s="135" t="s">
        <v>1684</v>
      </c>
      <c r="C1180" s="136" t="s">
        <v>469</v>
      </c>
      <c r="D1180" s="136" t="s">
        <v>470</v>
      </c>
      <c r="E1180" s="136" t="s">
        <v>483</v>
      </c>
      <c r="F1180" s="136" t="s">
        <v>471</v>
      </c>
      <c r="G1180" s="136">
        <v>52</v>
      </c>
      <c r="H1180" s="137">
        <v>45</v>
      </c>
      <c r="I1180" s="138">
        <f t="shared" si="18"/>
        <v>2340</v>
      </c>
      <c r="J1180" s="139" t="s">
        <v>466</v>
      </c>
      <c r="K1180" s="140">
        <v>46.8</v>
      </c>
      <c r="L1180">
        <f>Table13[[#This Row],[Price]]*Table13[[#This Row],[Units]]</f>
        <v>2340</v>
      </c>
    </row>
    <row r="1181" spans="1:12" x14ac:dyDescent="0.35">
      <c r="A1181" s="134">
        <v>45727</v>
      </c>
      <c r="B1181" s="135" t="s">
        <v>1685</v>
      </c>
      <c r="C1181" s="136" t="s">
        <v>322</v>
      </c>
      <c r="D1181" s="136" t="s">
        <v>470</v>
      </c>
      <c r="E1181" s="136" t="s">
        <v>483</v>
      </c>
      <c r="F1181" s="136" t="s">
        <v>528</v>
      </c>
      <c r="G1181" s="136">
        <v>19</v>
      </c>
      <c r="H1181" s="137">
        <v>60</v>
      </c>
      <c r="I1181" s="138">
        <f t="shared" si="18"/>
        <v>1140</v>
      </c>
      <c r="J1181" s="139" t="s">
        <v>515</v>
      </c>
      <c r="K1181" s="140">
        <v>28.5</v>
      </c>
      <c r="L1181">
        <f>Table13[[#This Row],[Price]]*Table13[[#This Row],[Units]]</f>
        <v>1140</v>
      </c>
    </row>
    <row r="1182" spans="1:12" x14ac:dyDescent="0.35">
      <c r="A1182" s="134">
        <v>45727</v>
      </c>
      <c r="B1182" s="135" t="s">
        <v>1686</v>
      </c>
      <c r="C1182" s="136" t="s">
        <v>476</v>
      </c>
      <c r="D1182" s="136" t="s">
        <v>486</v>
      </c>
      <c r="E1182" s="136" t="s">
        <v>320</v>
      </c>
      <c r="F1182" s="136" t="s">
        <v>528</v>
      </c>
      <c r="G1182" s="136">
        <v>14</v>
      </c>
      <c r="H1182" s="137">
        <v>32</v>
      </c>
      <c r="I1182" s="138">
        <f t="shared" si="18"/>
        <v>448</v>
      </c>
      <c r="J1182" s="139" t="s">
        <v>515</v>
      </c>
      <c r="K1182" s="140">
        <v>9.4079999999999995</v>
      </c>
      <c r="L1182">
        <f>Table13[[#This Row],[Price]]*Table13[[#This Row],[Units]]</f>
        <v>448</v>
      </c>
    </row>
    <row r="1183" spans="1:12" x14ac:dyDescent="0.35">
      <c r="A1183" s="134">
        <v>45727</v>
      </c>
      <c r="B1183" s="135" t="s">
        <v>1687</v>
      </c>
      <c r="C1183" s="136" t="s">
        <v>469</v>
      </c>
      <c r="D1183" s="136" t="s">
        <v>477</v>
      </c>
      <c r="E1183" s="136" t="s">
        <v>315</v>
      </c>
      <c r="F1183" s="136" t="s">
        <v>523</v>
      </c>
      <c r="G1183" s="136">
        <v>51</v>
      </c>
      <c r="H1183" s="137">
        <v>42</v>
      </c>
      <c r="I1183" s="138">
        <f t="shared" si="18"/>
        <v>2142</v>
      </c>
      <c r="J1183" s="139" t="s">
        <v>472</v>
      </c>
      <c r="K1183" s="140">
        <v>55.692</v>
      </c>
      <c r="L1183">
        <f>Table13[[#This Row],[Price]]*Table13[[#This Row],[Units]]</f>
        <v>2142</v>
      </c>
    </row>
    <row r="1184" spans="1:12" x14ac:dyDescent="0.35">
      <c r="A1184" s="134">
        <v>45727</v>
      </c>
      <c r="B1184" s="135" t="s">
        <v>1688</v>
      </c>
      <c r="C1184" s="136" t="s">
        <v>322</v>
      </c>
      <c r="D1184" s="136" t="s">
        <v>519</v>
      </c>
      <c r="E1184" s="136" t="s">
        <v>315</v>
      </c>
      <c r="F1184" s="136" t="s">
        <v>487</v>
      </c>
      <c r="G1184" s="136">
        <v>50</v>
      </c>
      <c r="H1184" s="137">
        <v>37</v>
      </c>
      <c r="I1184" s="138">
        <f t="shared" si="18"/>
        <v>1850</v>
      </c>
      <c r="J1184" s="139" t="s">
        <v>472</v>
      </c>
      <c r="K1184" s="140">
        <v>48.1</v>
      </c>
      <c r="L1184">
        <f>Table13[[#This Row],[Price]]*Table13[[#This Row],[Units]]</f>
        <v>1850</v>
      </c>
    </row>
    <row r="1185" spans="1:12" x14ac:dyDescent="0.35">
      <c r="A1185" s="134">
        <v>45727</v>
      </c>
      <c r="B1185" s="135" t="s">
        <v>1689</v>
      </c>
      <c r="C1185" s="136" t="s">
        <v>492</v>
      </c>
      <c r="D1185" s="136" t="s">
        <v>470</v>
      </c>
      <c r="E1185" s="136" t="s">
        <v>333</v>
      </c>
      <c r="F1185" s="136" t="s">
        <v>567</v>
      </c>
      <c r="G1185" s="136">
        <v>34</v>
      </c>
      <c r="H1185" s="137">
        <v>54</v>
      </c>
      <c r="I1185" s="138">
        <f t="shared" si="18"/>
        <v>1836</v>
      </c>
      <c r="J1185" s="139" t="s">
        <v>466</v>
      </c>
      <c r="K1185" s="140">
        <v>36.72</v>
      </c>
      <c r="L1185">
        <f>Table13[[#This Row],[Price]]*Table13[[#This Row],[Units]]</f>
        <v>1836</v>
      </c>
    </row>
    <row r="1186" spans="1:12" x14ac:dyDescent="0.35">
      <c r="A1186" s="134">
        <v>45727</v>
      </c>
      <c r="B1186" s="135" t="s">
        <v>1690</v>
      </c>
      <c r="C1186" s="136" t="s">
        <v>484</v>
      </c>
      <c r="D1186" s="136" t="s">
        <v>477</v>
      </c>
      <c r="E1186" s="136" t="s">
        <v>483</v>
      </c>
      <c r="F1186" s="136" t="s">
        <v>528</v>
      </c>
      <c r="G1186" s="136">
        <v>40</v>
      </c>
      <c r="H1186" s="137">
        <v>47</v>
      </c>
      <c r="I1186" s="138">
        <f t="shared" si="18"/>
        <v>1880</v>
      </c>
      <c r="J1186" s="139" t="s">
        <v>466</v>
      </c>
      <c r="K1186" s="140">
        <v>47</v>
      </c>
      <c r="L1186">
        <f>Table13[[#This Row],[Price]]*Table13[[#This Row],[Units]]</f>
        <v>1880</v>
      </c>
    </row>
    <row r="1187" spans="1:12" x14ac:dyDescent="0.35">
      <c r="A1187" s="134">
        <v>45727</v>
      </c>
      <c r="B1187" s="135" t="s">
        <v>1691</v>
      </c>
      <c r="C1187" s="136" t="s">
        <v>484</v>
      </c>
      <c r="D1187" s="136" t="s">
        <v>470</v>
      </c>
      <c r="E1187" s="136" t="s">
        <v>390</v>
      </c>
      <c r="F1187" s="136" t="s">
        <v>505</v>
      </c>
      <c r="G1187" s="136">
        <v>47</v>
      </c>
      <c r="H1187" s="137">
        <v>39</v>
      </c>
      <c r="I1187" s="138">
        <f t="shared" si="18"/>
        <v>1833</v>
      </c>
      <c r="J1187" s="139" t="s">
        <v>466</v>
      </c>
      <c r="K1187" s="140">
        <v>38.493000000000002</v>
      </c>
      <c r="L1187">
        <f>Table13[[#This Row],[Price]]*Table13[[#This Row],[Units]]</f>
        <v>1833</v>
      </c>
    </row>
    <row r="1188" spans="1:12" x14ac:dyDescent="0.35">
      <c r="A1188" s="134">
        <v>45727</v>
      </c>
      <c r="B1188" s="135" t="s">
        <v>1692</v>
      </c>
      <c r="C1188" s="136" t="s">
        <v>469</v>
      </c>
      <c r="D1188" s="136" t="s">
        <v>470</v>
      </c>
      <c r="E1188" s="136" t="s">
        <v>333</v>
      </c>
      <c r="F1188" s="136" t="s">
        <v>491</v>
      </c>
      <c r="G1188" s="136">
        <v>28</v>
      </c>
      <c r="H1188" s="137">
        <v>28</v>
      </c>
      <c r="I1188" s="138">
        <f t="shared" si="18"/>
        <v>784</v>
      </c>
      <c r="J1188" s="139" t="s">
        <v>466</v>
      </c>
      <c r="K1188" s="140">
        <v>16.463999999999999</v>
      </c>
      <c r="L1188">
        <f>Table13[[#This Row],[Price]]*Table13[[#This Row],[Units]]</f>
        <v>784</v>
      </c>
    </row>
    <row r="1189" spans="1:12" x14ac:dyDescent="0.35">
      <c r="A1189" s="134">
        <v>45727</v>
      </c>
      <c r="B1189" s="135" t="s">
        <v>1693</v>
      </c>
      <c r="C1189" s="136" t="s">
        <v>476</v>
      </c>
      <c r="D1189" s="136" t="s">
        <v>477</v>
      </c>
      <c r="E1189" s="136" t="s">
        <v>324</v>
      </c>
      <c r="F1189" s="136" t="s">
        <v>491</v>
      </c>
      <c r="G1189" s="136">
        <v>25</v>
      </c>
      <c r="H1189" s="137">
        <v>50</v>
      </c>
      <c r="I1189" s="138">
        <f t="shared" si="18"/>
        <v>1250</v>
      </c>
      <c r="J1189" s="139" t="s">
        <v>472</v>
      </c>
      <c r="K1189" s="140">
        <v>26.25</v>
      </c>
      <c r="L1189">
        <f>Table13[[#This Row],[Price]]*Table13[[#This Row],[Units]]</f>
        <v>1250</v>
      </c>
    </row>
    <row r="1190" spans="1:12" x14ac:dyDescent="0.35">
      <c r="A1190" s="134">
        <v>45727</v>
      </c>
      <c r="B1190" s="135" t="s">
        <v>1694</v>
      </c>
      <c r="C1190" s="136" t="s">
        <v>494</v>
      </c>
      <c r="D1190" s="136" t="s">
        <v>470</v>
      </c>
      <c r="E1190" s="136" t="s">
        <v>320</v>
      </c>
      <c r="F1190" s="136" t="s">
        <v>510</v>
      </c>
      <c r="G1190" s="136">
        <v>40</v>
      </c>
      <c r="H1190" s="137">
        <v>48</v>
      </c>
      <c r="I1190" s="138">
        <f t="shared" si="18"/>
        <v>1920</v>
      </c>
      <c r="J1190" s="139" t="s">
        <v>472</v>
      </c>
      <c r="K1190" s="140">
        <v>38.4</v>
      </c>
      <c r="L1190">
        <f>Table13[[#This Row],[Price]]*Table13[[#This Row],[Units]]</f>
        <v>1920</v>
      </c>
    </row>
    <row r="1191" spans="1:12" x14ac:dyDescent="0.35">
      <c r="A1191" s="134">
        <v>45727</v>
      </c>
      <c r="B1191" s="135" t="s">
        <v>1695</v>
      </c>
      <c r="C1191" s="136" t="s">
        <v>492</v>
      </c>
      <c r="D1191" s="136" t="s">
        <v>490</v>
      </c>
      <c r="E1191" s="136" t="s">
        <v>333</v>
      </c>
      <c r="F1191" s="136" t="s">
        <v>497</v>
      </c>
      <c r="G1191" s="136">
        <v>41</v>
      </c>
      <c r="H1191" s="137">
        <v>57</v>
      </c>
      <c r="I1191" s="138">
        <f t="shared" si="18"/>
        <v>2337</v>
      </c>
      <c r="J1191" s="139" t="s">
        <v>466</v>
      </c>
      <c r="K1191" s="140">
        <v>58.424999999999997</v>
      </c>
      <c r="L1191">
        <f>Table13[[#This Row],[Price]]*Table13[[#This Row],[Units]]</f>
        <v>2337</v>
      </c>
    </row>
    <row r="1192" spans="1:12" x14ac:dyDescent="0.35">
      <c r="A1192" s="134">
        <v>45727</v>
      </c>
      <c r="B1192" s="135" t="s">
        <v>1696</v>
      </c>
      <c r="C1192" s="136" t="s">
        <v>464</v>
      </c>
      <c r="D1192" s="136" t="s">
        <v>477</v>
      </c>
      <c r="E1192" s="136" t="s">
        <v>483</v>
      </c>
      <c r="F1192" s="136" t="s">
        <v>520</v>
      </c>
      <c r="G1192" s="136">
        <v>41</v>
      </c>
      <c r="H1192" s="137">
        <v>53</v>
      </c>
      <c r="I1192" s="138">
        <f t="shared" si="18"/>
        <v>2173</v>
      </c>
      <c r="J1192" s="139" t="s">
        <v>503</v>
      </c>
      <c r="K1192" s="140">
        <v>58.670999999999999</v>
      </c>
      <c r="L1192">
        <f>Table13[[#This Row],[Price]]*Table13[[#This Row],[Units]]</f>
        <v>2173</v>
      </c>
    </row>
    <row r="1193" spans="1:12" x14ac:dyDescent="0.35">
      <c r="A1193" s="134">
        <v>45728</v>
      </c>
      <c r="B1193" s="135" t="s">
        <v>1697</v>
      </c>
      <c r="C1193" s="136" t="s">
        <v>494</v>
      </c>
      <c r="D1193" s="136" t="s">
        <v>477</v>
      </c>
      <c r="E1193" s="136" t="s">
        <v>333</v>
      </c>
      <c r="F1193" s="136" t="s">
        <v>505</v>
      </c>
      <c r="G1193" s="136">
        <v>41</v>
      </c>
      <c r="H1193" s="137">
        <v>24</v>
      </c>
      <c r="I1193" s="138">
        <f t="shared" si="18"/>
        <v>984</v>
      </c>
      <c r="J1193" s="139" t="s">
        <v>515</v>
      </c>
      <c r="K1193" s="140">
        <v>22.632000000000001</v>
      </c>
      <c r="L1193">
        <f>Table13[[#This Row],[Price]]*Table13[[#This Row],[Units]]</f>
        <v>984</v>
      </c>
    </row>
    <row r="1194" spans="1:12" x14ac:dyDescent="0.35">
      <c r="A1194" s="134">
        <v>45729</v>
      </c>
      <c r="B1194" s="135" t="s">
        <v>1698</v>
      </c>
      <c r="C1194" s="136" t="s">
        <v>464</v>
      </c>
      <c r="D1194" s="136" t="s">
        <v>470</v>
      </c>
      <c r="E1194" s="136" t="s">
        <v>320</v>
      </c>
      <c r="F1194" s="136" t="s">
        <v>523</v>
      </c>
      <c r="G1194" s="136">
        <v>16</v>
      </c>
      <c r="H1194" s="137">
        <v>22</v>
      </c>
      <c r="I1194" s="138">
        <f t="shared" si="18"/>
        <v>352</v>
      </c>
      <c r="J1194" s="139" t="s">
        <v>466</v>
      </c>
      <c r="K1194" s="140">
        <v>9.5039999999999996</v>
      </c>
      <c r="L1194">
        <f>Table13[[#This Row],[Price]]*Table13[[#This Row],[Units]]</f>
        <v>352</v>
      </c>
    </row>
    <row r="1195" spans="1:12" x14ac:dyDescent="0.35">
      <c r="A1195" s="134">
        <v>45729</v>
      </c>
      <c r="B1195" s="135" t="s">
        <v>1699</v>
      </c>
      <c r="C1195" s="136" t="s">
        <v>492</v>
      </c>
      <c r="D1195" s="136" t="s">
        <v>477</v>
      </c>
      <c r="E1195" s="136" t="s">
        <v>320</v>
      </c>
      <c r="F1195" s="136" t="s">
        <v>510</v>
      </c>
      <c r="G1195" s="136">
        <v>35</v>
      </c>
      <c r="H1195" s="137">
        <v>22</v>
      </c>
      <c r="I1195" s="138">
        <f t="shared" si="18"/>
        <v>770</v>
      </c>
      <c r="J1195" s="139" t="s">
        <v>466</v>
      </c>
      <c r="K1195" s="140">
        <v>21.56</v>
      </c>
      <c r="L1195">
        <f>Table13[[#This Row],[Price]]*Table13[[#This Row],[Units]]</f>
        <v>770</v>
      </c>
    </row>
    <row r="1196" spans="1:12" x14ac:dyDescent="0.35">
      <c r="A1196" s="134">
        <v>45729</v>
      </c>
      <c r="B1196" s="135" t="s">
        <v>1700</v>
      </c>
      <c r="C1196" s="136" t="s">
        <v>494</v>
      </c>
      <c r="D1196" s="136" t="s">
        <v>512</v>
      </c>
      <c r="E1196" s="136" t="s">
        <v>483</v>
      </c>
      <c r="F1196" s="136" t="s">
        <v>517</v>
      </c>
      <c r="G1196" s="136">
        <v>28</v>
      </c>
      <c r="H1196" s="137">
        <v>46</v>
      </c>
      <c r="I1196" s="138">
        <f t="shared" si="18"/>
        <v>1288</v>
      </c>
      <c r="J1196" s="139" t="s">
        <v>466</v>
      </c>
      <c r="K1196" s="140">
        <v>37.351999999999997</v>
      </c>
      <c r="L1196">
        <f>Table13[[#This Row],[Price]]*Table13[[#This Row],[Units]]</f>
        <v>1288</v>
      </c>
    </row>
    <row r="1197" spans="1:12" x14ac:dyDescent="0.35">
      <c r="A1197" s="134">
        <v>45729</v>
      </c>
      <c r="B1197" s="135" t="s">
        <v>1701</v>
      </c>
      <c r="C1197" s="136" t="s">
        <v>484</v>
      </c>
      <c r="D1197" s="136" t="s">
        <v>465</v>
      </c>
      <c r="E1197" s="136" t="s">
        <v>324</v>
      </c>
      <c r="F1197" s="136" t="s">
        <v>528</v>
      </c>
      <c r="G1197" s="136">
        <v>25</v>
      </c>
      <c r="H1197" s="137">
        <v>31</v>
      </c>
      <c r="I1197" s="138">
        <f t="shared" si="18"/>
        <v>775</v>
      </c>
      <c r="J1197" s="139" t="s">
        <v>466</v>
      </c>
      <c r="K1197" s="140">
        <v>18.600000000000001</v>
      </c>
      <c r="L1197">
        <f>Table13[[#This Row],[Price]]*Table13[[#This Row],[Units]]</f>
        <v>775</v>
      </c>
    </row>
    <row r="1198" spans="1:12" x14ac:dyDescent="0.35">
      <c r="A1198" s="134">
        <v>45729</v>
      </c>
      <c r="B1198" s="135" t="s">
        <v>1702</v>
      </c>
      <c r="C1198" s="136" t="s">
        <v>494</v>
      </c>
      <c r="D1198" s="136" t="s">
        <v>470</v>
      </c>
      <c r="E1198" s="136" t="s">
        <v>320</v>
      </c>
      <c r="F1198" s="136" t="s">
        <v>528</v>
      </c>
      <c r="G1198" s="136">
        <v>25</v>
      </c>
      <c r="H1198" s="137">
        <v>29</v>
      </c>
      <c r="I1198" s="138">
        <f t="shared" si="18"/>
        <v>725</v>
      </c>
      <c r="J1198" s="139" t="s">
        <v>466</v>
      </c>
      <c r="K1198" s="140">
        <v>20.3</v>
      </c>
      <c r="L1198">
        <f>Table13[[#This Row],[Price]]*Table13[[#This Row],[Units]]</f>
        <v>725</v>
      </c>
    </row>
    <row r="1199" spans="1:12" x14ac:dyDescent="0.35">
      <c r="A1199" s="134">
        <v>45729</v>
      </c>
      <c r="B1199" s="135" t="s">
        <v>1703</v>
      </c>
      <c r="C1199" s="136" t="s">
        <v>494</v>
      </c>
      <c r="D1199" s="136" t="s">
        <v>470</v>
      </c>
      <c r="E1199" s="136" t="s">
        <v>315</v>
      </c>
      <c r="F1199" s="136" t="s">
        <v>505</v>
      </c>
      <c r="G1199" s="136">
        <v>38</v>
      </c>
      <c r="H1199" s="137">
        <v>58</v>
      </c>
      <c r="I1199" s="138">
        <f t="shared" si="18"/>
        <v>2204</v>
      </c>
      <c r="J1199" s="139" t="s">
        <v>466</v>
      </c>
      <c r="K1199" s="140">
        <v>44.08</v>
      </c>
      <c r="L1199">
        <f>Table13[[#This Row],[Price]]*Table13[[#This Row],[Units]]</f>
        <v>2204</v>
      </c>
    </row>
    <row r="1200" spans="1:12" x14ac:dyDescent="0.35">
      <c r="A1200" s="134">
        <v>45729</v>
      </c>
      <c r="B1200" s="135" t="s">
        <v>1704</v>
      </c>
      <c r="C1200" s="136" t="s">
        <v>469</v>
      </c>
      <c r="D1200" s="136" t="s">
        <v>465</v>
      </c>
      <c r="E1200" s="136" t="s">
        <v>320</v>
      </c>
      <c r="F1200" s="136" t="s">
        <v>510</v>
      </c>
      <c r="G1200" s="136">
        <v>47</v>
      </c>
      <c r="H1200" s="137">
        <v>25</v>
      </c>
      <c r="I1200" s="138">
        <f t="shared" si="18"/>
        <v>1175</v>
      </c>
      <c r="J1200" s="139" t="s">
        <v>472</v>
      </c>
      <c r="K1200" s="140">
        <v>23.5</v>
      </c>
      <c r="L1200">
        <f>Table13[[#This Row],[Price]]*Table13[[#This Row],[Units]]</f>
        <v>1175</v>
      </c>
    </row>
    <row r="1201" spans="1:12" x14ac:dyDescent="0.35">
      <c r="A1201" s="134">
        <v>45729</v>
      </c>
      <c r="B1201" s="135" t="s">
        <v>1705</v>
      </c>
      <c r="C1201" s="136" t="s">
        <v>501</v>
      </c>
      <c r="D1201" s="136" t="s">
        <v>490</v>
      </c>
      <c r="E1201" s="136" t="s">
        <v>390</v>
      </c>
      <c r="F1201" s="136" t="s">
        <v>539</v>
      </c>
      <c r="G1201" s="136">
        <v>19</v>
      </c>
      <c r="H1201" s="137">
        <v>37</v>
      </c>
      <c r="I1201" s="138">
        <f t="shared" si="18"/>
        <v>703</v>
      </c>
      <c r="J1201" s="139" t="s">
        <v>515</v>
      </c>
      <c r="K1201" s="140">
        <v>21.09</v>
      </c>
      <c r="L1201">
        <f>Table13[[#This Row],[Price]]*Table13[[#This Row],[Units]]</f>
        <v>703</v>
      </c>
    </row>
    <row r="1202" spans="1:12" x14ac:dyDescent="0.35">
      <c r="A1202" s="134">
        <v>45729</v>
      </c>
      <c r="B1202" s="135" t="s">
        <v>1706</v>
      </c>
      <c r="C1202" s="136" t="s">
        <v>489</v>
      </c>
      <c r="D1202" s="136" t="s">
        <v>490</v>
      </c>
      <c r="E1202" s="136" t="s">
        <v>315</v>
      </c>
      <c r="F1202" s="136" t="s">
        <v>487</v>
      </c>
      <c r="G1202" s="136">
        <v>27</v>
      </c>
      <c r="H1202" s="137">
        <v>34</v>
      </c>
      <c r="I1202" s="138">
        <f t="shared" si="18"/>
        <v>918</v>
      </c>
      <c r="J1202" s="139" t="s">
        <v>503</v>
      </c>
      <c r="K1202" s="140">
        <v>18.36</v>
      </c>
      <c r="L1202">
        <f>Table13[[#This Row],[Price]]*Table13[[#This Row],[Units]]</f>
        <v>918</v>
      </c>
    </row>
    <row r="1203" spans="1:12" x14ac:dyDescent="0.35">
      <c r="A1203" s="134">
        <v>45729</v>
      </c>
      <c r="B1203" s="135" t="s">
        <v>1707</v>
      </c>
      <c r="C1203" s="136" t="s">
        <v>484</v>
      </c>
      <c r="D1203" s="136" t="s">
        <v>519</v>
      </c>
      <c r="E1203" s="136" t="s">
        <v>324</v>
      </c>
      <c r="F1203" s="136" t="s">
        <v>510</v>
      </c>
      <c r="G1203" s="136">
        <v>35</v>
      </c>
      <c r="H1203" s="137">
        <v>59</v>
      </c>
      <c r="I1203" s="138">
        <f t="shared" si="18"/>
        <v>2065</v>
      </c>
      <c r="J1203" s="139" t="s">
        <v>472</v>
      </c>
      <c r="K1203" s="140">
        <v>43.365000000000002</v>
      </c>
      <c r="L1203">
        <f>Table13[[#This Row],[Price]]*Table13[[#This Row],[Units]]</f>
        <v>2065</v>
      </c>
    </row>
    <row r="1204" spans="1:12" x14ac:dyDescent="0.35">
      <c r="A1204" s="134">
        <v>45729</v>
      </c>
      <c r="B1204" s="135" t="s">
        <v>1708</v>
      </c>
      <c r="C1204" s="136" t="s">
        <v>492</v>
      </c>
      <c r="D1204" s="136" t="s">
        <v>486</v>
      </c>
      <c r="E1204" s="136" t="s">
        <v>324</v>
      </c>
      <c r="F1204" s="136" t="s">
        <v>567</v>
      </c>
      <c r="G1204" s="136">
        <v>34</v>
      </c>
      <c r="H1204" s="137">
        <v>25</v>
      </c>
      <c r="I1204" s="138">
        <f t="shared" si="18"/>
        <v>850</v>
      </c>
      <c r="J1204" s="139" t="s">
        <v>503</v>
      </c>
      <c r="K1204" s="140">
        <v>19.55</v>
      </c>
      <c r="L1204">
        <f>Table13[[#This Row],[Price]]*Table13[[#This Row],[Units]]</f>
        <v>850</v>
      </c>
    </row>
    <row r="1205" spans="1:12" x14ac:dyDescent="0.35">
      <c r="A1205" s="134">
        <v>45729</v>
      </c>
      <c r="B1205" s="135" t="s">
        <v>1709</v>
      </c>
      <c r="C1205" s="136" t="s">
        <v>469</v>
      </c>
      <c r="D1205" s="136" t="s">
        <v>477</v>
      </c>
      <c r="E1205" s="136" t="s">
        <v>390</v>
      </c>
      <c r="F1205" s="136" t="s">
        <v>510</v>
      </c>
      <c r="G1205" s="136">
        <v>35</v>
      </c>
      <c r="H1205" s="137">
        <v>43</v>
      </c>
      <c r="I1205" s="138">
        <f t="shared" si="18"/>
        <v>1505</v>
      </c>
      <c r="J1205" s="139" t="s">
        <v>466</v>
      </c>
      <c r="K1205" s="140">
        <v>43.645000000000003</v>
      </c>
      <c r="L1205">
        <f>Table13[[#This Row],[Price]]*Table13[[#This Row],[Units]]</f>
        <v>1505</v>
      </c>
    </row>
    <row r="1206" spans="1:12" x14ac:dyDescent="0.35">
      <c r="A1206" s="134">
        <v>45729</v>
      </c>
      <c r="B1206" s="135" t="s">
        <v>1710</v>
      </c>
      <c r="C1206" s="136" t="s">
        <v>494</v>
      </c>
      <c r="D1206" s="136" t="s">
        <v>465</v>
      </c>
      <c r="E1206" s="136" t="s">
        <v>333</v>
      </c>
      <c r="F1206" s="136" t="s">
        <v>454</v>
      </c>
      <c r="G1206" s="136">
        <v>55</v>
      </c>
      <c r="H1206" s="137">
        <v>39</v>
      </c>
      <c r="I1206" s="138">
        <f t="shared" si="18"/>
        <v>2145</v>
      </c>
      <c r="J1206" s="139" t="s">
        <v>466</v>
      </c>
      <c r="K1206" s="140">
        <v>57.914999999999999</v>
      </c>
      <c r="L1206">
        <f>Table13[[#This Row],[Price]]*Table13[[#This Row],[Units]]</f>
        <v>2145</v>
      </c>
    </row>
    <row r="1207" spans="1:12" x14ac:dyDescent="0.35">
      <c r="A1207" s="134">
        <v>45729</v>
      </c>
      <c r="B1207" s="135" t="s">
        <v>1711</v>
      </c>
      <c r="C1207" s="136" t="s">
        <v>489</v>
      </c>
      <c r="D1207" s="136" t="s">
        <v>477</v>
      </c>
      <c r="E1207" s="136" t="s">
        <v>324</v>
      </c>
      <c r="F1207" s="136" t="s">
        <v>539</v>
      </c>
      <c r="G1207" s="136">
        <v>49</v>
      </c>
      <c r="H1207" s="137">
        <v>48</v>
      </c>
      <c r="I1207" s="138">
        <f t="shared" si="18"/>
        <v>2352</v>
      </c>
      <c r="J1207" s="139" t="s">
        <v>466</v>
      </c>
      <c r="K1207" s="140">
        <v>58.8</v>
      </c>
      <c r="L1207">
        <f>Table13[[#This Row],[Price]]*Table13[[#This Row],[Units]]</f>
        <v>2352</v>
      </c>
    </row>
    <row r="1208" spans="1:12" x14ac:dyDescent="0.35">
      <c r="A1208" s="134">
        <v>45729</v>
      </c>
      <c r="B1208" s="135" t="s">
        <v>1712</v>
      </c>
      <c r="C1208" s="136" t="s">
        <v>489</v>
      </c>
      <c r="D1208" s="136" t="s">
        <v>470</v>
      </c>
      <c r="E1208" s="136" t="s">
        <v>324</v>
      </c>
      <c r="F1208" s="136" t="s">
        <v>471</v>
      </c>
      <c r="G1208" s="136">
        <v>26</v>
      </c>
      <c r="H1208" s="137">
        <v>37</v>
      </c>
      <c r="I1208" s="138">
        <f t="shared" si="18"/>
        <v>962</v>
      </c>
      <c r="J1208" s="139" t="s">
        <v>466</v>
      </c>
      <c r="K1208" s="140">
        <v>25.974</v>
      </c>
      <c r="L1208">
        <f>Table13[[#This Row],[Price]]*Table13[[#This Row],[Units]]</f>
        <v>962</v>
      </c>
    </row>
    <row r="1209" spans="1:12" x14ac:dyDescent="0.35">
      <c r="A1209" s="134">
        <v>45729</v>
      </c>
      <c r="B1209" s="135" t="s">
        <v>1713</v>
      </c>
      <c r="C1209" s="136" t="s">
        <v>484</v>
      </c>
      <c r="D1209" s="136" t="s">
        <v>470</v>
      </c>
      <c r="E1209" s="136" t="s">
        <v>324</v>
      </c>
      <c r="F1209" s="136" t="s">
        <v>491</v>
      </c>
      <c r="G1209" s="136">
        <v>32</v>
      </c>
      <c r="H1209" s="137">
        <v>46</v>
      </c>
      <c r="I1209" s="138">
        <f t="shared" si="18"/>
        <v>1472</v>
      </c>
      <c r="J1209" s="139" t="s">
        <v>503</v>
      </c>
      <c r="K1209" s="140">
        <v>33.856000000000002</v>
      </c>
      <c r="L1209">
        <f>Table13[[#This Row],[Price]]*Table13[[#This Row],[Units]]</f>
        <v>1472</v>
      </c>
    </row>
    <row r="1210" spans="1:12" x14ac:dyDescent="0.35">
      <c r="A1210" s="134">
        <v>45729</v>
      </c>
      <c r="B1210" s="135" t="s">
        <v>1714</v>
      </c>
      <c r="C1210" s="136" t="s">
        <v>494</v>
      </c>
      <c r="D1210" s="136" t="s">
        <v>470</v>
      </c>
      <c r="E1210" s="136" t="s">
        <v>324</v>
      </c>
      <c r="F1210" s="136" t="s">
        <v>491</v>
      </c>
      <c r="G1210" s="136">
        <v>40</v>
      </c>
      <c r="H1210" s="137">
        <v>48</v>
      </c>
      <c r="I1210" s="138">
        <f t="shared" si="18"/>
        <v>1920</v>
      </c>
      <c r="J1210" s="139" t="s">
        <v>503</v>
      </c>
      <c r="K1210" s="140">
        <v>40.32</v>
      </c>
      <c r="L1210">
        <f>Table13[[#This Row],[Price]]*Table13[[#This Row],[Units]]</f>
        <v>1920</v>
      </c>
    </row>
    <row r="1211" spans="1:12" x14ac:dyDescent="0.35">
      <c r="A1211" s="134">
        <v>45729</v>
      </c>
      <c r="B1211" s="135" t="s">
        <v>1715</v>
      </c>
      <c r="C1211" s="136" t="s">
        <v>484</v>
      </c>
      <c r="D1211" s="136" t="s">
        <v>470</v>
      </c>
      <c r="E1211" s="136" t="s">
        <v>483</v>
      </c>
      <c r="F1211" s="136" t="s">
        <v>478</v>
      </c>
      <c r="G1211" s="136">
        <v>55</v>
      </c>
      <c r="H1211" s="137">
        <v>45</v>
      </c>
      <c r="I1211" s="138">
        <f t="shared" si="18"/>
        <v>2475</v>
      </c>
      <c r="J1211" s="139" t="s">
        <v>515</v>
      </c>
      <c r="K1211" s="140">
        <v>61.875</v>
      </c>
      <c r="L1211">
        <f>Table13[[#This Row],[Price]]*Table13[[#This Row],[Units]]</f>
        <v>2475</v>
      </c>
    </row>
    <row r="1212" spans="1:12" x14ac:dyDescent="0.35">
      <c r="A1212" s="134">
        <v>45729</v>
      </c>
      <c r="B1212" s="135" t="s">
        <v>1716</v>
      </c>
      <c r="C1212" s="136" t="s">
        <v>322</v>
      </c>
      <c r="D1212" s="136" t="s">
        <v>477</v>
      </c>
      <c r="E1212" s="136" t="s">
        <v>390</v>
      </c>
      <c r="F1212" s="136" t="s">
        <v>528</v>
      </c>
      <c r="G1212" s="136">
        <v>16</v>
      </c>
      <c r="H1212" s="137">
        <v>35</v>
      </c>
      <c r="I1212" s="138">
        <f t="shared" si="18"/>
        <v>560</v>
      </c>
      <c r="J1212" s="139" t="s">
        <v>466</v>
      </c>
      <c r="K1212" s="140">
        <v>13.44</v>
      </c>
      <c r="L1212">
        <f>Table13[[#This Row],[Price]]*Table13[[#This Row],[Units]]</f>
        <v>560</v>
      </c>
    </row>
    <row r="1213" spans="1:12" x14ac:dyDescent="0.35">
      <c r="A1213" s="134">
        <v>45729</v>
      </c>
      <c r="B1213" s="135" t="s">
        <v>1717</v>
      </c>
      <c r="C1213" s="136" t="s">
        <v>464</v>
      </c>
      <c r="D1213" s="136" t="s">
        <v>512</v>
      </c>
      <c r="E1213" s="136" t="s">
        <v>324</v>
      </c>
      <c r="F1213" s="136" t="s">
        <v>491</v>
      </c>
      <c r="G1213" s="136">
        <v>55</v>
      </c>
      <c r="H1213" s="137">
        <v>48</v>
      </c>
      <c r="I1213" s="138">
        <f t="shared" si="18"/>
        <v>2640</v>
      </c>
      <c r="J1213" s="139" t="s">
        <v>466</v>
      </c>
      <c r="K1213" s="140">
        <v>60.72</v>
      </c>
      <c r="L1213">
        <f>Table13[[#This Row],[Price]]*Table13[[#This Row],[Units]]</f>
        <v>2640</v>
      </c>
    </row>
    <row r="1214" spans="1:12" x14ac:dyDescent="0.35">
      <c r="A1214" s="134">
        <v>45729</v>
      </c>
      <c r="B1214" s="135" t="s">
        <v>1718</v>
      </c>
      <c r="C1214" s="136" t="s">
        <v>494</v>
      </c>
      <c r="D1214" s="136" t="s">
        <v>490</v>
      </c>
      <c r="E1214" s="136" t="s">
        <v>390</v>
      </c>
      <c r="F1214" s="136" t="s">
        <v>478</v>
      </c>
      <c r="G1214" s="136">
        <v>31</v>
      </c>
      <c r="H1214" s="137">
        <v>26</v>
      </c>
      <c r="I1214" s="138">
        <f t="shared" si="18"/>
        <v>806</v>
      </c>
      <c r="J1214" s="139" t="s">
        <v>503</v>
      </c>
      <c r="K1214" s="140">
        <v>17.731999999999999</v>
      </c>
      <c r="L1214">
        <f>Table13[[#This Row],[Price]]*Table13[[#This Row],[Units]]</f>
        <v>806</v>
      </c>
    </row>
    <row r="1215" spans="1:12" x14ac:dyDescent="0.35">
      <c r="A1215" s="134">
        <v>45729</v>
      </c>
      <c r="B1215" s="135" t="s">
        <v>1719</v>
      </c>
      <c r="C1215" s="136" t="s">
        <v>322</v>
      </c>
      <c r="D1215" s="136" t="s">
        <v>486</v>
      </c>
      <c r="E1215" s="136" t="s">
        <v>333</v>
      </c>
      <c r="F1215" s="136" t="s">
        <v>528</v>
      </c>
      <c r="G1215" s="136">
        <v>15</v>
      </c>
      <c r="H1215" s="137">
        <v>58</v>
      </c>
      <c r="I1215" s="138">
        <f t="shared" si="18"/>
        <v>870</v>
      </c>
      <c r="J1215" s="139" t="s">
        <v>472</v>
      </c>
      <c r="K1215" s="140">
        <v>26.1</v>
      </c>
      <c r="L1215">
        <f>Table13[[#This Row],[Price]]*Table13[[#This Row],[Units]]</f>
        <v>870</v>
      </c>
    </row>
    <row r="1216" spans="1:12" x14ac:dyDescent="0.35">
      <c r="A1216" s="134">
        <v>45729</v>
      </c>
      <c r="B1216" s="135" t="s">
        <v>1720</v>
      </c>
      <c r="C1216" s="136" t="s">
        <v>489</v>
      </c>
      <c r="D1216" s="136" t="s">
        <v>465</v>
      </c>
      <c r="E1216" s="136" t="s">
        <v>483</v>
      </c>
      <c r="F1216" s="136" t="s">
        <v>520</v>
      </c>
      <c r="G1216" s="136">
        <v>15</v>
      </c>
      <c r="H1216" s="137">
        <v>34</v>
      </c>
      <c r="I1216" s="138">
        <f t="shared" si="18"/>
        <v>510</v>
      </c>
      <c r="J1216" s="139" t="s">
        <v>472</v>
      </c>
      <c r="K1216" s="140">
        <v>14.28</v>
      </c>
      <c r="L1216">
        <f>Table13[[#This Row],[Price]]*Table13[[#This Row],[Units]]</f>
        <v>510</v>
      </c>
    </row>
    <row r="1217" spans="1:12" x14ac:dyDescent="0.35">
      <c r="A1217" s="134">
        <v>45729</v>
      </c>
      <c r="B1217" s="135" t="s">
        <v>1721</v>
      </c>
      <c r="C1217" s="136" t="s">
        <v>501</v>
      </c>
      <c r="D1217" s="136" t="s">
        <v>512</v>
      </c>
      <c r="E1217" s="136" t="s">
        <v>315</v>
      </c>
      <c r="F1217" s="136" t="s">
        <v>454</v>
      </c>
      <c r="G1217" s="136">
        <v>21</v>
      </c>
      <c r="H1217" s="137">
        <v>37</v>
      </c>
      <c r="I1217" s="138">
        <f t="shared" si="18"/>
        <v>777</v>
      </c>
      <c r="J1217" s="139" t="s">
        <v>466</v>
      </c>
      <c r="K1217" s="140">
        <v>19.425000000000001</v>
      </c>
      <c r="L1217">
        <f>Table13[[#This Row],[Price]]*Table13[[#This Row],[Units]]</f>
        <v>777</v>
      </c>
    </row>
    <row r="1218" spans="1:12" x14ac:dyDescent="0.35">
      <c r="A1218" s="134">
        <v>45729</v>
      </c>
      <c r="B1218" s="135" t="s">
        <v>1722</v>
      </c>
      <c r="C1218" s="136" t="s">
        <v>494</v>
      </c>
      <c r="D1218" s="136" t="s">
        <v>477</v>
      </c>
      <c r="E1218" s="136" t="s">
        <v>320</v>
      </c>
      <c r="F1218" s="136" t="s">
        <v>539</v>
      </c>
      <c r="G1218" s="136">
        <v>30</v>
      </c>
      <c r="H1218" s="137">
        <v>25</v>
      </c>
      <c r="I1218" s="138">
        <f t="shared" si="18"/>
        <v>750</v>
      </c>
      <c r="J1218" s="139" t="s">
        <v>466</v>
      </c>
      <c r="K1218" s="140">
        <v>21</v>
      </c>
      <c r="L1218">
        <f>Table13[[#This Row],[Price]]*Table13[[#This Row],[Units]]</f>
        <v>750</v>
      </c>
    </row>
    <row r="1219" spans="1:12" x14ac:dyDescent="0.35">
      <c r="A1219" s="134">
        <v>45729</v>
      </c>
      <c r="B1219" s="135" t="s">
        <v>1723</v>
      </c>
      <c r="C1219" s="136" t="s">
        <v>489</v>
      </c>
      <c r="D1219" s="136" t="s">
        <v>519</v>
      </c>
      <c r="E1219" s="136" t="s">
        <v>333</v>
      </c>
      <c r="F1219" s="136" t="s">
        <v>454</v>
      </c>
      <c r="G1219" s="136">
        <v>49</v>
      </c>
      <c r="H1219" s="137">
        <v>50</v>
      </c>
      <c r="I1219" s="138">
        <f t="shared" ref="I1219:I1227" si="19">G1219*H1219</f>
        <v>2450</v>
      </c>
      <c r="J1219" s="139" t="s">
        <v>472</v>
      </c>
      <c r="K1219" s="140">
        <v>53.9</v>
      </c>
      <c r="L1219">
        <f>Table13[[#This Row],[Price]]*Table13[[#This Row],[Units]]</f>
        <v>2450</v>
      </c>
    </row>
    <row r="1220" spans="1:12" x14ac:dyDescent="0.35">
      <c r="A1220" s="134">
        <v>45729</v>
      </c>
      <c r="B1220" s="135" t="s">
        <v>1724</v>
      </c>
      <c r="C1220" s="136" t="s">
        <v>476</v>
      </c>
      <c r="D1220" s="136" t="s">
        <v>470</v>
      </c>
      <c r="E1220" s="136" t="s">
        <v>324</v>
      </c>
      <c r="F1220" s="136" t="s">
        <v>567</v>
      </c>
      <c r="G1220" s="136">
        <v>14</v>
      </c>
      <c r="H1220" s="137">
        <v>59</v>
      </c>
      <c r="I1220" s="138">
        <f t="shared" si="19"/>
        <v>826</v>
      </c>
      <c r="J1220" s="139" t="s">
        <v>466</v>
      </c>
      <c r="K1220" s="140">
        <v>21.475999999999999</v>
      </c>
      <c r="L1220">
        <f>Table13[[#This Row],[Price]]*Table13[[#This Row],[Units]]</f>
        <v>826</v>
      </c>
    </row>
    <row r="1221" spans="1:12" x14ac:dyDescent="0.35">
      <c r="A1221" s="134">
        <v>45729</v>
      </c>
      <c r="B1221" s="135" t="s">
        <v>1725</v>
      </c>
      <c r="C1221" s="136" t="s">
        <v>501</v>
      </c>
      <c r="D1221" s="136" t="s">
        <v>519</v>
      </c>
      <c r="E1221" s="136" t="s">
        <v>320</v>
      </c>
      <c r="F1221" s="136" t="s">
        <v>471</v>
      </c>
      <c r="G1221" s="136">
        <v>52</v>
      </c>
      <c r="H1221" s="137">
        <v>50</v>
      </c>
      <c r="I1221" s="138">
        <f t="shared" si="19"/>
        <v>2600</v>
      </c>
      <c r="J1221" s="139" t="s">
        <v>472</v>
      </c>
      <c r="K1221" s="140">
        <v>59.8</v>
      </c>
      <c r="L1221">
        <f>Table13[[#This Row],[Price]]*Table13[[#This Row],[Units]]</f>
        <v>2600</v>
      </c>
    </row>
    <row r="1222" spans="1:12" x14ac:dyDescent="0.35">
      <c r="A1222" s="134">
        <v>45729</v>
      </c>
      <c r="B1222" s="135" t="s">
        <v>1726</v>
      </c>
      <c r="C1222" s="136" t="s">
        <v>464</v>
      </c>
      <c r="D1222" s="136" t="s">
        <v>477</v>
      </c>
      <c r="E1222" s="136" t="s">
        <v>315</v>
      </c>
      <c r="F1222" s="136" t="s">
        <v>520</v>
      </c>
      <c r="G1222" s="136">
        <v>14</v>
      </c>
      <c r="H1222" s="137">
        <v>29</v>
      </c>
      <c r="I1222" s="138">
        <f t="shared" si="19"/>
        <v>406</v>
      </c>
      <c r="J1222" s="139" t="s">
        <v>472</v>
      </c>
      <c r="K1222" s="140">
        <v>10.555999999999999</v>
      </c>
      <c r="L1222">
        <f>Table13[[#This Row],[Price]]*Table13[[#This Row],[Units]]</f>
        <v>406</v>
      </c>
    </row>
    <row r="1223" spans="1:12" x14ac:dyDescent="0.35">
      <c r="A1223" s="134">
        <v>45729</v>
      </c>
      <c r="B1223" s="135" t="s">
        <v>1727</v>
      </c>
      <c r="C1223" s="136" t="s">
        <v>322</v>
      </c>
      <c r="D1223" s="136" t="s">
        <v>490</v>
      </c>
      <c r="E1223" s="136" t="s">
        <v>320</v>
      </c>
      <c r="F1223" s="136" t="s">
        <v>478</v>
      </c>
      <c r="G1223" s="136">
        <v>40</v>
      </c>
      <c r="H1223" s="137">
        <v>49</v>
      </c>
      <c r="I1223" s="138">
        <f t="shared" si="19"/>
        <v>1960</v>
      </c>
      <c r="J1223" s="139" t="s">
        <v>466</v>
      </c>
      <c r="K1223" s="140">
        <v>56.84</v>
      </c>
      <c r="L1223">
        <f>Table13[[#This Row],[Price]]*Table13[[#This Row],[Units]]</f>
        <v>1960</v>
      </c>
    </row>
    <row r="1224" spans="1:12" x14ac:dyDescent="0.35">
      <c r="A1224" s="134">
        <v>45729</v>
      </c>
      <c r="B1224" s="135" t="s">
        <v>1728</v>
      </c>
      <c r="C1224" s="136" t="s">
        <v>484</v>
      </c>
      <c r="D1224" s="136" t="s">
        <v>490</v>
      </c>
      <c r="E1224" s="136" t="s">
        <v>324</v>
      </c>
      <c r="F1224" s="136" t="s">
        <v>536</v>
      </c>
      <c r="G1224" s="136">
        <v>44</v>
      </c>
      <c r="H1224" s="137">
        <v>57</v>
      </c>
      <c r="I1224" s="138">
        <f t="shared" si="19"/>
        <v>2508</v>
      </c>
      <c r="J1224" s="139" t="s">
        <v>503</v>
      </c>
      <c r="K1224" s="140">
        <v>75.239999999999995</v>
      </c>
      <c r="L1224">
        <f>Table13[[#This Row],[Price]]*Table13[[#This Row],[Units]]</f>
        <v>2508</v>
      </c>
    </row>
    <row r="1225" spans="1:12" x14ac:dyDescent="0.35">
      <c r="A1225" s="134">
        <v>45729</v>
      </c>
      <c r="B1225" s="135" t="s">
        <v>1729</v>
      </c>
      <c r="C1225" s="136" t="s">
        <v>322</v>
      </c>
      <c r="D1225" s="136" t="s">
        <v>470</v>
      </c>
      <c r="E1225" s="136" t="s">
        <v>324</v>
      </c>
      <c r="F1225" s="136" t="s">
        <v>454</v>
      </c>
      <c r="G1225" s="136">
        <v>45</v>
      </c>
      <c r="H1225" s="137">
        <v>28</v>
      </c>
      <c r="I1225" s="138">
        <f t="shared" si="19"/>
        <v>1260</v>
      </c>
      <c r="J1225" s="139" t="s">
        <v>472</v>
      </c>
      <c r="K1225" s="140">
        <v>31.5</v>
      </c>
      <c r="L1225">
        <f>Table13[[#This Row],[Price]]*Table13[[#This Row],[Units]]</f>
        <v>1260</v>
      </c>
    </row>
    <row r="1226" spans="1:12" x14ac:dyDescent="0.35">
      <c r="A1226" s="134">
        <v>45729</v>
      </c>
      <c r="B1226" s="135" t="s">
        <v>1730</v>
      </c>
      <c r="C1226" s="136" t="s">
        <v>464</v>
      </c>
      <c r="D1226" s="136" t="s">
        <v>470</v>
      </c>
      <c r="E1226" s="136" t="s">
        <v>390</v>
      </c>
      <c r="F1226" s="136" t="s">
        <v>523</v>
      </c>
      <c r="G1226" s="136">
        <v>56</v>
      </c>
      <c r="H1226" s="137">
        <v>28</v>
      </c>
      <c r="I1226" s="138">
        <f t="shared" si="19"/>
        <v>1568</v>
      </c>
      <c r="J1226" s="139" t="s">
        <v>466</v>
      </c>
      <c r="K1226" s="140">
        <v>47.04</v>
      </c>
      <c r="L1226">
        <f>Table13[[#This Row],[Price]]*Table13[[#This Row],[Units]]</f>
        <v>1568</v>
      </c>
    </row>
    <row r="1227" spans="1:12" ht="16" thickBot="1" x14ac:dyDescent="0.4">
      <c r="A1227" s="143">
        <v>45729</v>
      </c>
      <c r="B1227" s="135" t="s">
        <v>1731</v>
      </c>
      <c r="C1227" s="136" t="s">
        <v>484</v>
      </c>
      <c r="D1227" s="136" t="s">
        <v>490</v>
      </c>
      <c r="E1227" s="136" t="s">
        <v>315</v>
      </c>
      <c r="F1227" s="136" t="s">
        <v>500</v>
      </c>
      <c r="G1227" s="136">
        <v>60</v>
      </c>
      <c r="H1227" s="137">
        <v>48</v>
      </c>
      <c r="I1227" s="138">
        <f t="shared" si="19"/>
        <v>2880</v>
      </c>
      <c r="J1227" s="139" t="s">
        <v>472</v>
      </c>
      <c r="K1227" s="144">
        <v>86.4</v>
      </c>
      <c r="L1227">
        <f>Table13[[#This Row],[Price]]*Table13[[#This Row],[Units]]</f>
        <v>2880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BD54B-F7DC-4A4C-AF94-C5BBF715F747}">
  <sheetPr codeName="Sheet10"/>
  <dimension ref="A1:M449"/>
  <sheetViews>
    <sheetView topLeftCell="D1" zoomScale="140" zoomScaleNormal="140" workbookViewId="0">
      <selection activeCell="L10" sqref="L10"/>
    </sheetView>
  </sheetViews>
  <sheetFormatPr defaultColWidth="8.6640625" defaultRowHeight="15.5" x14ac:dyDescent="0.35"/>
  <cols>
    <col min="1" max="1" width="6.08203125" style="147" customWidth="1"/>
    <col min="2" max="2" width="12.08203125" style="151" customWidth="1"/>
    <col min="3" max="3" width="10.58203125" style="151" customWidth="1"/>
    <col min="4" max="4" width="9.5" style="151" customWidth="1"/>
    <col min="5" max="5" width="8.1640625" style="151" customWidth="1"/>
    <col min="6" max="6" width="12.9140625" style="151" customWidth="1"/>
    <col min="7" max="7" width="8.6640625" style="151"/>
    <col min="8" max="19" width="11.08203125" style="151" customWidth="1"/>
    <col min="20" max="16384" width="8.6640625" style="151"/>
  </cols>
  <sheetData>
    <row r="1" spans="1:13" x14ac:dyDescent="0.35">
      <c r="I1" s="155"/>
    </row>
    <row r="2" spans="1:13" x14ac:dyDescent="0.35">
      <c r="B2" s="148" t="s">
        <v>1732</v>
      </c>
      <c r="C2" s="149">
        <v>400000</v>
      </c>
      <c r="D2" s="150"/>
      <c r="I2" s="155"/>
    </row>
    <row r="3" spans="1:13" x14ac:dyDescent="0.35">
      <c r="B3" s="148" t="s">
        <v>1733</v>
      </c>
      <c r="C3" s="152">
        <v>0.04</v>
      </c>
      <c r="E3" s="153"/>
      <c r="H3" s="154"/>
      <c r="I3" s="155"/>
    </row>
    <row r="4" spans="1:13" ht="21" x14ac:dyDescent="0.5">
      <c r="B4" s="148" t="s">
        <v>1734</v>
      </c>
      <c r="C4" s="156">
        <v>30</v>
      </c>
      <c r="E4" s="157" t="s">
        <v>1735</v>
      </c>
      <c r="I4" s="155"/>
    </row>
    <row r="5" spans="1:13" s="160" customFormat="1" ht="22.5" customHeight="1" x14ac:dyDescent="0.5">
      <c r="A5" s="147"/>
      <c r="B5" s="158" t="s">
        <v>1736</v>
      </c>
      <c r="C5" s="159">
        <f>-PMT(C3/12,C4*12,C2)</f>
        <v>1909.6611818618378</v>
      </c>
      <c r="E5" s="157" t="s">
        <v>1737</v>
      </c>
      <c r="I5" s="155"/>
    </row>
    <row r="6" spans="1:13" ht="33" customHeight="1" x14ac:dyDescent="0.35">
      <c r="B6" s="158" t="s">
        <v>1738</v>
      </c>
      <c r="C6" s="161">
        <f>MOD(A11,3)</f>
        <v>1</v>
      </c>
      <c r="H6" s="162"/>
      <c r="I6" s="155"/>
    </row>
    <row r="7" spans="1:13" ht="16" thickBot="1" x14ac:dyDescent="0.4">
      <c r="H7" s="162"/>
      <c r="I7" s="155"/>
    </row>
    <row r="8" spans="1:13" ht="16" thickBot="1" x14ac:dyDescent="0.4">
      <c r="A8" s="411" t="s">
        <v>1739</v>
      </c>
      <c r="B8" s="412"/>
      <c r="C8" s="412"/>
      <c r="D8" s="412"/>
      <c r="E8" s="412"/>
      <c r="F8" s="413"/>
    </row>
    <row r="9" spans="1:13" ht="32.25" customHeight="1" x14ac:dyDescent="0.35">
      <c r="A9" s="163" t="s">
        <v>1740</v>
      </c>
      <c r="B9" s="164" t="s">
        <v>1741</v>
      </c>
      <c r="C9" s="164" t="s">
        <v>1742</v>
      </c>
      <c r="D9" s="164" t="s">
        <v>1743</v>
      </c>
      <c r="E9" s="164" t="s">
        <v>1744</v>
      </c>
      <c r="F9" s="165" t="s">
        <v>1745</v>
      </c>
    </row>
    <row r="10" spans="1:13" ht="18" customHeight="1" x14ac:dyDescent="0.35">
      <c r="A10" s="166">
        <v>0</v>
      </c>
      <c r="B10" s="167"/>
      <c r="C10" s="168"/>
      <c r="D10" s="169"/>
      <c r="E10" s="168"/>
      <c r="F10" s="170">
        <f>C2</f>
        <v>400000</v>
      </c>
    </row>
    <row r="11" spans="1:13" x14ac:dyDescent="0.35">
      <c r="A11" s="171">
        <v>1</v>
      </c>
      <c r="B11" s="172">
        <f>F10</f>
        <v>400000</v>
      </c>
      <c r="C11" s="173">
        <f>B11*$C$3/12</f>
        <v>1333.3333333333333</v>
      </c>
      <c r="D11" s="174">
        <f>$C$5</f>
        <v>1909.6611818618378</v>
      </c>
      <c r="E11" s="172">
        <f ca="1">IF(MOD(A11,3)=0,RANDBETWEEN(100,200),0)</f>
        <v>0</v>
      </c>
      <c r="F11" s="175">
        <f ca="1">B11+C11-D11-E11</f>
        <v>399423.67215147149</v>
      </c>
    </row>
    <row r="12" spans="1:13" x14ac:dyDescent="0.35">
      <c r="A12" s="176">
        <v>2</v>
      </c>
      <c r="B12" s="172">
        <f t="shared" ref="B12:B75" ca="1" si="0">F11</f>
        <v>399423.67215147149</v>
      </c>
      <c r="C12" s="173">
        <f t="shared" ref="C12:C75" ca="1" si="1">B12*$C$3/12</f>
        <v>1331.412240504905</v>
      </c>
      <c r="D12" s="174">
        <f t="shared" ref="D12:D75" si="2">$C$5</f>
        <v>1909.6611818618378</v>
      </c>
      <c r="E12" s="172">
        <f t="shared" ref="E12:E75" ca="1" si="3">IF(MOD(A12,3)=0,RANDBETWEEN(100,200),0)</f>
        <v>0</v>
      </c>
      <c r="F12" s="175">
        <f t="shared" ref="F12:F75" ca="1" si="4">B12+C12-D12-E12</f>
        <v>398845.42321011459</v>
      </c>
    </row>
    <row r="13" spans="1:13" x14ac:dyDescent="0.35">
      <c r="A13" s="176">
        <v>3</v>
      </c>
      <c r="B13" s="172">
        <f t="shared" ca="1" si="0"/>
        <v>398845.42321011459</v>
      </c>
      <c r="C13" s="173">
        <f t="shared" ca="1" si="1"/>
        <v>1329.4847440337153</v>
      </c>
      <c r="D13" s="174">
        <f t="shared" si="2"/>
        <v>1909.6611818618378</v>
      </c>
      <c r="E13" s="172">
        <f t="shared" ca="1" si="3"/>
        <v>136</v>
      </c>
      <c r="F13" s="175">
        <f t="shared" ca="1" si="4"/>
        <v>398129.24677228648</v>
      </c>
      <c r="K13" s="177"/>
      <c r="L13" s="178"/>
      <c r="M13" s="179"/>
    </row>
    <row r="14" spans="1:13" x14ac:dyDescent="0.35">
      <c r="A14" s="176">
        <v>4</v>
      </c>
      <c r="B14" s="172">
        <f t="shared" ca="1" si="0"/>
        <v>398129.24677228648</v>
      </c>
      <c r="C14" s="173">
        <f t="shared" ca="1" si="1"/>
        <v>1327.0974892409549</v>
      </c>
      <c r="D14" s="174">
        <f t="shared" si="2"/>
        <v>1909.6611818618378</v>
      </c>
      <c r="E14" s="172">
        <f t="shared" ca="1" si="3"/>
        <v>0</v>
      </c>
      <c r="F14" s="175">
        <f t="shared" ca="1" si="4"/>
        <v>397546.68307966558</v>
      </c>
      <c r="H14" s="153"/>
      <c r="K14" s="177"/>
      <c r="L14" s="178"/>
    </row>
    <row r="15" spans="1:13" x14ac:dyDescent="0.35">
      <c r="A15" s="176">
        <v>5</v>
      </c>
      <c r="B15" s="172">
        <f t="shared" ca="1" si="0"/>
        <v>397546.68307966558</v>
      </c>
      <c r="C15" s="173">
        <f t="shared" ca="1" si="1"/>
        <v>1325.155610265552</v>
      </c>
      <c r="D15" s="174">
        <f t="shared" si="2"/>
        <v>1909.6611818618378</v>
      </c>
      <c r="E15" s="172">
        <f t="shared" ca="1" si="3"/>
        <v>0</v>
      </c>
      <c r="F15" s="175">
        <f t="shared" ca="1" si="4"/>
        <v>396962.17750806932</v>
      </c>
      <c r="K15" s="177"/>
      <c r="L15" s="178"/>
    </row>
    <row r="16" spans="1:13" x14ac:dyDescent="0.35">
      <c r="A16" s="176">
        <v>6</v>
      </c>
      <c r="B16" s="172">
        <f t="shared" ca="1" si="0"/>
        <v>396962.17750806932</v>
      </c>
      <c r="C16" s="173">
        <f t="shared" ca="1" si="1"/>
        <v>1323.207258360231</v>
      </c>
      <c r="D16" s="174">
        <f t="shared" si="2"/>
        <v>1909.6611818618378</v>
      </c>
      <c r="E16" s="172">
        <f t="shared" ca="1" si="3"/>
        <v>169</v>
      </c>
      <c r="F16" s="175">
        <f t="shared" ca="1" si="4"/>
        <v>396206.72358456772</v>
      </c>
      <c r="K16" s="177"/>
    </row>
    <row r="17" spans="1:6" x14ac:dyDescent="0.35">
      <c r="A17" s="176">
        <v>7</v>
      </c>
      <c r="B17" s="172">
        <f t="shared" ca="1" si="0"/>
        <v>396206.72358456772</v>
      </c>
      <c r="C17" s="173">
        <f t="shared" ca="1" si="1"/>
        <v>1320.6890786152258</v>
      </c>
      <c r="D17" s="174">
        <f t="shared" si="2"/>
        <v>1909.6611818618378</v>
      </c>
      <c r="E17" s="172">
        <f t="shared" ca="1" si="3"/>
        <v>0</v>
      </c>
      <c r="F17" s="175">
        <f t="shared" ca="1" si="4"/>
        <v>395617.75148132112</v>
      </c>
    </row>
    <row r="18" spans="1:6" x14ac:dyDescent="0.35">
      <c r="A18" s="176">
        <v>8</v>
      </c>
      <c r="B18" s="172">
        <f t="shared" ca="1" si="0"/>
        <v>395617.75148132112</v>
      </c>
      <c r="C18" s="173">
        <f t="shared" ca="1" si="1"/>
        <v>1318.7258382710704</v>
      </c>
      <c r="D18" s="174">
        <f t="shared" si="2"/>
        <v>1909.6611818618378</v>
      </c>
      <c r="E18" s="172">
        <f t="shared" ca="1" si="3"/>
        <v>0</v>
      </c>
      <c r="F18" s="175">
        <f t="shared" ca="1" si="4"/>
        <v>395026.81613773038</v>
      </c>
    </row>
    <row r="19" spans="1:6" x14ac:dyDescent="0.35">
      <c r="A19" s="176">
        <v>9</v>
      </c>
      <c r="B19" s="172">
        <f t="shared" ca="1" si="0"/>
        <v>395026.81613773038</v>
      </c>
      <c r="C19" s="173">
        <f t="shared" ca="1" si="1"/>
        <v>1316.7560537924346</v>
      </c>
      <c r="D19" s="174">
        <f t="shared" si="2"/>
        <v>1909.6611818618378</v>
      </c>
      <c r="E19" s="172">
        <f t="shared" ca="1" si="3"/>
        <v>154</v>
      </c>
      <c r="F19" s="175">
        <f t="shared" ca="1" si="4"/>
        <v>394279.91100966098</v>
      </c>
    </row>
    <row r="20" spans="1:6" x14ac:dyDescent="0.35">
      <c r="A20" s="176">
        <v>10</v>
      </c>
      <c r="B20" s="172">
        <f t="shared" ca="1" si="0"/>
        <v>394279.91100966098</v>
      </c>
      <c r="C20" s="173">
        <f t="shared" ca="1" si="1"/>
        <v>1314.2663700322034</v>
      </c>
      <c r="D20" s="174">
        <f t="shared" si="2"/>
        <v>1909.6611818618378</v>
      </c>
      <c r="E20" s="172">
        <f t="shared" ca="1" si="3"/>
        <v>0</v>
      </c>
      <c r="F20" s="175">
        <f t="shared" ca="1" si="4"/>
        <v>393684.51619783137</v>
      </c>
    </row>
    <row r="21" spans="1:6" x14ac:dyDescent="0.35">
      <c r="A21" s="176">
        <v>11</v>
      </c>
      <c r="B21" s="172">
        <f t="shared" ca="1" si="0"/>
        <v>393684.51619783137</v>
      </c>
      <c r="C21" s="173">
        <f t="shared" ca="1" si="1"/>
        <v>1312.281720659438</v>
      </c>
      <c r="D21" s="174">
        <f t="shared" si="2"/>
        <v>1909.6611818618378</v>
      </c>
      <c r="E21" s="172">
        <f t="shared" ca="1" si="3"/>
        <v>0</v>
      </c>
      <c r="F21" s="175">
        <f t="shared" ca="1" si="4"/>
        <v>393087.13673662901</v>
      </c>
    </row>
    <row r="22" spans="1:6" x14ac:dyDescent="0.35">
      <c r="A22" s="176">
        <v>12</v>
      </c>
      <c r="B22" s="172">
        <f t="shared" ca="1" si="0"/>
        <v>393087.13673662901</v>
      </c>
      <c r="C22" s="173">
        <f t="shared" ca="1" si="1"/>
        <v>1310.2904557887634</v>
      </c>
      <c r="D22" s="174">
        <f t="shared" si="2"/>
        <v>1909.6611818618378</v>
      </c>
      <c r="E22" s="172">
        <f t="shared" ca="1" si="3"/>
        <v>153</v>
      </c>
      <c r="F22" s="175">
        <f t="shared" ca="1" si="4"/>
        <v>392334.76601055596</v>
      </c>
    </row>
    <row r="23" spans="1:6" x14ac:dyDescent="0.35">
      <c r="A23" s="176">
        <v>13</v>
      </c>
      <c r="B23" s="172">
        <f t="shared" ca="1" si="0"/>
        <v>392334.76601055596</v>
      </c>
      <c r="C23" s="173">
        <f t="shared" ca="1" si="1"/>
        <v>1307.7825533685198</v>
      </c>
      <c r="D23" s="174">
        <f t="shared" si="2"/>
        <v>1909.6611818618378</v>
      </c>
      <c r="E23" s="172">
        <f t="shared" ca="1" si="3"/>
        <v>0</v>
      </c>
      <c r="F23" s="175">
        <f t="shared" ca="1" si="4"/>
        <v>391732.88738206268</v>
      </c>
    </row>
    <row r="24" spans="1:6" x14ac:dyDescent="0.35">
      <c r="A24" s="176">
        <v>14</v>
      </c>
      <c r="B24" s="172">
        <f t="shared" ca="1" si="0"/>
        <v>391732.88738206268</v>
      </c>
      <c r="C24" s="173">
        <f t="shared" ca="1" si="1"/>
        <v>1305.7762912735423</v>
      </c>
      <c r="D24" s="174">
        <f t="shared" si="2"/>
        <v>1909.6611818618378</v>
      </c>
      <c r="E24" s="172">
        <f t="shared" ca="1" si="3"/>
        <v>0</v>
      </c>
      <c r="F24" s="175">
        <f t="shared" ca="1" si="4"/>
        <v>391129.00249147438</v>
      </c>
    </row>
    <row r="25" spans="1:6" x14ac:dyDescent="0.35">
      <c r="A25" s="176">
        <v>15</v>
      </c>
      <c r="B25" s="172">
        <f t="shared" ca="1" si="0"/>
        <v>391129.00249147438</v>
      </c>
      <c r="C25" s="173">
        <f t="shared" ca="1" si="1"/>
        <v>1303.763341638248</v>
      </c>
      <c r="D25" s="174">
        <f t="shared" si="2"/>
        <v>1909.6611818618378</v>
      </c>
      <c r="E25" s="172">
        <f t="shared" ca="1" si="3"/>
        <v>118</v>
      </c>
      <c r="F25" s="175">
        <f t="shared" ca="1" si="4"/>
        <v>390405.10465125082</v>
      </c>
    </row>
    <row r="26" spans="1:6" x14ac:dyDescent="0.35">
      <c r="A26" s="176">
        <v>16</v>
      </c>
      <c r="B26" s="172">
        <f t="shared" ca="1" si="0"/>
        <v>390405.10465125082</v>
      </c>
      <c r="C26" s="173">
        <f t="shared" ca="1" si="1"/>
        <v>1301.3503488375027</v>
      </c>
      <c r="D26" s="174">
        <f t="shared" si="2"/>
        <v>1909.6611818618378</v>
      </c>
      <c r="E26" s="172">
        <f t="shared" ca="1" si="3"/>
        <v>0</v>
      </c>
      <c r="F26" s="175">
        <f t="shared" ca="1" si="4"/>
        <v>389796.79381822649</v>
      </c>
    </row>
    <row r="27" spans="1:6" x14ac:dyDescent="0.35">
      <c r="A27" s="176">
        <v>17</v>
      </c>
      <c r="B27" s="172">
        <f t="shared" ca="1" si="0"/>
        <v>389796.79381822649</v>
      </c>
      <c r="C27" s="173">
        <f t="shared" ca="1" si="1"/>
        <v>1299.322646060755</v>
      </c>
      <c r="D27" s="174">
        <f t="shared" si="2"/>
        <v>1909.6611818618378</v>
      </c>
      <c r="E27" s="172">
        <f t="shared" ca="1" si="3"/>
        <v>0</v>
      </c>
      <c r="F27" s="175">
        <f t="shared" ca="1" si="4"/>
        <v>389186.45528242545</v>
      </c>
    </row>
    <row r="28" spans="1:6" x14ac:dyDescent="0.35">
      <c r="A28" s="176">
        <v>18</v>
      </c>
      <c r="B28" s="172">
        <f t="shared" ca="1" si="0"/>
        <v>389186.45528242545</v>
      </c>
      <c r="C28" s="173">
        <f t="shared" ca="1" si="1"/>
        <v>1297.2881842747515</v>
      </c>
      <c r="D28" s="174">
        <f t="shared" si="2"/>
        <v>1909.6611818618378</v>
      </c>
      <c r="E28" s="172">
        <f t="shared" ca="1" si="3"/>
        <v>154</v>
      </c>
      <c r="F28" s="175">
        <f t="shared" ca="1" si="4"/>
        <v>388420.08228483837</v>
      </c>
    </row>
    <row r="29" spans="1:6" x14ac:dyDescent="0.35">
      <c r="A29" s="176">
        <v>19</v>
      </c>
      <c r="B29" s="172">
        <f t="shared" ca="1" si="0"/>
        <v>388420.08228483837</v>
      </c>
      <c r="C29" s="173">
        <f t="shared" ca="1" si="1"/>
        <v>1294.733607616128</v>
      </c>
      <c r="D29" s="174">
        <f t="shared" si="2"/>
        <v>1909.6611818618378</v>
      </c>
      <c r="E29" s="172">
        <f t="shared" ca="1" si="3"/>
        <v>0</v>
      </c>
      <c r="F29" s="175">
        <f t="shared" ca="1" si="4"/>
        <v>387805.15471059264</v>
      </c>
    </row>
    <row r="30" spans="1:6" x14ac:dyDescent="0.35">
      <c r="A30" s="176">
        <v>20</v>
      </c>
      <c r="B30" s="172">
        <f t="shared" ca="1" si="0"/>
        <v>387805.15471059264</v>
      </c>
      <c r="C30" s="173">
        <f t="shared" ca="1" si="1"/>
        <v>1292.6838490353089</v>
      </c>
      <c r="D30" s="174">
        <f t="shared" si="2"/>
        <v>1909.6611818618378</v>
      </c>
      <c r="E30" s="172">
        <f t="shared" ca="1" si="3"/>
        <v>0</v>
      </c>
      <c r="F30" s="175">
        <f t="shared" ca="1" si="4"/>
        <v>387188.17737776611</v>
      </c>
    </row>
    <row r="31" spans="1:6" x14ac:dyDescent="0.35">
      <c r="A31" s="176">
        <v>21</v>
      </c>
      <c r="B31" s="172">
        <f t="shared" ca="1" si="0"/>
        <v>387188.17737776611</v>
      </c>
      <c r="C31" s="173">
        <f t="shared" ca="1" si="1"/>
        <v>1290.6272579258871</v>
      </c>
      <c r="D31" s="174">
        <f t="shared" si="2"/>
        <v>1909.6611818618378</v>
      </c>
      <c r="E31" s="172">
        <f t="shared" ca="1" si="3"/>
        <v>123</v>
      </c>
      <c r="F31" s="175">
        <f t="shared" ca="1" si="4"/>
        <v>386446.14345383015</v>
      </c>
    </row>
    <row r="32" spans="1:6" x14ac:dyDescent="0.35">
      <c r="A32" s="176">
        <v>22</v>
      </c>
      <c r="B32" s="172">
        <f t="shared" ca="1" si="0"/>
        <v>386446.14345383015</v>
      </c>
      <c r="C32" s="173">
        <f t="shared" ca="1" si="1"/>
        <v>1288.1538115127671</v>
      </c>
      <c r="D32" s="174">
        <f t="shared" si="2"/>
        <v>1909.6611818618378</v>
      </c>
      <c r="E32" s="172">
        <f t="shared" ca="1" si="3"/>
        <v>0</v>
      </c>
      <c r="F32" s="175">
        <f t="shared" ca="1" si="4"/>
        <v>385824.63608348108</v>
      </c>
    </row>
    <row r="33" spans="1:6" x14ac:dyDescent="0.35">
      <c r="A33" s="176">
        <v>23</v>
      </c>
      <c r="B33" s="172">
        <f t="shared" ca="1" si="0"/>
        <v>385824.63608348108</v>
      </c>
      <c r="C33" s="173">
        <f t="shared" ca="1" si="1"/>
        <v>1286.0821202782702</v>
      </c>
      <c r="D33" s="174">
        <f t="shared" si="2"/>
        <v>1909.6611818618378</v>
      </c>
      <c r="E33" s="172">
        <f t="shared" ca="1" si="3"/>
        <v>0</v>
      </c>
      <c r="F33" s="175">
        <f t="shared" ca="1" si="4"/>
        <v>385201.05702189752</v>
      </c>
    </row>
    <row r="34" spans="1:6" x14ac:dyDescent="0.35">
      <c r="A34" s="176">
        <v>24</v>
      </c>
      <c r="B34" s="172">
        <f t="shared" ca="1" si="0"/>
        <v>385201.05702189752</v>
      </c>
      <c r="C34" s="173">
        <f t="shared" ca="1" si="1"/>
        <v>1284.003523406325</v>
      </c>
      <c r="D34" s="174">
        <f t="shared" si="2"/>
        <v>1909.6611818618378</v>
      </c>
      <c r="E34" s="172">
        <f t="shared" ca="1" si="3"/>
        <v>186</v>
      </c>
      <c r="F34" s="175">
        <f t="shared" ca="1" si="4"/>
        <v>384389.39936344203</v>
      </c>
    </row>
    <row r="35" spans="1:6" x14ac:dyDescent="0.35">
      <c r="A35" s="176">
        <v>25</v>
      </c>
      <c r="B35" s="172">
        <f t="shared" ca="1" si="0"/>
        <v>384389.39936344203</v>
      </c>
      <c r="C35" s="173">
        <f t="shared" ca="1" si="1"/>
        <v>1281.2979978781402</v>
      </c>
      <c r="D35" s="174">
        <f t="shared" si="2"/>
        <v>1909.6611818618378</v>
      </c>
      <c r="E35" s="172">
        <f t="shared" ca="1" si="3"/>
        <v>0</v>
      </c>
      <c r="F35" s="175">
        <f t="shared" ca="1" si="4"/>
        <v>383761.03617945837</v>
      </c>
    </row>
    <row r="36" spans="1:6" x14ac:dyDescent="0.35">
      <c r="A36" s="176">
        <v>26</v>
      </c>
      <c r="B36" s="172">
        <f t="shared" ca="1" si="0"/>
        <v>383761.03617945837</v>
      </c>
      <c r="C36" s="173">
        <f t="shared" ca="1" si="1"/>
        <v>1279.203453931528</v>
      </c>
      <c r="D36" s="174">
        <f t="shared" si="2"/>
        <v>1909.6611818618378</v>
      </c>
      <c r="E36" s="172">
        <f t="shared" ca="1" si="3"/>
        <v>0</v>
      </c>
      <c r="F36" s="175">
        <f t="shared" ca="1" si="4"/>
        <v>383130.5784515281</v>
      </c>
    </row>
    <row r="37" spans="1:6" x14ac:dyDescent="0.35">
      <c r="A37" s="176">
        <v>27</v>
      </c>
      <c r="B37" s="172">
        <f t="shared" ca="1" si="0"/>
        <v>383130.5784515281</v>
      </c>
      <c r="C37" s="173">
        <f t="shared" ca="1" si="1"/>
        <v>1277.1019281717604</v>
      </c>
      <c r="D37" s="174">
        <f t="shared" si="2"/>
        <v>1909.6611818618378</v>
      </c>
      <c r="E37" s="172">
        <f t="shared" ca="1" si="3"/>
        <v>165</v>
      </c>
      <c r="F37" s="175">
        <f t="shared" ca="1" si="4"/>
        <v>382333.01919783803</v>
      </c>
    </row>
    <row r="38" spans="1:6" x14ac:dyDescent="0.35">
      <c r="A38" s="176">
        <v>28</v>
      </c>
      <c r="B38" s="172">
        <f t="shared" ca="1" si="0"/>
        <v>382333.01919783803</v>
      </c>
      <c r="C38" s="173">
        <f t="shared" ca="1" si="1"/>
        <v>1274.4433973261268</v>
      </c>
      <c r="D38" s="174">
        <f t="shared" si="2"/>
        <v>1909.6611818618378</v>
      </c>
      <c r="E38" s="172">
        <f t="shared" ca="1" si="3"/>
        <v>0</v>
      </c>
      <c r="F38" s="175">
        <f t="shared" ca="1" si="4"/>
        <v>381697.80141330231</v>
      </c>
    </row>
    <row r="39" spans="1:6" x14ac:dyDescent="0.35">
      <c r="A39" s="176">
        <v>29</v>
      </c>
      <c r="B39" s="172">
        <f t="shared" ca="1" si="0"/>
        <v>381697.80141330231</v>
      </c>
      <c r="C39" s="173">
        <f t="shared" ca="1" si="1"/>
        <v>1272.3260047110077</v>
      </c>
      <c r="D39" s="174">
        <f t="shared" si="2"/>
        <v>1909.6611818618378</v>
      </c>
      <c r="E39" s="172">
        <f t="shared" ca="1" si="3"/>
        <v>0</v>
      </c>
      <c r="F39" s="175">
        <f t="shared" ca="1" si="4"/>
        <v>381060.46623615146</v>
      </c>
    </row>
    <row r="40" spans="1:6" x14ac:dyDescent="0.35">
      <c r="A40" s="176">
        <v>30</v>
      </c>
      <c r="B40" s="172">
        <f t="shared" ca="1" si="0"/>
        <v>381060.46623615146</v>
      </c>
      <c r="C40" s="173">
        <f t="shared" ca="1" si="1"/>
        <v>1270.2015541205049</v>
      </c>
      <c r="D40" s="174">
        <f t="shared" si="2"/>
        <v>1909.6611818618378</v>
      </c>
      <c r="E40" s="172">
        <f t="shared" ca="1" si="3"/>
        <v>125</v>
      </c>
      <c r="F40" s="175">
        <f t="shared" ca="1" si="4"/>
        <v>380296.00660841016</v>
      </c>
    </row>
    <row r="41" spans="1:6" x14ac:dyDescent="0.35">
      <c r="A41" s="176">
        <v>31</v>
      </c>
      <c r="B41" s="172">
        <f t="shared" ca="1" si="0"/>
        <v>380296.00660841016</v>
      </c>
      <c r="C41" s="173">
        <f t="shared" ca="1" si="1"/>
        <v>1267.6533553613672</v>
      </c>
      <c r="D41" s="174">
        <f t="shared" si="2"/>
        <v>1909.6611818618378</v>
      </c>
      <c r="E41" s="172">
        <f t="shared" ca="1" si="3"/>
        <v>0</v>
      </c>
      <c r="F41" s="175">
        <f t="shared" ca="1" si="4"/>
        <v>379653.9987819097</v>
      </c>
    </row>
    <row r="42" spans="1:6" x14ac:dyDescent="0.35">
      <c r="A42" s="176">
        <v>32</v>
      </c>
      <c r="B42" s="172">
        <f t="shared" ca="1" si="0"/>
        <v>379653.9987819097</v>
      </c>
      <c r="C42" s="173">
        <f t="shared" ca="1" si="1"/>
        <v>1265.5133292730322</v>
      </c>
      <c r="D42" s="174">
        <f t="shared" si="2"/>
        <v>1909.6611818618378</v>
      </c>
      <c r="E42" s="172">
        <f t="shared" ca="1" si="3"/>
        <v>0</v>
      </c>
      <c r="F42" s="175">
        <f t="shared" ca="1" si="4"/>
        <v>379009.85092932091</v>
      </c>
    </row>
    <row r="43" spans="1:6" x14ac:dyDescent="0.35">
      <c r="A43" s="176">
        <v>33</v>
      </c>
      <c r="B43" s="172">
        <f t="shared" ca="1" si="0"/>
        <v>379009.85092932091</v>
      </c>
      <c r="C43" s="173">
        <f t="shared" ca="1" si="1"/>
        <v>1263.3661697644031</v>
      </c>
      <c r="D43" s="174">
        <f t="shared" si="2"/>
        <v>1909.6611818618378</v>
      </c>
      <c r="E43" s="172">
        <f t="shared" ca="1" si="3"/>
        <v>165</v>
      </c>
      <c r="F43" s="175">
        <f t="shared" ca="1" si="4"/>
        <v>378198.55591722351</v>
      </c>
    </row>
    <row r="44" spans="1:6" x14ac:dyDescent="0.35">
      <c r="A44" s="176">
        <v>34</v>
      </c>
      <c r="B44" s="172">
        <f t="shared" ca="1" si="0"/>
        <v>378198.55591722351</v>
      </c>
      <c r="C44" s="173">
        <f t="shared" ca="1" si="1"/>
        <v>1260.6618530574117</v>
      </c>
      <c r="D44" s="174">
        <f t="shared" si="2"/>
        <v>1909.6611818618378</v>
      </c>
      <c r="E44" s="172">
        <f t="shared" ca="1" si="3"/>
        <v>0</v>
      </c>
      <c r="F44" s="175">
        <f t="shared" ca="1" si="4"/>
        <v>377549.55658841907</v>
      </c>
    </row>
    <row r="45" spans="1:6" x14ac:dyDescent="0.35">
      <c r="A45" s="176">
        <v>35</v>
      </c>
      <c r="B45" s="172">
        <f t="shared" ca="1" si="0"/>
        <v>377549.55658841907</v>
      </c>
      <c r="C45" s="173">
        <f t="shared" ca="1" si="1"/>
        <v>1258.498521961397</v>
      </c>
      <c r="D45" s="174">
        <f t="shared" si="2"/>
        <v>1909.6611818618378</v>
      </c>
      <c r="E45" s="172">
        <f t="shared" ca="1" si="3"/>
        <v>0</v>
      </c>
      <c r="F45" s="175">
        <f t="shared" ca="1" si="4"/>
        <v>376898.39392851864</v>
      </c>
    </row>
    <row r="46" spans="1:6" x14ac:dyDescent="0.35">
      <c r="A46" s="176">
        <v>36</v>
      </c>
      <c r="B46" s="172">
        <f t="shared" ca="1" si="0"/>
        <v>376898.39392851864</v>
      </c>
      <c r="C46" s="173">
        <f t="shared" ca="1" si="1"/>
        <v>1256.3279797617288</v>
      </c>
      <c r="D46" s="174">
        <f t="shared" si="2"/>
        <v>1909.6611818618378</v>
      </c>
      <c r="E46" s="172">
        <f t="shared" ca="1" si="3"/>
        <v>182</v>
      </c>
      <c r="F46" s="175">
        <f t="shared" ca="1" si="4"/>
        <v>376063.06072641857</v>
      </c>
    </row>
    <row r="47" spans="1:6" x14ac:dyDescent="0.35">
      <c r="A47" s="176">
        <v>37</v>
      </c>
      <c r="B47" s="172">
        <f t="shared" ca="1" si="0"/>
        <v>376063.06072641857</v>
      </c>
      <c r="C47" s="173">
        <f t="shared" ca="1" si="1"/>
        <v>1253.5435357547285</v>
      </c>
      <c r="D47" s="174">
        <f t="shared" si="2"/>
        <v>1909.6611818618378</v>
      </c>
      <c r="E47" s="172">
        <f t="shared" ca="1" si="3"/>
        <v>0</v>
      </c>
      <c r="F47" s="175">
        <f t="shared" ca="1" si="4"/>
        <v>375406.94308031147</v>
      </c>
    </row>
    <row r="48" spans="1:6" x14ac:dyDescent="0.35">
      <c r="A48" s="176">
        <v>38</v>
      </c>
      <c r="B48" s="172">
        <f t="shared" ca="1" si="0"/>
        <v>375406.94308031147</v>
      </c>
      <c r="C48" s="173">
        <f t="shared" ca="1" si="1"/>
        <v>1251.3564769343716</v>
      </c>
      <c r="D48" s="174">
        <f t="shared" si="2"/>
        <v>1909.6611818618378</v>
      </c>
      <c r="E48" s="172">
        <f t="shared" ca="1" si="3"/>
        <v>0</v>
      </c>
      <c r="F48" s="175">
        <f t="shared" ca="1" si="4"/>
        <v>374748.63837538403</v>
      </c>
    </row>
    <row r="49" spans="1:6" x14ac:dyDescent="0.35">
      <c r="A49" s="176">
        <v>39</v>
      </c>
      <c r="B49" s="172">
        <f t="shared" ca="1" si="0"/>
        <v>374748.63837538403</v>
      </c>
      <c r="C49" s="173">
        <f t="shared" ca="1" si="1"/>
        <v>1249.1621279179469</v>
      </c>
      <c r="D49" s="174">
        <f t="shared" si="2"/>
        <v>1909.6611818618378</v>
      </c>
      <c r="E49" s="172">
        <f t="shared" ca="1" si="3"/>
        <v>189</v>
      </c>
      <c r="F49" s="175">
        <f t="shared" ca="1" si="4"/>
        <v>373899.13932144013</v>
      </c>
    </row>
    <row r="50" spans="1:6" x14ac:dyDescent="0.35">
      <c r="A50" s="176">
        <v>40</v>
      </c>
      <c r="B50" s="172">
        <f t="shared" ca="1" si="0"/>
        <v>373899.13932144013</v>
      </c>
      <c r="C50" s="173">
        <f t="shared" ca="1" si="1"/>
        <v>1246.3304644048005</v>
      </c>
      <c r="D50" s="174">
        <f t="shared" si="2"/>
        <v>1909.6611818618378</v>
      </c>
      <c r="E50" s="172">
        <f t="shared" ca="1" si="3"/>
        <v>0</v>
      </c>
      <c r="F50" s="175">
        <f t="shared" ca="1" si="4"/>
        <v>373235.80860398308</v>
      </c>
    </row>
    <row r="51" spans="1:6" x14ac:dyDescent="0.35">
      <c r="A51" s="176">
        <v>41</v>
      </c>
      <c r="B51" s="172">
        <f t="shared" ca="1" si="0"/>
        <v>373235.80860398308</v>
      </c>
      <c r="C51" s="173">
        <f t="shared" ca="1" si="1"/>
        <v>1244.1193620132769</v>
      </c>
      <c r="D51" s="174">
        <f t="shared" si="2"/>
        <v>1909.6611818618378</v>
      </c>
      <c r="E51" s="172">
        <f t="shared" ca="1" si="3"/>
        <v>0</v>
      </c>
      <c r="F51" s="175">
        <f t="shared" ca="1" si="4"/>
        <v>372570.26678413455</v>
      </c>
    </row>
    <row r="52" spans="1:6" x14ac:dyDescent="0.35">
      <c r="A52" s="176">
        <v>42</v>
      </c>
      <c r="B52" s="172">
        <f t="shared" ca="1" si="0"/>
        <v>372570.26678413455</v>
      </c>
      <c r="C52" s="173">
        <f t="shared" ca="1" si="1"/>
        <v>1241.9008892804486</v>
      </c>
      <c r="D52" s="174">
        <f t="shared" si="2"/>
        <v>1909.6611818618378</v>
      </c>
      <c r="E52" s="172">
        <f t="shared" ca="1" si="3"/>
        <v>151</v>
      </c>
      <c r="F52" s="175">
        <f t="shared" ca="1" si="4"/>
        <v>371751.50649155315</v>
      </c>
    </row>
    <row r="53" spans="1:6" x14ac:dyDescent="0.35">
      <c r="A53" s="176">
        <v>43</v>
      </c>
      <c r="B53" s="172">
        <f t="shared" ca="1" si="0"/>
        <v>371751.50649155315</v>
      </c>
      <c r="C53" s="173">
        <f t="shared" ca="1" si="1"/>
        <v>1239.1716883051772</v>
      </c>
      <c r="D53" s="174">
        <f t="shared" si="2"/>
        <v>1909.6611818618378</v>
      </c>
      <c r="E53" s="172">
        <f t="shared" ca="1" si="3"/>
        <v>0</v>
      </c>
      <c r="F53" s="175">
        <f t="shared" ca="1" si="4"/>
        <v>371081.01699799648</v>
      </c>
    </row>
    <row r="54" spans="1:6" x14ac:dyDescent="0.35">
      <c r="A54" s="176">
        <v>44</v>
      </c>
      <c r="B54" s="172">
        <f t="shared" ca="1" si="0"/>
        <v>371081.01699799648</v>
      </c>
      <c r="C54" s="173">
        <f t="shared" ca="1" si="1"/>
        <v>1236.9367233266551</v>
      </c>
      <c r="D54" s="174">
        <f t="shared" si="2"/>
        <v>1909.6611818618378</v>
      </c>
      <c r="E54" s="172">
        <f t="shared" ca="1" si="3"/>
        <v>0</v>
      </c>
      <c r="F54" s="175">
        <f t="shared" ca="1" si="4"/>
        <v>370408.29253946134</v>
      </c>
    </row>
    <row r="55" spans="1:6" x14ac:dyDescent="0.35">
      <c r="A55" s="176">
        <v>45</v>
      </c>
      <c r="B55" s="172">
        <f t="shared" ca="1" si="0"/>
        <v>370408.29253946134</v>
      </c>
      <c r="C55" s="173">
        <f t="shared" ca="1" si="1"/>
        <v>1234.6943084648713</v>
      </c>
      <c r="D55" s="174">
        <f t="shared" si="2"/>
        <v>1909.6611818618378</v>
      </c>
      <c r="E55" s="172">
        <f t="shared" ca="1" si="3"/>
        <v>106</v>
      </c>
      <c r="F55" s="175">
        <f t="shared" ca="1" si="4"/>
        <v>369627.3256660644</v>
      </c>
    </row>
    <row r="56" spans="1:6" x14ac:dyDescent="0.35">
      <c r="A56" s="176">
        <v>46</v>
      </c>
      <c r="B56" s="172">
        <f t="shared" ca="1" si="0"/>
        <v>369627.3256660644</v>
      </c>
      <c r="C56" s="173">
        <f t="shared" ca="1" si="1"/>
        <v>1232.0910855535481</v>
      </c>
      <c r="D56" s="174">
        <f t="shared" si="2"/>
        <v>1909.6611818618378</v>
      </c>
      <c r="E56" s="172">
        <f t="shared" ca="1" si="3"/>
        <v>0</v>
      </c>
      <c r="F56" s="175">
        <f t="shared" ca="1" si="4"/>
        <v>368949.75556975615</v>
      </c>
    </row>
    <row r="57" spans="1:6" x14ac:dyDescent="0.35">
      <c r="A57" s="176">
        <v>47</v>
      </c>
      <c r="B57" s="172">
        <f t="shared" ca="1" si="0"/>
        <v>368949.75556975615</v>
      </c>
      <c r="C57" s="173">
        <f t="shared" ca="1" si="1"/>
        <v>1229.8325185658539</v>
      </c>
      <c r="D57" s="174">
        <f t="shared" si="2"/>
        <v>1909.6611818618378</v>
      </c>
      <c r="E57" s="172">
        <f t="shared" ca="1" si="3"/>
        <v>0</v>
      </c>
      <c r="F57" s="175">
        <f t="shared" ca="1" si="4"/>
        <v>368269.9269064602</v>
      </c>
    </row>
    <row r="58" spans="1:6" x14ac:dyDescent="0.35">
      <c r="A58" s="176">
        <v>48</v>
      </c>
      <c r="B58" s="172">
        <f t="shared" ca="1" si="0"/>
        <v>368269.9269064602</v>
      </c>
      <c r="C58" s="173">
        <f t="shared" ca="1" si="1"/>
        <v>1227.5664230215341</v>
      </c>
      <c r="D58" s="174">
        <f t="shared" si="2"/>
        <v>1909.6611818618378</v>
      </c>
      <c r="E58" s="172">
        <f t="shared" ca="1" si="3"/>
        <v>184</v>
      </c>
      <c r="F58" s="175">
        <f t="shared" ca="1" si="4"/>
        <v>367403.83214761992</v>
      </c>
    </row>
    <row r="59" spans="1:6" x14ac:dyDescent="0.35">
      <c r="A59" s="176">
        <v>49</v>
      </c>
      <c r="B59" s="172">
        <f t="shared" ca="1" si="0"/>
        <v>367403.83214761992</v>
      </c>
      <c r="C59" s="173">
        <f t="shared" ca="1" si="1"/>
        <v>1224.6794404920663</v>
      </c>
      <c r="D59" s="174">
        <f t="shared" si="2"/>
        <v>1909.6611818618378</v>
      </c>
      <c r="E59" s="172">
        <f t="shared" ca="1" si="3"/>
        <v>0</v>
      </c>
      <c r="F59" s="175">
        <f t="shared" ca="1" si="4"/>
        <v>366718.85040625016</v>
      </c>
    </row>
    <row r="60" spans="1:6" x14ac:dyDescent="0.35">
      <c r="A60" s="176">
        <v>50</v>
      </c>
      <c r="B60" s="172">
        <f t="shared" ca="1" si="0"/>
        <v>366718.85040625016</v>
      </c>
      <c r="C60" s="173">
        <f t="shared" ca="1" si="1"/>
        <v>1222.3961680208338</v>
      </c>
      <c r="D60" s="174">
        <f t="shared" si="2"/>
        <v>1909.6611818618378</v>
      </c>
      <c r="E60" s="172">
        <f t="shared" ca="1" si="3"/>
        <v>0</v>
      </c>
      <c r="F60" s="175">
        <f t="shared" ca="1" si="4"/>
        <v>366031.58539240918</v>
      </c>
    </row>
    <row r="61" spans="1:6" x14ac:dyDescent="0.35">
      <c r="A61" s="176">
        <v>51</v>
      </c>
      <c r="B61" s="172">
        <f t="shared" ca="1" si="0"/>
        <v>366031.58539240918</v>
      </c>
      <c r="C61" s="173">
        <f t="shared" ca="1" si="1"/>
        <v>1220.1052846413638</v>
      </c>
      <c r="D61" s="174">
        <f t="shared" si="2"/>
        <v>1909.6611818618378</v>
      </c>
      <c r="E61" s="172">
        <f t="shared" ca="1" si="3"/>
        <v>136</v>
      </c>
      <c r="F61" s="175">
        <f t="shared" ca="1" si="4"/>
        <v>365206.02949518873</v>
      </c>
    </row>
    <row r="62" spans="1:6" x14ac:dyDescent="0.35">
      <c r="A62" s="176">
        <v>52</v>
      </c>
      <c r="B62" s="172">
        <f t="shared" ca="1" si="0"/>
        <v>365206.02949518873</v>
      </c>
      <c r="C62" s="173">
        <f t="shared" ca="1" si="1"/>
        <v>1217.3534316506291</v>
      </c>
      <c r="D62" s="174">
        <f t="shared" si="2"/>
        <v>1909.6611818618378</v>
      </c>
      <c r="E62" s="172">
        <f t="shared" ca="1" si="3"/>
        <v>0</v>
      </c>
      <c r="F62" s="175">
        <f t="shared" ca="1" si="4"/>
        <v>364513.72174497752</v>
      </c>
    </row>
    <row r="63" spans="1:6" x14ac:dyDescent="0.35">
      <c r="A63" s="176">
        <v>53</v>
      </c>
      <c r="B63" s="172">
        <f t="shared" ca="1" si="0"/>
        <v>364513.72174497752</v>
      </c>
      <c r="C63" s="173">
        <f t="shared" ca="1" si="1"/>
        <v>1215.0457391499251</v>
      </c>
      <c r="D63" s="174">
        <f t="shared" si="2"/>
        <v>1909.6611818618378</v>
      </c>
      <c r="E63" s="172">
        <f t="shared" ca="1" si="3"/>
        <v>0</v>
      </c>
      <c r="F63" s="175">
        <f t="shared" ca="1" si="4"/>
        <v>363819.1063022656</v>
      </c>
    </row>
    <row r="64" spans="1:6" x14ac:dyDescent="0.35">
      <c r="A64" s="176">
        <v>54</v>
      </c>
      <c r="B64" s="172">
        <f t="shared" ca="1" si="0"/>
        <v>363819.1063022656</v>
      </c>
      <c r="C64" s="173">
        <f t="shared" ca="1" si="1"/>
        <v>1212.7303543408855</v>
      </c>
      <c r="D64" s="174">
        <f t="shared" si="2"/>
        <v>1909.6611818618378</v>
      </c>
      <c r="E64" s="172">
        <f t="shared" ca="1" si="3"/>
        <v>199</v>
      </c>
      <c r="F64" s="175">
        <f t="shared" ca="1" si="4"/>
        <v>362923.17547474464</v>
      </c>
    </row>
    <row r="65" spans="1:6" x14ac:dyDescent="0.35">
      <c r="A65" s="176">
        <v>55</v>
      </c>
      <c r="B65" s="172">
        <f t="shared" ca="1" si="0"/>
        <v>362923.17547474464</v>
      </c>
      <c r="C65" s="173">
        <f t="shared" ca="1" si="1"/>
        <v>1209.7439182491487</v>
      </c>
      <c r="D65" s="174">
        <f t="shared" si="2"/>
        <v>1909.6611818618378</v>
      </c>
      <c r="E65" s="172">
        <f t="shared" ca="1" si="3"/>
        <v>0</v>
      </c>
      <c r="F65" s="175">
        <f t="shared" ca="1" si="4"/>
        <v>362223.25821113196</v>
      </c>
    </row>
    <row r="66" spans="1:6" x14ac:dyDescent="0.35">
      <c r="A66" s="176">
        <v>56</v>
      </c>
      <c r="B66" s="172">
        <f t="shared" ca="1" si="0"/>
        <v>362223.25821113196</v>
      </c>
      <c r="C66" s="173">
        <f t="shared" ca="1" si="1"/>
        <v>1207.4108607037731</v>
      </c>
      <c r="D66" s="174">
        <f t="shared" si="2"/>
        <v>1909.6611818618378</v>
      </c>
      <c r="E66" s="172">
        <f t="shared" ca="1" si="3"/>
        <v>0</v>
      </c>
      <c r="F66" s="175">
        <f t="shared" ca="1" si="4"/>
        <v>361521.00788997393</v>
      </c>
    </row>
    <row r="67" spans="1:6" x14ac:dyDescent="0.35">
      <c r="A67" s="176">
        <v>57</v>
      </c>
      <c r="B67" s="172">
        <f t="shared" ca="1" si="0"/>
        <v>361521.00788997393</v>
      </c>
      <c r="C67" s="173">
        <f t="shared" ca="1" si="1"/>
        <v>1205.0700262999133</v>
      </c>
      <c r="D67" s="174">
        <f t="shared" si="2"/>
        <v>1909.6611818618378</v>
      </c>
      <c r="E67" s="172">
        <f t="shared" ca="1" si="3"/>
        <v>183</v>
      </c>
      <c r="F67" s="175">
        <f t="shared" ca="1" si="4"/>
        <v>360633.41673441202</v>
      </c>
    </row>
    <row r="68" spans="1:6" x14ac:dyDescent="0.35">
      <c r="A68" s="176">
        <v>58</v>
      </c>
      <c r="B68" s="172">
        <f t="shared" ca="1" si="0"/>
        <v>360633.41673441202</v>
      </c>
      <c r="C68" s="173">
        <f t="shared" ca="1" si="1"/>
        <v>1202.1113891147068</v>
      </c>
      <c r="D68" s="174">
        <f t="shared" si="2"/>
        <v>1909.6611818618378</v>
      </c>
      <c r="E68" s="172">
        <f t="shared" ca="1" si="3"/>
        <v>0</v>
      </c>
      <c r="F68" s="175">
        <f t="shared" ca="1" si="4"/>
        <v>359925.86694166489</v>
      </c>
    </row>
    <row r="69" spans="1:6" x14ac:dyDescent="0.35">
      <c r="A69" s="176">
        <v>59</v>
      </c>
      <c r="B69" s="172">
        <f t="shared" ca="1" si="0"/>
        <v>359925.86694166489</v>
      </c>
      <c r="C69" s="173">
        <f t="shared" ca="1" si="1"/>
        <v>1199.7528898055496</v>
      </c>
      <c r="D69" s="174">
        <f t="shared" si="2"/>
        <v>1909.6611818618378</v>
      </c>
      <c r="E69" s="172">
        <f t="shared" ca="1" si="3"/>
        <v>0</v>
      </c>
      <c r="F69" s="175">
        <f t="shared" ca="1" si="4"/>
        <v>359215.9586496086</v>
      </c>
    </row>
    <row r="70" spans="1:6" x14ac:dyDescent="0.35">
      <c r="A70" s="176">
        <v>60</v>
      </c>
      <c r="B70" s="172">
        <f t="shared" ca="1" si="0"/>
        <v>359215.9586496086</v>
      </c>
      <c r="C70" s="173">
        <f t="shared" ca="1" si="1"/>
        <v>1197.3865288320287</v>
      </c>
      <c r="D70" s="174">
        <f t="shared" si="2"/>
        <v>1909.6611818618378</v>
      </c>
      <c r="E70" s="172">
        <f t="shared" ca="1" si="3"/>
        <v>112</v>
      </c>
      <c r="F70" s="175">
        <f t="shared" ca="1" si="4"/>
        <v>358391.68399657879</v>
      </c>
    </row>
    <row r="71" spans="1:6" x14ac:dyDescent="0.35">
      <c r="A71" s="176">
        <v>61</v>
      </c>
      <c r="B71" s="172">
        <f t="shared" ca="1" si="0"/>
        <v>358391.68399657879</v>
      </c>
      <c r="C71" s="173">
        <f t="shared" ca="1" si="1"/>
        <v>1194.6389466552625</v>
      </c>
      <c r="D71" s="174">
        <f t="shared" si="2"/>
        <v>1909.6611818618378</v>
      </c>
      <c r="E71" s="172">
        <f t="shared" ca="1" si="3"/>
        <v>0</v>
      </c>
      <c r="F71" s="175">
        <f t="shared" ca="1" si="4"/>
        <v>357676.66176137223</v>
      </c>
    </row>
    <row r="72" spans="1:6" x14ac:dyDescent="0.35">
      <c r="A72" s="176">
        <v>62</v>
      </c>
      <c r="B72" s="172">
        <f t="shared" ca="1" si="0"/>
        <v>357676.66176137223</v>
      </c>
      <c r="C72" s="173">
        <f t="shared" ca="1" si="1"/>
        <v>1192.255539204574</v>
      </c>
      <c r="D72" s="174">
        <f t="shared" si="2"/>
        <v>1909.6611818618378</v>
      </c>
      <c r="E72" s="172">
        <f t="shared" ca="1" si="3"/>
        <v>0</v>
      </c>
      <c r="F72" s="175">
        <f t="shared" ca="1" si="4"/>
        <v>356959.25611871498</v>
      </c>
    </row>
    <row r="73" spans="1:6" x14ac:dyDescent="0.35">
      <c r="A73" s="176">
        <v>63</v>
      </c>
      <c r="B73" s="172">
        <f t="shared" ca="1" si="0"/>
        <v>356959.25611871498</v>
      </c>
      <c r="C73" s="173">
        <f t="shared" ca="1" si="1"/>
        <v>1189.8641870623833</v>
      </c>
      <c r="D73" s="174">
        <f t="shared" si="2"/>
        <v>1909.6611818618378</v>
      </c>
      <c r="E73" s="172">
        <f t="shared" ca="1" si="3"/>
        <v>106</v>
      </c>
      <c r="F73" s="175">
        <f t="shared" ca="1" si="4"/>
        <v>356133.45912391553</v>
      </c>
    </row>
    <row r="74" spans="1:6" x14ac:dyDescent="0.35">
      <c r="A74" s="176">
        <v>64</v>
      </c>
      <c r="B74" s="172">
        <f t="shared" ca="1" si="0"/>
        <v>356133.45912391553</v>
      </c>
      <c r="C74" s="173">
        <f t="shared" ca="1" si="1"/>
        <v>1187.1115304130519</v>
      </c>
      <c r="D74" s="174">
        <f t="shared" si="2"/>
        <v>1909.6611818618378</v>
      </c>
      <c r="E74" s="172">
        <f t="shared" ca="1" si="3"/>
        <v>0</v>
      </c>
      <c r="F74" s="175">
        <f t="shared" ca="1" si="4"/>
        <v>355410.90947246674</v>
      </c>
    </row>
    <row r="75" spans="1:6" x14ac:dyDescent="0.35">
      <c r="A75" s="176">
        <v>65</v>
      </c>
      <c r="B75" s="172">
        <f t="shared" ca="1" si="0"/>
        <v>355410.90947246674</v>
      </c>
      <c r="C75" s="173">
        <f t="shared" ca="1" si="1"/>
        <v>1184.7030315748891</v>
      </c>
      <c r="D75" s="174">
        <f t="shared" si="2"/>
        <v>1909.6611818618378</v>
      </c>
      <c r="E75" s="172">
        <f t="shared" ca="1" si="3"/>
        <v>0</v>
      </c>
      <c r="F75" s="175">
        <f t="shared" ca="1" si="4"/>
        <v>354685.95132217981</v>
      </c>
    </row>
    <row r="76" spans="1:6" x14ac:dyDescent="0.35">
      <c r="A76" s="176">
        <v>66</v>
      </c>
      <c r="B76" s="172">
        <f t="shared" ref="B76:B139" ca="1" si="5">F75</f>
        <v>354685.95132217981</v>
      </c>
      <c r="C76" s="173">
        <f t="shared" ref="C76:C139" ca="1" si="6">B76*$C$3/12</f>
        <v>1182.2865044072662</v>
      </c>
      <c r="D76" s="174">
        <f t="shared" ref="D76:D139" si="7">$C$5</f>
        <v>1909.6611818618378</v>
      </c>
      <c r="E76" s="172">
        <f t="shared" ref="E76:E139" ca="1" si="8">IF(MOD(A76,3)=0,RANDBETWEEN(100,200),0)</f>
        <v>147</v>
      </c>
      <c r="F76" s="175">
        <f t="shared" ref="F76:F139" ca="1" si="9">B76+C76-D76-E76</f>
        <v>353811.57664472522</v>
      </c>
    </row>
    <row r="77" spans="1:6" x14ac:dyDescent="0.35">
      <c r="A77" s="176">
        <v>67</v>
      </c>
      <c r="B77" s="172">
        <f t="shared" ca="1" si="5"/>
        <v>353811.57664472522</v>
      </c>
      <c r="C77" s="173">
        <f t="shared" ca="1" si="6"/>
        <v>1179.371922149084</v>
      </c>
      <c r="D77" s="174">
        <f t="shared" si="7"/>
        <v>1909.6611818618378</v>
      </c>
      <c r="E77" s="172">
        <f t="shared" ca="1" si="8"/>
        <v>0</v>
      </c>
      <c r="F77" s="175">
        <f t="shared" ca="1" si="9"/>
        <v>353081.28738501249</v>
      </c>
    </row>
    <row r="78" spans="1:6" x14ac:dyDescent="0.35">
      <c r="A78" s="176">
        <v>68</v>
      </c>
      <c r="B78" s="172">
        <f t="shared" ca="1" si="5"/>
        <v>353081.28738501249</v>
      </c>
      <c r="C78" s="173">
        <f t="shared" ca="1" si="6"/>
        <v>1176.9376246167083</v>
      </c>
      <c r="D78" s="174">
        <f t="shared" si="7"/>
        <v>1909.6611818618378</v>
      </c>
      <c r="E78" s="172">
        <f t="shared" ca="1" si="8"/>
        <v>0</v>
      </c>
      <c r="F78" s="175">
        <f t="shared" ca="1" si="9"/>
        <v>352348.56382776739</v>
      </c>
    </row>
    <row r="79" spans="1:6" x14ac:dyDescent="0.35">
      <c r="A79" s="176">
        <v>69</v>
      </c>
      <c r="B79" s="172">
        <f t="shared" ca="1" si="5"/>
        <v>352348.56382776739</v>
      </c>
      <c r="C79" s="173">
        <f t="shared" ca="1" si="6"/>
        <v>1174.4952127592246</v>
      </c>
      <c r="D79" s="174">
        <f t="shared" si="7"/>
        <v>1909.6611818618378</v>
      </c>
      <c r="E79" s="172">
        <f t="shared" ca="1" si="8"/>
        <v>115</v>
      </c>
      <c r="F79" s="175">
        <f t="shared" ca="1" si="9"/>
        <v>351498.3978586648</v>
      </c>
    </row>
    <row r="80" spans="1:6" x14ac:dyDescent="0.35">
      <c r="A80" s="176">
        <v>70</v>
      </c>
      <c r="B80" s="172">
        <f t="shared" ca="1" si="5"/>
        <v>351498.3978586648</v>
      </c>
      <c r="C80" s="173">
        <f t="shared" ca="1" si="6"/>
        <v>1171.6613261955492</v>
      </c>
      <c r="D80" s="174">
        <f t="shared" si="7"/>
        <v>1909.6611818618378</v>
      </c>
      <c r="E80" s="172">
        <f t="shared" ca="1" si="8"/>
        <v>0</v>
      </c>
      <c r="F80" s="175">
        <f t="shared" ca="1" si="9"/>
        <v>350760.3980029985</v>
      </c>
    </row>
    <row r="81" spans="1:6" x14ac:dyDescent="0.35">
      <c r="A81" s="176">
        <v>71</v>
      </c>
      <c r="B81" s="172">
        <f t="shared" ca="1" si="5"/>
        <v>350760.3980029985</v>
      </c>
      <c r="C81" s="173">
        <f t="shared" ca="1" si="6"/>
        <v>1169.2013266766617</v>
      </c>
      <c r="D81" s="174">
        <f t="shared" si="7"/>
        <v>1909.6611818618378</v>
      </c>
      <c r="E81" s="172">
        <f t="shared" ca="1" si="8"/>
        <v>0</v>
      </c>
      <c r="F81" s="175">
        <f t="shared" ca="1" si="9"/>
        <v>350019.93814781331</v>
      </c>
    </row>
    <row r="82" spans="1:6" x14ac:dyDescent="0.35">
      <c r="A82" s="176">
        <v>72</v>
      </c>
      <c r="B82" s="172">
        <f t="shared" ca="1" si="5"/>
        <v>350019.93814781331</v>
      </c>
      <c r="C82" s="173">
        <f t="shared" ca="1" si="6"/>
        <v>1166.7331271593778</v>
      </c>
      <c r="D82" s="174">
        <f t="shared" si="7"/>
        <v>1909.6611818618378</v>
      </c>
      <c r="E82" s="172">
        <f t="shared" ca="1" si="8"/>
        <v>162</v>
      </c>
      <c r="F82" s="175">
        <f t="shared" ca="1" si="9"/>
        <v>349115.01009311085</v>
      </c>
    </row>
    <row r="83" spans="1:6" x14ac:dyDescent="0.35">
      <c r="A83" s="176">
        <v>73</v>
      </c>
      <c r="B83" s="172">
        <f t="shared" ca="1" si="5"/>
        <v>349115.01009311085</v>
      </c>
      <c r="C83" s="173">
        <f t="shared" ca="1" si="6"/>
        <v>1163.7167003103696</v>
      </c>
      <c r="D83" s="174">
        <f t="shared" si="7"/>
        <v>1909.6611818618378</v>
      </c>
      <c r="E83" s="172">
        <f t="shared" ca="1" si="8"/>
        <v>0</v>
      </c>
      <c r="F83" s="175">
        <f t="shared" ca="1" si="9"/>
        <v>348369.06561155937</v>
      </c>
    </row>
    <row r="84" spans="1:6" x14ac:dyDescent="0.35">
      <c r="A84" s="176">
        <v>74</v>
      </c>
      <c r="B84" s="172">
        <f t="shared" ca="1" si="5"/>
        <v>348369.06561155937</v>
      </c>
      <c r="C84" s="173">
        <f t="shared" ca="1" si="6"/>
        <v>1161.230218705198</v>
      </c>
      <c r="D84" s="174">
        <f t="shared" si="7"/>
        <v>1909.6611818618378</v>
      </c>
      <c r="E84" s="172">
        <f t="shared" ca="1" si="8"/>
        <v>0</v>
      </c>
      <c r="F84" s="175">
        <f t="shared" ca="1" si="9"/>
        <v>347620.63464840275</v>
      </c>
    </row>
    <row r="85" spans="1:6" x14ac:dyDescent="0.35">
      <c r="A85" s="176">
        <v>75</v>
      </c>
      <c r="B85" s="172">
        <f t="shared" ca="1" si="5"/>
        <v>347620.63464840275</v>
      </c>
      <c r="C85" s="173">
        <f t="shared" ca="1" si="6"/>
        <v>1158.7354488280091</v>
      </c>
      <c r="D85" s="174">
        <f t="shared" si="7"/>
        <v>1909.6611818618378</v>
      </c>
      <c r="E85" s="172">
        <f t="shared" ca="1" si="8"/>
        <v>146</v>
      </c>
      <c r="F85" s="175">
        <f t="shared" ca="1" si="9"/>
        <v>346723.70891536894</v>
      </c>
    </row>
    <row r="86" spans="1:6" x14ac:dyDescent="0.35">
      <c r="A86" s="176">
        <v>76</v>
      </c>
      <c r="B86" s="172">
        <f t="shared" ca="1" si="5"/>
        <v>346723.70891536894</v>
      </c>
      <c r="C86" s="173">
        <f t="shared" ca="1" si="6"/>
        <v>1155.7456963845632</v>
      </c>
      <c r="D86" s="174">
        <f t="shared" si="7"/>
        <v>1909.6611818618378</v>
      </c>
      <c r="E86" s="172">
        <f t="shared" ca="1" si="8"/>
        <v>0</v>
      </c>
      <c r="F86" s="175">
        <f t="shared" ca="1" si="9"/>
        <v>345969.7934298917</v>
      </c>
    </row>
    <row r="87" spans="1:6" x14ac:dyDescent="0.35">
      <c r="A87" s="176">
        <v>77</v>
      </c>
      <c r="B87" s="172">
        <f t="shared" ca="1" si="5"/>
        <v>345969.7934298917</v>
      </c>
      <c r="C87" s="173">
        <f t="shared" ca="1" si="6"/>
        <v>1153.2326447663056</v>
      </c>
      <c r="D87" s="174">
        <f t="shared" si="7"/>
        <v>1909.6611818618378</v>
      </c>
      <c r="E87" s="172">
        <f t="shared" ca="1" si="8"/>
        <v>0</v>
      </c>
      <c r="F87" s="175">
        <f t="shared" ca="1" si="9"/>
        <v>345213.36489279615</v>
      </c>
    </row>
    <row r="88" spans="1:6" x14ac:dyDescent="0.35">
      <c r="A88" s="176">
        <v>78</v>
      </c>
      <c r="B88" s="172">
        <f t="shared" ca="1" si="5"/>
        <v>345213.36489279615</v>
      </c>
      <c r="C88" s="173">
        <f t="shared" ca="1" si="6"/>
        <v>1150.7112163093204</v>
      </c>
      <c r="D88" s="174">
        <f t="shared" si="7"/>
        <v>1909.6611818618378</v>
      </c>
      <c r="E88" s="172">
        <f t="shared" ca="1" si="8"/>
        <v>147</v>
      </c>
      <c r="F88" s="175">
        <f t="shared" ca="1" si="9"/>
        <v>344307.41492724366</v>
      </c>
    </row>
    <row r="89" spans="1:6" x14ac:dyDescent="0.35">
      <c r="A89" s="176">
        <v>79</v>
      </c>
      <c r="B89" s="172">
        <f t="shared" ca="1" si="5"/>
        <v>344307.41492724366</v>
      </c>
      <c r="C89" s="173">
        <f t="shared" ca="1" si="6"/>
        <v>1147.6913830908122</v>
      </c>
      <c r="D89" s="174">
        <f t="shared" si="7"/>
        <v>1909.6611818618378</v>
      </c>
      <c r="E89" s="172">
        <f t="shared" ca="1" si="8"/>
        <v>0</v>
      </c>
      <c r="F89" s="175">
        <f t="shared" ca="1" si="9"/>
        <v>343545.44512847264</v>
      </c>
    </row>
    <row r="90" spans="1:6" x14ac:dyDescent="0.35">
      <c r="A90" s="176">
        <v>80</v>
      </c>
      <c r="B90" s="172">
        <f t="shared" ca="1" si="5"/>
        <v>343545.44512847264</v>
      </c>
      <c r="C90" s="173">
        <f t="shared" ca="1" si="6"/>
        <v>1145.1514837615755</v>
      </c>
      <c r="D90" s="174">
        <f t="shared" si="7"/>
        <v>1909.6611818618378</v>
      </c>
      <c r="E90" s="172">
        <f t="shared" ca="1" si="8"/>
        <v>0</v>
      </c>
      <c r="F90" s="175">
        <f t="shared" ca="1" si="9"/>
        <v>342780.93543037237</v>
      </c>
    </row>
    <row r="91" spans="1:6" x14ac:dyDescent="0.35">
      <c r="A91" s="176">
        <v>81</v>
      </c>
      <c r="B91" s="172">
        <f t="shared" ca="1" si="5"/>
        <v>342780.93543037237</v>
      </c>
      <c r="C91" s="173">
        <f t="shared" ca="1" si="6"/>
        <v>1142.6031181012413</v>
      </c>
      <c r="D91" s="174">
        <f t="shared" si="7"/>
        <v>1909.6611818618378</v>
      </c>
      <c r="E91" s="172">
        <f t="shared" ca="1" si="8"/>
        <v>121</v>
      </c>
      <c r="F91" s="175">
        <f t="shared" ca="1" si="9"/>
        <v>341892.87736661179</v>
      </c>
    </row>
    <row r="92" spans="1:6" x14ac:dyDescent="0.35">
      <c r="A92" s="176">
        <v>82</v>
      </c>
      <c r="B92" s="172">
        <f t="shared" ca="1" si="5"/>
        <v>341892.87736661179</v>
      </c>
      <c r="C92" s="173">
        <f t="shared" ca="1" si="6"/>
        <v>1139.6429245553727</v>
      </c>
      <c r="D92" s="174">
        <f t="shared" si="7"/>
        <v>1909.6611818618378</v>
      </c>
      <c r="E92" s="172">
        <f t="shared" ca="1" si="8"/>
        <v>0</v>
      </c>
      <c r="F92" s="175">
        <f t="shared" ca="1" si="9"/>
        <v>341122.85910930531</v>
      </c>
    </row>
    <row r="93" spans="1:6" x14ac:dyDescent="0.35">
      <c r="A93" s="176">
        <v>83</v>
      </c>
      <c r="B93" s="172">
        <f t="shared" ca="1" si="5"/>
        <v>341122.85910930531</v>
      </c>
      <c r="C93" s="173">
        <f t="shared" ca="1" si="6"/>
        <v>1137.0761970310177</v>
      </c>
      <c r="D93" s="174">
        <f t="shared" si="7"/>
        <v>1909.6611818618378</v>
      </c>
      <c r="E93" s="172">
        <f t="shared" ca="1" si="8"/>
        <v>0</v>
      </c>
      <c r="F93" s="175">
        <f t="shared" ca="1" si="9"/>
        <v>340350.2741244745</v>
      </c>
    </row>
    <row r="94" spans="1:6" x14ac:dyDescent="0.35">
      <c r="A94" s="176">
        <v>84</v>
      </c>
      <c r="B94" s="172">
        <f t="shared" ca="1" si="5"/>
        <v>340350.2741244745</v>
      </c>
      <c r="C94" s="173">
        <f t="shared" ca="1" si="6"/>
        <v>1134.5009137482484</v>
      </c>
      <c r="D94" s="174">
        <f t="shared" si="7"/>
        <v>1909.6611818618378</v>
      </c>
      <c r="E94" s="172">
        <f t="shared" ca="1" si="8"/>
        <v>200</v>
      </c>
      <c r="F94" s="175">
        <f t="shared" ca="1" si="9"/>
        <v>339375.1138563609</v>
      </c>
    </row>
    <row r="95" spans="1:6" x14ac:dyDescent="0.35">
      <c r="A95" s="176">
        <v>85</v>
      </c>
      <c r="B95" s="172">
        <f t="shared" ca="1" si="5"/>
        <v>339375.1138563609</v>
      </c>
      <c r="C95" s="173">
        <f t="shared" ca="1" si="6"/>
        <v>1131.2503795212031</v>
      </c>
      <c r="D95" s="174">
        <f t="shared" si="7"/>
        <v>1909.6611818618378</v>
      </c>
      <c r="E95" s="172">
        <f t="shared" ca="1" si="8"/>
        <v>0</v>
      </c>
      <c r="F95" s="175">
        <f t="shared" ca="1" si="9"/>
        <v>338596.7030540203</v>
      </c>
    </row>
    <row r="96" spans="1:6" x14ac:dyDescent="0.35">
      <c r="A96" s="176">
        <v>86</v>
      </c>
      <c r="B96" s="172">
        <f t="shared" ca="1" si="5"/>
        <v>338596.7030540203</v>
      </c>
      <c r="C96" s="173">
        <f t="shared" ca="1" si="6"/>
        <v>1128.6556768467344</v>
      </c>
      <c r="D96" s="174">
        <f t="shared" si="7"/>
        <v>1909.6611818618378</v>
      </c>
      <c r="E96" s="172">
        <f t="shared" ca="1" si="8"/>
        <v>0</v>
      </c>
      <c r="F96" s="175">
        <f t="shared" ca="1" si="9"/>
        <v>337815.69754900521</v>
      </c>
    </row>
    <row r="97" spans="1:6" x14ac:dyDescent="0.35">
      <c r="A97" s="176">
        <v>87</v>
      </c>
      <c r="B97" s="172">
        <f t="shared" ca="1" si="5"/>
        <v>337815.69754900521</v>
      </c>
      <c r="C97" s="173">
        <f t="shared" ca="1" si="6"/>
        <v>1126.0523251633506</v>
      </c>
      <c r="D97" s="174">
        <f t="shared" si="7"/>
        <v>1909.6611818618378</v>
      </c>
      <c r="E97" s="172">
        <f t="shared" ca="1" si="8"/>
        <v>160</v>
      </c>
      <c r="F97" s="175">
        <f t="shared" ca="1" si="9"/>
        <v>336872.08869230672</v>
      </c>
    </row>
    <row r="98" spans="1:6" x14ac:dyDescent="0.35">
      <c r="A98" s="176">
        <v>88</v>
      </c>
      <c r="B98" s="172">
        <f t="shared" ca="1" si="5"/>
        <v>336872.08869230672</v>
      </c>
      <c r="C98" s="173">
        <f t="shared" ca="1" si="6"/>
        <v>1122.9069623076891</v>
      </c>
      <c r="D98" s="174">
        <f t="shared" si="7"/>
        <v>1909.6611818618378</v>
      </c>
      <c r="E98" s="172">
        <f t="shared" ca="1" si="8"/>
        <v>0</v>
      </c>
      <c r="F98" s="175">
        <f t="shared" ca="1" si="9"/>
        <v>336085.33447275258</v>
      </c>
    </row>
    <row r="99" spans="1:6" x14ac:dyDescent="0.35">
      <c r="A99" s="176">
        <v>89</v>
      </c>
      <c r="B99" s="172">
        <f t="shared" ca="1" si="5"/>
        <v>336085.33447275258</v>
      </c>
      <c r="C99" s="173">
        <f t="shared" ca="1" si="6"/>
        <v>1120.2844482425087</v>
      </c>
      <c r="D99" s="174">
        <f t="shared" si="7"/>
        <v>1909.6611818618378</v>
      </c>
      <c r="E99" s="172">
        <f t="shared" ca="1" si="8"/>
        <v>0</v>
      </c>
      <c r="F99" s="175">
        <f t="shared" ca="1" si="9"/>
        <v>335295.95773913327</v>
      </c>
    </row>
    <row r="100" spans="1:6" x14ac:dyDescent="0.35">
      <c r="A100" s="176">
        <v>90</v>
      </c>
      <c r="B100" s="172">
        <f t="shared" ca="1" si="5"/>
        <v>335295.95773913327</v>
      </c>
      <c r="C100" s="173">
        <f t="shared" ca="1" si="6"/>
        <v>1117.6531924637777</v>
      </c>
      <c r="D100" s="174">
        <f t="shared" si="7"/>
        <v>1909.6611818618378</v>
      </c>
      <c r="E100" s="172">
        <f t="shared" ca="1" si="8"/>
        <v>142</v>
      </c>
      <c r="F100" s="175">
        <f t="shared" ca="1" si="9"/>
        <v>334361.94974973524</v>
      </c>
    </row>
    <row r="101" spans="1:6" x14ac:dyDescent="0.35">
      <c r="A101" s="176">
        <v>91</v>
      </c>
      <c r="B101" s="172">
        <f t="shared" ca="1" si="5"/>
        <v>334361.94974973524</v>
      </c>
      <c r="C101" s="173">
        <f t="shared" ca="1" si="6"/>
        <v>1114.5398324991174</v>
      </c>
      <c r="D101" s="174">
        <f t="shared" si="7"/>
        <v>1909.6611818618378</v>
      </c>
      <c r="E101" s="172">
        <f t="shared" ca="1" si="8"/>
        <v>0</v>
      </c>
      <c r="F101" s="175">
        <f t="shared" ca="1" si="9"/>
        <v>333566.82840037253</v>
      </c>
    </row>
    <row r="102" spans="1:6" x14ac:dyDescent="0.35">
      <c r="A102" s="176">
        <v>92</v>
      </c>
      <c r="B102" s="172">
        <f t="shared" ca="1" si="5"/>
        <v>333566.82840037253</v>
      </c>
      <c r="C102" s="173">
        <f t="shared" ca="1" si="6"/>
        <v>1111.8894280012416</v>
      </c>
      <c r="D102" s="174">
        <f t="shared" si="7"/>
        <v>1909.6611818618378</v>
      </c>
      <c r="E102" s="172">
        <f t="shared" ca="1" si="8"/>
        <v>0</v>
      </c>
      <c r="F102" s="175">
        <f t="shared" ca="1" si="9"/>
        <v>332769.05664651195</v>
      </c>
    </row>
    <row r="103" spans="1:6" x14ac:dyDescent="0.35">
      <c r="A103" s="176">
        <v>93</v>
      </c>
      <c r="B103" s="172">
        <f t="shared" ca="1" si="5"/>
        <v>332769.05664651195</v>
      </c>
      <c r="C103" s="173">
        <f t="shared" ca="1" si="6"/>
        <v>1109.2301888217064</v>
      </c>
      <c r="D103" s="174">
        <f t="shared" si="7"/>
        <v>1909.6611818618378</v>
      </c>
      <c r="E103" s="172">
        <f t="shared" ca="1" si="8"/>
        <v>103</v>
      </c>
      <c r="F103" s="175">
        <f t="shared" ca="1" si="9"/>
        <v>331865.62565347186</v>
      </c>
    </row>
    <row r="104" spans="1:6" x14ac:dyDescent="0.35">
      <c r="A104" s="176">
        <v>94</v>
      </c>
      <c r="B104" s="172">
        <f t="shared" ca="1" si="5"/>
        <v>331865.62565347186</v>
      </c>
      <c r="C104" s="173">
        <f t="shared" ca="1" si="6"/>
        <v>1106.2187521782396</v>
      </c>
      <c r="D104" s="174">
        <f t="shared" si="7"/>
        <v>1909.6611818618378</v>
      </c>
      <c r="E104" s="172">
        <f t="shared" ca="1" si="8"/>
        <v>0</v>
      </c>
      <c r="F104" s="175">
        <f t="shared" ca="1" si="9"/>
        <v>331062.18322378828</v>
      </c>
    </row>
    <row r="105" spans="1:6" x14ac:dyDescent="0.35">
      <c r="A105" s="176">
        <v>95</v>
      </c>
      <c r="B105" s="172">
        <f t="shared" ca="1" si="5"/>
        <v>331062.18322378828</v>
      </c>
      <c r="C105" s="173">
        <f t="shared" ca="1" si="6"/>
        <v>1103.540610745961</v>
      </c>
      <c r="D105" s="174">
        <f t="shared" si="7"/>
        <v>1909.6611818618378</v>
      </c>
      <c r="E105" s="172">
        <f t="shared" ca="1" si="8"/>
        <v>0</v>
      </c>
      <c r="F105" s="175">
        <f t="shared" ca="1" si="9"/>
        <v>330256.06265267241</v>
      </c>
    </row>
    <row r="106" spans="1:6" x14ac:dyDescent="0.35">
      <c r="A106" s="176">
        <v>96</v>
      </c>
      <c r="B106" s="172">
        <f t="shared" ca="1" si="5"/>
        <v>330256.06265267241</v>
      </c>
      <c r="C106" s="173">
        <f t="shared" ca="1" si="6"/>
        <v>1100.8535421755748</v>
      </c>
      <c r="D106" s="174">
        <f t="shared" si="7"/>
        <v>1909.6611818618378</v>
      </c>
      <c r="E106" s="172">
        <f t="shared" ca="1" si="8"/>
        <v>168</v>
      </c>
      <c r="F106" s="175">
        <f t="shared" ca="1" si="9"/>
        <v>329279.25501298613</v>
      </c>
    </row>
    <row r="107" spans="1:6" x14ac:dyDescent="0.35">
      <c r="A107" s="176">
        <v>97</v>
      </c>
      <c r="B107" s="172">
        <f t="shared" ca="1" si="5"/>
        <v>329279.25501298613</v>
      </c>
      <c r="C107" s="173">
        <f t="shared" ca="1" si="6"/>
        <v>1097.5975167099539</v>
      </c>
      <c r="D107" s="174">
        <f t="shared" si="7"/>
        <v>1909.6611818618378</v>
      </c>
      <c r="E107" s="172">
        <f t="shared" ca="1" si="8"/>
        <v>0</v>
      </c>
      <c r="F107" s="175">
        <f t="shared" ca="1" si="9"/>
        <v>328467.19134783425</v>
      </c>
    </row>
    <row r="108" spans="1:6" x14ac:dyDescent="0.35">
      <c r="A108" s="176">
        <v>98</v>
      </c>
      <c r="B108" s="172">
        <f t="shared" ca="1" si="5"/>
        <v>328467.19134783425</v>
      </c>
      <c r="C108" s="173">
        <f t="shared" ca="1" si="6"/>
        <v>1094.8906378261142</v>
      </c>
      <c r="D108" s="174">
        <f t="shared" si="7"/>
        <v>1909.6611818618378</v>
      </c>
      <c r="E108" s="172">
        <f t="shared" ca="1" si="8"/>
        <v>0</v>
      </c>
      <c r="F108" s="175">
        <f t="shared" ca="1" si="9"/>
        <v>327652.42080379854</v>
      </c>
    </row>
    <row r="109" spans="1:6" x14ac:dyDescent="0.35">
      <c r="A109" s="176">
        <v>99</v>
      </c>
      <c r="B109" s="172">
        <f t="shared" ca="1" si="5"/>
        <v>327652.42080379854</v>
      </c>
      <c r="C109" s="173">
        <f t="shared" ca="1" si="6"/>
        <v>1092.1747360126617</v>
      </c>
      <c r="D109" s="174">
        <f t="shared" si="7"/>
        <v>1909.6611818618378</v>
      </c>
      <c r="E109" s="172">
        <f t="shared" ca="1" si="8"/>
        <v>127</v>
      </c>
      <c r="F109" s="175">
        <f t="shared" ca="1" si="9"/>
        <v>326707.93435794936</v>
      </c>
    </row>
    <row r="110" spans="1:6" x14ac:dyDescent="0.35">
      <c r="A110" s="176">
        <v>100</v>
      </c>
      <c r="B110" s="172">
        <f t="shared" ca="1" si="5"/>
        <v>326707.93435794936</v>
      </c>
      <c r="C110" s="173">
        <f t="shared" ca="1" si="6"/>
        <v>1089.0264478598313</v>
      </c>
      <c r="D110" s="174">
        <f t="shared" si="7"/>
        <v>1909.6611818618378</v>
      </c>
      <c r="E110" s="172">
        <f t="shared" ca="1" si="8"/>
        <v>0</v>
      </c>
      <c r="F110" s="175">
        <f t="shared" ca="1" si="9"/>
        <v>325887.29962394736</v>
      </c>
    </row>
    <row r="111" spans="1:6" x14ac:dyDescent="0.35">
      <c r="A111" s="176">
        <v>101</v>
      </c>
      <c r="B111" s="172">
        <f t="shared" ca="1" si="5"/>
        <v>325887.29962394736</v>
      </c>
      <c r="C111" s="173">
        <f t="shared" ca="1" si="6"/>
        <v>1086.2909987464911</v>
      </c>
      <c r="D111" s="174">
        <f t="shared" si="7"/>
        <v>1909.6611818618378</v>
      </c>
      <c r="E111" s="172">
        <f t="shared" ca="1" si="8"/>
        <v>0</v>
      </c>
      <c r="F111" s="175">
        <f t="shared" ca="1" si="9"/>
        <v>325063.929440832</v>
      </c>
    </row>
    <row r="112" spans="1:6" x14ac:dyDescent="0.35">
      <c r="A112" s="176">
        <v>102</v>
      </c>
      <c r="B112" s="172">
        <f t="shared" ca="1" si="5"/>
        <v>325063.929440832</v>
      </c>
      <c r="C112" s="173">
        <f t="shared" ca="1" si="6"/>
        <v>1083.54643146944</v>
      </c>
      <c r="D112" s="174">
        <f t="shared" si="7"/>
        <v>1909.6611818618378</v>
      </c>
      <c r="E112" s="172">
        <f t="shared" ca="1" si="8"/>
        <v>148</v>
      </c>
      <c r="F112" s="175">
        <f t="shared" ca="1" si="9"/>
        <v>324089.81469043961</v>
      </c>
    </row>
    <row r="113" spans="1:6" x14ac:dyDescent="0.35">
      <c r="A113" s="176">
        <v>103</v>
      </c>
      <c r="B113" s="172">
        <f t="shared" ca="1" si="5"/>
        <v>324089.81469043961</v>
      </c>
      <c r="C113" s="173">
        <f t="shared" ca="1" si="6"/>
        <v>1080.2993823014654</v>
      </c>
      <c r="D113" s="174">
        <f t="shared" si="7"/>
        <v>1909.6611818618378</v>
      </c>
      <c r="E113" s="172">
        <f t="shared" ca="1" si="8"/>
        <v>0</v>
      </c>
      <c r="F113" s="175">
        <f t="shared" ca="1" si="9"/>
        <v>323260.45289087924</v>
      </c>
    </row>
    <row r="114" spans="1:6" x14ac:dyDescent="0.35">
      <c r="A114" s="176">
        <v>104</v>
      </c>
      <c r="B114" s="172">
        <f t="shared" ca="1" si="5"/>
        <v>323260.45289087924</v>
      </c>
      <c r="C114" s="173">
        <f t="shared" ca="1" si="6"/>
        <v>1077.5348429695975</v>
      </c>
      <c r="D114" s="174">
        <f t="shared" si="7"/>
        <v>1909.6611818618378</v>
      </c>
      <c r="E114" s="172">
        <f t="shared" ca="1" si="8"/>
        <v>0</v>
      </c>
      <c r="F114" s="175">
        <f t="shared" ca="1" si="9"/>
        <v>322428.32655198703</v>
      </c>
    </row>
    <row r="115" spans="1:6" x14ac:dyDescent="0.35">
      <c r="A115" s="176">
        <v>105</v>
      </c>
      <c r="B115" s="172">
        <f t="shared" ca="1" si="5"/>
        <v>322428.32655198703</v>
      </c>
      <c r="C115" s="173">
        <f t="shared" ca="1" si="6"/>
        <v>1074.7610885066235</v>
      </c>
      <c r="D115" s="174">
        <f t="shared" si="7"/>
        <v>1909.6611818618378</v>
      </c>
      <c r="E115" s="172">
        <f t="shared" ca="1" si="8"/>
        <v>106</v>
      </c>
      <c r="F115" s="175">
        <f t="shared" ca="1" si="9"/>
        <v>321487.42645863182</v>
      </c>
    </row>
    <row r="116" spans="1:6" x14ac:dyDescent="0.35">
      <c r="A116" s="176">
        <v>106</v>
      </c>
      <c r="B116" s="172">
        <f t="shared" ca="1" si="5"/>
        <v>321487.42645863182</v>
      </c>
      <c r="C116" s="173">
        <f t="shared" ca="1" si="6"/>
        <v>1071.6247548621061</v>
      </c>
      <c r="D116" s="174">
        <f t="shared" si="7"/>
        <v>1909.6611818618378</v>
      </c>
      <c r="E116" s="172">
        <f t="shared" ca="1" si="8"/>
        <v>0</v>
      </c>
      <c r="F116" s="175">
        <f t="shared" ca="1" si="9"/>
        <v>320649.39003163209</v>
      </c>
    </row>
    <row r="117" spans="1:6" x14ac:dyDescent="0.35">
      <c r="A117" s="176">
        <v>107</v>
      </c>
      <c r="B117" s="172">
        <f t="shared" ca="1" si="5"/>
        <v>320649.39003163209</v>
      </c>
      <c r="C117" s="173">
        <f t="shared" ca="1" si="6"/>
        <v>1068.8313001054403</v>
      </c>
      <c r="D117" s="174">
        <f t="shared" si="7"/>
        <v>1909.6611818618378</v>
      </c>
      <c r="E117" s="172">
        <f t="shared" ca="1" si="8"/>
        <v>0</v>
      </c>
      <c r="F117" s="175">
        <f t="shared" ca="1" si="9"/>
        <v>319808.5601498757</v>
      </c>
    </row>
    <row r="118" spans="1:6" x14ac:dyDescent="0.35">
      <c r="A118" s="176">
        <v>108</v>
      </c>
      <c r="B118" s="172">
        <f t="shared" ca="1" si="5"/>
        <v>319808.5601498757</v>
      </c>
      <c r="C118" s="173">
        <f t="shared" ca="1" si="6"/>
        <v>1066.028533832919</v>
      </c>
      <c r="D118" s="174">
        <f t="shared" si="7"/>
        <v>1909.6611818618378</v>
      </c>
      <c r="E118" s="172">
        <f t="shared" ca="1" si="8"/>
        <v>111</v>
      </c>
      <c r="F118" s="175">
        <f t="shared" ca="1" si="9"/>
        <v>318853.9275018468</v>
      </c>
    </row>
    <row r="119" spans="1:6" x14ac:dyDescent="0.35">
      <c r="A119" s="176">
        <v>109</v>
      </c>
      <c r="B119" s="172">
        <f t="shared" ca="1" si="5"/>
        <v>318853.9275018468</v>
      </c>
      <c r="C119" s="173">
        <f t="shared" ca="1" si="6"/>
        <v>1062.8464250061561</v>
      </c>
      <c r="D119" s="174">
        <f t="shared" si="7"/>
        <v>1909.6611818618378</v>
      </c>
      <c r="E119" s="172">
        <f t="shared" ca="1" si="8"/>
        <v>0</v>
      </c>
      <c r="F119" s="175">
        <f t="shared" ca="1" si="9"/>
        <v>318007.11274499114</v>
      </c>
    </row>
    <row r="120" spans="1:6" x14ac:dyDescent="0.35">
      <c r="A120" s="176">
        <v>110</v>
      </c>
      <c r="B120" s="172">
        <f t="shared" ca="1" si="5"/>
        <v>318007.11274499114</v>
      </c>
      <c r="C120" s="173">
        <f t="shared" ca="1" si="6"/>
        <v>1060.0237091499705</v>
      </c>
      <c r="D120" s="174">
        <f t="shared" si="7"/>
        <v>1909.6611818618378</v>
      </c>
      <c r="E120" s="172">
        <f t="shared" ca="1" si="8"/>
        <v>0</v>
      </c>
      <c r="F120" s="175">
        <f t="shared" ca="1" si="9"/>
        <v>317157.47527227929</v>
      </c>
    </row>
    <row r="121" spans="1:6" x14ac:dyDescent="0.35">
      <c r="A121" s="176">
        <v>111</v>
      </c>
      <c r="B121" s="172">
        <f t="shared" ca="1" si="5"/>
        <v>317157.47527227929</v>
      </c>
      <c r="C121" s="173">
        <f t="shared" ca="1" si="6"/>
        <v>1057.191584240931</v>
      </c>
      <c r="D121" s="174">
        <f t="shared" si="7"/>
        <v>1909.6611818618378</v>
      </c>
      <c r="E121" s="172">
        <f t="shared" ca="1" si="8"/>
        <v>140</v>
      </c>
      <c r="F121" s="175">
        <f t="shared" ca="1" si="9"/>
        <v>316165.0056746584</v>
      </c>
    </row>
    <row r="122" spans="1:6" x14ac:dyDescent="0.35">
      <c r="A122" s="176">
        <v>112</v>
      </c>
      <c r="B122" s="172">
        <f t="shared" ca="1" si="5"/>
        <v>316165.0056746584</v>
      </c>
      <c r="C122" s="173">
        <f t="shared" ca="1" si="6"/>
        <v>1053.8833522488615</v>
      </c>
      <c r="D122" s="174">
        <f t="shared" si="7"/>
        <v>1909.6611818618378</v>
      </c>
      <c r="E122" s="172">
        <f t="shared" ca="1" si="8"/>
        <v>0</v>
      </c>
      <c r="F122" s="175">
        <f t="shared" ca="1" si="9"/>
        <v>315309.22784504545</v>
      </c>
    </row>
    <row r="123" spans="1:6" x14ac:dyDescent="0.35">
      <c r="A123" s="176">
        <v>113</v>
      </c>
      <c r="B123" s="172">
        <f t="shared" ca="1" si="5"/>
        <v>315309.22784504545</v>
      </c>
      <c r="C123" s="173">
        <f t="shared" ca="1" si="6"/>
        <v>1051.0307594834849</v>
      </c>
      <c r="D123" s="174">
        <f t="shared" si="7"/>
        <v>1909.6611818618378</v>
      </c>
      <c r="E123" s="172">
        <f t="shared" ca="1" si="8"/>
        <v>0</v>
      </c>
      <c r="F123" s="175">
        <f t="shared" ca="1" si="9"/>
        <v>314450.59742266708</v>
      </c>
    </row>
    <row r="124" spans="1:6" x14ac:dyDescent="0.35">
      <c r="A124" s="176">
        <v>114</v>
      </c>
      <c r="B124" s="172">
        <f t="shared" ca="1" si="5"/>
        <v>314450.59742266708</v>
      </c>
      <c r="C124" s="173">
        <f t="shared" ca="1" si="6"/>
        <v>1048.168658075557</v>
      </c>
      <c r="D124" s="174">
        <f t="shared" si="7"/>
        <v>1909.6611818618378</v>
      </c>
      <c r="E124" s="172">
        <f t="shared" ca="1" si="8"/>
        <v>128</v>
      </c>
      <c r="F124" s="175">
        <f t="shared" ca="1" si="9"/>
        <v>313461.10489888082</v>
      </c>
    </row>
    <row r="125" spans="1:6" x14ac:dyDescent="0.35">
      <c r="A125" s="176">
        <v>115</v>
      </c>
      <c r="B125" s="172">
        <f t="shared" ca="1" si="5"/>
        <v>313461.10489888082</v>
      </c>
      <c r="C125" s="173">
        <f t="shared" ca="1" si="6"/>
        <v>1044.8703496629362</v>
      </c>
      <c r="D125" s="174">
        <f t="shared" si="7"/>
        <v>1909.6611818618378</v>
      </c>
      <c r="E125" s="172">
        <f t="shared" ca="1" si="8"/>
        <v>0</v>
      </c>
      <c r="F125" s="175">
        <f t="shared" ca="1" si="9"/>
        <v>312596.31406668195</v>
      </c>
    </row>
    <row r="126" spans="1:6" x14ac:dyDescent="0.35">
      <c r="A126" s="176">
        <v>116</v>
      </c>
      <c r="B126" s="172">
        <f t="shared" ca="1" si="5"/>
        <v>312596.31406668195</v>
      </c>
      <c r="C126" s="173">
        <f t="shared" ca="1" si="6"/>
        <v>1041.9877135556064</v>
      </c>
      <c r="D126" s="174">
        <f t="shared" si="7"/>
        <v>1909.6611818618378</v>
      </c>
      <c r="E126" s="172">
        <f t="shared" ca="1" si="8"/>
        <v>0</v>
      </c>
      <c r="F126" s="175">
        <f t="shared" ca="1" si="9"/>
        <v>311728.64059837576</v>
      </c>
    </row>
    <row r="127" spans="1:6" x14ac:dyDescent="0.35">
      <c r="A127" s="176">
        <v>117</v>
      </c>
      <c r="B127" s="172">
        <f t="shared" ca="1" si="5"/>
        <v>311728.64059837576</v>
      </c>
      <c r="C127" s="173">
        <f t="shared" ca="1" si="6"/>
        <v>1039.0954686612524</v>
      </c>
      <c r="D127" s="174">
        <f t="shared" si="7"/>
        <v>1909.6611818618378</v>
      </c>
      <c r="E127" s="172">
        <f t="shared" ca="1" si="8"/>
        <v>114</v>
      </c>
      <c r="F127" s="175">
        <f t="shared" ca="1" si="9"/>
        <v>310744.07488517516</v>
      </c>
    </row>
    <row r="128" spans="1:6" x14ac:dyDescent="0.35">
      <c r="A128" s="176">
        <v>118</v>
      </c>
      <c r="B128" s="172">
        <f t="shared" ca="1" si="5"/>
        <v>310744.07488517516</v>
      </c>
      <c r="C128" s="173">
        <f t="shared" ca="1" si="6"/>
        <v>1035.8135829505839</v>
      </c>
      <c r="D128" s="174">
        <f t="shared" si="7"/>
        <v>1909.6611818618378</v>
      </c>
      <c r="E128" s="172">
        <f t="shared" ca="1" si="8"/>
        <v>0</v>
      </c>
      <c r="F128" s="175">
        <f t="shared" ca="1" si="9"/>
        <v>309870.22728626389</v>
      </c>
    </row>
    <row r="129" spans="1:6" x14ac:dyDescent="0.35">
      <c r="A129" s="176">
        <v>119</v>
      </c>
      <c r="B129" s="172">
        <f t="shared" ca="1" si="5"/>
        <v>309870.22728626389</v>
      </c>
      <c r="C129" s="173">
        <f t="shared" ca="1" si="6"/>
        <v>1032.9007576208796</v>
      </c>
      <c r="D129" s="174">
        <f t="shared" si="7"/>
        <v>1909.6611818618378</v>
      </c>
      <c r="E129" s="172">
        <f t="shared" ca="1" si="8"/>
        <v>0</v>
      </c>
      <c r="F129" s="175">
        <f t="shared" ca="1" si="9"/>
        <v>308993.46686202293</v>
      </c>
    </row>
    <row r="130" spans="1:6" x14ac:dyDescent="0.35">
      <c r="A130" s="176">
        <v>120</v>
      </c>
      <c r="B130" s="172">
        <f t="shared" ca="1" si="5"/>
        <v>308993.46686202293</v>
      </c>
      <c r="C130" s="173">
        <f t="shared" ca="1" si="6"/>
        <v>1029.9782228734098</v>
      </c>
      <c r="D130" s="174">
        <f t="shared" si="7"/>
        <v>1909.6611818618378</v>
      </c>
      <c r="E130" s="172">
        <f t="shared" ca="1" si="8"/>
        <v>126</v>
      </c>
      <c r="F130" s="175">
        <f t="shared" ca="1" si="9"/>
        <v>307987.78390303452</v>
      </c>
    </row>
    <row r="131" spans="1:6" x14ac:dyDescent="0.35">
      <c r="A131" s="176">
        <v>121</v>
      </c>
      <c r="B131" s="172">
        <f t="shared" ca="1" si="5"/>
        <v>307987.78390303452</v>
      </c>
      <c r="C131" s="173">
        <f t="shared" ca="1" si="6"/>
        <v>1026.6259463434483</v>
      </c>
      <c r="D131" s="174">
        <f t="shared" si="7"/>
        <v>1909.6611818618378</v>
      </c>
      <c r="E131" s="172">
        <f t="shared" ca="1" si="8"/>
        <v>0</v>
      </c>
      <c r="F131" s="175">
        <f t="shared" ca="1" si="9"/>
        <v>307104.74866751616</v>
      </c>
    </row>
    <row r="132" spans="1:6" x14ac:dyDescent="0.35">
      <c r="A132" s="176">
        <v>122</v>
      </c>
      <c r="B132" s="172">
        <f t="shared" ca="1" si="5"/>
        <v>307104.74866751616</v>
      </c>
      <c r="C132" s="173">
        <f t="shared" ca="1" si="6"/>
        <v>1023.6824955583871</v>
      </c>
      <c r="D132" s="174">
        <f t="shared" si="7"/>
        <v>1909.6611818618378</v>
      </c>
      <c r="E132" s="172">
        <f t="shared" ca="1" si="8"/>
        <v>0</v>
      </c>
      <c r="F132" s="175">
        <f t="shared" ca="1" si="9"/>
        <v>306218.76998121274</v>
      </c>
    </row>
    <row r="133" spans="1:6" x14ac:dyDescent="0.35">
      <c r="A133" s="176">
        <v>123</v>
      </c>
      <c r="B133" s="172">
        <f t="shared" ca="1" si="5"/>
        <v>306218.76998121274</v>
      </c>
      <c r="C133" s="173">
        <f t="shared" ca="1" si="6"/>
        <v>1020.7292332707092</v>
      </c>
      <c r="D133" s="174">
        <f t="shared" si="7"/>
        <v>1909.6611818618378</v>
      </c>
      <c r="E133" s="172">
        <f t="shared" ca="1" si="8"/>
        <v>142</v>
      </c>
      <c r="F133" s="175">
        <f t="shared" ca="1" si="9"/>
        <v>305187.8380326216</v>
      </c>
    </row>
    <row r="134" spans="1:6" x14ac:dyDescent="0.35">
      <c r="A134" s="176">
        <v>124</v>
      </c>
      <c r="B134" s="172">
        <f t="shared" ca="1" si="5"/>
        <v>305187.8380326216</v>
      </c>
      <c r="C134" s="173">
        <f t="shared" ca="1" si="6"/>
        <v>1017.2927934420719</v>
      </c>
      <c r="D134" s="174">
        <f t="shared" si="7"/>
        <v>1909.6611818618378</v>
      </c>
      <c r="E134" s="172">
        <f t="shared" ca="1" si="8"/>
        <v>0</v>
      </c>
      <c r="F134" s="175">
        <f t="shared" ca="1" si="9"/>
        <v>304295.46964420186</v>
      </c>
    </row>
    <row r="135" spans="1:6" x14ac:dyDescent="0.35">
      <c r="A135" s="176">
        <v>125</v>
      </c>
      <c r="B135" s="172">
        <f t="shared" ca="1" si="5"/>
        <v>304295.46964420186</v>
      </c>
      <c r="C135" s="173">
        <f t="shared" ca="1" si="6"/>
        <v>1014.3182321473396</v>
      </c>
      <c r="D135" s="174">
        <f t="shared" si="7"/>
        <v>1909.6611818618378</v>
      </c>
      <c r="E135" s="172">
        <f t="shared" ca="1" si="8"/>
        <v>0</v>
      </c>
      <c r="F135" s="175">
        <f t="shared" ca="1" si="9"/>
        <v>303400.12669448735</v>
      </c>
    </row>
    <row r="136" spans="1:6" x14ac:dyDescent="0.35">
      <c r="A136" s="176">
        <v>126</v>
      </c>
      <c r="B136" s="172">
        <f t="shared" ca="1" si="5"/>
        <v>303400.12669448735</v>
      </c>
      <c r="C136" s="173">
        <f t="shared" ca="1" si="6"/>
        <v>1011.3337556482911</v>
      </c>
      <c r="D136" s="174">
        <f t="shared" si="7"/>
        <v>1909.6611818618378</v>
      </c>
      <c r="E136" s="172">
        <f t="shared" ca="1" si="8"/>
        <v>140</v>
      </c>
      <c r="F136" s="175">
        <f t="shared" ca="1" si="9"/>
        <v>302361.79926827381</v>
      </c>
    </row>
    <row r="137" spans="1:6" x14ac:dyDescent="0.35">
      <c r="A137" s="176">
        <v>127</v>
      </c>
      <c r="B137" s="172">
        <f t="shared" ca="1" si="5"/>
        <v>302361.79926827381</v>
      </c>
      <c r="C137" s="173">
        <f t="shared" ca="1" si="6"/>
        <v>1007.8726642275793</v>
      </c>
      <c r="D137" s="174">
        <f t="shared" si="7"/>
        <v>1909.6611818618378</v>
      </c>
      <c r="E137" s="172">
        <f t="shared" ca="1" si="8"/>
        <v>0</v>
      </c>
      <c r="F137" s="175">
        <f t="shared" ca="1" si="9"/>
        <v>301460.01075063954</v>
      </c>
    </row>
    <row r="138" spans="1:6" x14ac:dyDescent="0.35">
      <c r="A138" s="176">
        <v>128</v>
      </c>
      <c r="B138" s="172">
        <f t="shared" ca="1" si="5"/>
        <v>301460.01075063954</v>
      </c>
      <c r="C138" s="173">
        <f t="shared" ca="1" si="6"/>
        <v>1004.8667025021318</v>
      </c>
      <c r="D138" s="174">
        <f t="shared" si="7"/>
        <v>1909.6611818618378</v>
      </c>
      <c r="E138" s="172">
        <f t="shared" ca="1" si="8"/>
        <v>0</v>
      </c>
      <c r="F138" s="175">
        <f t="shared" ca="1" si="9"/>
        <v>300555.21627127985</v>
      </c>
    </row>
    <row r="139" spans="1:6" x14ac:dyDescent="0.35">
      <c r="A139" s="176">
        <v>129</v>
      </c>
      <c r="B139" s="172">
        <f t="shared" ca="1" si="5"/>
        <v>300555.21627127985</v>
      </c>
      <c r="C139" s="173">
        <f t="shared" ca="1" si="6"/>
        <v>1001.8507209042663</v>
      </c>
      <c r="D139" s="174">
        <f t="shared" si="7"/>
        <v>1909.6611818618378</v>
      </c>
      <c r="E139" s="172">
        <f t="shared" ca="1" si="8"/>
        <v>148</v>
      </c>
      <c r="F139" s="175">
        <f t="shared" ca="1" si="9"/>
        <v>299499.40581032226</v>
      </c>
    </row>
    <row r="140" spans="1:6" x14ac:dyDescent="0.35">
      <c r="A140" s="176">
        <v>130</v>
      </c>
      <c r="B140" s="172">
        <f t="shared" ref="B140:B203" ca="1" si="10">F139</f>
        <v>299499.40581032226</v>
      </c>
      <c r="C140" s="173">
        <f t="shared" ref="C140:C203" ca="1" si="11">B140*$C$3/12</f>
        <v>998.33135270107425</v>
      </c>
      <c r="D140" s="174">
        <f t="shared" ref="D140:D203" si="12">$C$5</f>
        <v>1909.6611818618378</v>
      </c>
      <c r="E140" s="172">
        <f t="shared" ref="E140:E203" ca="1" si="13">IF(MOD(A140,3)=0,RANDBETWEEN(100,200),0)</f>
        <v>0</v>
      </c>
      <c r="F140" s="175">
        <f t="shared" ref="F140:F203" ca="1" si="14">B140+C140-D140-E140</f>
        <v>298588.0759811615</v>
      </c>
    </row>
    <row r="141" spans="1:6" x14ac:dyDescent="0.35">
      <c r="A141" s="176">
        <v>131</v>
      </c>
      <c r="B141" s="172">
        <f t="shared" ca="1" si="10"/>
        <v>298588.0759811615</v>
      </c>
      <c r="C141" s="173">
        <f t="shared" ca="1" si="11"/>
        <v>995.29358660387163</v>
      </c>
      <c r="D141" s="174">
        <f t="shared" si="12"/>
        <v>1909.6611818618378</v>
      </c>
      <c r="E141" s="172">
        <f t="shared" ca="1" si="13"/>
        <v>0</v>
      </c>
      <c r="F141" s="175">
        <f t="shared" ca="1" si="14"/>
        <v>297673.70838590356</v>
      </c>
    </row>
    <row r="142" spans="1:6" x14ac:dyDescent="0.35">
      <c r="A142" s="176">
        <v>132</v>
      </c>
      <c r="B142" s="172">
        <f t="shared" ca="1" si="10"/>
        <v>297673.70838590356</v>
      </c>
      <c r="C142" s="173">
        <f t="shared" ca="1" si="11"/>
        <v>992.24569461967849</v>
      </c>
      <c r="D142" s="174">
        <f t="shared" si="12"/>
        <v>1909.6611818618378</v>
      </c>
      <c r="E142" s="172">
        <f t="shared" ca="1" si="13"/>
        <v>164</v>
      </c>
      <c r="F142" s="175">
        <f t="shared" ca="1" si="14"/>
        <v>296592.2928986614</v>
      </c>
    </row>
    <row r="143" spans="1:6" x14ac:dyDescent="0.35">
      <c r="A143" s="176">
        <v>133</v>
      </c>
      <c r="B143" s="172">
        <f t="shared" ca="1" si="10"/>
        <v>296592.2928986614</v>
      </c>
      <c r="C143" s="173">
        <f t="shared" ca="1" si="11"/>
        <v>988.64097632887126</v>
      </c>
      <c r="D143" s="174">
        <f t="shared" si="12"/>
        <v>1909.6611818618378</v>
      </c>
      <c r="E143" s="172">
        <f t="shared" ca="1" si="13"/>
        <v>0</v>
      </c>
      <c r="F143" s="175">
        <f t="shared" ca="1" si="14"/>
        <v>295671.27269312844</v>
      </c>
    </row>
    <row r="144" spans="1:6" x14ac:dyDescent="0.35">
      <c r="A144" s="176">
        <v>134</v>
      </c>
      <c r="B144" s="172">
        <f t="shared" ca="1" si="10"/>
        <v>295671.27269312844</v>
      </c>
      <c r="C144" s="173">
        <f t="shared" ca="1" si="11"/>
        <v>985.57090897709486</v>
      </c>
      <c r="D144" s="174">
        <f t="shared" si="12"/>
        <v>1909.6611818618378</v>
      </c>
      <c r="E144" s="172">
        <f t="shared" ca="1" si="13"/>
        <v>0</v>
      </c>
      <c r="F144" s="175">
        <f t="shared" ca="1" si="14"/>
        <v>294747.18242024368</v>
      </c>
    </row>
    <row r="145" spans="1:6" x14ac:dyDescent="0.35">
      <c r="A145" s="176">
        <v>135</v>
      </c>
      <c r="B145" s="172">
        <f t="shared" ca="1" si="10"/>
        <v>294747.18242024368</v>
      </c>
      <c r="C145" s="173">
        <f t="shared" ca="1" si="11"/>
        <v>982.490608067479</v>
      </c>
      <c r="D145" s="174">
        <f t="shared" si="12"/>
        <v>1909.6611818618378</v>
      </c>
      <c r="E145" s="172">
        <f t="shared" ca="1" si="13"/>
        <v>157</v>
      </c>
      <c r="F145" s="175">
        <f t="shared" ca="1" si="14"/>
        <v>293663.01184644934</v>
      </c>
    </row>
    <row r="146" spans="1:6" x14ac:dyDescent="0.35">
      <c r="A146" s="176">
        <v>136</v>
      </c>
      <c r="B146" s="172">
        <f t="shared" ca="1" si="10"/>
        <v>293663.01184644934</v>
      </c>
      <c r="C146" s="173">
        <f t="shared" ca="1" si="11"/>
        <v>978.87670615483114</v>
      </c>
      <c r="D146" s="174">
        <f t="shared" si="12"/>
        <v>1909.6611818618378</v>
      </c>
      <c r="E146" s="172">
        <f t="shared" ca="1" si="13"/>
        <v>0</v>
      </c>
      <c r="F146" s="175">
        <f t="shared" ca="1" si="14"/>
        <v>292732.22737074236</v>
      </c>
    </row>
    <row r="147" spans="1:6" x14ac:dyDescent="0.35">
      <c r="A147" s="176">
        <v>137</v>
      </c>
      <c r="B147" s="172">
        <f t="shared" ca="1" si="10"/>
        <v>292732.22737074236</v>
      </c>
      <c r="C147" s="173">
        <f t="shared" ca="1" si="11"/>
        <v>975.77409123580799</v>
      </c>
      <c r="D147" s="174">
        <f t="shared" si="12"/>
        <v>1909.6611818618378</v>
      </c>
      <c r="E147" s="172">
        <f t="shared" ca="1" si="13"/>
        <v>0</v>
      </c>
      <c r="F147" s="175">
        <f t="shared" ca="1" si="14"/>
        <v>291798.34028011636</v>
      </c>
    </row>
    <row r="148" spans="1:6" x14ac:dyDescent="0.35">
      <c r="A148" s="176">
        <v>138</v>
      </c>
      <c r="B148" s="172">
        <f t="shared" ca="1" si="10"/>
        <v>291798.34028011636</v>
      </c>
      <c r="C148" s="173">
        <f t="shared" ca="1" si="11"/>
        <v>972.66113426705454</v>
      </c>
      <c r="D148" s="174">
        <f t="shared" si="12"/>
        <v>1909.6611818618378</v>
      </c>
      <c r="E148" s="172">
        <f t="shared" ca="1" si="13"/>
        <v>138</v>
      </c>
      <c r="F148" s="175">
        <f t="shared" ca="1" si="14"/>
        <v>290723.34023252159</v>
      </c>
    </row>
    <row r="149" spans="1:6" x14ac:dyDescent="0.35">
      <c r="A149" s="176">
        <v>139</v>
      </c>
      <c r="B149" s="172">
        <f t="shared" ca="1" si="10"/>
        <v>290723.34023252159</v>
      </c>
      <c r="C149" s="173">
        <f t="shared" ca="1" si="11"/>
        <v>969.07780077507198</v>
      </c>
      <c r="D149" s="174">
        <f t="shared" si="12"/>
        <v>1909.6611818618378</v>
      </c>
      <c r="E149" s="172">
        <f t="shared" ca="1" si="13"/>
        <v>0</v>
      </c>
      <c r="F149" s="175">
        <f t="shared" ca="1" si="14"/>
        <v>289782.75685143482</v>
      </c>
    </row>
    <row r="150" spans="1:6" x14ac:dyDescent="0.35">
      <c r="A150" s="176">
        <v>140</v>
      </c>
      <c r="B150" s="172">
        <f t="shared" ca="1" si="10"/>
        <v>289782.75685143482</v>
      </c>
      <c r="C150" s="173">
        <f t="shared" ca="1" si="11"/>
        <v>965.94252283811613</v>
      </c>
      <c r="D150" s="174">
        <f t="shared" si="12"/>
        <v>1909.6611818618378</v>
      </c>
      <c r="E150" s="172">
        <f t="shared" ca="1" si="13"/>
        <v>0</v>
      </c>
      <c r="F150" s="175">
        <f t="shared" ca="1" si="14"/>
        <v>288839.03819241113</v>
      </c>
    </row>
    <row r="151" spans="1:6" x14ac:dyDescent="0.35">
      <c r="A151" s="176">
        <v>141</v>
      </c>
      <c r="B151" s="172">
        <f t="shared" ca="1" si="10"/>
        <v>288839.03819241113</v>
      </c>
      <c r="C151" s="173">
        <f t="shared" ca="1" si="11"/>
        <v>962.79679397470375</v>
      </c>
      <c r="D151" s="174">
        <f t="shared" si="12"/>
        <v>1909.6611818618378</v>
      </c>
      <c r="E151" s="172">
        <f t="shared" ca="1" si="13"/>
        <v>117</v>
      </c>
      <c r="F151" s="175">
        <f t="shared" ca="1" si="14"/>
        <v>287775.17380452401</v>
      </c>
    </row>
    <row r="152" spans="1:6" x14ac:dyDescent="0.35">
      <c r="A152" s="176">
        <v>142</v>
      </c>
      <c r="B152" s="172">
        <f t="shared" ca="1" si="10"/>
        <v>287775.17380452401</v>
      </c>
      <c r="C152" s="173">
        <f t="shared" ca="1" si="11"/>
        <v>959.25057934841334</v>
      </c>
      <c r="D152" s="174">
        <f t="shared" si="12"/>
        <v>1909.6611818618378</v>
      </c>
      <c r="E152" s="172">
        <f t="shared" ca="1" si="13"/>
        <v>0</v>
      </c>
      <c r="F152" s="175">
        <f t="shared" ca="1" si="14"/>
        <v>286824.7632020106</v>
      </c>
    </row>
    <row r="153" spans="1:6" x14ac:dyDescent="0.35">
      <c r="A153" s="176">
        <v>143</v>
      </c>
      <c r="B153" s="172">
        <f t="shared" ca="1" si="10"/>
        <v>286824.7632020106</v>
      </c>
      <c r="C153" s="173">
        <f t="shared" ca="1" si="11"/>
        <v>956.08254400670194</v>
      </c>
      <c r="D153" s="174">
        <f t="shared" si="12"/>
        <v>1909.6611818618378</v>
      </c>
      <c r="E153" s="172">
        <f t="shared" ca="1" si="13"/>
        <v>0</v>
      </c>
      <c r="F153" s="175">
        <f t="shared" ca="1" si="14"/>
        <v>285871.18456415547</v>
      </c>
    </row>
    <row r="154" spans="1:6" x14ac:dyDescent="0.35">
      <c r="A154" s="176">
        <v>144</v>
      </c>
      <c r="B154" s="172">
        <f t="shared" ca="1" si="10"/>
        <v>285871.18456415547</v>
      </c>
      <c r="C154" s="173">
        <f t="shared" ca="1" si="11"/>
        <v>952.90394854718488</v>
      </c>
      <c r="D154" s="174">
        <f t="shared" si="12"/>
        <v>1909.6611818618378</v>
      </c>
      <c r="E154" s="172">
        <f t="shared" ca="1" si="13"/>
        <v>138</v>
      </c>
      <c r="F154" s="175">
        <f t="shared" ca="1" si="14"/>
        <v>284776.42733084084</v>
      </c>
    </row>
    <row r="155" spans="1:6" x14ac:dyDescent="0.35">
      <c r="A155" s="176">
        <v>145</v>
      </c>
      <c r="B155" s="172">
        <f t="shared" ca="1" si="10"/>
        <v>284776.42733084084</v>
      </c>
      <c r="C155" s="173">
        <f t="shared" ca="1" si="11"/>
        <v>949.25475776946951</v>
      </c>
      <c r="D155" s="174">
        <f t="shared" si="12"/>
        <v>1909.6611818618378</v>
      </c>
      <c r="E155" s="172">
        <f t="shared" ca="1" si="13"/>
        <v>0</v>
      </c>
      <c r="F155" s="175">
        <f t="shared" ca="1" si="14"/>
        <v>283816.02090674848</v>
      </c>
    </row>
    <row r="156" spans="1:6" x14ac:dyDescent="0.35">
      <c r="A156" s="176">
        <v>146</v>
      </c>
      <c r="B156" s="172">
        <f t="shared" ca="1" si="10"/>
        <v>283816.02090674848</v>
      </c>
      <c r="C156" s="173">
        <f t="shared" ca="1" si="11"/>
        <v>946.05340302249499</v>
      </c>
      <c r="D156" s="174">
        <f t="shared" si="12"/>
        <v>1909.6611818618378</v>
      </c>
      <c r="E156" s="172">
        <f t="shared" ca="1" si="13"/>
        <v>0</v>
      </c>
      <c r="F156" s="175">
        <f t="shared" ca="1" si="14"/>
        <v>282852.41312790912</v>
      </c>
    </row>
    <row r="157" spans="1:6" x14ac:dyDescent="0.35">
      <c r="A157" s="176">
        <v>147</v>
      </c>
      <c r="B157" s="172">
        <f t="shared" ca="1" si="10"/>
        <v>282852.41312790912</v>
      </c>
      <c r="C157" s="173">
        <f t="shared" ca="1" si="11"/>
        <v>942.84137709303047</v>
      </c>
      <c r="D157" s="174">
        <f t="shared" si="12"/>
        <v>1909.6611818618378</v>
      </c>
      <c r="E157" s="172">
        <f t="shared" ca="1" si="13"/>
        <v>177</v>
      </c>
      <c r="F157" s="175">
        <f t="shared" ca="1" si="14"/>
        <v>281708.59332314035</v>
      </c>
    </row>
    <row r="158" spans="1:6" x14ac:dyDescent="0.35">
      <c r="A158" s="176">
        <v>148</v>
      </c>
      <c r="B158" s="172">
        <f t="shared" ca="1" si="10"/>
        <v>281708.59332314035</v>
      </c>
      <c r="C158" s="173">
        <f t="shared" ca="1" si="11"/>
        <v>939.02864441046779</v>
      </c>
      <c r="D158" s="174">
        <f t="shared" si="12"/>
        <v>1909.6611818618378</v>
      </c>
      <c r="E158" s="172">
        <f t="shared" ca="1" si="13"/>
        <v>0</v>
      </c>
      <c r="F158" s="175">
        <f t="shared" ca="1" si="14"/>
        <v>280737.96078568901</v>
      </c>
    </row>
    <row r="159" spans="1:6" x14ac:dyDescent="0.35">
      <c r="A159" s="176">
        <v>149</v>
      </c>
      <c r="B159" s="172">
        <f t="shared" ca="1" si="10"/>
        <v>280737.96078568901</v>
      </c>
      <c r="C159" s="173">
        <f t="shared" ca="1" si="11"/>
        <v>935.79320261896339</v>
      </c>
      <c r="D159" s="174">
        <f t="shared" si="12"/>
        <v>1909.6611818618378</v>
      </c>
      <c r="E159" s="172">
        <f t="shared" ca="1" si="13"/>
        <v>0</v>
      </c>
      <c r="F159" s="175">
        <f t="shared" ca="1" si="14"/>
        <v>279764.09280644613</v>
      </c>
    </row>
    <row r="160" spans="1:6" x14ac:dyDescent="0.35">
      <c r="A160" s="176">
        <v>150</v>
      </c>
      <c r="B160" s="172">
        <f t="shared" ca="1" si="10"/>
        <v>279764.09280644613</v>
      </c>
      <c r="C160" s="173">
        <f t="shared" ca="1" si="11"/>
        <v>932.54697602148724</v>
      </c>
      <c r="D160" s="174">
        <f t="shared" si="12"/>
        <v>1909.6611818618378</v>
      </c>
      <c r="E160" s="172">
        <f t="shared" ca="1" si="13"/>
        <v>130</v>
      </c>
      <c r="F160" s="175">
        <f t="shared" ca="1" si="14"/>
        <v>278656.9786006058</v>
      </c>
    </row>
    <row r="161" spans="1:6" x14ac:dyDescent="0.35">
      <c r="A161" s="176">
        <v>151</v>
      </c>
      <c r="B161" s="172">
        <f t="shared" ca="1" si="10"/>
        <v>278656.9786006058</v>
      </c>
      <c r="C161" s="173">
        <f t="shared" ca="1" si="11"/>
        <v>928.85659533535272</v>
      </c>
      <c r="D161" s="174">
        <f t="shared" si="12"/>
        <v>1909.6611818618378</v>
      </c>
      <c r="E161" s="172">
        <f t="shared" ca="1" si="13"/>
        <v>0</v>
      </c>
      <c r="F161" s="175">
        <f t="shared" ca="1" si="14"/>
        <v>277676.17401407933</v>
      </c>
    </row>
    <row r="162" spans="1:6" x14ac:dyDescent="0.35">
      <c r="A162" s="176">
        <v>152</v>
      </c>
      <c r="B162" s="172">
        <f t="shared" ca="1" si="10"/>
        <v>277676.17401407933</v>
      </c>
      <c r="C162" s="173">
        <f t="shared" ca="1" si="11"/>
        <v>925.58724671359778</v>
      </c>
      <c r="D162" s="174">
        <f t="shared" si="12"/>
        <v>1909.6611818618378</v>
      </c>
      <c r="E162" s="172">
        <f t="shared" ca="1" si="13"/>
        <v>0</v>
      </c>
      <c r="F162" s="175">
        <f t="shared" ca="1" si="14"/>
        <v>276692.10007893108</v>
      </c>
    </row>
    <row r="163" spans="1:6" x14ac:dyDescent="0.35">
      <c r="A163" s="176">
        <v>153</v>
      </c>
      <c r="B163" s="172">
        <f t="shared" ca="1" si="10"/>
        <v>276692.10007893108</v>
      </c>
      <c r="C163" s="173">
        <f t="shared" ca="1" si="11"/>
        <v>922.30700026310353</v>
      </c>
      <c r="D163" s="174">
        <f t="shared" si="12"/>
        <v>1909.6611818618378</v>
      </c>
      <c r="E163" s="172">
        <f t="shared" ca="1" si="13"/>
        <v>129</v>
      </c>
      <c r="F163" s="175">
        <f t="shared" ca="1" si="14"/>
        <v>275575.74589733238</v>
      </c>
    </row>
    <row r="164" spans="1:6" x14ac:dyDescent="0.35">
      <c r="A164" s="176">
        <v>154</v>
      </c>
      <c r="B164" s="172">
        <f t="shared" ca="1" si="10"/>
        <v>275575.74589733238</v>
      </c>
      <c r="C164" s="173">
        <f t="shared" ca="1" si="11"/>
        <v>918.58581965777466</v>
      </c>
      <c r="D164" s="174">
        <f t="shared" si="12"/>
        <v>1909.6611818618378</v>
      </c>
      <c r="E164" s="172">
        <f t="shared" ca="1" si="13"/>
        <v>0</v>
      </c>
      <c r="F164" s="175">
        <f t="shared" ca="1" si="14"/>
        <v>274584.67053512833</v>
      </c>
    </row>
    <row r="165" spans="1:6" x14ac:dyDescent="0.35">
      <c r="A165" s="176">
        <v>155</v>
      </c>
      <c r="B165" s="172">
        <f t="shared" ca="1" si="10"/>
        <v>274584.67053512833</v>
      </c>
      <c r="C165" s="173">
        <f t="shared" ca="1" si="11"/>
        <v>915.28223511709439</v>
      </c>
      <c r="D165" s="174">
        <f t="shared" si="12"/>
        <v>1909.6611818618378</v>
      </c>
      <c r="E165" s="172">
        <f t="shared" ca="1" si="13"/>
        <v>0</v>
      </c>
      <c r="F165" s="175">
        <f t="shared" ca="1" si="14"/>
        <v>273590.29158838361</v>
      </c>
    </row>
    <row r="166" spans="1:6" x14ac:dyDescent="0.35">
      <c r="A166" s="176">
        <v>156</v>
      </c>
      <c r="B166" s="172">
        <f t="shared" ca="1" si="10"/>
        <v>273590.29158838361</v>
      </c>
      <c r="C166" s="173">
        <f t="shared" ca="1" si="11"/>
        <v>911.96763862794535</v>
      </c>
      <c r="D166" s="174">
        <f t="shared" si="12"/>
        <v>1909.6611818618378</v>
      </c>
      <c r="E166" s="172">
        <f t="shared" ca="1" si="13"/>
        <v>170</v>
      </c>
      <c r="F166" s="175">
        <f t="shared" ca="1" si="14"/>
        <v>272422.5980451497</v>
      </c>
    </row>
    <row r="167" spans="1:6" x14ac:dyDescent="0.35">
      <c r="A167" s="176">
        <v>157</v>
      </c>
      <c r="B167" s="172">
        <f t="shared" ca="1" si="10"/>
        <v>272422.5980451497</v>
      </c>
      <c r="C167" s="173">
        <f t="shared" ca="1" si="11"/>
        <v>908.07532681716566</v>
      </c>
      <c r="D167" s="174">
        <f t="shared" si="12"/>
        <v>1909.6611818618378</v>
      </c>
      <c r="E167" s="172">
        <f t="shared" ca="1" si="13"/>
        <v>0</v>
      </c>
      <c r="F167" s="175">
        <f t="shared" ca="1" si="14"/>
        <v>271421.01219010504</v>
      </c>
    </row>
    <row r="168" spans="1:6" x14ac:dyDescent="0.35">
      <c r="A168" s="176">
        <v>158</v>
      </c>
      <c r="B168" s="172">
        <f t="shared" ca="1" si="10"/>
        <v>271421.01219010504</v>
      </c>
      <c r="C168" s="173">
        <f t="shared" ca="1" si="11"/>
        <v>904.73670730035019</v>
      </c>
      <c r="D168" s="174">
        <f t="shared" si="12"/>
        <v>1909.6611818618378</v>
      </c>
      <c r="E168" s="172">
        <f t="shared" ca="1" si="13"/>
        <v>0</v>
      </c>
      <c r="F168" s="175">
        <f t="shared" ca="1" si="14"/>
        <v>270416.08771554357</v>
      </c>
    </row>
    <row r="169" spans="1:6" x14ac:dyDescent="0.35">
      <c r="A169" s="176">
        <v>159</v>
      </c>
      <c r="B169" s="172">
        <f t="shared" ca="1" si="10"/>
        <v>270416.08771554357</v>
      </c>
      <c r="C169" s="173">
        <f t="shared" ca="1" si="11"/>
        <v>901.38695905181191</v>
      </c>
      <c r="D169" s="174">
        <f t="shared" si="12"/>
        <v>1909.6611818618378</v>
      </c>
      <c r="E169" s="172">
        <f t="shared" ca="1" si="13"/>
        <v>190</v>
      </c>
      <c r="F169" s="175">
        <f t="shared" ca="1" si="14"/>
        <v>269217.81349273358</v>
      </c>
    </row>
    <row r="170" spans="1:6" x14ac:dyDescent="0.35">
      <c r="A170" s="176">
        <v>160</v>
      </c>
      <c r="B170" s="172">
        <f t="shared" ca="1" si="10"/>
        <v>269217.81349273358</v>
      </c>
      <c r="C170" s="173">
        <f t="shared" ca="1" si="11"/>
        <v>897.39271164244531</v>
      </c>
      <c r="D170" s="174">
        <f t="shared" si="12"/>
        <v>1909.6611818618378</v>
      </c>
      <c r="E170" s="172">
        <f t="shared" ca="1" si="13"/>
        <v>0</v>
      </c>
      <c r="F170" s="175">
        <f t="shared" ca="1" si="14"/>
        <v>268205.54502251418</v>
      </c>
    </row>
    <row r="171" spans="1:6" x14ac:dyDescent="0.35">
      <c r="A171" s="176">
        <v>161</v>
      </c>
      <c r="B171" s="172">
        <f t="shared" ca="1" si="10"/>
        <v>268205.54502251418</v>
      </c>
      <c r="C171" s="173">
        <f t="shared" ca="1" si="11"/>
        <v>894.01848340838069</v>
      </c>
      <c r="D171" s="174">
        <f t="shared" si="12"/>
        <v>1909.6611818618378</v>
      </c>
      <c r="E171" s="172">
        <f t="shared" ca="1" si="13"/>
        <v>0</v>
      </c>
      <c r="F171" s="175">
        <f t="shared" ca="1" si="14"/>
        <v>267189.90232406073</v>
      </c>
    </row>
    <row r="172" spans="1:6" x14ac:dyDescent="0.35">
      <c r="A172" s="176">
        <v>162</v>
      </c>
      <c r="B172" s="172">
        <f t="shared" ca="1" si="10"/>
        <v>267189.90232406073</v>
      </c>
      <c r="C172" s="173">
        <f t="shared" ca="1" si="11"/>
        <v>890.63300774686911</v>
      </c>
      <c r="D172" s="174">
        <f t="shared" si="12"/>
        <v>1909.6611818618378</v>
      </c>
      <c r="E172" s="172">
        <f t="shared" ca="1" si="13"/>
        <v>173</v>
      </c>
      <c r="F172" s="175">
        <f t="shared" ca="1" si="14"/>
        <v>265997.8741499458</v>
      </c>
    </row>
    <row r="173" spans="1:6" x14ac:dyDescent="0.35">
      <c r="A173" s="176">
        <v>163</v>
      </c>
      <c r="B173" s="172">
        <f t="shared" ca="1" si="10"/>
        <v>265997.8741499458</v>
      </c>
      <c r="C173" s="173">
        <f t="shared" ca="1" si="11"/>
        <v>886.6595804998193</v>
      </c>
      <c r="D173" s="174">
        <f t="shared" si="12"/>
        <v>1909.6611818618378</v>
      </c>
      <c r="E173" s="172">
        <f t="shared" ca="1" si="13"/>
        <v>0</v>
      </c>
      <c r="F173" s="175">
        <f t="shared" ca="1" si="14"/>
        <v>264974.87254858378</v>
      </c>
    </row>
    <row r="174" spans="1:6" x14ac:dyDescent="0.35">
      <c r="A174" s="176">
        <v>164</v>
      </c>
      <c r="B174" s="172">
        <f t="shared" ca="1" si="10"/>
        <v>264974.87254858378</v>
      </c>
      <c r="C174" s="173">
        <f t="shared" ca="1" si="11"/>
        <v>883.24957516194593</v>
      </c>
      <c r="D174" s="174">
        <f t="shared" si="12"/>
        <v>1909.6611818618378</v>
      </c>
      <c r="E174" s="172">
        <f t="shared" ca="1" si="13"/>
        <v>0</v>
      </c>
      <c r="F174" s="175">
        <f t="shared" ca="1" si="14"/>
        <v>263948.46094188391</v>
      </c>
    </row>
    <row r="175" spans="1:6" x14ac:dyDescent="0.35">
      <c r="A175" s="176">
        <v>165</v>
      </c>
      <c r="B175" s="172">
        <f t="shared" ca="1" si="10"/>
        <v>263948.46094188391</v>
      </c>
      <c r="C175" s="173">
        <f t="shared" ca="1" si="11"/>
        <v>879.82820313961304</v>
      </c>
      <c r="D175" s="174">
        <f t="shared" si="12"/>
        <v>1909.6611818618378</v>
      </c>
      <c r="E175" s="172">
        <f t="shared" ca="1" si="13"/>
        <v>126</v>
      </c>
      <c r="F175" s="175">
        <f t="shared" ca="1" si="14"/>
        <v>262792.62796316168</v>
      </c>
    </row>
    <row r="176" spans="1:6" x14ac:dyDescent="0.35">
      <c r="A176" s="176">
        <v>166</v>
      </c>
      <c r="B176" s="172">
        <f t="shared" ca="1" si="10"/>
        <v>262792.62796316168</v>
      </c>
      <c r="C176" s="173">
        <f t="shared" ca="1" si="11"/>
        <v>875.97542654387235</v>
      </c>
      <c r="D176" s="174">
        <f t="shared" si="12"/>
        <v>1909.6611818618378</v>
      </c>
      <c r="E176" s="172">
        <f t="shared" ca="1" si="13"/>
        <v>0</v>
      </c>
      <c r="F176" s="175">
        <f t="shared" ca="1" si="14"/>
        <v>261758.94220784371</v>
      </c>
    </row>
    <row r="177" spans="1:6" x14ac:dyDescent="0.35">
      <c r="A177" s="176">
        <v>167</v>
      </c>
      <c r="B177" s="172">
        <f t="shared" ca="1" si="10"/>
        <v>261758.94220784371</v>
      </c>
      <c r="C177" s="173">
        <f t="shared" ca="1" si="11"/>
        <v>872.52980735947904</v>
      </c>
      <c r="D177" s="174">
        <f t="shared" si="12"/>
        <v>1909.6611818618378</v>
      </c>
      <c r="E177" s="172">
        <f t="shared" ca="1" si="13"/>
        <v>0</v>
      </c>
      <c r="F177" s="175">
        <f t="shared" ca="1" si="14"/>
        <v>260721.81083334138</v>
      </c>
    </row>
    <row r="178" spans="1:6" x14ac:dyDescent="0.35">
      <c r="A178" s="176">
        <v>168</v>
      </c>
      <c r="B178" s="172">
        <f t="shared" ca="1" si="10"/>
        <v>260721.81083334138</v>
      </c>
      <c r="C178" s="173">
        <f t="shared" ca="1" si="11"/>
        <v>869.07270277780469</v>
      </c>
      <c r="D178" s="174">
        <f t="shared" si="12"/>
        <v>1909.6611818618378</v>
      </c>
      <c r="E178" s="172">
        <f t="shared" ca="1" si="13"/>
        <v>173</v>
      </c>
      <c r="F178" s="175">
        <f t="shared" ca="1" si="14"/>
        <v>259508.22235425736</v>
      </c>
    </row>
    <row r="179" spans="1:6" x14ac:dyDescent="0.35">
      <c r="A179" s="176">
        <v>169</v>
      </c>
      <c r="B179" s="172">
        <f t="shared" ca="1" si="10"/>
        <v>259508.22235425736</v>
      </c>
      <c r="C179" s="173">
        <f t="shared" ca="1" si="11"/>
        <v>865.0274078475245</v>
      </c>
      <c r="D179" s="174">
        <f t="shared" si="12"/>
        <v>1909.6611818618378</v>
      </c>
      <c r="E179" s="172">
        <f t="shared" ca="1" si="13"/>
        <v>0</v>
      </c>
      <c r="F179" s="175">
        <f t="shared" ca="1" si="14"/>
        <v>258463.58858024306</v>
      </c>
    </row>
    <row r="180" spans="1:6" x14ac:dyDescent="0.35">
      <c r="A180" s="176">
        <v>170</v>
      </c>
      <c r="B180" s="172">
        <f t="shared" ca="1" si="10"/>
        <v>258463.58858024306</v>
      </c>
      <c r="C180" s="173">
        <f t="shared" ca="1" si="11"/>
        <v>861.54529526747683</v>
      </c>
      <c r="D180" s="174">
        <f t="shared" si="12"/>
        <v>1909.6611818618378</v>
      </c>
      <c r="E180" s="172">
        <f t="shared" ca="1" si="13"/>
        <v>0</v>
      </c>
      <c r="F180" s="175">
        <f t="shared" ca="1" si="14"/>
        <v>257415.47269364871</v>
      </c>
    </row>
    <row r="181" spans="1:6" x14ac:dyDescent="0.35">
      <c r="A181" s="176">
        <v>171</v>
      </c>
      <c r="B181" s="172">
        <f t="shared" ca="1" si="10"/>
        <v>257415.47269364871</v>
      </c>
      <c r="C181" s="173">
        <f t="shared" ca="1" si="11"/>
        <v>858.05157564549575</v>
      </c>
      <c r="D181" s="174">
        <f t="shared" si="12"/>
        <v>1909.6611818618378</v>
      </c>
      <c r="E181" s="172">
        <f t="shared" ca="1" si="13"/>
        <v>194</v>
      </c>
      <c r="F181" s="175">
        <f t="shared" ca="1" si="14"/>
        <v>256169.86308743237</v>
      </c>
    </row>
    <row r="182" spans="1:6" x14ac:dyDescent="0.35">
      <c r="A182" s="176">
        <v>172</v>
      </c>
      <c r="B182" s="172">
        <f t="shared" ca="1" si="10"/>
        <v>256169.86308743237</v>
      </c>
      <c r="C182" s="173">
        <f t="shared" ca="1" si="11"/>
        <v>853.89954362477465</v>
      </c>
      <c r="D182" s="174">
        <f t="shared" si="12"/>
        <v>1909.6611818618378</v>
      </c>
      <c r="E182" s="172">
        <f t="shared" ca="1" si="13"/>
        <v>0</v>
      </c>
      <c r="F182" s="175">
        <f t="shared" ca="1" si="14"/>
        <v>255114.10144919532</v>
      </c>
    </row>
    <row r="183" spans="1:6" x14ac:dyDescent="0.35">
      <c r="A183" s="176">
        <v>173</v>
      </c>
      <c r="B183" s="172">
        <f t="shared" ca="1" si="10"/>
        <v>255114.10144919532</v>
      </c>
      <c r="C183" s="173">
        <f t="shared" ca="1" si="11"/>
        <v>850.38033816398445</v>
      </c>
      <c r="D183" s="174">
        <f t="shared" si="12"/>
        <v>1909.6611818618378</v>
      </c>
      <c r="E183" s="172">
        <f t="shared" ca="1" si="13"/>
        <v>0</v>
      </c>
      <c r="F183" s="175">
        <f t="shared" ca="1" si="14"/>
        <v>254054.82060549749</v>
      </c>
    </row>
    <row r="184" spans="1:6" x14ac:dyDescent="0.35">
      <c r="A184" s="176">
        <v>174</v>
      </c>
      <c r="B184" s="172">
        <f t="shared" ca="1" si="10"/>
        <v>254054.82060549749</v>
      </c>
      <c r="C184" s="173">
        <f t="shared" ca="1" si="11"/>
        <v>846.84940201832489</v>
      </c>
      <c r="D184" s="174">
        <f t="shared" si="12"/>
        <v>1909.6611818618378</v>
      </c>
      <c r="E184" s="172">
        <f t="shared" ca="1" si="13"/>
        <v>163</v>
      </c>
      <c r="F184" s="175">
        <f t="shared" ca="1" si="14"/>
        <v>252829.00882565399</v>
      </c>
    </row>
    <row r="185" spans="1:6" x14ac:dyDescent="0.35">
      <c r="A185" s="176">
        <v>175</v>
      </c>
      <c r="B185" s="172">
        <f t="shared" ca="1" si="10"/>
        <v>252829.00882565399</v>
      </c>
      <c r="C185" s="173">
        <f t="shared" ca="1" si="11"/>
        <v>842.76336275218</v>
      </c>
      <c r="D185" s="174">
        <f t="shared" si="12"/>
        <v>1909.6611818618378</v>
      </c>
      <c r="E185" s="172">
        <f t="shared" ca="1" si="13"/>
        <v>0</v>
      </c>
      <c r="F185" s="175">
        <f t="shared" ca="1" si="14"/>
        <v>251762.11100654435</v>
      </c>
    </row>
    <row r="186" spans="1:6" x14ac:dyDescent="0.35">
      <c r="A186" s="176">
        <v>176</v>
      </c>
      <c r="B186" s="172">
        <f t="shared" ca="1" si="10"/>
        <v>251762.11100654435</v>
      </c>
      <c r="C186" s="173">
        <f t="shared" ca="1" si="11"/>
        <v>839.20703668848125</v>
      </c>
      <c r="D186" s="174">
        <f t="shared" si="12"/>
        <v>1909.6611818618378</v>
      </c>
      <c r="E186" s="172">
        <f t="shared" ca="1" si="13"/>
        <v>0</v>
      </c>
      <c r="F186" s="175">
        <f t="shared" ca="1" si="14"/>
        <v>250691.65686137101</v>
      </c>
    </row>
    <row r="187" spans="1:6" x14ac:dyDescent="0.35">
      <c r="A187" s="176">
        <v>177</v>
      </c>
      <c r="B187" s="172">
        <f t="shared" ca="1" si="10"/>
        <v>250691.65686137101</v>
      </c>
      <c r="C187" s="173">
        <f t="shared" ca="1" si="11"/>
        <v>835.63885620457006</v>
      </c>
      <c r="D187" s="174">
        <f t="shared" si="12"/>
        <v>1909.6611818618378</v>
      </c>
      <c r="E187" s="172">
        <f t="shared" ca="1" si="13"/>
        <v>118</v>
      </c>
      <c r="F187" s="175">
        <f t="shared" ca="1" si="14"/>
        <v>249499.63453571376</v>
      </c>
    </row>
    <row r="188" spans="1:6" x14ac:dyDescent="0.35">
      <c r="A188" s="176">
        <v>178</v>
      </c>
      <c r="B188" s="172">
        <f t="shared" ca="1" si="10"/>
        <v>249499.63453571376</v>
      </c>
      <c r="C188" s="173">
        <f t="shared" ca="1" si="11"/>
        <v>831.66544845237922</v>
      </c>
      <c r="D188" s="174">
        <f t="shared" si="12"/>
        <v>1909.6611818618378</v>
      </c>
      <c r="E188" s="172">
        <f t="shared" ca="1" si="13"/>
        <v>0</v>
      </c>
      <c r="F188" s="175">
        <f t="shared" ca="1" si="14"/>
        <v>248421.63880230431</v>
      </c>
    </row>
    <row r="189" spans="1:6" x14ac:dyDescent="0.35">
      <c r="A189" s="176">
        <v>179</v>
      </c>
      <c r="B189" s="172">
        <f t="shared" ca="1" si="10"/>
        <v>248421.63880230431</v>
      </c>
      <c r="C189" s="173">
        <f t="shared" ca="1" si="11"/>
        <v>828.07212934101437</v>
      </c>
      <c r="D189" s="174">
        <f t="shared" si="12"/>
        <v>1909.6611818618378</v>
      </c>
      <c r="E189" s="172">
        <f t="shared" ca="1" si="13"/>
        <v>0</v>
      </c>
      <c r="F189" s="175">
        <f t="shared" ca="1" si="14"/>
        <v>247340.0497497835</v>
      </c>
    </row>
    <row r="190" spans="1:6" x14ac:dyDescent="0.35">
      <c r="A190" s="176">
        <v>180</v>
      </c>
      <c r="B190" s="172">
        <f t="shared" ca="1" si="10"/>
        <v>247340.0497497835</v>
      </c>
      <c r="C190" s="173">
        <f t="shared" ca="1" si="11"/>
        <v>824.46683249927844</v>
      </c>
      <c r="D190" s="174">
        <f t="shared" si="12"/>
        <v>1909.6611818618378</v>
      </c>
      <c r="E190" s="172">
        <f t="shared" ca="1" si="13"/>
        <v>136</v>
      </c>
      <c r="F190" s="175">
        <f t="shared" ca="1" si="14"/>
        <v>246118.85540042096</v>
      </c>
    </row>
    <row r="191" spans="1:6" x14ac:dyDescent="0.35">
      <c r="A191" s="176">
        <v>181</v>
      </c>
      <c r="B191" s="172">
        <f t="shared" ca="1" si="10"/>
        <v>246118.85540042096</v>
      </c>
      <c r="C191" s="173">
        <f t="shared" ca="1" si="11"/>
        <v>820.39618466806985</v>
      </c>
      <c r="D191" s="174">
        <f t="shared" si="12"/>
        <v>1909.6611818618378</v>
      </c>
      <c r="E191" s="172">
        <f t="shared" ca="1" si="13"/>
        <v>0</v>
      </c>
      <c r="F191" s="175">
        <f t="shared" ca="1" si="14"/>
        <v>245029.59040322719</v>
      </c>
    </row>
    <row r="192" spans="1:6" x14ac:dyDescent="0.35">
      <c r="A192" s="176">
        <v>182</v>
      </c>
      <c r="B192" s="172">
        <f t="shared" ca="1" si="10"/>
        <v>245029.59040322719</v>
      </c>
      <c r="C192" s="173">
        <f t="shared" ca="1" si="11"/>
        <v>816.76530134409074</v>
      </c>
      <c r="D192" s="174">
        <f t="shared" si="12"/>
        <v>1909.6611818618378</v>
      </c>
      <c r="E192" s="172">
        <f t="shared" ca="1" si="13"/>
        <v>0</v>
      </c>
      <c r="F192" s="175">
        <f t="shared" ca="1" si="14"/>
        <v>243936.69452270947</v>
      </c>
    </row>
    <row r="193" spans="1:6" x14ac:dyDescent="0.35">
      <c r="A193" s="176">
        <v>183</v>
      </c>
      <c r="B193" s="172">
        <f t="shared" ca="1" si="10"/>
        <v>243936.69452270947</v>
      </c>
      <c r="C193" s="173">
        <f t="shared" ca="1" si="11"/>
        <v>813.12231507569822</v>
      </c>
      <c r="D193" s="174">
        <f t="shared" si="12"/>
        <v>1909.6611818618378</v>
      </c>
      <c r="E193" s="172">
        <f t="shared" ca="1" si="13"/>
        <v>190</v>
      </c>
      <c r="F193" s="175">
        <f t="shared" ca="1" si="14"/>
        <v>242650.15565592333</v>
      </c>
    </row>
    <row r="194" spans="1:6" x14ac:dyDescent="0.35">
      <c r="A194" s="176">
        <v>184</v>
      </c>
      <c r="B194" s="172">
        <f t="shared" ca="1" si="10"/>
        <v>242650.15565592333</v>
      </c>
      <c r="C194" s="173">
        <f t="shared" ca="1" si="11"/>
        <v>808.83385218641115</v>
      </c>
      <c r="D194" s="174">
        <f t="shared" si="12"/>
        <v>1909.6611818618378</v>
      </c>
      <c r="E194" s="172">
        <f t="shared" ca="1" si="13"/>
        <v>0</v>
      </c>
      <c r="F194" s="175">
        <f t="shared" ca="1" si="14"/>
        <v>241549.32832624792</v>
      </c>
    </row>
    <row r="195" spans="1:6" x14ac:dyDescent="0.35">
      <c r="A195" s="176">
        <v>185</v>
      </c>
      <c r="B195" s="172">
        <f t="shared" ca="1" si="10"/>
        <v>241549.32832624792</v>
      </c>
      <c r="C195" s="173">
        <f t="shared" ca="1" si="11"/>
        <v>805.16442775415987</v>
      </c>
      <c r="D195" s="174">
        <f t="shared" si="12"/>
        <v>1909.6611818618378</v>
      </c>
      <c r="E195" s="172">
        <f t="shared" ca="1" si="13"/>
        <v>0</v>
      </c>
      <c r="F195" s="175">
        <f t="shared" ca="1" si="14"/>
        <v>240444.83157214025</v>
      </c>
    </row>
    <row r="196" spans="1:6" x14ac:dyDescent="0.35">
      <c r="A196" s="176">
        <v>186</v>
      </c>
      <c r="B196" s="172">
        <f t="shared" ca="1" si="10"/>
        <v>240444.83157214025</v>
      </c>
      <c r="C196" s="173">
        <f t="shared" ca="1" si="11"/>
        <v>801.48277190713418</v>
      </c>
      <c r="D196" s="174">
        <f t="shared" si="12"/>
        <v>1909.6611818618378</v>
      </c>
      <c r="E196" s="172">
        <f t="shared" ca="1" si="13"/>
        <v>193</v>
      </c>
      <c r="F196" s="175">
        <f t="shared" ca="1" si="14"/>
        <v>239143.65316218557</v>
      </c>
    </row>
    <row r="197" spans="1:6" x14ac:dyDescent="0.35">
      <c r="A197" s="176">
        <v>187</v>
      </c>
      <c r="B197" s="172">
        <f t="shared" ca="1" si="10"/>
        <v>239143.65316218557</v>
      </c>
      <c r="C197" s="173">
        <f t="shared" ca="1" si="11"/>
        <v>797.1455105406186</v>
      </c>
      <c r="D197" s="174">
        <f t="shared" si="12"/>
        <v>1909.6611818618378</v>
      </c>
      <c r="E197" s="172">
        <f t="shared" ca="1" si="13"/>
        <v>0</v>
      </c>
      <c r="F197" s="175">
        <f t="shared" ca="1" si="14"/>
        <v>238031.13749086435</v>
      </c>
    </row>
    <row r="198" spans="1:6" x14ac:dyDescent="0.35">
      <c r="A198" s="176">
        <v>188</v>
      </c>
      <c r="B198" s="172">
        <f t="shared" ca="1" si="10"/>
        <v>238031.13749086435</v>
      </c>
      <c r="C198" s="173">
        <f t="shared" ca="1" si="11"/>
        <v>793.43712496954788</v>
      </c>
      <c r="D198" s="174">
        <f t="shared" si="12"/>
        <v>1909.6611818618378</v>
      </c>
      <c r="E198" s="172">
        <f t="shared" ca="1" si="13"/>
        <v>0</v>
      </c>
      <c r="F198" s="175">
        <f t="shared" ca="1" si="14"/>
        <v>236914.91343397208</v>
      </c>
    </row>
    <row r="199" spans="1:6" x14ac:dyDescent="0.35">
      <c r="A199" s="176">
        <v>189</v>
      </c>
      <c r="B199" s="172">
        <f t="shared" ca="1" si="10"/>
        <v>236914.91343397208</v>
      </c>
      <c r="C199" s="173">
        <f t="shared" ca="1" si="11"/>
        <v>789.71637811324024</v>
      </c>
      <c r="D199" s="174">
        <f t="shared" si="12"/>
        <v>1909.6611818618378</v>
      </c>
      <c r="E199" s="172">
        <f t="shared" ca="1" si="13"/>
        <v>128</v>
      </c>
      <c r="F199" s="175">
        <f t="shared" ca="1" si="14"/>
        <v>235666.96863022348</v>
      </c>
    </row>
    <row r="200" spans="1:6" x14ac:dyDescent="0.35">
      <c r="A200" s="176">
        <v>190</v>
      </c>
      <c r="B200" s="172">
        <f t="shared" ca="1" si="10"/>
        <v>235666.96863022348</v>
      </c>
      <c r="C200" s="173">
        <f t="shared" ca="1" si="11"/>
        <v>785.55656210074494</v>
      </c>
      <c r="D200" s="174">
        <f t="shared" si="12"/>
        <v>1909.6611818618378</v>
      </c>
      <c r="E200" s="172">
        <f t="shared" ca="1" si="13"/>
        <v>0</v>
      </c>
      <c r="F200" s="175">
        <f t="shared" ca="1" si="14"/>
        <v>234542.86401046239</v>
      </c>
    </row>
    <row r="201" spans="1:6" x14ac:dyDescent="0.35">
      <c r="A201" s="176">
        <v>191</v>
      </c>
      <c r="B201" s="172">
        <f t="shared" ca="1" si="10"/>
        <v>234542.86401046239</v>
      </c>
      <c r="C201" s="173">
        <f t="shared" ca="1" si="11"/>
        <v>781.80954670154131</v>
      </c>
      <c r="D201" s="174">
        <f t="shared" si="12"/>
        <v>1909.6611818618378</v>
      </c>
      <c r="E201" s="172">
        <f t="shared" ca="1" si="13"/>
        <v>0</v>
      </c>
      <c r="F201" s="175">
        <f t="shared" ca="1" si="14"/>
        <v>233415.01237530212</v>
      </c>
    </row>
    <row r="202" spans="1:6" x14ac:dyDescent="0.35">
      <c r="A202" s="176">
        <v>192</v>
      </c>
      <c r="B202" s="172">
        <f t="shared" ca="1" si="10"/>
        <v>233415.01237530212</v>
      </c>
      <c r="C202" s="173">
        <f t="shared" ca="1" si="11"/>
        <v>778.05004125100697</v>
      </c>
      <c r="D202" s="174">
        <f t="shared" si="12"/>
        <v>1909.6611818618378</v>
      </c>
      <c r="E202" s="172">
        <f t="shared" ca="1" si="13"/>
        <v>192</v>
      </c>
      <c r="F202" s="175">
        <f t="shared" ca="1" si="14"/>
        <v>232091.40123469129</v>
      </c>
    </row>
    <row r="203" spans="1:6" x14ac:dyDescent="0.35">
      <c r="A203" s="176">
        <v>193</v>
      </c>
      <c r="B203" s="172">
        <f t="shared" ca="1" si="10"/>
        <v>232091.40123469129</v>
      </c>
      <c r="C203" s="173">
        <f t="shared" ca="1" si="11"/>
        <v>773.63800411563761</v>
      </c>
      <c r="D203" s="174">
        <f t="shared" si="12"/>
        <v>1909.6611818618378</v>
      </c>
      <c r="E203" s="172">
        <f t="shared" ca="1" si="13"/>
        <v>0</v>
      </c>
      <c r="F203" s="175">
        <f t="shared" ca="1" si="14"/>
        <v>230955.3780569451</v>
      </c>
    </row>
    <row r="204" spans="1:6" x14ac:dyDescent="0.35">
      <c r="A204" s="176">
        <v>194</v>
      </c>
      <c r="B204" s="172">
        <f t="shared" ref="B204:B267" ca="1" si="15">F203</f>
        <v>230955.3780569451</v>
      </c>
      <c r="C204" s="173">
        <f t="shared" ref="C204:C267" ca="1" si="16">B204*$C$3/12</f>
        <v>769.85126018981703</v>
      </c>
      <c r="D204" s="174">
        <f t="shared" ref="D204:D267" si="17">$C$5</f>
        <v>1909.6611818618378</v>
      </c>
      <c r="E204" s="172">
        <f t="shared" ref="E204:E267" ca="1" si="18">IF(MOD(A204,3)=0,RANDBETWEEN(100,200),0)</f>
        <v>0</v>
      </c>
      <c r="F204" s="175">
        <f t="shared" ref="F204:F267" ca="1" si="19">B204+C204-D204-E204</f>
        <v>229815.56813527309</v>
      </c>
    </row>
    <row r="205" spans="1:6" x14ac:dyDescent="0.35">
      <c r="A205" s="176">
        <v>195</v>
      </c>
      <c r="B205" s="172">
        <f t="shared" ca="1" si="15"/>
        <v>229815.56813527309</v>
      </c>
      <c r="C205" s="173">
        <f t="shared" ca="1" si="16"/>
        <v>766.05189378424359</v>
      </c>
      <c r="D205" s="174">
        <f t="shared" si="17"/>
        <v>1909.6611818618378</v>
      </c>
      <c r="E205" s="172">
        <f t="shared" ca="1" si="18"/>
        <v>143</v>
      </c>
      <c r="F205" s="175">
        <f t="shared" ca="1" si="19"/>
        <v>228528.95884719552</v>
      </c>
    </row>
    <row r="206" spans="1:6" x14ac:dyDescent="0.35">
      <c r="A206" s="176">
        <v>196</v>
      </c>
      <c r="B206" s="172">
        <f t="shared" ca="1" si="15"/>
        <v>228528.95884719552</v>
      </c>
      <c r="C206" s="173">
        <f t="shared" ca="1" si="16"/>
        <v>761.76319615731836</v>
      </c>
      <c r="D206" s="174">
        <f t="shared" si="17"/>
        <v>1909.6611818618378</v>
      </c>
      <c r="E206" s="172">
        <f t="shared" ca="1" si="18"/>
        <v>0</v>
      </c>
      <c r="F206" s="175">
        <f t="shared" ca="1" si="19"/>
        <v>227381.06086149102</v>
      </c>
    </row>
    <row r="207" spans="1:6" x14ac:dyDescent="0.35">
      <c r="A207" s="176">
        <v>197</v>
      </c>
      <c r="B207" s="172">
        <f t="shared" ca="1" si="15"/>
        <v>227381.06086149102</v>
      </c>
      <c r="C207" s="173">
        <f t="shared" ca="1" si="16"/>
        <v>757.93686953830331</v>
      </c>
      <c r="D207" s="174">
        <f t="shared" si="17"/>
        <v>1909.6611818618378</v>
      </c>
      <c r="E207" s="172">
        <f t="shared" ca="1" si="18"/>
        <v>0</v>
      </c>
      <c r="F207" s="175">
        <f t="shared" ca="1" si="19"/>
        <v>226229.33654916749</v>
      </c>
    </row>
    <row r="208" spans="1:6" x14ac:dyDescent="0.35">
      <c r="A208" s="176">
        <v>198</v>
      </c>
      <c r="B208" s="172">
        <f t="shared" ca="1" si="15"/>
        <v>226229.33654916749</v>
      </c>
      <c r="C208" s="173">
        <f t="shared" ca="1" si="16"/>
        <v>754.097788497225</v>
      </c>
      <c r="D208" s="174">
        <f t="shared" si="17"/>
        <v>1909.6611818618378</v>
      </c>
      <c r="E208" s="172">
        <f t="shared" ca="1" si="18"/>
        <v>139</v>
      </c>
      <c r="F208" s="175">
        <f t="shared" ca="1" si="19"/>
        <v>224934.77315580289</v>
      </c>
    </row>
    <row r="209" spans="1:6" x14ac:dyDescent="0.35">
      <c r="A209" s="176">
        <v>199</v>
      </c>
      <c r="B209" s="172">
        <f t="shared" ca="1" si="15"/>
        <v>224934.77315580289</v>
      </c>
      <c r="C209" s="173">
        <f t="shared" ca="1" si="16"/>
        <v>749.78257718600969</v>
      </c>
      <c r="D209" s="174">
        <f t="shared" si="17"/>
        <v>1909.6611818618378</v>
      </c>
      <c r="E209" s="172">
        <f t="shared" ca="1" si="18"/>
        <v>0</v>
      </c>
      <c r="F209" s="175">
        <f t="shared" ca="1" si="19"/>
        <v>223774.89455112707</v>
      </c>
    </row>
    <row r="210" spans="1:6" x14ac:dyDescent="0.35">
      <c r="A210" s="176">
        <v>200</v>
      </c>
      <c r="B210" s="172">
        <f t="shared" ca="1" si="15"/>
        <v>223774.89455112707</v>
      </c>
      <c r="C210" s="173">
        <f t="shared" ca="1" si="16"/>
        <v>745.91631517042367</v>
      </c>
      <c r="D210" s="174">
        <f t="shared" si="17"/>
        <v>1909.6611818618378</v>
      </c>
      <c r="E210" s="172">
        <f t="shared" ca="1" si="18"/>
        <v>0</v>
      </c>
      <c r="F210" s="175">
        <f t="shared" ca="1" si="19"/>
        <v>222611.14968443566</v>
      </c>
    </row>
    <row r="211" spans="1:6" x14ac:dyDescent="0.35">
      <c r="A211" s="176">
        <v>201</v>
      </c>
      <c r="B211" s="172">
        <f t="shared" ca="1" si="15"/>
        <v>222611.14968443566</v>
      </c>
      <c r="C211" s="173">
        <f t="shared" ca="1" si="16"/>
        <v>742.03716561478552</v>
      </c>
      <c r="D211" s="174">
        <f t="shared" si="17"/>
        <v>1909.6611818618378</v>
      </c>
      <c r="E211" s="172">
        <f t="shared" ca="1" si="18"/>
        <v>104</v>
      </c>
      <c r="F211" s="175">
        <f t="shared" ca="1" si="19"/>
        <v>221339.52566818861</v>
      </c>
    </row>
    <row r="212" spans="1:6" x14ac:dyDescent="0.35">
      <c r="A212" s="176">
        <v>202</v>
      </c>
      <c r="B212" s="172">
        <f t="shared" ca="1" si="15"/>
        <v>221339.52566818861</v>
      </c>
      <c r="C212" s="173">
        <f t="shared" ca="1" si="16"/>
        <v>737.79841889396209</v>
      </c>
      <c r="D212" s="174">
        <f t="shared" si="17"/>
        <v>1909.6611818618378</v>
      </c>
      <c r="E212" s="172">
        <f t="shared" ca="1" si="18"/>
        <v>0</v>
      </c>
      <c r="F212" s="175">
        <f t="shared" ca="1" si="19"/>
        <v>220167.66290522076</v>
      </c>
    </row>
    <row r="213" spans="1:6" x14ac:dyDescent="0.35">
      <c r="A213" s="176">
        <v>203</v>
      </c>
      <c r="B213" s="172">
        <f t="shared" ca="1" si="15"/>
        <v>220167.66290522076</v>
      </c>
      <c r="C213" s="173">
        <f t="shared" ca="1" si="16"/>
        <v>733.89220968406926</v>
      </c>
      <c r="D213" s="174">
        <f t="shared" si="17"/>
        <v>1909.6611818618378</v>
      </c>
      <c r="E213" s="172">
        <f t="shared" ca="1" si="18"/>
        <v>0</v>
      </c>
      <c r="F213" s="175">
        <f t="shared" ca="1" si="19"/>
        <v>218991.893933043</v>
      </c>
    </row>
    <row r="214" spans="1:6" x14ac:dyDescent="0.35">
      <c r="A214" s="176">
        <v>204</v>
      </c>
      <c r="B214" s="172">
        <f t="shared" ca="1" si="15"/>
        <v>218991.893933043</v>
      </c>
      <c r="C214" s="173">
        <f t="shared" ca="1" si="16"/>
        <v>729.97297977681001</v>
      </c>
      <c r="D214" s="174">
        <f t="shared" si="17"/>
        <v>1909.6611818618378</v>
      </c>
      <c r="E214" s="172">
        <f t="shared" ca="1" si="18"/>
        <v>138</v>
      </c>
      <c r="F214" s="175">
        <f t="shared" ca="1" si="19"/>
        <v>217674.205730958</v>
      </c>
    </row>
    <row r="215" spans="1:6" x14ac:dyDescent="0.35">
      <c r="A215" s="176">
        <v>205</v>
      </c>
      <c r="B215" s="172">
        <f t="shared" ca="1" si="15"/>
        <v>217674.205730958</v>
      </c>
      <c r="C215" s="173">
        <f t="shared" ca="1" si="16"/>
        <v>725.58068576986</v>
      </c>
      <c r="D215" s="174">
        <f t="shared" si="17"/>
        <v>1909.6611818618378</v>
      </c>
      <c r="E215" s="172">
        <f t="shared" ca="1" si="18"/>
        <v>0</v>
      </c>
      <c r="F215" s="175">
        <f t="shared" ca="1" si="19"/>
        <v>216490.12523486602</v>
      </c>
    </row>
    <row r="216" spans="1:6" x14ac:dyDescent="0.35">
      <c r="A216" s="176">
        <v>206</v>
      </c>
      <c r="B216" s="172">
        <f t="shared" ca="1" si="15"/>
        <v>216490.12523486602</v>
      </c>
      <c r="C216" s="173">
        <f t="shared" ca="1" si="16"/>
        <v>721.63375078288675</v>
      </c>
      <c r="D216" s="174">
        <f t="shared" si="17"/>
        <v>1909.6611818618378</v>
      </c>
      <c r="E216" s="172">
        <f t="shared" ca="1" si="18"/>
        <v>0</v>
      </c>
      <c r="F216" s="175">
        <f t="shared" ca="1" si="19"/>
        <v>215302.0978037871</v>
      </c>
    </row>
    <row r="217" spans="1:6" x14ac:dyDescent="0.35">
      <c r="A217" s="176">
        <v>207</v>
      </c>
      <c r="B217" s="172">
        <f t="shared" ca="1" si="15"/>
        <v>215302.0978037871</v>
      </c>
      <c r="C217" s="173">
        <f t="shared" ca="1" si="16"/>
        <v>717.67365934595693</v>
      </c>
      <c r="D217" s="174">
        <f t="shared" si="17"/>
        <v>1909.6611818618378</v>
      </c>
      <c r="E217" s="172">
        <f t="shared" ca="1" si="18"/>
        <v>192</v>
      </c>
      <c r="F217" s="175">
        <f t="shared" ca="1" si="19"/>
        <v>213918.11028127122</v>
      </c>
    </row>
    <row r="218" spans="1:6" x14ac:dyDescent="0.35">
      <c r="A218" s="176">
        <v>208</v>
      </c>
      <c r="B218" s="172">
        <f t="shared" ca="1" si="15"/>
        <v>213918.11028127122</v>
      </c>
      <c r="C218" s="173">
        <f t="shared" ca="1" si="16"/>
        <v>713.0603676042374</v>
      </c>
      <c r="D218" s="174">
        <f t="shared" si="17"/>
        <v>1909.6611818618378</v>
      </c>
      <c r="E218" s="172">
        <f t="shared" ca="1" si="18"/>
        <v>0</v>
      </c>
      <c r="F218" s="175">
        <f t="shared" ca="1" si="19"/>
        <v>212721.50946701365</v>
      </c>
    </row>
    <row r="219" spans="1:6" x14ac:dyDescent="0.35">
      <c r="A219" s="176">
        <v>209</v>
      </c>
      <c r="B219" s="172">
        <f t="shared" ca="1" si="15"/>
        <v>212721.50946701365</v>
      </c>
      <c r="C219" s="173">
        <f t="shared" ca="1" si="16"/>
        <v>709.0716982233788</v>
      </c>
      <c r="D219" s="174">
        <f t="shared" si="17"/>
        <v>1909.6611818618378</v>
      </c>
      <c r="E219" s="172">
        <f t="shared" ca="1" si="18"/>
        <v>0</v>
      </c>
      <c r="F219" s="175">
        <f t="shared" ca="1" si="19"/>
        <v>211520.91998337521</v>
      </c>
    </row>
    <row r="220" spans="1:6" x14ac:dyDescent="0.35">
      <c r="A220" s="176">
        <v>210</v>
      </c>
      <c r="B220" s="172">
        <f t="shared" ca="1" si="15"/>
        <v>211520.91998337521</v>
      </c>
      <c r="C220" s="173">
        <f t="shared" ca="1" si="16"/>
        <v>705.06973327791729</v>
      </c>
      <c r="D220" s="174">
        <f t="shared" si="17"/>
        <v>1909.6611818618378</v>
      </c>
      <c r="E220" s="172">
        <f t="shared" ca="1" si="18"/>
        <v>106</v>
      </c>
      <c r="F220" s="175">
        <f t="shared" ca="1" si="19"/>
        <v>210210.3285347913</v>
      </c>
    </row>
    <row r="221" spans="1:6" x14ac:dyDescent="0.35">
      <c r="A221" s="176">
        <v>211</v>
      </c>
      <c r="B221" s="172">
        <f t="shared" ca="1" si="15"/>
        <v>210210.3285347913</v>
      </c>
      <c r="C221" s="173">
        <f t="shared" ca="1" si="16"/>
        <v>700.70109511597104</v>
      </c>
      <c r="D221" s="174">
        <f t="shared" si="17"/>
        <v>1909.6611818618378</v>
      </c>
      <c r="E221" s="172">
        <f t="shared" ca="1" si="18"/>
        <v>0</v>
      </c>
      <c r="F221" s="175">
        <f t="shared" ca="1" si="19"/>
        <v>209001.36844804545</v>
      </c>
    </row>
    <row r="222" spans="1:6" x14ac:dyDescent="0.35">
      <c r="A222" s="176">
        <v>212</v>
      </c>
      <c r="B222" s="172">
        <f t="shared" ca="1" si="15"/>
        <v>209001.36844804545</v>
      </c>
      <c r="C222" s="173">
        <f t="shared" ca="1" si="16"/>
        <v>696.6712281601516</v>
      </c>
      <c r="D222" s="174">
        <f t="shared" si="17"/>
        <v>1909.6611818618378</v>
      </c>
      <c r="E222" s="172">
        <f t="shared" ca="1" si="18"/>
        <v>0</v>
      </c>
      <c r="F222" s="175">
        <f t="shared" ca="1" si="19"/>
        <v>207788.37849434378</v>
      </c>
    </row>
    <row r="223" spans="1:6" x14ac:dyDescent="0.35">
      <c r="A223" s="176">
        <v>213</v>
      </c>
      <c r="B223" s="172">
        <f t="shared" ca="1" si="15"/>
        <v>207788.37849434378</v>
      </c>
      <c r="C223" s="173">
        <f t="shared" ca="1" si="16"/>
        <v>692.62792831447916</v>
      </c>
      <c r="D223" s="174">
        <f t="shared" si="17"/>
        <v>1909.6611818618378</v>
      </c>
      <c r="E223" s="172">
        <f t="shared" ca="1" si="18"/>
        <v>172</v>
      </c>
      <c r="F223" s="175">
        <f t="shared" ca="1" si="19"/>
        <v>206399.34524079642</v>
      </c>
    </row>
    <row r="224" spans="1:6" x14ac:dyDescent="0.35">
      <c r="A224" s="176">
        <v>214</v>
      </c>
      <c r="B224" s="172">
        <f t="shared" ca="1" si="15"/>
        <v>206399.34524079642</v>
      </c>
      <c r="C224" s="173">
        <f t="shared" ca="1" si="16"/>
        <v>687.99781746932149</v>
      </c>
      <c r="D224" s="174">
        <f t="shared" si="17"/>
        <v>1909.6611818618378</v>
      </c>
      <c r="E224" s="172">
        <f t="shared" ca="1" si="18"/>
        <v>0</v>
      </c>
      <c r="F224" s="175">
        <f t="shared" ca="1" si="19"/>
        <v>205177.68187640392</v>
      </c>
    </row>
    <row r="225" spans="1:6" x14ac:dyDescent="0.35">
      <c r="A225" s="176">
        <v>215</v>
      </c>
      <c r="B225" s="172">
        <f t="shared" ca="1" si="15"/>
        <v>205177.68187640392</v>
      </c>
      <c r="C225" s="173">
        <f t="shared" ca="1" si="16"/>
        <v>683.92560625467968</v>
      </c>
      <c r="D225" s="174">
        <f t="shared" si="17"/>
        <v>1909.6611818618378</v>
      </c>
      <c r="E225" s="172">
        <f t="shared" ca="1" si="18"/>
        <v>0</v>
      </c>
      <c r="F225" s="175">
        <f t="shared" ca="1" si="19"/>
        <v>203951.94630079679</v>
      </c>
    </row>
    <row r="226" spans="1:6" x14ac:dyDescent="0.35">
      <c r="A226" s="176">
        <v>216</v>
      </c>
      <c r="B226" s="172">
        <f t="shared" ca="1" si="15"/>
        <v>203951.94630079679</v>
      </c>
      <c r="C226" s="173">
        <f t="shared" ca="1" si="16"/>
        <v>679.83982100265598</v>
      </c>
      <c r="D226" s="174">
        <f t="shared" si="17"/>
        <v>1909.6611818618378</v>
      </c>
      <c r="E226" s="172">
        <f t="shared" ca="1" si="18"/>
        <v>155</v>
      </c>
      <c r="F226" s="175">
        <f t="shared" ca="1" si="19"/>
        <v>202567.12493993761</v>
      </c>
    </row>
    <row r="227" spans="1:6" x14ac:dyDescent="0.35">
      <c r="A227" s="176">
        <v>217</v>
      </c>
      <c r="B227" s="172">
        <f t="shared" ca="1" si="15"/>
        <v>202567.12493993761</v>
      </c>
      <c r="C227" s="173">
        <f t="shared" ca="1" si="16"/>
        <v>675.22374979979202</v>
      </c>
      <c r="D227" s="174">
        <f t="shared" si="17"/>
        <v>1909.6611818618378</v>
      </c>
      <c r="E227" s="172">
        <f t="shared" ca="1" si="18"/>
        <v>0</v>
      </c>
      <c r="F227" s="175">
        <f t="shared" ca="1" si="19"/>
        <v>201332.68750787558</v>
      </c>
    </row>
    <row r="228" spans="1:6" x14ac:dyDescent="0.35">
      <c r="A228" s="176">
        <v>218</v>
      </c>
      <c r="B228" s="172">
        <f t="shared" ca="1" si="15"/>
        <v>201332.68750787558</v>
      </c>
      <c r="C228" s="173">
        <f t="shared" ca="1" si="16"/>
        <v>671.10895835958524</v>
      </c>
      <c r="D228" s="174">
        <f t="shared" si="17"/>
        <v>1909.6611818618378</v>
      </c>
      <c r="E228" s="172">
        <f t="shared" ca="1" si="18"/>
        <v>0</v>
      </c>
      <c r="F228" s="175">
        <f t="shared" ca="1" si="19"/>
        <v>200094.13528437333</v>
      </c>
    </row>
    <row r="229" spans="1:6" x14ac:dyDescent="0.35">
      <c r="A229" s="176">
        <v>219</v>
      </c>
      <c r="B229" s="172">
        <f t="shared" ca="1" si="15"/>
        <v>200094.13528437333</v>
      </c>
      <c r="C229" s="173">
        <f t="shared" ca="1" si="16"/>
        <v>666.98045094791109</v>
      </c>
      <c r="D229" s="174">
        <f t="shared" si="17"/>
        <v>1909.6611818618378</v>
      </c>
      <c r="E229" s="172">
        <f t="shared" ca="1" si="18"/>
        <v>113</v>
      </c>
      <c r="F229" s="175">
        <f t="shared" ca="1" si="19"/>
        <v>198738.45455345942</v>
      </c>
    </row>
    <row r="230" spans="1:6" x14ac:dyDescent="0.35">
      <c r="A230" s="176">
        <v>220</v>
      </c>
      <c r="B230" s="172">
        <f t="shared" ca="1" si="15"/>
        <v>198738.45455345942</v>
      </c>
      <c r="C230" s="173">
        <f t="shared" ca="1" si="16"/>
        <v>662.46151517819806</v>
      </c>
      <c r="D230" s="174">
        <f t="shared" si="17"/>
        <v>1909.6611818618378</v>
      </c>
      <c r="E230" s="172">
        <f t="shared" ca="1" si="18"/>
        <v>0</v>
      </c>
      <c r="F230" s="175">
        <f t="shared" ca="1" si="19"/>
        <v>197491.2548867758</v>
      </c>
    </row>
    <row r="231" spans="1:6" x14ac:dyDescent="0.35">
      <c r="A231" s="176">
        <v>221</v>
      </c>
      <c r="B231" s="172">
        <f t="shared" ca="1" si="15"/>
        <v>197491.2548867758</v>
      </c>
      <c r="C231" s="173">
        <f t="shared" ca="1" si="16"/>
        <v>658.30418295591937</v>
      </c>
      <c r="D231" s="174">
        <f t="shared" si="17"/>
        <v>1909.6611818618378</v>
      </c>
      <c r="E231" s="172">
        <f t="shared" ca="1" si="18"/>
        <v>0</v>
      </c>
      <c r="F231" s="175">
        <f t="shared" ca="1" si="19"/>
        <v>196239.89788786988</v>
      </c>
    </row>
    <row r="232" spans="1:6" x14ac:dyDescent="0.35">
      <c r="A232" s="176">
        <v>222</v>
      </c>
      <c r="B232" s="172">
        <f t="shared" ca="1" si="15"/>
        <v>196239.89788786988</v>
      </c>
      <c r="C232" s="173">
        <f t="shared" ca="1" si="16"/>
        <v>654.13299295956631</v>
      </c>
      <c r="D232" s="174">
        <f t="shared" si="17"/>
        <v>1909.6611818618378</v>
      </c>
      <c r="E232" s="172">
        <f t="shared" ca="1" si="18"/>
        <v>129</v>
      </c>
      <c r="F232" s="175">
        <f t="shared" ca="1" si="19"/>
        <v>194855.36969896761</v>
      </c>
    </row>
    <row r="233" spans="1:6" x14ac:dyDescent="0.35">
      <c r="A233" s="176">
        <v>223</v>
      </c>
      <c r="B233" s="172">
        <f t="shared" ca="1" si="15"/>
        <v>194855.36969896761</v>
      </c>
      <c r="C233" s="173">
        <f t="shared" ca="1" si="16"/>
        <v>649.51789899655876</v>
      </c>
      <c r="D233" s="174">
        <f t="shared" si="17"/>
        <v>1909.6611818618378</v>
      </c>
      <c r="E233" s="172">
        <f t="shared" ca="1" si="18"/>
        <v>0</v>
      </c>
      <c r="F233" s="175">
        <f t="shared" ca="1" si="19"/>
        <v>193595.22641610235</v>
      </c>
    </row>
    <row r="234" spans="1:6" x14ac:dyDescent="0.35">
      <c r="A234" s="176">
        <v>224</v>
      </c>
      <c r="B234" s="172">
        <f t="shared" ca="1" si="15"/>
        <v>193595.22641610235</v>
      </c>
      <c r="C234" s="173">
        <f t="shared" ca="1" si="16"/>
        <v>645.31742138700781</v>
      </c>
      <c r="D234" s="174">
        <f t="shared" si="17"/>
        <v>1909.6611818618378</v>
      </c>
      <c r="E234" s="172">
        <f t="shared" ca="1" si="18"/>
        <v>0</v>
      </c>
      <c r="F234" s="175">
        <f t="shared" ca="1" si="19"/>
        <v>192330.88265562753</v>
      </c>
    </row>
    <row r="235" spans="1:6" x14ac:dyDescent="0.35">
      <c r="A235" s="176">
        <v>225</v>
      </c>
      <c r="B235" s="172">
        <f t="shared" ca="1" si="15"/>
        <v>192330.88265562753</v>
      </c>
      <c r="C235" s="173">
        <f t="shared" ca="1" si="16"/>
        <v>641.10294218542515</v>
      </c>
      <c r="D235" s="174">
        <f t="shared" si="17"/>
        <v>1909.6611818618378</v>
      </c>
      <c r="E235" s="172">
        <f t="shared" ca="1" si="18"/>
        <v>185</v>
      </c>
      <c r="F235" s="175">
        <f t="shared" ca="1" si="19"/>
        <v>190877.32441595112</v>
      </c>
    </row>
    <row r="236" spans="1:6" x14ac:dyDescent="0.35">
      <c r="A236" s="176">
        <v>226</v>
      </c>
      <c r="B236" s="172">
        <f t="shared" ca="1" si="15"/>
        <v>190877.32441595112</v>
      </c>
      <c r="C236" s="173">
        <f t="shared" ca="1" si="16"/>
        <v>636.25774805317042</v>
      </c>
      <c r="D236" s="174">
        <f t="shared" si="17"/>
        <v>1909.6611818618378</v>
      </c>
      <c r="E236" s="172">
        <f t="shared" ca="1" si="18"/>
        <v>0</v>
      </c>
      <c r="F236" s="175">
        <f t="shared" ca="1" si="19"/>
        <v>189603.92098214247</v>
      </c>
    </row>
    <row r="237" spans="1:6" x14ac:dyDescent="0.35">
      <c r="A237" s="176">
        <v>227</v>
      </c>
      <c r="B237" s="172">
        <f t="shared" ca="1" si="15"/>
        <v>189603.92098214247</v>
      </c>
      <c r="C237" s="173">
        <f t="shared" ca="1" si="16"/>
        <v>632.01306994047491</v>
      </c>
      <c r="D237" s="174">
        <f t="shared" si="17"/>
        <v>1909.6611818618378</v>
      </c>
      <c r="E237" s="172">
        <f t="shared" ca="1" si="18"/>
        <v>0</v>
      </c>
      <c r="F237" s="175">
        <f t="shared" ca="1" si="19"/>
        <v>188326.27287022112</v>
      </c>
    </row>
    <row r="238" spans="1:6" x14ac:dyDescent="0.35">
      <c r="A238" s="176">
        <v>228</v>
      </c>
      <c r="B238" s="172">
        <f t="shared" ca="1" si="15"/>
        <v>188326.27287022112</v>
      </c>
      <c r="C238" s="173">
        <f t="shared" ca="1" si="16"/>
        <v>627.75424290073704</v>
      </c>
      <c r="D238" s="174">
        <f t="shared" si="17"/>
        <v>1909.6611818618378</v>
      </c>
      <c r="E238" s="172">
        <f t="shared" ca="1" si="18"/>
        <v>193</v>
      </c>
      <c r="F238" s="175">
        <f t="shared" ca="1" si="19"/>
        <v>186851.36593126002</v>
      </c>
    </row>
    <row r="239" spans="1:6" x14ac:dyDescent="0.35">
      <c r="A239" s="176">
        <v>229</v>
      </c>
      <c r="B239" s="172">
        <f t="shared" ca="1" si="15"/>
        <v>186851.36593126002</v>
      </c>
      <c r="C239" s="173">
        <f t="shared" ca="1" si="16"/>
        <v>622.83788643753348</v>
      </c>
      <c r="D239" s="174">
        <f t="shared" si="17"/>
        <v>1909.6611818618378</v>
      </c>
      <c r="E239" s="172">
        <f t="shared" ca="1" si="18"/>
        <v>0</v>
      </c>
      <c r="F239" s="175">
        <f t="shared" ca="1" si="19"/>
        <v>185564.54263583574</v>
      </c>
    </row>
    <row r="240" spans="1:6" x14ac:dyDescent="0.35">
      <c r="A240" s="176">
        <v>230</v>
      </c>
      <c r="B240" s="172">
        <f t="shared" ca="1" si="15"/>
        <v>185564.54263583574</v>
      </c>
      <c r="C240" s="173">
        <f t="shared" ca="1" si="16"/>
        <v>618.54847545278574</v>
      </c>
      <c r="D240" s="174">
        <f t="shared" si="17"/>
        <v>1909.6611818618378</v>
      </c>
      <c r="E240" s="172">
        <f t="shared" ca="1" si="18"/>
        <v>0</v>
      </c>
      <c r="F240" s="175">
        <f t="shared" ca="1" si="19"/>
        <v>184273.4299294267</v>
      </c>
    </row>
    <row r="241" spans="1:6" x14ac:dyDescent="0.35">
      <c r="A241" s="176">
        <v>231</v>
      </c>
      <c r="B241" s="172">
        <f t="shared" ca="1" si="15"/>
        <v>184273.4299294267</v>
      </c>
      <c r="C241" s="173">
        <f t="shared" ca="1" si="16"/>
        <v>614.24476643142236</v>
      </c>
      <c r="D241" s="174">
        <f t="shared" si="17"/>
        <v>1909.6611818618378</v>
      </c>
      <c r="E241" s="172">
        <f t="shared" ca="1" si="18"/>
        <v>196</v>
      </c>
      <c r="F241" s="175">
        <f t="shared" ca="1" si="19"/>
        <v>182782.01351399629</v>
      </c>
    </row>
    <row r="242" spans="1:6" x14ac:dyDescent="0.35">
      <c r="A242" s="176">
        <v>232</v>
      </c>
      <c r="B242" s="172">
        <f t="shared" ca="1" si="15"/>
        <v>182782.01351399629</v>
      </c>
      <c r="C242" s="173">
        <f t="shared" ca="1" si="16"/>
        <v>609.27337837998766</v>
      </c>
      <c r="D242" s="174">
        <f t="shared" si="17"/>
        <v>1909.6611818618378</v>
      </c>
      <c r="E242" s="172">
        <f t="shared" ca="1" si="18"/>
        <v>0</v>
      </c>
      <c r="F242" s="175">
        <f t="shared" ca="1" si="19"/>
        <v>181481.62571051446</v>
      </c>
    </row>
    <row r="243" spans="1:6" x14ac:dyDescent="0.35">
      <c r="A243" s="176">
        <v>233</v>
      </c>
      <c r="B243" s="172">
        <f t="shared" ca="1" si="15"/>
        <v>181481.62571051446</v>
      </c>
      <c r="C243" s="173">
        <f t="shared" ca="1" si="16"/>
        <v>604.93875236838153</v>
      </c>
      <c r="D243" s="174">
        <f t="shared" si="17"/>
        <v>1909.6611818618378</v>
      </c>
      <c r="E243" s="172">
        <f t="shared" ca="1" si="18"/>
        <v>0</v>
      </c>
      <c r="F243" s="175">
        <f t="shared" ca="1" si="19"/>
        <v>180176.90328102102</v>
      </c>
    </row>
    <row r="244" spans="1:6" x14ac:dyDescent="0.35">
      <c r="A244" s="176">
        <v>234</v>
      </c>
      <c r="B244" s="172">
        <f t="shared" ca="1" si="15"/>
        <v>180176.90328102102</v>
      </c>
      <c r="C244" s="173">
        <f t="shared" ca="1" si="16"/>
        <v>600.5896776034034</v>
      </c>
      <c r="D244" s="174">
        <f t="shared" si="17"/>
        <v>1909.6611818618378</v>
      </c>
      <c r="E244" s="172">
        <f t="shared" ca="1" si="18"/>
        <v>149</v>
      </c>
      <c r="F244" s="175">
        <f t="shared" ca="1" si="19"/>
        <v>178718.83177676258</v>
      </c>
    </row>
    <row r="245" spans="1:6" x14ac:dyDescent="0.35">
      <c r="A245" s="176">
        <v>235</v>
      </c>
      <c r="B245" s="172">
        <f t="shared" ca="1" si="15"/>
        <v>178718.83177676258</v>
      </c>
      <c r="C245" s="173">
        <f t="shared" ca="1" si="16"/>
        <v>595.72943925587526</v>
      </c>
      <c r="D245" s="174">
        <f t="shared" si="17"/>
        <v>1909.6611818618378</v>
      </c>
      <c r="E245" s="172">
        <f t="shared" ca="1" si="18"/>
        <v>0</v>
      </c>
      <c r="F245" s="175">
        <f t="shared" ca="1" si="19"/>
        <v>177404.90003415663</v>
      </c>
    </row>
    <row r="246" spans="1:6" x14ac:dyDescent="0.35">
      <c r="A246" s="176">
        <v>236</v>
      </c>
      <c r="B246" s="172">
        <f t="shared" ca="1" si="15"/>
        <v>177404.90003415663</v>
      </c>
      <c r="C246" s="173">
        <f t="shared" ca="1" si="16"/>
        <v>591.34966678052217</v>
      </c>
      <c r="D246" s="174">
        <f t="shared" si="17"/>
        <v>1909.6611818618378</v>
      </c>
      <c r="E246" s="172">
        <f t="shared" ca="1" si="18"/>
        <v>0</v>
      </c>
      <c r="F246" s="175">
        <f t="shared" ca="1" si="19"/>
        <v>176086.58851907533</v>
      </c>
    </row>
    <row r="247" spans="1:6" x14ac:dyDescent="0.35">
      <c r="A247" s="176">
        <v>237</v>
      </c>
      <c r="B247" s="172">
        <f t="shared" ca="1" si="15"/>
        <v>176086.58851907533</v>
      </c>
      <c r="C247" s="173">
        <f t="shared" ca="1" si="16"/>
        <v>586.95529506358446</v>
      </c>
      <c r="D247" s="174">
        <f t="shared" si="17"/>
        <v>1909.6611818618378</v>
      </c>
      <c r="E247" s="172">
        <f t="shared" ca="1" si="18"/>
        <v>186</v>
      </c>
      <c r="F247" s="175">
        <f t="shared" ca="1" si="19"/>
        <v>174577.88263227709</v>
      </c>
    </row>
    <row r="248" spans="1:6" x14ac:dyDescent="0.35">
      <c r="A248" s="176">
        <v>238</v>
      </c>
      <c r="B248" s="172">
        <f t="shared" ca="1" si="15"/>
        <v>174577.88263227709</v>
      </c>
      <c r="C248" s="173">
        <f t="shared" ca="1" si="16"/>
        <v>581.92627544092363</v>
      </c>
      <c r="D248" s="174">
        <f t="shared" si="17"/>
        <v>1909.6611818618378</v>
      </c>
      <c r="E248" s="172">
        <f t="shared" ca="1" si="18"/>
        <v>0</v>
      </c>
      <c r="F248" s="175">
        <f t="shared" ca="1" si="19"/>
        <v>173250.14772585619</v>
      </c>
    </row>
    <row r="249" spans="1:6" x14ac:dyDescent="0.35">
      <c r="A249" s="176">
        <v>239</v>
      </c>
      <c r="B249" s="172">
        <f t="shared" ca="1" si="15"/>
        <v>173250.14772585619</v>
      </c>
      <c r="C249" s="173">
        <f t="shared" ca="1" si="16"/>
        <v>577.50049241952058</v>
      </c>
      <c r="D249" s="174">
        <f t="shared" si="17"/>
        <v>1909.6611818618378</v>
      </c>
      <c r="E249" s="172">
        <f t="shared" ca="1" si="18"/>
        <v>0</v>
      </c>
      <c r="F249" s="175">
        <f t="shared" ca="1" si="19"/>
        <v>171917.98703641389</v>
      </c>
    </row>
    <row r="250" spans="1:6" x14ac:dyDescent="0.35">
      <c r="A250" s="176">
        <v>240</v>
      </c>
      <c r="B250" s="172">
        <f t="shared" ca="1" si="15"/>
        <v>171917.98703641389</v>
      </c>
      <c r="C250" s="173">
        <f t="shared" ca="1" si="16"/>
        <v>573.05995678804629</v>
      </c>
      <c r="D250" s="174">
        <f t="shared" si="17"/>
        <v>1909.6611818618378</v>
      </c>
      <c r="E250" s="172">
        <f t="shared" ca="1" si="18"/>
        <v>149</v>
      </c>
      <c r="F250" s="175">
        <f t="shared" ca="1" si="19"/>
        <v>170432.38581134012</v>
      </c>
    </row>
    <row r="251" spans="1:6" x14ac:dyDescent="0.35">
      <c r="A251" s="176">
        <v>241</v>
      </c>
      <c r="B251" s="172">
        <f t="shared" ca="1" si="15"/>
        <v>170432.38581134012</v>
      </c>
      <c r="C251" s="173">
        <f t="shared" ca="1" si="16"/>
        <v>568.10795270446704</v>
      </c>
      <c r="D251" s="174">
        <f t="shared" si="17"/>
        <v>1909.6611818618378</v>
      </c>
      <c r="E251" s="172">
        <f t="shared" ca="1" si="18"/>
        <v>0</v>
      </c>
      <c r="F251" s="175">
        <f t="shared" ca="1" si="19"/>
        <v>169090.83258218277</v>
      </c>
    </row>
    <row r="252" spans="1:6" x14ac:dyDescent="0.35">
      <c r="A252" s="176">
        <v>242</v>
      </c>
      <c r="B252" s="172">
        <f t="shared" ca="1" si="15"/>
        <v>169090.83258218277</v>
      </c>
      <c r="C252" s="173">
        <f t="shared" ca="1" si="16"/>
        <v>563.6361086072759</v>
      </c>
      <c r="D252" s="174">
        <f t="shared" si="17"/>
        <v>1909.6611818618378</v>
      </c>
      <c r="E252" s="172">
        <f t="shared" ca="1" si="18"/>
        <v>0</v>
      </c>
      <c r="F252" s="175">
        <f t="shared" ca="1" si="19"/>
        <v>167744.80750892824</v>
      </c>
    </row>
    <row r="253" spans="1:6" x14ac:dyDescent="0.35">
      <c r="A253" s="176">
        <v>243</v>
      </c>
      <c r="B253" s="172">
        <f t="shared" ca="1" si="15"/>
        <v>167744.80750892824</v>
      </c>
      <c r="C253" s="173">
        <f t="shared" ca="1" si="16"/>
        <v>559.14935836309417</v>
      </c>
      <c r="D253" s="174">
        <f t="shared" si="17"/>
        <v>1909.6611818618378</v>
      </c>
      <c r="E253" s="172">
        <f t="shared" ca="1" si="18"/>
        <v>192</v>
      </c>
      <c r="F253" s="175">
        <f t="shared" ca="1" si="19"/>
        <v>166202.2956854295</v>
      </c>
    </row>
    <row r="254" spans="1:6" x14ac:dyDescent="0.35">
      <c r="A254" s="176">
        <v>244</v>
      </c>
      <c r="B254" s="172">
        <f t="shared" ca="1" si="15"/>
        <v>166202.2956854295</v>
      </c>
      <c r="C254" s="173">
        <f t="shared" ca="1" si="16"/>
        <v>554.00765228476496</v>
      </c>
      <c r="D254" s="174">
        <f t="shared" si="17"/>
        <v>1909.6611818618378</v>
      </c>
      <c r="E254" s="172">
        <f t="shared" ca="1" si="18"/>
        <v>0</v>
      </c>
      <c r="F254" s="175">
        <f t="shared" ca="1" si="19"/>
        <v>164846.64215585243</v>
      </c>
    </row>
    <row r="255" spans="1:6" x14ac:dyDescent="0.35">
      <c r="A255" s="176">
        <v>245</v>
      </c>
      <c r="B255" s="172">
        <f t="shared" ca="1" si="15"/>
        <v>164846.64215585243</v>
      </c>
      <c r="C255" s="173">
        <f t="shared" ca="1" si="16"/>
        <v>549.48880718617477</v>
      </c>
      <c r="D255" s="174">
        <f t="shared" si="17"/>
        <v>1909.6611818618378</v>
      </c>
      <c r="E255" s="172">
        <f t="shared" ca="1" si="18"/>
        <v>0</v>
      </c>
      <c r="F255" s="175">
        <f t="shared" ca="1" si="19"/>
        <v>163486.46978117677</v>
      </c>
    </row>
    <row r="256" spans="1:6" x14ac:dyDescent="0.35">
      <c r="A256" s="176">
        <v>246</v>
      </c>
      <c r="B256" s="172">
        <f t="shared" ca="1" si="15"/>
        <v>163486.46978117677</v>
      </c>
      <c r="C256" s="173">
        <f t="shared" ca="1" si="16"/>
        <v>544.95489927058918</v>
      </c>
      <c r="D256" s="174">
        <f t="shared" si="17"/>
        <v>1909.6611818618378</v>
      </c>
      <c r="E256" s="172">
        <f t="shared" ca="1" si="18"/>
        <v>114</v>
      </c>
      <c r="F256" s="175">
        <f t="shared" ca="1" si="19"/>
        <v>162007.76349858553</v>
      </c>
    </row>
    <row r="257" spans="1:6" x14ac:dyDescent="0.35">
      <c r="A257" s="176">
        <v>247</v>
      </c>
      <c r="B257" s="172">
        <f t="shared" ca="1" si="15"/>
        <v>162007.76349858553</v>
      </c>
      <c r="C257" s="173">
        <f t="shared" ca="1" si="16"/>
        <v>540.02587832861843</v>
      </c>
      <c r="D257" s="174">
        <f t="shared" si="17"/>
        <v>1909.6611818618378</v>
      </c>
      <c r="E257" s="172">
        <f t="shared" ca="1" si="18"/>
        <v>0</v>
      </c>
      <c r="F257" s="175">
        <f t="shared" ca="1" si="19"/>
        <v>160638.12819505233</v>
      </c>
    </row>
    <row r="258" spans="1:6" x14ac:dyDescent="0.35">
      <c r="A258" s="176">
        <v>248</v>
      </c>
      <c r="B258" s="172">
        <f t="shared" ca="1" si="15"/>
        <v>160638.12819505233</v>
      </c>
      <c r="C258" s="173">
        <f t="shared" ca="1" si="16"/>
        <v>535.46042731684111</v>
      </c>
      <c r="D258" s="174">
        <f t="shared" si="17"/>
        <v>1909.6611818618378</v>
      </c>
      <c r="E258" s="172">
        <f t="shared" ca="1" si="18"/>
        <v>0</v>
      </c>
      <c r="F258" s="175">
        <f t="shared" ca="1" si="19"/>
        <v>159263.92744050734</v>
      </c>
    </row>
    <row r="259" spans="1:6" x14ac:dyDescent="0.35">
      <c r="A259" s="176">
        <v>249</v>
      </c>
      <c r="B259" s="172">
        <f t="shared" ca="1" si="15"/>
        <v>159263.92744050734</v>
      </c>
      <c r="C259" s="173">
        <f t="shared" ca="1" si="16"/>
        <v>530.87975813502442</v>
      </c>
      <c r="D259" s="174">
        <f t="shared" si="17"/>
        <v>1909.6611818618378</v>
      </c>
      <c r="E259" s="172">
        <f t="shared" ca="1" si="18"/>
        <v>170</v>
      </c>
      <c r="F259" s="175">
        <f t="shared" ca="1" si="19"/>
        <v>157715.14601678055</v>
      </c>
    </row>
    <row r="260" spans="1:6" x14ac:dyDescent="0.35">
      <c r="A260" s="176">
        <v>250</v>
      </c>
      <c r="B260" s="172">
        <f t="shared" ca="1" si="15"/>
        <v>157715.14601678055</v>
      </c>
      <c r="C260" s="173">
        <f t="shared" ca="1" si="16"/>
        <v>525.71715338926845</v>
      </c>
      <c r="D260" s="174">
        <f t="shared" si="17"/>
        <v>1909.6611818618378</v>
      </c>
      <c r="E260" s="172">
        <f t="shared" ca="1" si="18"/>
        <v>0</v>
      </c>
      <c r="F260" s="175">
        <f t="shared" ca="1" si="19"/>
        <v>156331.20198830799</v>
      </c>
    </row>
    <row r="261" spans="1:6" x14ac:dyDescent="0.35">
      <c r="A261" s="176">
        <v>251</v>
      </c>
      <c r="B261" s="172">
        <f t="shared" ca="1" si="15"/>
        <v>156331.20198830799</v>
      </c>
      <c r="C261" s="173">
        <f t="shared" ca="1" si="16"/>
        <v>521.10400662769337</v>
      </c>
      <c r="D261" s="174">
        <f t="shared" si="17"/>
        <v>1909.6611818618378</v>
      </c>
      <c r="E261" s="172">
        <f t="shared" ca="1" si="18"/>
        <v>0</v>
      </c>
      <c r="F261" s="175">
        <f t="shared" ca="1" si="19"/>
        <v>154942.64481307386</v>
      </c>
    </row>
    <row r="262" spans="1:6" x14ac:dyDescent="0.35">
      <c r="A262" s="176">
        <v>252</v>
      </c>
      <c r="B262" s="172">
        <f t="shared" ca="1" si="15"/>
        <v>154942.64481307386</v>
      </c>
      <c r="C262" s="173">
        <f t="shared" ca="1" si="16"/>
        <v>516.47548271024618</v>
      </c>
      <c r="D262" s="174">
        <f t="shared" si="17"/>
        <v>1909.6611818618378</v>
      </c>
      <c r="E262" s="172">
        <f t="shared" ca="1" si="18"/>
        <v>130</v>
      </c>
      <c r="F262" s="175">
        <f t="shared" ca="1" si="19"/>
        <v>153419.45911392229</v>
      </c>
    </row>
    <row r="263" spans="1:6" x14ac:dyDescent="0.35">
      <c r="A263" s="176">
        <v>253</v>
      </c>
      <c r="B263" s="172">
        <f t="shared" ca="1" si="15"/>
        <v>153419.45911392229</v>
      </c>
      <c r="C263" s="173">
        <f t="shared" ca="1" si="16"/>
        <v>511.39819704640763</v>
      </c>
      <c r="D263" s="174">
        <f t="shared" si="17"/>
        <v>1909.6611818618378</v>
      </c>
      <c r="E263" s="172">
        <f t="shared" ca="1" si="18"/>
        <v>0</v>
      </c>
      <c r="F263" s="175">
        <f t="shared" ca="1" si="19"/>
        <v>152021.19612910686</v>
      </c>
    </row>
    <row r="264" spans="1:6" x14ac:dyDescent="0.35">
      <c r="A264" s="176">
        <v>254</v>
      </c>
      <c r="B264" s="172">
        <f t="shared" ca="1" si="15"/>
        <v>152021.19612910686</v>
      </c>
      <c r="C264" s="173">
        <f t="shared" ca="1" si="16"/>
        <v>506.73732043035619</v>
      </c>
      <c r="D264" s="174">
        <f t="shared" si="17"/>
        <v>1909.6611818618378</v>
      </c>
      <c r="E264" s="172">
        <f t="shared" ca="1" si="18"/>
        <v>0</v>
      </c>
      <c r="F264" s="175">
        <f t="shared" ca="1" si="19"/>
        <v>150618.27226767538</v>
      </c>
    </row>
    <row r="265" spans="1:6" x14ac:dyDescent="0.35">
      <c r="A265" s="176">
        <v>255</v>
      </c>
      <c r="B265" s="172">
        <f t="shared" ca="1" si="15"/>
        <v>150618.27226767538</v>
      </c>
      <c r="C265" s="173">
        <f t="shared" ca="1" si="16"/>
        <v>502.06090755891796</v>
      </c>
      <c r="D265" s="174">
        <f t="shared" si="17"/>
        <v>1909.6611818618378</v>
      </c>
      <c r="E265" s="172">
        <f t="shared" ca="1" si="18"/>
        <v>185</v>
      </c>
      <c r="F265" s="175">
        <f t="shared" ca="1" si="19"/>
        <v>149025.67199337247</v>
      </c>
    </row>
    <row r="266" spans="1:6" x14ac:dyDescent="0.35">
      <c r="A266" s="176">
        <v>256</v>
      </c>
      <c r="B266" s="172">
        <f t="shared" ca="1" si="15"/>
        <v>149025.67199337247</v>
      </c>
      <c r="C266" s="173">
        <f t="shared" ca="1" si="16"/>
        <v>496.75223997790823</v>
      </c>
      <c r="D266" s="174">
        <f t="shared" si="17"/>
        <v>1909.6611818618378</v>
      </c>
      <c r="E266" s="172">
        <f t="shared" ca="1" si="18"/>
        <v>0</v>
      </c>
      <c r="F266" s="175">
        <f t="shared" ca="1" si="19"/>
        <v>147612.76305148855</v>
      </c>
    </row>
    <row r="267" spans="1:6" x14ac:dyDescent="0.35">
      <c r="A267" s="176">
        <v>257</v>
      </c>
      <c r="B267" s="172">
        <f t="shared" ca="1" si="15"/>
        <v>147612.76305148855</v>
      </c>
      <c r="C267" s="173">
        <f t="shared" ca="1" si="16"/>
        <v>492.04254350496188</v>
      </c>
      <c r="D267" s="174">
        <f t="shared" si="17"/>
        <v>1909.6611818618378</v>
      </c>
      <c r="E267" s="172">
        <f t="shared" ca="1" si="18"/>
        <v>0</v>
      </c>
      <c r="F267" s="175">
        <f t="shared" ca="1" si="19"/>
        <v>146195.1444131317</v>
      </c>
    </row>
    <row r="268" spans="1:6" x14ac:dyDescent="0.35">
      <c r="A268" s="176">
        <v>258</v>
      </c>
      <c r="B268" s="172">
        <f t="shared" ref="B268:B331" ca="1" si="20">F267</f>
        <v>146195.1444131317</v>
      </c>
      <c r="C268" s="173">
        <f t="shared" ref="C268:C331" ca="1" si="21">B268*$C$3/12</f>
        <v>487.31714804377231</v>
      </c>
      <c r="D268" s="174">
        <f t="shared" ref="D268:D331" si="22">$C$5</f>
        <v>1909.6611818618378</v>
      </c>
      <c r="E268" s="172">
        <f t="shared" ref="E268:E331" ca="1" si="23">IF(MOD(A268,3)=0,RANDBETWEEN(100,200),0)</f>
        <v>159</v>
      </c>
      <c r="F268" s="175">
        <f t="shared" ref="F268:F331" ca="1" si="24">B268+C268-D268-E268</f>
        <v>144613.80037931364</v>
      </c>
    </row>
    <row r="269" spans="1:6" x14ac:dyDescent="0.35">
      <c r="A269" s="176">
        <v>259</v>
      </c>
      <c r="B269" s="172">
        <f t="shared" ca="1" si="20"/>
        <v>144613.80037931364</v>
      </c>
      <c r="C269" s="173">
        <f t="shared" ca="1" si="21"/>
        <v>482.04600126437884</v>
      </c>
      <c r="D269" s="174">
        <f t="shared" si="22"/>
        <v>1909.6611818618378</v>
      </c>
      <c r="E269" s="172">
        <f t="shared" ca="1" si="23"/>
        <v>0</v>
      </c>
      <c r="F269" s="175">
        <f t="shared" ca="1" si="24"/>
        <v>143186.18519871621</v>
      </c>
    </row>
    <row r="270" spans="1:6" x14ac:dyDescent="0.35">
      <c r="A270" s="176">
        <v>260</v>
      </c>
      <c r="B270" s="172">
        <f t="shared" ca="1" si="20"/>
        <v>143186.18519871621</v>
      </c>
      <c r="C270" s="173">
        <f t="shared" ca="1" si="21"/>
        <v>477.28728399572066</v>
      </c>
      <c r="D270" s="174">
        <f t="shared" si="22"/>
        <v>1909.6611818618378</v>
      </c>
      <c r="E270" s="172">
        <f t="shared" ca="1" si="23"/>
        <v>0</v>
      </c>
      <c r="F270" s="175">
        <f t="shared" ca="1" si="24"/>
        <v>141753.81130085009</v>
      </c>
    </row>
    <row r="271" spans="1:6" x14ac:dyDescent="0.35">
      <c r="A271" s="176">
        <v>261</v>
      </c>
      <c r="B271" s="172">
        <f t="shared" ca="1" si="20"/>
        <v>141753.81130085009</v>
      </c>
      <c r="C271" s="173">
        <f t="shared" ca="1" si="21"/>
        <v>472.51270433616696</v>
      </c>
      <c r="D271" s="174">
        <f t="shared" si="22"/>
        <v>1909.6611818618378</v>
      </c>
      <c r="E271" s="172">
        <f t="shared" ca="1" si="23"/>
        <v>159</v>
      </c>
      <c r="F271" s="175">
        <f t="shared" ca="1" si="24"/>
        <v>140157.66282332444</v>
      </c>
    </row>
    <row r="272" spans="1:6" x14ac:dyDescent="0.35">
      <c r="A272" s="176">
        <v>262</v>
      </c>
      <c r="B272" s="172">
        <f t="shared" ca="1" si="20"/>
        <v>140157.66282332444</v>
      </c>
      <c r="C272" s="173">
        <f t="shared" ca="1" si="21"/>
        <v>467.19220941108148</v>
      </c>
      <c r="D272" s="174">
        <f t="shared" si="22"/>
        <v>1909.6611818618378</v>
      </c>
      <c r="E272" s="172">
        <f t="shared" ca="1" si="23"/>
        <v>0</v>
      </c>
      <c r="F272" s="175">
        <f t="shared" ca="1" si="24"/>
        <v>138715.19385087371</v>
      </c>
    </row>
    <row r="273" spans="1:6" x14ac:dyDescent="0.35">
      <c r="A273" s="176">
        <v>263</v>
      </c>
      <c r="B273" s="172">
        <f t="shared" ca="1" si="20"/>
        <v>138715.19385087371</v>
      </c>
      <c r="C273" s="173">
        <f t="shared" ca="1" si="21"/>
        <v>462.38397950291238</v>
      </c>
      <c r="D273" s="174">
        <f t="shared" si="22"/>
        <v>1909.6611818618378</v>
      </c>
      <c r="E273" s="172">
        <f t="shared" ca="1" si="23"/>
        <v>0</v>
      </c>
      <c r="F273" s="175">
        <f t="shared" ca="1" si="24"/>
        <v>137267.9166485148</v>
      </c>
    </row>
    <row r="274" spans="1:6" x14ac:dyDescent="0.35">
      <c r="A274" s="176">
        <v>264</v>
      </c>
      <c r="B274" s="172">
        <f t="shared" ca="1" si="20"/>
        <v>137267.9166485148</v>
      </c>
      <c r="C274" s="173">
        <f t="shared" ca="1" si="21"/>
        <v>457.55972216171602</v>
      </c>
      <c r="D274" s="174">
        <f t="shared" si="22"/>
        <v>1909.6611818618378</v>
      </c>
      <c r="E274" s="172">
        <f t="shared" ca="1" si="23"/>
        <v>158</v>
      </c>
      <c r="F274" s="175">
        <f t="shared" ca="1" si="24"/>
        <v>135657.81518881468</v>
      </c>
    </row>
    <row r="275" spans="1:6" x14ac:dyDescent="0.35">
      <c r="A275" s="176">
        <v>265</v>
      </c>
      <c r="B275" s="172">
        <f t="shared" ca="1" si="20"/>
        <v>135657.81518881468</v>
      </c>
      <c r="C275" s="173">
        <f t="shared" ca="1" si="21"/>
        <v>452.1927172960489</v>
      </c>
      <c r="D275" s="174">
        <f t="shared" si="22"/>
        <v>1909.6611818618378</v>
      </c>
      <c r="E275" s="172">
        <f t="shared" ca="1" si="23"/>
        <v>0</v>
      </c>
      <c r="F275" s="175">
        <f t="shared" ca="1" si="24"/>
        <v>134200.3467242489</v>
      </c>
    </row>
    <row r="276" spans="1:6" x14ac:dyDescent="0.35">
      <c r="A276" s="176">
        <v>266</v>
      </c>
      <c r="B276" s="172">
        <f t="shared" ca="1" si="20"/>
        <v>134200.3467242489</v>
      </c>
      <c r="C276" s="173">
        <f t="shared" ca="1" si="21"/>
        <v>447.33448908082966</v>
      </c>
      <c r="D276" s="174">
        <f t="shared" si="22"/>
        <v>1909.6611818618378</v>
      </c>
      <c r="E276" s="172">
        <f t="shared" ca="1" si="23"/>
        <v>0</v>
      </c>
      <c r="F276" s="175">
        <f t="shared" ca="1" si="24"/>
        <v>132738.0200314679</v>
      </c>
    </row>
    <row r="277" spans="1:6" x14ac:dyDescent="0.35">
      <c r="A277" s="176">
        <v>267</v>
      </c>
      <c r="B277" s="172">
        <f t="shared" ca="1" si="20"/>
        <v>132738.0200314679</v>
      </c>
      <c r="C277" s="173">
        <f t="shared" ca="1" si="21"/>
        <v>442.4600667715597</v>
      </c>
      <c r="D277" s="174">
        <f t="shared" si="22"/>
        <v>1909.6611818618378</v>
      </c>
      <c r="E277" s="172">
        <f t="shared" ca="1" si="23"/>
        <v>114</v>
      </c>
      <c r="F277" s="175">
        <f t="shared" ca="1" si="24"/>
        <v>131156.81891637764</v>
      </c>
    </row>
    <row r="278" spans="1:6" x14ac:dyDescent="0.35">
      <c r="A278" s="176">
        <v>268</v>
      </c>
      <c r="B278" s="172">
        <f t="shared" ca="1" si="20"/>
        <v>131156.81891637764</v>
      </c>
      <c r="C278" s="173">
        <f t="shared" ca="1" si="21"/>
        <v>437.18939638792546</v>
      </c>
      <c r="D278" s="174">
        <f t="shared" si="22"/>
        <v>1909.6611818618378</v>
      </c>
      <c r="E278" s="172">
        <f t="shared" ca="1" si="23"/>
        <v>0</v>
      </c>
      <c r="F278" s="175">
        <f t="shared" ca="1" si="24"/>
        <v>129684.34713090373</v>
      </c>
    </row>
    <row r="279" spans="1:6" x14ac:dyDescent="0.35">
      <c r="A279" s="176">
        <v>269</v>
      </c>
      <c r="B279" s="172">
        <f t="shared" ca="1" si="20"/>
        <v>129684.34713090373</v>
      </c>
      <c r="C279" s="173">
        <f t="shared" ca="1" si="21"/>
        <v>432.28115710301245</v>
      </c>
      <c r="D279" s="174">
        <f t="shared" si="22"/>
        <v>1909.6611818618378</v>
      </c>
      <c r="E279" s="172">
        <f t="shared" ca="1" si="23"/>
        <v>0</v>
      </c>
      <c r="F279" s="175">
        <f t="shared" ca="1" si="24"/>
        <v>128206.9671061449</v>
      </c>
    </row>
    <row r="280" spans="1:6" x14ac:dyDescent="0.35">
      <c r="A280" s="176">
        <v>270</v>
      </c>
      <c r="B280" s="172">
        <f t="shared" ca="1" si="20"/>
        <v>128206.9671061449</v>
      </c>
      <c r="C280" s="173">
        <f t="shared" ca="1" si="21"/>
        <v>427.35655702048302</v>
      </c>
      <c r="D280" s="174">
        <f t="shared" si="22"/>
        <v>1909.6611818618378</v>
      </c>
      <c r="E280" s="172">
        <f t="shared" ca="1" si="23"/>
        <v>199</v>
      </c>
      <c r="F280" s="175">
        <f t="shared" ca="1" si="24"/>
        <v>126525.66248130355</v>
      </c>
    </row>
    <row r="281" spans="1:6" x14ac:dyDescent="0.35">
      <c r="A281" s="176">
        <v>271</v>
      </c>
      <c r="B281" s="172">
        <f t="shared" ca="1" si="20"/>
        <v>126525.66248130355</v>
      </c>
      <c r="C281" s="173">
        <f t="shared" ca="1" si="21"/>
        <v>421.7522082710118</v>
      </c>
      <c r="D281" s="174">
        <f t="shared" si="22"/>
        <v>1909.6611818618378</v>
      </c>
      <c r="E281" s="172">
        <f t="shared" ca="1" si="23"/>
        <v>0</v>
      </c>
      <c r="F281" s="175">
        <f t="shared" ca="1" si="24"/>
        <v>125037.75350771271</v>
      </c>
    </row>
    <row r="282" spans="1:6" x14ac:dyDescent="0.35">
      <c r="A282" s="176">
        <v>272</v>
      </c>
      <c r="B282" s="172">
        <f t="shared" ca="1" si="20"/>
        <v>125037.75350771271</v>
      </c>
      <c r="C282" s="173">
        <f t="shared" ca="1" si="21"/>
        <v>416.79251169237568</v>
      </c>
      <c r="D282" s="174">
        <f t="shared" si="22"/>
        <v>1909.6611818618378</v>
      </c>
      <c r="E282" s="172">
        <f t="shared" ca="1" si="23"/>
        <v>0</v>
      </c>
      <c r="F282" s="175">
        <f t="shared" ca="1" si="24"/>
        <v>123544.88483754324</v>
      </c>
    </row>
    <row r="283" spans="1:6" x14ac:dyDescent="0.35">
      <c r="A283" s="176">
        <v>273</v>
      </c>
      <c r="B283" s="172">
        <f t="shared" ca="1" si="20"/>
        <v>123544.88483754324</v>
      </c>
      <c r="C283" s="173">
        <f t="shared" ca="1" si="21"/>
        <v>411.81628279181081</v>
      </c>
      <c r="D283" s="174">
        <f t="shared" si="22"/>
        <v>1909.6611818618378</v>
      </c>
      <c r="E283" s="172">
        <f t="shared" ca="1" si="23"/>
        <v>138</v>
      </c>
      <c r="F283" s="175">
        <f t="shared" ca="1" si="24"/>
        <v>121909.03993847322</v>
      </c>
    </row>
    <row r="284" spans="1:6" x14ac:dyDescent="0.35">
      <c r="A284" s="176">
        <v>274</v>
      </c>
      <c r="B284" s="172">
        <f t="shared" ca="1" si="20"/>
        <v>121909.03993847322</v>
      </c>
      <c r="C284" s="173">
        <f t="shared" ca="1" si="21"/>
        <v>406.36346646157739</v>
      </c>
      <c r="D284" s="174">
        <f t="shared" si="22"/>
        <v>1909.6611818618378</v>
      </c>
      <c r="E284" s="172">
        <f t="shared" ca="1" si="23"/>
        <v>0</v>
      </c>
      <c r="F284" s="175">
        <f t="shared" ca="1" si="24"/>
        <v>120405.74222307296</v>
      </c>
    </row>
    <row r="285" spans="1:6" x14ac:dyDescent="0.35">
      <c r="A285" s="176">
        <v>275</v>
      </c>
      <c r="B285" s="172">
        <f t="shared" ca="1" si="20"/>
        <v>120405.74222307296</v>
      </c>
      <c r="C285" s="173">
        <f t="shared" ca="1" si="21"/>
        <v>401.35247407690986</v>
      </c>
      <c r="D285" s="174">
        <f t="shared" si="22"/>
        <v>1909.6611818618378</v>
      </c>
      <c r="E285" s="172">
        <f t="shared" ca="1" si="23"/>
        <v>0</v>
      </c>
      <c r="F285" s="175">
        <f t="shared" ca="1" si="24"/>
        <v>118897.43351528802</v>
      </c>
    </row>
    <row r="286" spans="1:6" x14ac:dyDescent="0.35">
      <c r="A286" s="176">
        <v>276</v>
      </c>
      <c r="B286" s="172">
        <f t="shared" ca="1" si="20"/>
        <v>118897.43351528802</v>
      </c>
      <c r="C286" s="173">
        <f t="shared" ca="1" si="21"/>
        <v>396.32477838429344</v>
      </c>
      <c r="D286" s="174">
        <f t="shared" si="22"/>
        <v>1909.6611818618378</v>
      </c>
      <c r="E286" s="172">
        <f t="shared" ca="1" si="23"/>
        <v>163</v>
      </c>
      <c r="F286" s="175">
        <f t="shared" ca="1" si="24"/>
        <v>117221.09711181048</v>
      </c>
    </row>
    <row r="287" spans="1:6" x14ac:dyDescent="0.35">
      <c r="A287" s="176">
        <v>277</v>
      </c>
      <c r="B287" s="172">
        <f t="shared" ca="1" si="20"/>
        <v>117221.09711181048</v>
      </c>
      <c r="C287" s="173">
        <f t="shared" ca="1" si="21"/>
        <v>390.73699037270165</v>
      </c>
      <c r="D287" s="174">
        <f t="shared" si="22"/>
        <v>1909.6611818618378</v>
      </c>
      <c r="E287" s="172">
        <f t="shared" ca="1" si="23"/>
        <v>0</v>
      </c>
      <c r="F287" s="175">
        <f t="shared" ca="1" si="24"/>
        <v>115702.17292032135</v>
      </c>
    </row>
    <row r="288" spans="1:6" x14ac:dyDescent="0.35">
      <c r="A288" s="176">
        <v>278</v>
      </c>
      <c r="B288" s="172">
        <f t="shared" ca="1" si="20"/>
        <v>115702.17292032135</v>
      </c>
      <c r="C288" s="173">
        <f t="shared" ca="1" si="21"/>
        <v>385.6739097344045</v>
      </c>
      <c r="D288" s="174">
        <f t="shared" si="22"/>
        <v>1909.6611818618378</v>
      </c>
      <c r="E288" s="172">
        <f t="shared" ca="1" si="23"/>
        <v>0</v>
      </c>
      <c r="F288" s="175">
        <f t="shared" ca="1" si="24"/>
        <v>114178.18564819392</v>
      </c>
    </row>
    <row r="289" spans="1:6" x14ac:dyDescent="0.35">
      <c r="A289" s="176">
        <v>279</v>
      </c>
      <c r="B289" s="172">
        <f t="shared" ca="1" si="20"/>
        <v>114178.18564819392</v>
      </c>
      <c r="C289" s="173">
        <f t="shared" ca="1" si="21"/>
        <v>380.59395216064644</v>
      </c>
      <c r="D289" s="174">
        <f t="shared" si="22"/>
        <v>1909.6611818618378</v>
      </c>
      <c r="E289" s="172">
        <f t="shared" ca="1" si="23"/>
        <v>108</v>
      </c>
      <c r="F289" s="175">
        <f t="shared" ca="1" si="24"/>
        <v>112541.11841849273</v>
      </c>
    </row>
    <row r="290" spans="1:6" x14ac:dyDescent="0.35">
      <c r="A290" s="176">
        <v>280</v>
      </c>
      <c r="B290" s="172">
        <f t="shared" ca="1" si="20"/>
        <v>112541.11841849273</v>
      </c>
      <c r="C290" s="173">
        <f t="shared" ca="1" si="21"/>
        <v>375.13706139497577</v>
      </c>
      <c r="D290" s="174">
        <f t="shared" si="22"/>
        <v>1909.6611818618378</v>
      </c>
      <c r="E290" s="172">
        <f t="shared" ca="1" si="23"/>
        <v>0</v>
      </c>
      <c r="F290" s="175">
        <f t="shared" ca="1" si="24"/>
        <v>111006.59429802586</v>
      </c>
    </row>
    <row r="291" spans="1:6" x14ac:dyDescent="0.35">
      <c r="A291" s="176">
        <v>281</v>
      </c>
      <c r="B291" s="172">
        <f t="shared" ca="1" si="20"/>
        <v>111006.59429802586</v>
      </c>
      <c r="C291" s="173">
        <f t="shared" ca="1" si="21"/>
        <v>370.0219809934195</v>
      </c>
      <c r="D291" s="174">
        <f t="shared" si="22"/>
        <v>1909.6611818618378</v>
      </c>
      <c r="E291" s="172">
        <f t="shared" ca="1" si="23"/>
        <v>0</v>
      </c>
      <c r="F291" s="175">
        <f t="shared" ca="1" si="24"/>
        <v>109466.95509715744</v>
      </c>
    </row>
    <row r="292" spans="1:6" x14ac:dyDescent="0.35">
      <c r="A292" s="176">
        <v>282</v>
      </c>
      <c r="B292" s="172">
        <f t="shared" ca="1" si="20"/>
        <v>109466.95509715744</v>
      </c>
      <c r="C292" s="173">
        <f t="shared" ca="1" si="21"/>
        <v>364.88985032385813</v>
      </c>
      <c r="D292" s="174">
        <f t="shared" si="22"/>
        <v>1909.6611818618378</v>
      </c>
      <c r="E292" s="172">
        <f t="shared" ca="1" si="23"/>
        <v>189</v>
      </c>
      <c r="F292" s="175">
        <f t="shared" ca="1" si="24"/>
        <v>107733.18376561945</v>
      </c>
    </row>
    <row r="293" spans="1:6" x14ac:dyDescent="0.35">
      <c r="A293" s="176">
        <v>283</v>
      </c>
      <c r="B293" s="172">
        <f t="shared" ca="1" si="20"/>
        <v>107733.18376561945</v>
      </c>
      <c r="C293" s="173">
        <f t="shared" ca="1" si="21"/>
        <v>359.11061255206482</v>
      </c>
      <c r="D293" s="174">
        <f t="shared" si="22"/>
        <v>1909.6611818618378</v>
      </c>
      <c r="E293" s="172">
        <f t="shared" ca="1" si="23"/>
        <v>0</v>
      </c>
      <c r="F293" s="175">
        <f t="shared" ca="1" si="24"/>
        <v>106182.63319630967</v>
      </c>
    </row>
    <row r="294" spans="1:6" x14ac:dyDescent="0.35">
      <c r="A294" s="176">
        <v>284</v>
      </c>
      <c r="B294" s="172">
        <f t="shared" ca="1" si="20"/>
        <v>106182.63319630967</v>
      </c>
      <c r="C294" s="173">
        <f t="shared" ca="1" si="21"/>
        <v>353.94211065436554</v>
      </c>
      <c r="D294" s="174">
        <f t="shared" si="22"/>
        <v>1909.6611818618378</v>
      </c>
      <c r="E294" s="172">
        <f t="shared" ca="1" si="23"/>
        <v>0</v>
      </c>
      <c r="F294" s="175">
        <f t="shared" ca="1" si="24"/>
        <v>104626.91412510219</v>
      </c>
    </row>
    <row r="295" spans="1:6" x14ac:dyDescent="0.35">
      <c r="A295" s="176">
        <v>285</v>
      </c>
      <c r="B295" s="172">
        <f t="shared" ca="1" si="20"/>
        <v>104626.91412510219</v>
      </c>
      <c r="C295" s="173">
        <f t="shared" ca="1" si="21"/>
        <v>348.75638041700728</v>
      </c>
      <c r="D295" s="174">
        <f t="shared" si="22"/>
        <v>1909.6611818618378</v>
      </c>
      <c r="E295" s="172">
        <f t="shared" ca="1" si="23"/>
        <v>119</v>
      </c>
      <c r="F295" s="175">
        <f t="shared" ca="1" si="24"/>
        <v>102947.00932365736</v>
      </c>
    </row>
    <row r="296" spans="1:6" x14ac:dyDescent="0.35">
      <c r="A296" s="176">
        <v>286</v>
      </c>
      <c r="B296" s="172">
        <f t="shared" ca="1" si="20"/>
        <v>102947.00932365736</v>
      </c>
      <c r="C296" s="173">
        <f t="shared" ca="1" si="21"/>
        <v>343.15669774552453</v>
      </c>
      <c r="D296" s="174">
        <f t="shared" si="22"/>
        <v>1909.6611818618378</v>
      </c>
      <c r="E296" s="172">
        <f t="shared" ca="1" si="23"/>
        <v>0</v>
      </c>
      <c r="F296" s="175">
        <f t="shared" ca="1" si="24"/>
        <v>101380.50483954104</v>
      </c>
    </row>
    <row r="297" spans="1:6" x14ac:dyDescent="0.35">
      <c r="A297" s="176">
        <v>287</v>
      </c>
      <c r="B297" s="172">
        <f t="shared" ca="1" si="20"/>
        <v>101380.50483954104</v>
      </c>
      <c r="C297" s="173">
        <f t="shared" ca="1" si="21"/>
        <v>337.93501613180348</v>
      </c>
      <c r="D297" s="174">
        <f t="shared" si="22"/>
        <v>1909.6611818618378</v>
      </c>
      <c r="E297" s="172">
        <f t="shared" ca="1" si="23"/>
        <v>0</v>
      </c>
      <c r="F297" s="175">
        <f t="shared" ca="1" si="24"/>
        <v>99808.778673811001</v>
      </c>
    </row>
    <row r="298" spans="1:6" x14ac:dyDescent="0.35">
      <c r="A298" s="176">
        <v>288</v>
      </c>
      <c r="B298" s="172">
        <f t="shared" ca="1" si="20"/>
        <v>99808.778673811001</v>
      </c>
      <c r="C298" s="173">
        <f t="shared" ca="1" si="21"/>
        <v>332.69592891270332</v>
      </c>
      <c r="D298" s="174">
        <f t="shared" si="22"/>
        <v>1909.6611818618378</v>
      </c>
      <c r="E298" s="172">
        <f t="shared" ca="1" si="23"/>
        <v>200</v>
      </c>
      <c r="F298" s="175">
        <f t="shared" ca="1" si="24"/>
        <v>98031.813420861858</v>
      </c>
    </row>
    <row r="299" spans="1:6" x14ac:dyDescent="0.35">
      <c r="A299" s="176">
        <v>289</v>
      </c>
      <c r="B299" s="172">
        <f t="shared" ca="1" si="20"/>
        <v>98031.813420861858</v>
      </c>
      <c r="C299" s="173">
        <f t="shared" ca="1" si="21"/>
        <v>326.77271140287286</v>
      </c>
      <c r="D299" s="174">
        <f t="shared" si="22"/>
        <v>1909.6611818618378</v>
      </c>
      <c r="E299" s="172">
        <f t="shared" ca="1" si="23"/>
        <v>0</v>
      </c>
      <c r="F299" s="175">
        <f t="shared" ca="1" si="24"/>
        <v>96448.924950402885</v>
      </c>
    </row>
    <row r="300" spans="1:6" x14ac:dyDescent="0.35">
      <c r="A300" s="176">
        <v>290</v>
      </c>
      <c r="B300" s="172">
        <f t="shared" ca="1" si="20"/>
        <v>96448.924950402885</v>
      </c>
      <c r="C300" s="173">
        <f t="shared" ca="1" si="21"/>
        <v>321.49641650134294</v>
      </c>
      <c r="D300" s="174">
        <f t="shared" si="22"/>
        <v>1909.6611818618378</v>
      </c>
      <c r="E300" s="172">
        <f t="shared" ca="1" si="23"/>
        <v>0</v>
      </c>
      <c r="F300" s="175">
        <f t="shared" ca="1" si="24"/>
        <v>94860.760185042382</v>
      </c>
    </row>
    <row r="301" spans="1:6" x14ac:dyDescent="0.35">
      <c r="A301" s="176">
        <v>291</v>
      </c>
      <c r="B301" s="172">
        <f t="shared" ca="1" si="20"/>
        <v>94860.760185042382</v>
      </c>
      <c r="C301" s="173">
        <f t="shared" ca="1" si="21"/>
        <v>316.20253395014129</v>
      </c>
      <c r="D301" s="174">
        <f t="shared" si="22"/>
        <v>1909.6611818618378</v>
      </c>
      <c r="E301" s="172">
        <f t="shared" ca="1" si="23"/>
        <v>184</v>
      </c>
      <c r="F301" s="175">
        <f t="shared" ca="1" si="24"/>
        <v>93083.301537130683</v>
      </c>
    </row>
    <row r="302" spans="1:6" x14ac:dyDescent="0.35">
      <c r="A302" s="176">
        <v>292</v>
      </c>
      <c r="B302" s="172">
        <f t="shared" ca="1" si="20"/>
        <v>93083.301537130683</v>
      </c>
      <c r="C302" s="173">
        <f t="shared" ca="1" si="21"/>
        <v>310.27767179043559</v>
      </c>
      <c r="D302" s="174">
        <f t="shared" si="22"/>
        <v>1909.6611818618378</v>
      </c>
      <c r="E302" s="172">
        <f t="shared" ca="1" si="23"/>
        <v>0</v>
      </c>
      <c r="F302" s="175">
        <f t="shared" ca="1" si="24"/>
        <v>91483.918027059277</v>
      </c>
    </row>
    <row r="303" spans="1:6" x14ac:dyDescent="0.35">
      <c r="A303" s="176">
        <v>293</v>
      </c>
      <c r="B303" s="172">
        <f t="shared" ca="1" si="20"/>
        <v>91483.918027059277</v>
      </c>
      <c r="C303" s="173">
        <f t="shared" ca="1" si="21"/>
        <v>304.94639342353094</v>
      </c>
      <c r="D303" s="174">
        <f t="shared" si="22"/>
        <v>1909.6611818618378</v>
      </c>
      <c r="E303" s="172">
        <f t="shared" ca="1" si="23"/>
        <v>0</v>
      </c>
      <c r="F303" s="175">
        <f t="shared" ca="1" si="24"/>
        <v>89879.203238620961</v>
      </c>
    </row>
    <row r="304" spans="1:6" x14ac:dyDescent="0.35">
      <c r="A304" s="176">
        <v>294</v>
      </c>
      <c r="B304" s="172">
        <f t="shared" ca="1" si="20"/>
        <v>89879.203238620961</v>
      </c>
      <c r="C304" s="173">
        <f t="shared" ca="1" si="21"/>
        <v>299.59734412873655</v>
      </c>
      <c r="D304" s="174">
        <f t="shared" si="22"/>
        <v>1909.6611818618378</v>
      </c>
      <c r="E304" s="172">
        <f t="shared" ca="1" si="23"/>
        <v>102</v>
      </c>
      <c r="F304" s="175">
        <f t="shared" ca="1" si="24"/>
        <v>88167.139400887856</v>
      </c>
    </row>
    <row r="305" spans="1:6" x14ac:dyDescent="0.35">
      <c r="A305" s="176">
        <v>295</v>
      </c>
      <c r="B305" s="172">
        <f t="shared" ca="1" si="20"/>
        <v>88167.139400887856</v>
      </c>
      <c r="C305" s="173">
        <f t="shared" ca="1" si="21"/>
        <v>293.89046466962617</v>
      </c>
      <c r="D305" s="174">
        <f t="shared" si="22"/>
        <v>1909.6611818618378</v>
      </c>
      <c r="E305" s="172">
        <f t="shared" ca="1" si="23"/>
        <v>0</v>
      </c>
      <c r="F305" s="175">
        <f t="shared" ca="1" si="24"/>
        <v>86551.368683695648</v>
      </c>
    </row>
    <row r="306" spans="1:6" x14ac:dyDescent="0.35">
      <c r="A306" s="176">
        <v>296</v>
      </c>
      <c r="B306" s="172">
        <f t="shared" ca="1" si="20"/>
        <v>86551.368683695648</v>
      </c>
      <c r="C306" s="173">
        <f t="shared" ca="1" si="21"/>
        <v>288.50456227898547</v>
      </c>
      <c r="D306" s="174">
        <f t="shared" si="22"/>
        <v>1909.6611818618378</v>
      </c>
      <c r="E306" s="172">
        <f t="shared" ca="1" si="23"/>
        <v>0</v>
      </c>
      <c r="F306" s="175">
        <f t="shared" ca="1" si="24"/>
        <v>84930.212064112799</v>
      </c>
    </row>
    <row r="307" spans="1:6" x14ac:dyDescent="0.35">
      <c r="A307" s="176">
        <v>297</v>
      </c>
      <c r="B307" s="172">
        <f t="shared" ca="1" si="20"/>
        <v>84930.212064112799</v>
      </c>
      <c r="C307" s="173">
        <f t="shared" ca="1" si="21"/>
        <v>283.10070688037598</v>
      </c>
      <c r="D307" s="174">
        <f t="shared" si="22"/>
        <v>1909.6611818618378</v>
      </c>
      <c r="E307" s="172">
        <f t="shared" ca="1" si="23"/>
        <v>166</v>
      </c>
      <c r="F307" s="175">
        <f t="shared" ca="1" si="24"/>
        <v>83137.651589131332</v>
      </c>
    </row>
    <row r="308" spans="1:6" x14ac:dyDescent="0.35">
      <c r="A308" s="176">
        <v>298</v>
      </c>
      <c r="B308" s="172">
        <f t="shared" ca="1" si="20"/>
        <v>83137.651589131332</v>
      </c>
      <c r="C308" s="173">
        <f t="shared" ca="1" si="21"/>
        <v>277.12550529710444</v>
      </c>
      <c r="D308" s="174">
        <f t="shared" si="22"/>
        <v>1909.6611818618378</v>
      </c>
      <c r="E308" s="172">
        <f t="shared" ca="1" si="23"/>
        <v>0</v>
      </c>
      <c r="F308" s="175">
        <f t="shared" ca="1" si="24"/>
        <v>81505.115912566602</v>
      </c>
    </row>
    <row r="309" spans="1:6" x14ac:dyDescent="0.35">
      <c r="A309" s="176">
        <v>299</v>
      </c>
      <c r="B309" s="172">
        <f t="shared" ca="1" si="20"/>
        <v>81505.115912566602</v>
      </c>
      <c r="C309" s="173">
        <f t="shared" ca="1" si="21"/>
        <v>271.68371970855532</v>
      </c>
      <c r="D309" s="174">
        <f t="shared" si="22"/>
        <v>1909.6611818618378</v>
      </c>
      <c r="E309" s="172">
        <f t="shared" ca="1" si="23"/>
        <v>0</v>
      </c>
      <c r="F309" s="175">
        <f t="shared" ca="1" si="24"/>
        <v>79867.138450413317</v>
      </c>
    </row>
    <row r="310" spans="1:6" x14ac:dyDescent="0.35">
      <c r="A310" s="176">
        <v>300</v>
      </c>
      <c r="B310" s="172">
        <f t="shared" ca="1" si="20"/>
        <v>79867.138450413317</v>
      </c>
      <c r="C310" s="173">
        <f t="shared" ca="1" si="21"/>
        <v>266.22379483471104</v>
      </c>
      <c r="D310" s="174">
        <f t="shared" si="22"/>
        <v>1909.6611818618378</v>
      </c>
      <c r="E310" s="172">
        <f t="shared" ca="1" si="23"/>
        <v>159</v>
      </c>
      <c r="F310" s="175">
        <f t="shared" ca="1" si="24"/>
        <v>78064.701063386194</v>
      </c>
    </row>
    <row r="311" spans="1:6" x14ac:dyDescent="0.35">
      <c r="A311" s="176">
        <v>301</v>
      </c>
      <c r="B311" s="172">
        <f t="shared" ca="1" si="20"/>
        <v>78064.701063386194</v>
      </c>
      <c r="C311" s="173">
        <f t="shared" ca="1" si="21"/>
        <v>260.21567021128732</v>
      </c>
      <c r="D311" s="174">
        <f t="shared" si="22"/>
        <v>1909.6611818618378</v>
      </c>
      <c r="E311" s="172">
        <f t="shared" ca="1" si="23"/>
        <v>0</v>
      </c>
      <c r="F311" s="175">
        <f t="shared" ca="1" si="24"/>
        <v>76415.255551735638</v>
      </c>
    </row>
    <row r="312" spans="1:6" x14ac:dyDescent="0.35">
      <c r="A312" s="176">
        <v>302</v>
      </c>
      <c r="B312" s="172">
        <f t="shared" ca="1" si="20"/>
        <v>76415.255551735638</v>
      </c>
      <c r="C312" s="173">
        <f t="shared" ca="1" si="21"/>
        <v>254.71751850578548</v>
      </c>
      <c r="D312" s="174">
        <f t="shared" si="22"/>
        <v>1909.6611818618378</v>
      </c>
      <c r="E312" s="172">
        <f t="shared" ca="1" si="23"/>
        <v>0</v>
      </c>
      <c r="F312" s="175">
        <f t="shared" ca="1" si="24"/>
        <v>74760.311888379583</v>
      </c>
    </row>
    <row r="313" spans="1:6" x14ac:dyDescent="0.35">
      <c r="A313" s="176">
        <v>303</v>
      </c>
      <c r="B313" s="172">
        <f t="shared" ca="1" si="20"/>
        <v>74760.311888379583</v>
      </c>
      <c r="C313" s="173">
        <f t="shared" ca="1" si="21"/>
        <v>249.20103962793198</v>
      </c>
      <c r="D313" s="174">
        <f t="shared" si="22"/>
        <v>1909.6611818618378</v>
      </c>
      <c r="E313" s="172">
        <f t="shared" ca="1" si="23"/>
        <v>190</v>
      </c>
      <c r="F313" s="175">
        <f t="shared" ca="1" si="24"/>
        <v>72909.851746145679</v>
      </c>
    </row>
    <row r="314" spans="1:6" x14ac:dyDescent="0.35">
      <c r="A314" s="176">
        <v>304</v>
      </c>
      <c r="B314" s="172">
        <f t="shared" ca="1" si="20"/>
        <v>72909.851746145679</v>
      </c>
      <c r="C314" s="173">
        <f t="shared" ca="1" si="21"/>
        <v>243.03283915381894</v>
      </c>
      <c r="D314" s="174">
        <f t="shared" si="22"/>
        <v>1909.6611818618378</v>
      </c>
      <c r="E314" s="172">
        <f t="shared" ca="1" si="23"/>
        <v>0</v>
      </c>
      <c r="F314" s="175">
        <f t="shared" ca="1" si="24"/>
        <v>71243.22340343766</v>
      </c>
    </row>
    <row r="315" spans="1:6" x14ac:dyDescent="0.35">
      <c r="A315" s="176">
        <v>305</v>
      </c>
      <c r="B315" s="172">
        <f t="shared" ca="1" si="20"/>
        <v>71243.22340343766</v>
      </c>
      <c r="C315" s="173">
        <f t="shared" ca="1" si="21"/>
        <v>237.47741134479222</v>
      </c>
      <c r="D315" s="174">
        <f t="shared" si="22"/>
        <v>1909.6611818618378</v>
      </c>
      <c r="E315" s="172">
        <f t="shared" ca="1" si="23"/>
        <v>0</v>
      </c>
      <c r="F315" s="175">
        <f t="shared" ca="1" si="24"/>
        <v>69571.039632920612</v>
      </c>
    </row>
    <row r="316" spans="1:6" x14ac:dyDescent="0.35">
      <c r="A316" s="176">
        <v>306</v>
      </c>
      <c r="B316" s="172">
        <f t="shared" ca="1" si="20"/>
        <v>69571.039632920612</v>
      </c>
      <c r="C316" s="173">
        <f t="shared" ca="1" si="21"/>
        <v>231.90346544306871</v>
      </c>
      <c r="D316" s="174">
        <f t="shared" si="22"/>
        <v>1909.6611818618378</v>
      </c>
      <c r="E316" s="172">
        <f t="shared" ca="1" si="23"/>
        <v>116</v>
      </c>
      <c r="F316" s="175">
        <f t="shared" ca="1" si="24"/>
        <v>67777.281916501845</v>
      </c>
    </row>
    <row r="317" spans="1:6" x14ac:dyDescent="0.35">
      <c r="A317" s="176">
        <v>307</v>
      </c>
      <c r="B317" s="172">
        <f t="shared" ca="1" si="20"/>
        <v>67777.281916501845</v>
      </c>
      <c r="C317" s="173">
        <f t="shared" ca="1" si="21"/>
        <v>225.92427305500613</v>
      </c>
      <c r="D317" s="174">
        <f t="shared" si="22"/>
        <v>1909.6611818618378</v>
      </c>
      <c r="E317" s="172">
        <f t="shared" ca="1" si="23"/>
        <v>0</v>
      </c>
      <c r="F317" s="175">
        <f t="shared" ca="1" si="24"/>
        <v>66093.545007695007</v>
      </c>
    </row>
    <row r="318" spans="1:6" x14ac:dyDescent="0.35">
      <c r="A318" s="176">
        <v>308</v>
      </c>
      <c r="B318" s="172">
        <f t="shared" ca="1" si="20"/>
        <v>66093.545007695007</v>
      </c>
      <c r="C318" s="173">
        <f t="shared" ca="1" si="21"/>
        <v>220.31181669231671</v>
      </c>
      <c r="D318" s="174">
        <f t="shared" si="22"/>
        <v>1909.6611818618378</v>
      </c>
      <c r="E318" s="172">
        <f t="shared" ca="1" si="23"/>
        <v>0</v>
      </c>
      <c r="F318" s="175">
        <f t="shared" ca="1" si="24"/>
        <v>64404.19564252549</v>
      </c>
    </row>
    <row r="319" spans="1:6" x14ac:dyDescent="0.35">
      <c r="A319" s="176">
        <v>309</v>
      </c>
      <c r="B319" s="172">
        <f t="shared" ca="1" si="20"/>
        <v>64404.19564252549</v>
      </c>
      <c r="C319" s="173">
        <f t="shared" ca="1" si="21"/>
        <v>214.68065214175166</v>
      </c>
      <c r="D319" s="174">
        <f t="shared" si="22"/>
        <v>1909.6611818618378</v>
      </c>
      <c r="E319" s="172">
        <f t="shared" ca="1" si="23"/>
        <v>121</v>
      </c>
      <c r="F319" s="175">
        <f t="shared" ca="1" si="24"/>
        <v>62588.215112805403</v>
      </c>
    </row>
    <row r="320" spans="1:6" x14ac:dyDescent="0.35">
      <c r="A320" s="176">
        <v>310</v>
      </c>
      <c r="B320" s="172">
        <f t="shared" ca="1" si="20"/>
        <v>62588.215112805403</v>
      </c>
      <c r="C320" s="173">
        <f t="shared" ca="1" si="21"/>
        <v>208.62738370935134</v>
      </c>
      <c r="D320" s="174">
        <f t="shared" si="22"/>
        <v>1909.6611818618378</v>
      </c>
      <c r="E320" s="172">
        <f t="shared" ca="1" si="23"/>
        <v>0</v>
      </c>
      <c r="F320" s="175">
        <f t="shared" ca="1" si="24"/>
        <v>60887.181314652917</v>
      </c>
    </row>
    <row r="321" spans="1:6" x14ac:dyDescent="0.35">
      <c r="A321" s="176">
        <v>311</v>
      </c>
      <c r="B321" s="172">
        <f t="shared" ca="1" si="20"/>
        <v>60887.181314652917</v>
      </c>
      <c r="C321" s="173">
        <f t="shared" ca="1" si="21"/>
        <v>202.95727104884307</v>
      </c>
      <c r="D321" s="174">
        <f t="shared" si="22"/>
        <v>1909.6611818618378</v>
      </c>
      <c r="E321" s="172">
        <f t="shared" ca="1" si="23"/>
        <v>0</v>
      </c>
      <c r="F321" s="175">
        <f t="shared" ca="1" si="24"/>
        <v>59180.477403839919</v>
      </c>
    </row>
    <row r="322" spans="1:6" x14ac:dyDescent="0.35">
      <c r="A322" s="176">
        <v>312</v>
      </c>
      <c r="B322" s="172">
        <f t="shared" ca="1" si="20"/>
        <v>59180.477403839919</v>
      </c>
      <c r="C322" s="173">
        <f t="shared" ca="1" si="21"/>
        <v>197.26825801279972</v>
      </c>
      <c r="D322" s="174">
        <f t="shared" si="22"/>
        <v>1909.6611818618378</v>
      </c>
      <c r="E322" s="172">
        <f t="shared" ca="1" si="23"/>
        <v>165</v>
      </c>
      <c r="F322" s="175">
        <f t="shared" ca="1" si="24"/>
        <v>57303.084479990881</v>
      </c>
    </row>
    <row r="323" spans="1:6" x14ac:dyDescent="0.35">
      <c r="A323" s="176">
        <v>313</v>
      </c>
      <c r="B323" s="172">
        <f t="shared" ca="1" si="20"/>
        <v>57303.084479990881</v>
      </c>
      <c r="C323" s="173">
        <f t="shared" ca="1" si="21"/>
        <v>191.0102815999696</v>
      </c>
      <c r="D323" s="174">
        <f t="shared" si="22"/>
        <v>1909.6611818618378</v>
      </c>
      <c r="E323" s="172">
        <f t="shared" ca="1" si="23"/>
        <v>0</v>
      </c>
      <c r="F323" s="175">
        <f t="shared" ca="1" si="24"/>
        <v>55584.433579729011</v>
      </c>
    </row>
    <row r="324" spans="1:6" x14ac:dyDescent="0.35">
      <c r="A324" s="176">
        <v>314</v>
      </c>
      <c r="B324" s="172">
        <f t="shared" ca="1" si="20"/>
        <v>55584.433579729011</v>
      </c>
      <c r="C324" s="173">
        <f t="shared" ca="1" si="21"/>
        <v>185.28144526576338</v>
      </c>
      <c r="D324" s="174">
        <f t="shared" si="22"/>
        <v>1909.6611818618378</v>
      </c>
      <c r="E324" s="172">
        <f t="shared" ca="1" si="23"/>
        <v>0</v>
      </c>
      <c r="F324" s="175">
        <f t="shared" ca="1" si="24"/>
        <v>53860.053843132933</v>
      </c>
    </row>
    <row r="325" spans="1:6" x14ac:dyDescent="0.35">
      <c r="A325" s="176">
        <v>315</v>
      </c>
      <c r="B325" s="172">
        <f t="shared" ca="1" si="20"/>
        <v>53860.053843132933</v>
      </c>
      <c r="C325" s="173">
        <f t="shared" ca="1" si="21"/>
        <v>179.53351281044311</v>
      </c>
      <c r="D325" s="174">
        <f t="shared" si="22"/>
        <v>1909.6611818618378</v>
      </c>
      <c r="E325" s="172">
        <f t="shared" ca="1" si="23"/>
        <v>136</v>
      </c>
      <c r="F325" s="175">
        <f t="shared" ca="1" si="24"/>
        <v>51993.926174081535</v>
      </c>
    </row>
    <row r="326" spans="1:6" x14ac:dyDescent="0.35">
      <c r="A326" s="176">
        <v>316</v>
      </c>
      <c r="B326" s="172">
        <f t="shared" ca="1" si="20"/>
        <v>51993.926174081535</v>
      </c>
      <c r="C326" s="173">
        <f t="shared" ca="1" si="21"/>
        <v>173.31308724693847</v>
      </c>
      <c r="D326" s="174">
        <f t="shared" si="22"/>
        <v>1909.6611818618378</v>
      </c>
      <c r="E326" s="172">
        <f t="shared" ca="1" si="23"/>
        <v>0</v>
      </c>
      <c r="F326" s="175">
        <f t="shared" ca="1" si="24"/>
        <v>50257.578079466635</v>
      </c>
    </row>
    <row r="327" spans="1:6" x14ac:dyDescent="0.35">
      <c r="A327" s="176">
        <v>317</v>
      </c>
      <c r="B327" s="172">
        <f t="shared" ca="1" si="20"/>
        <v>50257.578079466635</v>
      </c>
      <c r="C327" s="173">
        <f t="shared" ca="1" si="21"/>
        <v>167.52526026488877</v>
      </c>
      <c r="D327" s="174">
        <f t="shared" si="22"/>
        <v>1909.6611818618378</v>
      </c>
      <c r="E327" s="172">
        <f t="shared" ca="1" si="23"/>
        <v>0</v>
      </c>
      <c r="F327" s="175">
        <f t="shared" ca="1" si="24"/>
        <v>48515.442157869686</v>
      </c>
    </row>
    <row r="328" spans="1:6" x14ac:dyDescent="0.35">
      <c r="A328" s="176">
        <v>318</v>
      </c>
      <c r="B328" s="172">
        <f t="shared" ca="1" si="20"/>
        <v>48515.442157869686</v>
      </c>
      <c r="C328" s="173">
        <f t="shared" ca="1" si="21"/>
        <v>161.7181405262323</v>
      </c>
      <c r="D328" s="174">
        <f t="shared" si="22"/>
        <v>1909.6611818618378</v>
      </c>
      <c r="E328" s="172">
        <f t="shared" ca="1" si="23"/>
        <v>159</v>
      </c>
      <c r="F328" s="175">
        <f t="shared" ca="1" si="24"/>
        <v>46608.499116534076</v>
      </c>
    </row>
    <row r="329" spans="1:6" x14ac:dyDescent="0.35">
      <c r="A329" s="176">
        <v>319</v>
      </c>
      <c r="B329" s="172">
        <f t="shared" ca="1" si="20"/>
        <v>46608.499116534076</v>
      </c>
      <c r="C329" s="173">
        <f t="shared" ca="1" si="21"/>
        <v>155.36166372178027</v>
      </c>
      <c r="D329" s="174">
        <f t="shared" si="22"/>
        <v>1909.6611818618378</v>
      </c>
      <c r="E329" s="172">
        <f t="shared" ca="1" si="23"/>
        <v>0</v>
      </c>
      <c r="F329" s="175">
        <f t="shared" ca="1" si="24"/>
        <v>44854.199598394014</v>
      </c>
    </row>
    <row r="330" spans="1:6" x14ac:dyDescent="0.35">
      <c r="A330" s="176">
        <v>320</v>
      </c>
      <c r="B330" s="172">
        <f t="shared" ca="1" si="20"/>
        <v>44854.199598394014</v>
      </c>
      <c r="C330" s="173">
        <f t="shared" ca="1" si="21"/>
        <v>149.51399866131337</v>
      </c>
      <c r="D330" s="174">
        <f t="shared" si="22"/>
        <v>1909.6611818618378</v>
      </c>
      <c r="E330" s="172">
        <f t="shared" ca="1" si="23"/>
        <v>0</v>
      </c>
      <c r="F330" s="175">
        <f t="shared" ca="1" si="24"/>
        <v>43094.052415193488</v>
      </c>
    </row>
    <row r="331" spans="1:6" x14ac:dyDescent="0.35">
      <c r="A331" s="176">
        <v>321</v>
      </c>
      <c r="B331" s="172">
        <f t="shared" ca="1" si="20"/>
        <v>43094.052415193488</v>
      </c>
      <c r="C331" s="173">
        <f t="shared" ca="1" si="21"/>
        <v>143.64684138397828</v>
      </c>
      <c r="D331" s="174">
        <f t="shared" si="22"/>
        <v>1909.6611818618378</v>
      </c>
      <c r="E331" s="172">
        <f t="shared" ca="1" si="23"/>
        <v>194</v>
      </c>
      <c r="F331" s="175">
        <f t="shared" ca="1" si="24"/>
        <v>41134.038074715623</v>
      </c>
    </row>
    <row r="332" spans="1:6" x14ac:dyDescent="0.35">
      <c r="A332" s="176">
        <v>322</v>
      </c>
      <c r="B332" s="172">
        <f t="shared" ref="B332:B373" ca="1" si="25">F331</f>
        <v>41134.038074715623</v>
      </c>
      <c r="C332" s="173">
        <f t="shared" ref="C332:C373" ca="1" si="26">B332*$C$3/12</f>
        <v>137.11346024905208</v>
      </c>
      <c r="D332" s="174">
        <f t="shared" ref="D332:D373" si="27">$C$5</f>
        <v>1909.6611818618378</v>
      </c>
      <c r="E332" s="172">
        <f t="shared" ref="E332:E373" ca="1" si="28">IF(MOD(A332,3)=0,RANDBETWEEN(100,200),0)</f>
        <v>0</v>
      </c>
      <c r="F332" s="175">
        <f t="shared" ref="F332:F373" ca="1" si="29">B332+C332-D332-E332</f>
        <v>39361.490353102832</v>
      </c>
    </row>
    <row r="333" spans="1:6" x14ac:dyDescent="0.35">
      <c r="A333" s="176">
        <v>323</v>
      </c>
      <c r="B333" s="172">
        <f t="shared" ca="1" si="25"/>
        <v>39361.490353102832</v>
      </c>
      <c r="C333" s="173">
        <f t="shared" ca="1" si="26"/>
        <v>131.20496784367612</v>
      </c>
      <c r="D333" s="174">
        <f t="shared" si="27"/>
        <v>1909.6611818618378</v>
      </c>
      <c r="E333" s="172">
        <f t="shared" ca="1" si="28"/>
        <v>0</v>
      </c>
      <c r="F333" s="175">
        <f t="shared" ca="1" si="29"/>
        <v>37583.034139084666</v>
      </c>
    </row>
    <row r="334" spans="1:6" x14ac:dyDescent="0.35">
      <c r="A334" s="176">
        <v>324</v>
      </c>
      <c r="B334" s="172">
        <f t="shared" ca="1" si="25"/>
        <v>37583.034139084666</v>
      </c>
      <c r="C334" s="173">
        <f t="shared" ca="1" si="26"/>
        <v>125.27678046361557</v>
      </c>
      <c r="D334" s="174">
        <f t="shared" si="27"/>
        <v>1909.6611818618378</v>
      </c>
      <c r="E334" s="172">
        <f t="shared" ca="1" si="28"/>
        <v>111</v>
      </c>
      <c r="F334" s="175">
        <f t="shared" ca="1" si="29"/>
        <v>35687.649737686443</v>
      </c>
    </row>
    <row r="335" spans="1:6" x14ac:dyDescent="0.35">
      <c r="A335" s="176">
        <v>325</v>
      </c>
      <c r="B335" s="172">
        <f t="shared" ca="1" si="25"/>
        <v>35687.649737686443</v>
      </c>
      <c r="C335" s="173">
        <f t="shared" ca="1" si="26"/>
        <v>118.95883245895482</v>
      </c>
      <c r="D335" s="174">
        <f t="shared" si="27"/>
        <v>1909.6611818618378</v>
      </c>
      <c r="E335" s="172">
        <f t="shared" ca="1" si="28"/>
        <v>0</v>
      </c>
      <c r="F335" s="175">
        <f t="shared" ca="1" si="29"/>
        <v>33896.947388283559</v>
      </c>
    </row>
    <row r="336" spans="1:6" x14ac:dyDescent="0.35">
      <c r="A336" s="176">
        <v>326</v>
      </c>
      <c r="B336" s="172">
        <f t="shared" ca="1" si="25"/>
        <v>33896.947388283559</v>
      </c>
      <c r="C336" s="173">
        <f t="shared" ca="1" si="26"/>
        <v>112.98982462761187</v>
      </c>
      <c r="D336" s="174">
        <f t="shared" si="27"/>
        <v>1909.6611818618378</v>
      </c>
      <c r="E336" s="172">
        <f t="shared" ca="1" si="28"/>
        <v>0</v>
      </c>
      <c r="F336" s="175">
        <f t="shared" ca="1" si="29"/>
        <v>32100.276031049336</v>
      </c>
    </row>
    <row r="337" spans="1:6" x14ac:dyDescent="0.35">
      <c r="A337" s="176">
        <v>327</v>
      </c>
      <c r="B337" s="172">
        <f t="shared" ca="1" si="25"/>
        <v>32100.276031049336</v>
      </c>
      <c r="C337" s="173">
        <f t="shared" ca="1" si="26"/>
        <v>107.00092010349779</v>
      </c>
      <c r="D337" s="174">
        <f t="shared" si="27"/>
        <v>1909.6611818618378</v>
      </c>
      <c r="E337" s="172">
        <f t="shared" ca="1" si="28"/>
        <v>141</v>
      </c>
      <c r="F337" s="175">
        <f t="shared" ca="1" si="29"/>
        <v>30156.615769290998</v>
      </c>
    </row>
    <row r="338" spans="1:6" x14ac:dyDescent="0.35">
      <c r="A338" s="176">
        <v>328</v>
      </c>
      <c r="B338" s="172">
        <f t="shared" ca="1" si="25"/>
        <v>30156.615769290998</v>
      </c>
      <c r="C338" s="173">
        <f t="shared" ca="1" si="26"/>
        <v>100.52205256430334</v>
      </c>
      <c r="D338" s="174">
        <f t="shared" si="27"/>
        <v>1909.6611818618378</v>
      </c>
      <c r="E338" s="172">
        <f t="shared" ca="1" si="28"/>
        <v>0</v>
      </c>
      <c r="F338" s="175">
        <f t="shared" ca="1" si="29"/>
        <v>28347.476639993463</v>
      </c>
    </row>
    <row r="339" spans="1:6" x14ac:dyDescent="0.35">
      <c r="A339" s="176">
        <v>329</v>
      </c>
      <c r="B339" s="172">
        <f t="shared" ca="1" si="25"/>
        <v>28347.476639993463</v>
      </c>
      <c r="C339" s="173">
        <f t="shared" ca="1" si="26"/>
        <v>94.491588799978217</v>
      </c>
      <c r="D339" s="174">
        <f t="shared" si="27"/>
        <v>1909.6611818618378</v>
      </c>
      <c r="E339" s="172">
        <f t="shared" ca="1" si="28"/>
        <v>0</v>
      </c>
      <c r="F339" s="175">
        <f t="shared" ca="1" si="29"/>
        <v>26532.307046931604</v>
      </c>
    </row>
    <row r="340" spans="1:6" x14ac:dyDescent="0.35">
      <c r="A340" s="176">
        <v>330</v>
      </c>
      <c r="B340" s="172">
        <f t="shared" ca="1" si="25"/>
        <v>26532.307046931604</v>
      </c>
      <c r="C340" s="173">
        <f t="shared" ca="1" si="26"/>
        <v>88.441023489772022</v>
      </c>
      <c r="D340" s="174">
        <f t="shared" si="27"/>
        <v>1909.6611818618378</v>
      </c>
      <c r="E340" s="172">
        <f t="shared" ca="1" si="28"/>
        <v>135</v>
      </c>
      <c r="F340" s="175">
        <f t="shared" ca="1" si="29"/>
        <v>24576.086888559541</v>
      </c>
    </row>
    <row r="341" spans="1:6" x14ac:dyDescent="0.35">
      <c r="A341" s="176">
        <v>331</v>
      </c>
      <c r="B341" s="172">
        <f t="shared" ca="1" si="25"/>
        <v>24576.086888559541</v>
      </c>
      <c r="C341" s="173">
        <f t="shared" ca="1" si="26"/>
        <v>81.920289628531805</v>
      </c>
      <c r="D341" s="174">
        <f t="shared" si="27"/>
        <v>1909.6611818618378</v>
      </c>
      <c r="E341" s="172">
        <f t="shared" ca="1" si="28"/>
        <v>0</v>
      </c>
      <c r="F341" s="175">
        <f t="shared" ca="1" si="29"/>
        <v>22748.345996326236</v>
      </c>
    </row>
    <row r="342" spans="1:6" x14ac:dyDescent="0.35">
      <c r="A342" s="176">
        <v>332</v>
      </c>
      <c r="B342" s="172">
        <f t="shared" ca="1" si="25"/>
        <v>22748.345996326236</v>
      </c>
      <c r="C342" s="173">
        <f t="shared" ca="1" si="26"/>
        <v>75.827819987754125</v>
      </c>
      <c r="D342" s="174">
        <f t="shared" si="27"/>
        <v>1909.6611818618378</v>
      </c>
      <c r="E342" s="172">
        <f t="shared" ca="1" si="28"/>
        <v>0</v>
      </c>
      <c r="F342" s="175">
        <f t="shared" ca="1" si="29"/>
        <v>20914.512634452152</v>
      </c>
    </row>
    <row r="343" spans="1:6" x14ac:dyDescent="0.35">
      <c r="A343" s="176">
        <v>333</v>
      </c>
      <c r="B343" s="172">
        <f t="shared" ca="1" si="25"/>
        <v>20914.512634452152</v>
      </c>
      <c r="C343" s="173">
        <f t="shared" ca="1" si="26"/>
        <v>69.7150421148405</v>
      </c>
      <c r="D343" s="174">
        <f t="shared" si="27"/>
        <v>1909.6611818618378</v>
      </c>
      <c r="E343" s="172">
        <f t="shared" ca="1" si="28"/>
        <v>157</v>
      </c>
      <c r="F343" s="175">
        <f t="shared" ca="1" si="29"/>
        <v>18917.566494705155</v>
      </c>
    </row>
    <row r="344" spans="1:6" x14ac:dyDescent="0.35">
      <c r="A344" s="176">
        <v>334</v>
      </c>
      <c r="B344" s="172">
        <f t="shared" ca="1" si="25"/>
        <v>18917.566494705155</v>
      </c>
      <c r="C344" s="173">
        <f t="shared" ca="1" si="26"/>
        <v>63.058554982350522</v>
      </c>
      <c r="D344" s="174">
        <f t="shared" si="27"/>
        <v>1909.6611818618378</v>
      </c>
      <c r="E344" s="172">
        <f t="shared" ca="1" si="28"/>
        <v>0</v>
      </c>
      <c r="F344" s="175">
        <f t="shared" ca="1" si="29"/>
        <v>17070.963867825671</v>
      </c>
    </row>
    <row r="345" spans="1:6" x14ac:dyDescent="0.35">
      <c r="A345" s="176">
        <v>335</v>
      </c>
      <c r="B345" s="172">
        <f t="shared" ca="1" si="25"/>
        <v>17070.963867825671</v>
      </c>
      <c r="C345" s="173">
        <f t="shared" ca="1" si="26"/>
        <v>56.903212892752236</v>
      </c>
      <c r="D345" s="174">
        <f t="shared" si="27"/>
        <v>1909.6611818618378</v>
      </c>
      <c r="E345" s="172">
        <f t="shared" ca="1" si="28"/>
        <v>0</v>
      </c>
      <c r="F345" s="175">
        <f t="shared" ca="1" si="29"/>
        <v>15218.205898856586</v>
      </c>
    </row>
    <row r="346" spans="1:6" x14ac:dyDescent="0.35">
      <c r="A346" s="176">
        <v>336</v>
      </c>
      <c r="B346" s="172">
        <f t="shared" ca="1" si="25"/>
        <v>15218.205898856586</v>
      </c>
      <c r="C346" s="173">
        <f t="shared" ca="1" si="26"/>
        <v>50.727352996188621</v>
      </c>
      <c r="D346" s="174">
        <f t="shared" si="27"/>
        <v>1909.6611818618378</v>
      </c>
      <c r="E346" s="172">
        <f t="shared" ca="1" si="28"/>
        <v>166</v>
      </c>
      <c r="F346" s="175">
        <f t="shared" ca="1" si="29"/>
        <v>13193.272069990937</v>
      </c>
    </row>
    <row r="347" spans="1:6" x14ac:dyDescent="0.35">
      <c r="A347" s="176">
        <v>337</v>
      </c>
      <c r="B347" s="172">
        <f t="shared" ca="1" si="25"/>
        <v>13193.272069990937</v>
      </c>
      <c r="C347" s="173">
        <f t="shared" ca="1" si="26"/>
        <v>43.977573566636458</v>
      </c>
      <c r="D347" s="174">
        <f t="shared" si="27"/>
        <v>1909.6611818618378</v>
      </c>
      <c r="E347" s="172">
        <f t="shared" ca="1" si="28"/>
        <v>0</v>
      </c>
      <c r="F347" s="175">
        <f t="shared" ca="1" si="29"/>
        <v>11327.588461695736</v>
      </c>
    </row>
    <row r="348" spans="1:6" x14ac:dyDescent="0.35">
      <c r="A348" s="176">
        <v>338</v>
      </c>
      <c r="B348" s="172">
        <f t="shared" ca="1" si="25"/>
        <v>11327.588461695736</v>
      </c>
      <c r="C348" s="173">
        <f t="shared" ca="1" si="26"/>
        <v>37.75862820565245</v>
      </c>
      <c r="D348" s="174">
        <f t="shared" si="27"/>
        <v>1909.6611818618378</v>
      </c>
      <c r="E348" s="172">
        <f t="shared" ca="1" si="28"/>
        <v>0</v>
      </c>
      <c r="F348" s="175">
        <f t="shared" ca="1" si="29"/>
        <v>9455.6859080395498</v>
      </c>
    </row>
    <row r="349" spans="1:6" x14ac:dyDescent="0.35">
      <c r="A349" s="176">
        <v>339</v>
      </c>
      <c r="B349" s="172">
        <f t="shared" ca="1" si="25"/>
        <v>9455.6859080395498</v>
      </c>
      <c r="C349" s="173">
        <f t="shared" ca="1" si="26"/>
        <v>31.518953026798499</v>
      </c>
      <c r="D349" s="174">
        <f t="shared" si="27"/>
        <v>1909.6611818618378</v>
      </c>
      <c r="E349" s="172">
        <f t="shared" ca="1" si="28"/>
        <v>174</v>
      </c>
      <c r="F349" s="175">
        <f t="shared" ca="1" si="29"/>
        <v>7403.5436792045102</v>
      </c>
    </row>
    <row r="350" spans="1:6" x14ac:dyDescent="0.35">
      <c r="A350" s="176">
        <v>340</v>
      </c>
      <c r="B350" s="172">
        <f t="shared" ca="1" si="25"/>
        <v>7403.5436792045102</v>
      </c>
      <c r="C350" s="173">
        <f t="shared" ca="1" si="26"/>
        <v>24.678478930681703</v>
      </c>
      <c r="D350" s="174">
        <f t="shared" si="27"/>
        <v>1909.6611818618378</v>
      </c>
      <c r="E350" s="172">
        <f t="shared" ca="1" si="28"/>
        <v>0</v>
      </c>
      <c r="F350" s="175">
        <f t="shared" ca="1" si="29"/>
        <v>5518.5609762733548</v>
      </c>
    </row>
    <row r="351" spans="1:6" x14ac:dyDescent="0.35">
      <c r="A351" s="176">
        <v>341</v>
      </c>
      <c r="B351" s="172">
        <f t="shared" ca="1" si="25"/>
        <v>5518.5609762733548</v>
      </c>
      <c r="C351" s="173">
        <f t="shared" ca="1" si="26"/>
        <v>18.395203254244517</v>
      </c>
      <c r="D351" s="174">
        <f t="shared" si="27"/>
        <v>1909.6611818618378</v>
      </c>
      <c r="E351" s="172">
        <f t="shared" ca="1" si="28"/>
        <v>0</v>
      </c>
      <c r="F351" s="175">
        <f t="shared" ca="1" si="29"/>
        <v>3627.2949976657619</v>
      </c>
    </row>
    <row r="352" spans="1:6" x14ac:dyDescent="0.35">
      <c r="A352" s="176">
        <v>342</v>
      </c>
      <c r="B352" s="172">
        <f t="shared" ca="1" si="25"/>
        <v>3627.2949976657619</v>
      </c>
      <c r="C352" s="173">
        <f t="shared" ca="1" si="26"/>
        <v>12.090983325552541</v>
      </c>
      <c r="D352" s="174">
        <f t="shared" si="27"/>
        <v>1909.6611818618378</v>
      </c>
      <c r="E352" s="172">
        <f t="shared" ca="1" si="28"/>
        <v>129</v>
      </c>
      <c r="F352" s="175">
        <f t="shared" ca="1" si="29"/>
        <v>1600.7247991294764</v>
      </c>
    </row>
    <row r="353" spans="1:6" x14ac:dyDescent="0.35">
      <c r="A353" s="176">
        <v>343</v>
      </c>
      <c r="B353" s="172">
        <f t="shared" ca="1" si="25"/>
        <v>1600.7247991294764</v>
      </c>
      <c r="C353" s="173">
        <f t="shared" ca="1" si="26"/>
        <v>5.3357493304315886</v>
      </c>
      <c r="D353" s="174">
        <f t="shared" si="27"/>
        <v>1909.6611818618378</v>
      </c>
      <c r="E353" s="172">
        <f t="shared" ca="1" si="28"/>
        <v>0</v>
      </c>
      <c r="F353" s="175">
        <f t="shared" ca="1" si="29"/>
        <v>-303.60063340192983</v>
      </c>
    </row>
    <row r="354" spans="1:6" x14ac:dyDescent="0.35">
      <c r="A354" s="176">
        <v>344</v>
      </c>
      <c r="B354" s="172">
        <f t="shared" ca="1" si="25"/>
        <v>-303.60063340192983</v>
      </c>
      <c r="C354" s="173">
        <f t="shared" ca="1" si="26"/>
        <v>-1.0120021113397661</v>
      </c>
      <c r="D354" s="174">
        <f t="shared" si="27"/>
        <v>1909.6611818618378</v>
      </c>
      <c r="E354" s="172">
        <f t="shared" ca="1" si="28"/>
        <v>0</v>
      </c>
      <c r="F354" s="175">
        <f t="shared" ca="1" si="29"/>
        <v>-2214.2738173751072</v>
      </c>
    </row>
    <row r="355" spans="1:6" x14ac:dyDescent="0.35">
      <c r="A355" s="176">
        <v>345</v>
      </c>
      <c r="B355" s="172">
        <f t="shared" ca="1" si="25"/>
        <v>-2214.2738173751072</v>
      </c>
      <c r="C355" s="173">
        <f t="shared" ca="1" si="26"/>
        <v>-7.3809127245836912</v>
      </c>
      <c r="D355" s="174">
        <f t="shared" si="27"/>
        <v>1909.6611818618378</v>
      </c>
      <c r="E355" s="172">
        <f t="shared" ca="1" si="28"/>
        <v>174</v>
      </c>
      <c r="F355" s="175">
        <f t="shared" ca="1" si="29"/>
        <v>-4305.3159119615284</v>
      </c>
    </row>
    <row r="356" spans="1:6" x14ac:dyDescent="0.35">
      <c r="A356" s="176">
        <v>346</v>
      </c>
      <c r="B356" s="172">
        <f t="shared" ca="1" si="25"/>
        <v>-4305.3159119615284</v>
      </c>
      <c r="C356" s="173">
        <f t="shared" ca="1" si="26"/>
        <v>-14.351053039871763</v>
      </c>
      <c r="D356" s="174">
        <f t="shared" si="27"/>
        <v>1909.6611818618378</v>
      </c>
      <c r="E356" s="172">
        <f t="shared" ca="1" si="28"/>
        <v>0</v>
      </c>
      <c r="F356" s="175">
        <f t="shared" ca="1" si="29"/>
        <v>-6229.3281468632376</v>
      </c>
    </row>
    <row r="357" spans="1:6" x14ac:dyDescent="0.35">
      <c r="A357" s="176">
        <v>347</v>
      </c>
      <c r="B357" s="172">
        <f t="shared" ca="1" si="25"/>
        <v>-6229.3281468632376</v>
      </c>
      <c r="C357" s="173">
        <f t="shared" ca="1" si="26"/>
        <v>-20.764427156210793</v>
      </c>
      <c r="D357" s="174">
        <f t="shared" si="27"/>
        <v>1909.6611818618378</v>
      </c>
      <c r="E357" s="172">
        <f t="shared" ca="1" si="28"/>
        <v>0</v>
      </c>
      <c r="F357" s="175">
        <f t="shared" ca="1" si="29"/>
        <v>-8159.7537558812865</v>
      </c>
    </row>
    <row r="358" spans="1:6" x14ac:dyDescent="0.35">
      <c r="A358" s="176">
        <v>348</v>
      </c>
      <c r="B358" s="172">
        <f t="shared" ca="1" si="25"/>
        <v>-8159.7537558812865</v>
      </c>
      <c r="C358" s="173">
        <f t="shared" ca="1" si="26"/>
        <v>-27.199179186270953</v>
      </c>
      <c r="D358" s="174">
        <f t="shared" si="27"/>
        <v>1909.6611818618378</v>
      </c>
      <c r="E358" s="172">
        <f t="shared" ca="1" si="28"/>
        <v>129</v>
      </c>
      <c r="F358" s="175">
        <f t="shared" ca="1" si="29"/>
        <v>-10225.614116929395</v>
      </c>
    </row>
    <row r="359" spans="1:6" x14ac:dyDescent="0.35">
      <c r="A359" s="176">
        <v>349</v>
      </c>
      <c r="B359" s="172">
        <f t="shared" ca="1" si="25"/>
        <v>-10225.614116929395</v>
      </c>
      <c r="C359" s="173">
        <f t="shared" ca="1" si="26"/>
        <v>-34.085380389764651</v>
      </c>
      <c r="D359" s="174">
        <f t="shared" si="27"/>
        <v>1909.6611818618378</v>
      </c>
      <c r="E359" s="172">
        <f t="shared" ca="1" si="28"/>
        <v>0</v>
      </c>
      <c r="F359" s="175">
        <f t="shared" ca="1" si="29"/>
        <v>-12169.360679180998</v>
      </c>
    </row>
    <row r="360" spans="1:6" x14ac:dyDescent="0.35">
      <c r="A360" s="176">
        <v>350</v>
      </c>
      <c r="B360" s="172">
        <f t="shared" ca="1" si="25"/>
        <v>-12169.360679180998</v>
      </c>
      <c r="C360" s="173">
        <f t="shared" ca="1" si="26"/>
        <v>-40.564535597269995</v>
      </c>
      <c r="D360" s="174">
        <f t="shared" si="27"/>
        <v>1909.6611818618378</v>
      </c>
      <c r="E360" s="172">
        <f t="shared" ca="1" si="28"/>
        <v>0</v>
      </c>
      <c r="F360" s="175">
        <f t="shared" ca="1" si="29"/>
        <v>-14119.586396640107</v>
      </c>
    </row>
    <row r="361" spans="1:6" x14ac:dyDescent="0.35">
      <c r="A361" s="176">
        <v>351</v>
      </c>
      <c r="B361" s="172">
        <f t="shared" ca="1" si="25"/>
        <v>-14119.586396640107</v>
      </c>
      <c r="C361" s="173">
        <f t="shared" ca="1" si="26"/>
        <v>-47.065287988800357</v>
      </c>
      <c r="D361" s="174">
        <f t="shared" si="27"/>
        <v>1909.6611818618378</v>
      </c>
      <c r="E361" s="172">
        <f t="shared" ca="1" si="28"/>
        <v>164</v>
      </c>
      <c r="F361" s="175">
        <f t="shared" ca="1" si="29"/>
        <v>-16240.312866490745</v>
      </c>
    </row>
    <row r="362" spans="1:6" x14ac:dyDescent="0.35">
      <c r="A362" s="176">
        <v>352</v>
      </c>
      <c r="B362" s="172">
        <f t="shared" ca="1" si="25"/>
        <v>-16240.312866490745</v>
      </c>
      <c r="C362" s="173">
        <f t="shared" ca="1" si="26"/>
        <v>-54.134376221635819</v>
      </c>
      <c r="D362" s="174">
        <f t="shared" si="27"/>
        <v>1909.6611818618378</v>
      </c>
      <c r="E362" s="172">
        <f t="shared" ca="1" si="28"/>
        <v>0</v>
      </c>
      <c r="F362" s="175">
        <f t="shared" ca="1" si="29"/>
        <v>-18204.10842457422</v>
      </c>
    </row>
    <row r="363" spans="1:6" x14ac:dyDescent="0.35">
      <c r="A363" s="176">
        <v>353</v>
      </c>
      <c r="B363" s="172">
        <f t="shared" ca="1" si="25"/>
        <v>-18204.10842457422</v>
      </c>
      <c r="C363" s="173">
        <f t="shared" ca="1" si="26"/>
        <v>-60.680361415247404</v>
      </c>
      <c r="D363" s="174">
        <f t="shared" si="27"/>
        <v>1909.6611818618378</v>
      </c>
      <c r="E363" s="172">
        <f t="shared" ca="1" si="28"/>
        <v>0</v>
      </c>
      <c r="F363" s="175">
        <f t="shared" ca="1" si="29"/>
        <v>-20174.449967851306</v>
      </c>
    </row>
    <row r="364" spans="1:6" x14ac:dyDescent="0.35">
      <c r="A364" s="176">
        <v>354</v>
      </c>
      <c r="B364" s="172">
        <f t="shared" ca="1" si="25"/>
        <v>-20174.449967851306</v>
      </c>
      <c r="C364" s="173">
        <f t="shared" ca="1" si="26"/>
        <v>-67.248166559504355</v>
      </c>
      <c r="D364" s="174">
        <f t="shared" si="27"/>
        <v>1909.6611818618378</v>
      </c>
      <c r="E364" s="172">
        <f t="shared" ca="1" si="28"/>
        <v>170</v>
      </c>
      <c r="F364" s="175">
        <f t="shared" ca="1" si="29"/>
        <v>-22321.359316272647</v>
      </c>
    </row>
    <row r="365" spans="1:6" x14ac:dyDescent="0.35">
      <c r="A365" s="176">
        <v>355</v>
      </c>
      <c r="B365" s="172">
        <f t="shared" ca="1" si="25"/>
        <v>-22321.359316272647</v>
      </c>
      <c r="C365" s="173">
        <f t="shared" ca="1" si="26"/>
        <v>-74.404531054242156</v>
      </c>
      <c r="D365" s="174">
        <f t="shared" si="27"/>
        <v>1909.6611818618378</v>
      </c>
      <c r="E365" s="172">
        <f t="shared" ca="1" si="28"/>
        <v>0</v>
      </c>
      <c r="F365" s="175">
        <f t="shared" ca="1" si="29"/>
        <v>-24305.425029188726</v>
      </c>
    </row>
    <row r="366" spans="1:6" x14ac:dyDescent="0.35">
      <c r="A366" s="176">
        <v>356</v>
      </c>
      <c r="B366" s="172">
        <f t="shared" ca="1" si="25"/>
        <v>-24305.425029188726</v>
      </c>
      <c r="C366" s="173">
        <f t="shared" ca="1" si="26"/>
        <v>-81.01808343062909</v>
      </c>
      <c r="D366" s="174">
        <f t="shared" si="27"/>
        <v>1909.6611818618378</v>
      </c>
      <c r="E366" s="172">
        <f t="shared" ca="1" si="28"/>
        <v>0</v>
      </c>
      <c r="F366" s="175">
        <f t="shared" ca="1" si="29"/>
        <v>-26296.104294481192</v>
      </c>
    </row>
    <row r="367" spans="1:6" x14ac:dyDescent="0.35">
      <c r="A367" s="176">
        <v>357</v>
      </c>
      <c r="B367" s="172">
        <f t="shared" ca="1" si="25"/>
        <v>-26296.104294481192</v>
      </c>
      <c r="C367" s="173">
        <f t="shared" ca="1" si="26"/>
        <v>-87.653680981603983</v>
      </c>
      <c r="D367" s="174">
        <f t="shared" si="27"/>
        <v>1909.6611818618378</v>
      </c>
      <c r="E367" s="172">
        <f t="shared" ca="1" si="28"/>
        <v>185</v>
      </c>
      <c r="F367" s="175">
        <f t="shared" ca="1" si="29"/>
        <v>-28478.419157324632</v>
      </c>
    </row>
    <row r="368" spans="1:6" x14ac:dyDescent="0.35">
      <c r="A368" s="176">
        <v>358</v>
      </c>
      <c r="B368" s="172">
        <f t="shared" ca="1" si="25"/>
        <v>-28478.419157324632</v>
      </c>
      <c r="C368" s="173">
        <f t="shared" ca="1" si="26"/>
        <v>-94.928063857748782</v>
      </c>
      <c r="D368" s="174">
        <f t="shared" si="27"/>
        <v>1909.6611818618378</v>
      </c>
      <c r="E368" s="172">
        <f t="shared" ca="1" si="28"/>
        <v>0</v>
      </c>
      <c r="F368" s="175">
        <f t="shared" ca="1" si="29"/>
        <v>-30483.008403044216</v>
      </c>
    </row>
    <row r="369" spans="1:6" x14ac:dyDescent="0.35">
      <c r="A369" s="176">
        <v>359</v>
      </c>
      <c r="B369" s="172">
        <f t="shared" ca="1" si="25"/>
        <v>-30483.008403044216</v>
      </c>
      <c r="C369" s="173">
        <f t="shared" ca="1" si="26"/>
        <v>-101.61002801014739</v>
      </c>
      <c r="D369" s="174">
        <f t="shared" si="27"/>
        <v>1909.6611818618378</v>
      </c>
      <c r="E369" s="172">
        <f t="shared" ca="1" si="28"/>
        <v>0</v>
      </c>
      <c r="F369" s="175">
        <f t="shared" ca="1" si="29"/>
        <v>-32494.279612916202</v>
      </c>
    </row>
    <row r="370" spans="1:6" ht="16" thickBot="1" x14ac:dyDescent="0.4">
      <c r="A370" s="180">
        <v>360</v>
      </c>
      <c r="B370" s="172">
        <f t="shared" ca="1" si="25"/>
        <v>-32494.279612916202</v>
      </c>
      <c r="C370" s="173">
        <f t="shared" ca="1" si="26"/>
        <v>-108.31426537638735</v>
      </c>
      <c r="D370" s="174">
        <f t="shared" si="27"/>
        <v>1909.6611818618378</v>
      </c>
      <c r="E370" s="172">
        <f t="shared" ca="1" si="28"/>
        <v>100</v>
      </c>
      <c r="F370" s="175">
        <f t="shared" ca="1" si="29"/>
        <v>-34612.255060154428</v>
      </c>
    </row>
    <row r="371" spans="1:6" ht="16" thickBot="1" x14ac:dyDescent="0.4">
      <c r="A371" s="180">
        <v>361</v>
      </c>
      <c r="B371" s="172">
        <f t="shared" ca="1" si="25"/>
        <v>-34612.255060154428</v>
      </c>
      <c r="C371" s="173">
        <f t="shared" ca="1" si="26"/>
        <v>-115.3741835338481</v>
      </c>
      <c r="D371" s="174">
        <f t="shared" si="27"/>
        <v>1909.6611818618378</v>
      </c>
      <c r="E371" s="172">
        <f t="shared" ca="1" si="28"/>
        <v>0</v>
      </c>
      <c r="F371" s="175">
        <f t="shared" ca="1" si="29"/>
        <v>-36637.29042555012</v>
      </c>
    </row>
    <row r="372" spans="1:6" ht="16" thickBot="1" x14ac:dyDescent="0.4">
      <c r="A372" s="180">
        <v>362</v>
      </c>
      <c r="B372" s="172">
        <f t="shared" ca="1" si="25"/>
        <v>-36637.29042555012</v>
      </c>
      <c r="C372" s="173">
        <f t="shared" ca="1" si="26"/>
        <v>-122.12430141850041</v>
      </c>
      <c r="D372" s="174">
        <f t="shared" si="27"/>
        <v>1909.6611818618378</v>
      </c>
      <c r="E372" s="172">
        <f t="shared" ca="1" si="28"/>
        <v>0</v>
      </c>
      <c r="F372" s="175">
        <f t="shared" ca="1" si="29"/>
        <v>-38669.075908830462</v>
      </c>
    </row>
    <row r="373" spans="1:6" ht="16" thickBot="1" x14ac:dyDescent="0.4">
      <c r="A373" s="180">
        <v>363</v>
      </c>
      <c r="B373" s="172">
        <f t="shared" ca="1" si="25"/>
        <v>-38669.075908830462</v>
      </c>
      <c r="C373" s="173">
        <f t="shared" ca="1" si="26"/>
        <v>-128.89691969610155</v>
      </c>
      <c r="D373" s="174">
        <f t="shared" si="27"/>
        <v>1909.6611818618378</v>
      </c>
      <c r="E373" s="172">
        <f t="shared" ca="1" si="28"/>
        <v>141</v>
      </c>
      <c r="F373" s="175">
        <f t="shared" ca="1" si="29"/>
        <v>-40848.634010388407</v>
      </c>
    </row>
    <row r="374" spans="1:6" x14ac:dyDescent="0.35">
      <c r="B374" s="181"/>
      <c r="C374" s="181"/>
      <c r="D374" s="153"/>
      <c r="F374" s="181"/>
    </row>
    <row r="375" spans="1:6" x14ac:dyDescent="0.35">
      <c r="B375" s="181"/>
      <c r="C375" s="181"/>
      <c r="D375" s="153"/>
      <c r="F375" s="181"/>
    </row>
    <row r="376" spans="1:6" x14ac:dyDescent="0.35">
      <c r="B376" s="181"/>
      <c r="C376" s="181"/>
      <c r="D376" s="153"/>
      <c r="F376" s="181"/>
    </row>
    <row r="377" spans="1:6" x14ac:dyDescent="0.35">
      <c r="B377" s="181"/>
      <c r="C377" s="181"/>
      <c r="D377" s="153"/>
      <c r="F377" s="181"/>
    </row>
    <row r="378" spans="1:6" x14ac:dyDescent="0.35">
      <c r="B378" s="181"/>
      <c r="C378" s="181"/>
      <c r="D378" s="153"/>
      <c r="F378" s="181"/>
    </row>
    <row r="379" spans="1:6" x14ac:dyDescent="0.35">
      <c r="B379" s="181"/>
      <c r="C379" s="181"/>
      <c r="D379" s="153"/>
      <c r="F379" s="181"/>
    </row>
    <row r="380" spans="1:6" x14ac:dyDescent="0.35">
      <c r="B380" s="181"/>
      <c r="C380" s="181"/>
      <c r="D380" s="153"/>
      <c r="F380" s="181"/>
    </row>
    <row r="381" spans="1:6" x14ac:dyDescent="0.35">
      <c r="B381" s="181"/>
      <c r="C381" s="181"/>
      <c r="D381" s="153"/>
      <c r="F381" s="181"/>
    </row>
    <row r="382" spans="1:6" x14ac:dyDescent="0.35">
      <c r="B382" s="181"/>
      <c r="C382" s="181"/>
      <c r="D382" s="153"/>
      <c r="F382" s="181"/>
    </row>
    <row r="383" spans="1:6" x14ac:dyDescent="0.35">
      <c r="B383" s="181"/>
      <c r="C383" s="181"/>
      <c r="D383" s="153"/>
      <c r="F383" s="181"/>
    </row>
    <row r="384" spans="1:6" x14ac:dyDescent="0.35">
      <c r="B384" s="181"/>
      <c r="C384" s="181"/>
      <c r="D384" s="153"/>
      <c r="F384" s="181"/>
    </row>
    <row r="385" spans="2:6" x14ac:dyDescent="0.35">
      <c r="B385" s="181"/>
      <c r="C385" s="181"/>
      <c r="D385" s="153"/>
      <c r="F385" s="181"/>
    </row>
    <row r="386" spans="2:6" x14ac:dyDescent="0.35">
      <c r="B386" s="181"/>
      <c r="C386" s="181"/>
      <c r="D386" s="153"/>
      <c r="F386" s="181"/>
    </row>
    <row r="387" spans="2:6" x14ac:dyDescent="0.35">
      <c r="B387" s="181"/>
      <c r="C387" s="181"/>
      <c r="D387" s="153"/>
      <c r="F387" s="181"/>
    </row>
    <row r="388" spans="2:6" x14ac:dyDescent="0.35">
      <c r="B388" s="181"/>
      <c r="C388" s="181"/>
      <c r="D388" s="153"/>
      <c r="F388" s="181"/>
    </row>
    <row r="389" spans="2:6" x14ac:dyDescent="0.35">
      <c r="B389" s="181"/>
      <c r="C389" s="181"/>
      <c r="D389" s="153"/>
      <c r="F389" s="181"/>
    </row>
    <row r="390" spans="2:6" x14ac:dyDescent="0.35">
      <c r="B390" s="181"/>
      <c r="C390" s="181"/>
      <c r="D390" s="153"/>
      <c r="F390" s="181"/>
    </row>
    <row r="391" spans="2:6" x14ac:dyDescent="0.35">
      <c r="B391" s="181"/>
      <c r="C391" s="181"/>
      <c r="D391" s="153"/>
      <c r="F391" s="181"/>
    </row>
    <row r="392" spans="2:6" x14ac:dyDescent="0.35">
      <c r="B392" s="181"/>
      <c r="C392" s="181"/>
      <c r="D392" s="153"/>
      <c r="F392" s="181"/>
    </row>
    <row r="393" spans="2:6" x14ac:dyDescent="0.35">
      <c r="B393" s="181"/>
      <c r="C393" s="181"/>
      <c r="D393" s="153"/>
      <c r="F393" s="181"/>
    </row>
    <row r="394" spans="2:6" x14ac:dyDescent="0.35">
      <c r="B394" s="181"/>
      <c r="C394" s="181"/>
      <c r="D394" s="153"/>
      <c r="F394" s="181"/>
    </row>
    <row r="395" spans="2:6" x14ac:dyDescent="0.35">
      <c r="B395" s="181"/>
      <c r="C395" s="181"/>
      <c r="D395" s="153"/>
      <c r="F395" s="181"/>
    </row>
    <row r="396" spans="2:6" x14ac:dyDescent="0.35">
      <c r="B396" s="181"/>
      <c r="C396" s="181"/>
      <c r="D396" s="153"/>
      <c r="F396" s="181"/>
    </row>
    <row r="397" spans="2:6" x14ac:dyDescent="0.35">
      <c r="B397" s="181"/>
      <c r="C397" s="181"/>
      <c r="D397" s="153"/>
      <c r="F397" s="181"/>
    </row>
    <row r="398" spans="2:6" x14ac:dyDescent="0.35">
      <c r="B398" s="181"/>
      <c r="C398" s="181"/>
      <c r="D398" s="153"/>
      <c r="F398" s="181"/>
    </row>
    <row r="399" spans="2:6" x14ac:dyDescent="0.35">
      <c r="B399" s="181"/>
      <c r="C399" s="181"/>
      <c r="D399" s="153"/>
      <c r="F399" s="181"/>
    </row>
    <row r="400" spans="2:6" x14ac:dyDescent="0.35">
      <c r="B400" s="181"/>
      <c r="C400" s="181"/>
      <c r="D400" s="153"/>
      <c r="F400" s="181"/>
    </row>
    <row r="401" spans="2:6" x14ac:dyDescent="0.35">
      <c r="B401" s="181"/>
      <c r="C401" s="181"/>
      <c r="D401" s="153"/>
      <c r="F401" s="181"/>
    </row>
    <row r="402" spans="2:6" x14ac:dyDescent="0.35">
      <c r="B402" s="181"/>
      <c r="C402" s="181"/>
      <c r="D402" s="153"/>
      <c r="F402" s="181"/>
    </row>
    <row r="403" spans="2:6" x14ac:dyDescent="0.35">
      <c r="B403" s="181"/>
      <c r="C403" s="181"/>
      <c r="D403" s="153"/>
      <c r="F403" s="181"/>
    </row>
    <row r="404" spans="2:6" x14ac:dyDescent="0.35">
      <c r="B404" s="181"/>
      <c r="C404" s="181"/>
      <c r="D404" s="153"/>
      <c r="F404" s="181"/>
    </row>
    <row r="405" spans="2:6" x14ac:dyDescent="0.35">
      <c r="B405" s="181"/>
      <c r="C405" s="181"/>
      <c r="D405" s="153"/>
      <c r="F405" s="181"/>
    </row>
    <row r="406" spans="2:6" x14ac:dyDescent="0.35">
      <c r="B406" s="181"/>
      <c r="C406" s="181"/>
      <c r="D406" s="153"/>
      <c r="F406" s="181"/>
    </row>
    <row r="407" spans="2:6" x14ac:dyDescent="0.35">
      <c r="B407" s="181"/>
      <c r="C407" s="181"/>
      <c r="D407" s="153"/>
      <c r="F407" s="181"/>
    </row>
    <row r="408" spans="2:6" x14ac:dyDescent="0.35">
      <c r="B408" s="181"/>
      <c r="C408" s="181"/>
      <c r="D408" s="153"/>
      <c r="F408" s="181"/>
    </row>
    <row r="409" spans="2:6" x14ac:dyDescent="0.35">
      <c r="B409" s="181"/>
      <c r="C409" s="181"/>
      <c r="D409" s="153"/>
      <c r="F409" s="181"/>
    </row>
    <row r="410" spans="2:6" x14ac:dyDescent="0.35">
      <c r="B410" s="181"/>
      <c r="C410" s="181"/>
      <c r="D410" s="153"/>
      <c r="F410" s="181"/>
    </row>
    <row r="411" spans="2:6" x14ac:dyDescent="0.35">
      <c r="B411" s="181"/>
      <c r="C411" s="181"/>
      <c r="D411" s="153"/>
      <c r="F411" s="181"/>
    </row>
    <row r="412" spans="2:6" x14ac:dyDescent="0.35">
      <c r="B412" s="181"/>
      <c r="C412" s="181"/>
      <c r="D412" s="153"/>
      <c r="F412" s="181"/>
    </row>
    <row r="413" spans="2:6" x14ac:dyDescent="0.35">
      <c r="B413" s="181"/>
      <c r="C413" s="181"/>
      <c r="D413" s="153"/>
      <c r="F413" s="181"/>
    </row>
    <row r="414" spans="2:6" x14ac:dyDescent="0.35">
      <c r="B414" s="181"/>
      <c r="C414" s="181"/>
      <c r="D414" s="153"/>
      <c r="F414" s="181"/>
    </row>
    <row r="415" spans="2:6" x14ac:dyDescent="0.35">
      <c r="B415" s="181"/>
      <c r="C415" s="181"/>
      <c r="D415" s="153"/>
      <c r="F415" s="181"/>
    </row>
    <row r="416" spans="2:6" x14ac:dyDescent="0.35">
      <c r="B416" s="181"/>
      <c r="C416" s="181"/>
      <c r="D416" s="153"/>
      <c r="F416" s="181"/>
    </row>
    <row r="417" spans="2:6" x14ac:dyDescent="0.35">
      <c r="B417" s="181"/>
      <c r="C417" s="181"/>
      <c r="D417" s="153"/>
      <c r="F417" s="181"/>
    </row>
    <row r="418" spans="2:6" x14ac:dyDescent="0.35">
      <c r="B418" s="181"/>
      <c r="C418" s="181"/>
      <c r="D418" s="153"/>
      <c r="F418" s="181"/>
    </row>
    <row r="419" spans="2:6" x14ac:dyDescent="0.35">
      <c r="B419" s="181"/>
      <c r="C419" s="181"/>
      <c r="D419" s="153"/>
      <c r="F419" s="181"/>
    </row>
    <row r="420" spans="2:6" x14ac:dyDescent="0.35">
      <c r="B420" s="181"/>
      <c r="C420" s="181"/>
      <c r="D420" s="153"/>
      <c r="F420" s="181"/>
    </row>
    <row r="421" spans="2:6" x14ac:dyDescent="0.35">
      <c r="B421" s="181"/>
      <c r="C421" s="181"/>
      <c r="D421" s="153"/>
      <c r="F421" s="181"/>
    </row>
    <row r="422" spans="2:6" x14ac:dyDescent="0.35">
      <c r="B422" s="181"/>
      <c r="C422" s="181"/>
      <c r="D422" s="153"/>
      <c r="F422" s="181"/>
    </row>
    <row r="423" spans="2:6" x14ac:dyDescent="0.35">
      <c r="B423" s="181"/>
      <c r="C423" s="181"/>
      <c r="D423" s="153"/>
      <c r="F423" s="181"/>
    </row>
    <row r="424" spans="2:6" x14ac:dyDescent="0.35">
      <c r="B424" s="181"/>
      <c r="C424" s="181"/>
      <c r="D424" s="153"/>
      <c r="F424" s="181"/>
    </row>
    <row r="425" spans="2:6" x14ac:dyDescent="0.35">
      <c r="B425" s="181"/>
      <c r="C425" s="181"/>
      <c r="D425" s="153"/>
      <c r="F425" s="181"/>
    </row>
    <row r="426" spans="2:6" x14ac:dyDescent="0.35">
      <c r="B426" s="181"/>
      <c r="C426" s="181"/>
      <c r="D426" s="153"/>
      <c r="F426" s="181"/>
    </row>
    <row r="427" spans="2:6" x14ac:dyDescent="0.35">
      <c r="B427" s="181"/>
      <c r="C427" s="181"/>
      <c r="D427" s="153"/>
      <c r="F427" s="181"/>
    </row>
    <row r="428" spans="2:6" x14ac:dyDescent="0.35">
      <c r="B428" s="181"/>
      <c r="C428" s="181"/>
      <c r="D428" s="153"/>
      <c r="F428" s="181"/>
    </row>
    <row r="429" spans="2:6" x14ac:dyDescent="0.35">
      <c r="B429" s="181"/>
      <c r="C429" s="181"/>
      <c r="D429" s="153"/>
      <c r="F429" s="181"/>
    </row>
    <row r="430" spans="2:6" x14ac:dyDescent="0.35">
      <c r="B430" s="181"/>
      <c r="C430" s="181"/>
      <c r="D430" s="153"/>
      <c r="F430" s="181"/>
    </row>
    <row r="431" spans="2:6" x14ac:dyDescent="0.35">
      <c r="B431" s="181"/>
      <c r="C431" s="181"/>
      <c r="D431" s="153"/>
      <c r="F431" s="181"/>
    </row>
    <row r="432" spans="2:6" x14ac:dyDescent="0.35">
      <c r="B432" s="181"/>
      <c r="C432" s="181"/>
      <c r="D432" s="153"/>
      <c r="F432" s="181"/>
    </row>
    <row r="433" spans="2:6" x14ac:dyDescent="0.35">
      <c r="B433" s="181"/>
      <c r="C433" s="181"/>
      <c r="D433" s="153"/>
      <c r="F433" s="181"/>
    </row>
    <row r="434" spans="2:6" x14ac:dyDescent="0.35">
      <c r="B434" s="181"/>
      <c r="C434" s="181"/>
      <c r="D434" s="153"/>
      <c r="F434" s="181"/>
    </row>
    <row r="435" spans="2:6" x14ac:dyDescent="0.35">
      <c r="B435" s="181"/>
      <c r="C435" s="181"/>
      <c r="D435" s="153"/>
      <c r="F435" s="181"/>
    </row>
    <row r="436" spans="2:6" x14ac:dyDescent="0.35">
      <c r="B436" s="181"/>
      <c r="C436" s="181"/>
      <c r="D436" s="153"/>
      <c r="F436" s="181"/>
    </row>
    <row r="437" spans="2:6" x14ac:dyDescent="0.35">
      <c r="B437" s="181"/>
      <c r="C437" s="181"/>
      <c r="D437" s="153"/>
      <c r="F437" s="181"/>
    </row>
    <row r="438" spans="2:6" x14ac:dyDescent="0.35">
      <c r="B438" s="181"/>
      <c r="C438" s="181"/>
      <c r="D438" s="153"/>
      <c r="F438" s="181"/>
    </row>
    <row r="439" spans="2:6" x14ac:dyDescent="0.35">
      <c r="B439" s="181"/>
      <c r="C439" s="181"/>
      <c r="D439" s="153"/>
      <c r="F439" s="181"/>
    </row>
    <row r="440" spans="2:6" x14ac:dyDescent="0.35">
      <c r="B440" s="181"/>
      <c r="C440" s="181"/>
      <c r="D440" s="153"/>
      <c r="F440" s="181"/>
    </row>
    <row r="441" spans="2:6" x14ac:dyDescent="0.35">
      <c r="B441" s="181"/>
      <c r="C441" s="181"/>
      <c r="D441" s="153"/>
      <c r="F441" s="181"/>
    </row>
    <row r="442" spans="2:6" x14ac:dyDescent="0.35">
      <c r="B442" s="181"/>
      <c r="C442" s="181"/>
      <c r="D442" s="153"/>
      <c r="F442" s="181"/>
    </row>
    <row r="443" spans="2:6" x14ac:dyDescent="0.35">
      <c r="B443" s="181"/>
      <c r="C443" s="181"/>
      <c r="D443" s="153"/>
      <c r="F443" s="181"/>
    </row>
    <row r="444" spans="2:6" x14ac:dyDescent="0.35">
      <c r="B444" s="181"/>
      <c r="C444" s="181"/>
      <c r="D444" s="153"/>
      <c r="F444" s="181"/>
    </row>
    <row r="445" spans="2:6" x14ac:dyDescent="0.35">
      <c r="B445" s="181"/>
      <c r="C445" s="181"/>
      <c r="D445" s="153"/>
      <c r="F445" s="181"/>
    </row>
    <row r="446" spans="2:6" x14ac:dyDescent="0.35">
      <c r="B446" s="181"/>
      <c r="C446" s="181"/>
      <c r="D446" s="153"/>
      <c r="F446" s="181"/>
    </row>
    <row r="447" spans="2:6" x14ac:dyDescent="0.35">
      <c r="B447" s="181"/>
      <c r="C447" s="181"/>
      <c r="D447" s="153"/>
      <c r="F447" s="181"/>
    </row>
    <row r="448" spans="2:6" x14ac:dyDescent="0.35">
      <c r="B448" s="181"/>
      <c r="C448" s="181"/>
      <c r="D448" s="153"/>
      <c r="F448" s="181"/>
    </row>
    <row r="449" spans="2:6" x14ac:dyDescent="0.35">
      <c r="B449" s="181"/>
      <c r="C449" s="181"/>
      <c r="D449" s="153"/>
      <c r="F449" s="181"/>
    </row>
  </sheetData>
  <mergeCells count="1">
    <mergeCell ref="A8:F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0A9EB-CE88-4022-B696-0A053BFCDEA7}">
  <sheetPr codeName="Sheet11"/>
  <dimension ref="A1:E401"/>
  <sheetViews>
    <sheetView topLeftCell="D1" zoomScale="117" zoomScaleNormal="130" workbookViewId="0">
      <selection activeCell="T15" sqref="T15"/>
    </sheetView>
  </sheetViews>
  <sheetFormatPr defaultRowHeight="15.5" x14ac:dyDescent="0.35"/>
  <sheetData>
    <row r="1" spans="1:5" x14ac:dyDescent="0.35">
      <c r="A1" s="45" t="s">
        <v>1746</v>
      </c>
      <c r="B1" s="45" t="s">
        <v>1747</v>
      </c>
      <c r="E1" t="s">
        <v>1748</v>
      </c>
    </row>
    <row r="2" spans="1:5" x14ac:dyDescent="0.35">
      <c r="A2" s="45">
        <v>28.6</v>
      </c>
      <c r="B2" s="45">
        <f>LOG(A2)</f>
        <v>1.4563660331290431</v>
      </c>
      <c r="C2">
        <f>LOG(A2,5)</f>
        <v>2.0835887435720606</v>
      </c>
      <c r="E2" t="s">
        <v>1749</v>
      </c>
    </row>
    <row r="3" spans="1:5" x14ac:dyDescent="0.35">
      <c r="A3" s="45">
        <v>32.299999999999997</v>
      </c>
      <c r="B3" s="45">
        <f t="shared" ref="B3:B66" si="0">LOG(A3)</f>
        <v>1.5092025223311027</v>
      </c>
      <c r="C3">
        <f t="shared" ref="C3:C66" si="1">LOG(A3,5)</f>
        <v>2.1591806700843454</v>
      </c>
      <c r="E3" t="s">
        <v>1750</v>
      </c>
    </row>
    <row r="4" spans="1:5" x14ac:dyDescent="0.35">
      <c r="A4" s="45">
        <v>51.3</v>
      </c>
      <c r="B4" s="45">
        <f t="shared" si="0"/>
        <v>1.7101173651118162</v>
      </c>
      <c r="C4">
        <f t="shared" si="1"/>
        <v>2.4466248258197134</v>
      </c>
    </row>
    <row r="5" spans="1:5" x14ac:dyDescent="0.35">
      <c r="A5" s="45">
        <v>56.6</v>
      </c>
      <c r="B5" s="45">
        <f t="shared" si="0"/>
        <v>1.7528164311882715</v>
      </c>
      <c r="C5">
        <f t="shared" si="1"/>
        <v>2.5077133787069248</v>
      </c>
    </row>
    <row r="6" spans="1:5" x14ac:dyDescent="0.35">
      <c r="A6" s="45">
        <v>69.3</v>
      </c>
      <c r="B6" s="45">
        <f t="shared" si="0"/>
        <v>1.8407332346118068</v>
      </c>
      <c r="C6">
        <f t="shared" si="1"/>
        <v>2.6334938884257233</v>
      </c>
    </row>
    <row r="7" spans="1:5" x14ac:dyDescent="0.35">
      <c r="A7" s="45">
        <v>84.8</v>
      </c>
      <c r="B7" s="45">
        <f t="shared" si="0"/>
        <v>1.9283958522567137</v>
      </c>
      <c r="C7">
        <f t="shared" si="1"/>
        <v>2.7589107405096427</v>
      </c>
      <c r="D7">
        <f>SKEW(B2:B401)</f>
        <v>-6.2051934214410326E-2</v>
      </c>
    </row>
    <row r="8" spans="1:5" x14ac:dyDescent="0.35">
      <c r="A8" s="45">
        <v>92.3</v>
      </c>
      <c r="B8" s="45">
        <f t="shared" si="0"/>
        <v>1.965201701025912</v>
      </c>
      <c r="C8">
        <f t="shared" si="1"/>
        <v>2.8115680055437293</v>
      </c>
    </row>
    <row r="9" spans="1:5" x14ac:dyDescent="0.35">
      <c r="A9" s="45">
        <v>122.1</v>
      </c>
      <c r="B9" s="45">
        <f t="shared" si="0"/>
        <v>2.0867156639448825</v>
      </c>
      <c r="C9">
        <f t="shared" si="1"/>
        <v>2.9854151837704994</v>
      </c>
    </row>
    <row r="10" spans="1:5" x14ac:dyDescent="0.35">
      <c r="A10" s="45">
        <v>124.2</v>
      </c>
      <c r="B10" s="45">
        <f t="shared" si="0"/>
        <v>2.0941215958405612</v>
      </c>
      <c r="C10">
        <f t="shared" si="1"/>
        <v>2.9960106769243358</v>
      </c>
    </row>
    <row r="11" spans="1:5" x14ac:dyDescent="0.35">
      <c r="A11" s="45">
        <v>126.5</v>
      </c>
      <c r="B11" s="45">
        <f t="shared" si="0"/>
        <v>2.1020905255118367</v>
      </c>
      <c r="C11">
        <f t="shared" si="1"/>
        <v>3.0074116377979649</v>
      </c>
    </row>
    <row r="12" spans="1:5" x14ac:dyDescent="0.35">
      <c r="A12" s="45">
        <v>137.6</v>
      </c>
      <c r="B12" s="45">
        <f t="shared" si="0"/>
        <v>2.1386184338994925</v>
      </c>
      <c r="C12">
        <f t="shared" si="1"/>
        <v>3.0596712600436362</v>
      </c>
    </row>
    <row r="13" spans="1:5" x14ac:dyDescent="0.35">
      <c r="A13" s="45">
        <v>164.3</v>
      </c>
      <c r="B13" s="45">
        <f t="shared" si="0"/>
        <v>2.2156375634350618</v>
      </c>
      <c r="C13">
        <f t="shared" si="1"/>
        <v>3.1698607231933935</v>
      </c>
    </row>
    <row r="14" spans="1:5" x14ac:dyDescent="0.35">
      <c r="A14" s="45">
        <v>187</v>
      </c>
      <c r="B14" s="45">
        <f t="shared" si="0"/>
        <v>2.271841606536499</v>
      </c>
      <c r="C14">
        <f t="shared" si="1"/>
        <v>3.2502705301275663</v>
      </c>
    </row>
    <row r="15" spans="1:5" x14ac:dyDescent="0.35">
      <c r="A15" s="45">
        <v>195.4</v>
      </c>
      <c r="B15" s="45">
        <f t="shared" si="0"/>
        <v>2.2909245593827543</v>
      </c>
      <c r="C15">
        <f t="shared" si="1"/>
        <v>3.2775720634235239</v>
      </c>
    </row>
    <row r="16" spans="1:5" x14ac:dyDescent="0.35">
      <c r="A16" s="45">
        <v>197</v>
      </c>
      <c r="B16" s="45">
        <f t="shared" si="0"/>
        <v>2.2944662261615929</v>
      </c>
      <c r="C16">
        <f t="shared" si="1"/>
        <v>3.2826390430605152</v>
      </c>
    </row>
    <row r="17" spans="1:3" x14ac:dyDescent="0.35">
      <c r="A17" s="45">
        <v>204</v>
      </c>
      <c r="B17" s="45">
        <f t="shared" si="0"/>
        <v>2.3096301674258988</v>
      </c>
      <c r="C17">
        <f t="shared" si="1"/>
        <v>3.3043337383553593</v>
      </c>
    </row>
    <row r="18" spans="1:3" x14ac:dyDescent="0.35">
      <c r="A18" s="45">
        <v>205.1</v>
      </c>
      <c r="B18" s="45">
        <f t="shared" si="0"/>
        <v>2.3119656603683665</v>
      </c>
      <c r="C18">
        <f t="shared" si="1"/>
        <v>3.307675073359694</v>
      </c>
    </row>
    <row r="19" spans="1:3" x14ac:dyDescent="0.35">
      <c r="A19" s="45">
        <v>205.7</v>
      </c>
      <c r="B19" s="45">
        <f t="shared" si="0"/>
        <v>2.3132342916947239</v>
      </c>
      <c r="C19">
        <f t="shared" si="1"/>
        <v>3.3094900744591511</v>
      </c>
    </row>
    <row r="20" spans="1:3" x14ac:dyDescent="0.35">
      <c r="A20" s="45">
        <v>260.89999999999998</v>
      </c>
      <c r="B20" s="45">
        <f t="shared" si="0"/>
        <v>2.4164740791002206</v>
      </c>
      <c r="C20">
        <f t="shared" si="1"/>
        <v>3.4571928181606761</v>
      </c>
    </row>
    <row r="21" spans="1:3" x14ac:dyDescent="0.35">
      <c r="A21" s="45">
        <v>270.7</v>
      </c>
      <c r="B21" s="45">
        <f t="shared" si="0"/>
        <v>2.4324882557705063</v>
      </c>
      <c r="C21">
        <f t="shared" si="1"/>
        <v>3.4801039253196997</v>
      </c>
    </row>
    <row r="22" spans="1:3" x14ac:dyDescent="0.35">
      <c r="A22" s="45">
        <v>278.89999999999998</v>
      </c>
      <c r="B22" s="45">
        <f t="shared" si="0"/>
        <v>2.44544851426605</v>
      </c>
      <c r="C22">
        <f t="shared" si="1"/>
        <v>3.4986458633358453</v>
      </c>
    </row>
    <row r="23" spans="1:3" x14ac:dyDescent="0.35">
      <c r="A23" s="45">
        <v>313.7</v>
      </c>
      <c r="B23" s="45">
        <f t="shared" si="0"/>
        <v>2.4965145186977451</v>
      </c>
      <c r="C23">
        <f t="shared" si="1"/>
        <v>3.5717047987907438</v>
      </c>
    </row>
    <row r="24" spans="1:3" x14ac:dyDescent="0.35">
      <c r="A24" s="45">
        <v>324.10000000000002</v>
      </c>
      <c r="B24" s="45">
        <f t="shared" si="0"/>
        <v>2.5106790310322098</v>
      </c>
      <c r="C24">
        <f t="shared" si="1"/>
        <v>3.591969634544204</v>
      </c>
    </row>
    <row r="25" spans="1:3" x14ac:dyDescent="0.35">
      <c r="A25" s="45">
        <v>330.7</v>
      </c>
      <c r="B25" s="45">
        <f t="shared" si="0"/>
        <v>2.5194341949137029</v>
      </c>
      <c r="C25">
        <f t="shared" si="1"/>
        <v>3.6044954422715465</v>
      </c>
    </row>
    <row r="26" spans="1:3" x14ac:dyDescent="0.35">
      <c r="A26" s="45">
        <v>346.1</v>
      </c>
      <c r="B26" s="45">
        <f t="shared" si="0"/>
        <v>2.5392015992941279</v>
      </c>
      <c r="C26">
        <f t="shared" si="1"/>
        <v>3.6327762043325782</v>
      </c>
    </row>
    <row r="27" spans="1:3" x14ac:dyDescent="0.35">
      <c r="A27" s="45">
        <v>349.1</v>
      </c>
      <c r="B27" s="45">
        <f t="shared" si="0"/>
        <v>2.5429498488141786</v>
      </c>
      <c r="C27">
        <f t="shared" si="1"/>
        <v>3.6381387370547249</v>
      </c>
    </row>
    <row r="28" spans="1:3" x14ac:dyDescent="0.35">
      <c r="A28" s="45">
        <v>359.4</v>
      </c>
      <c r="B28" s="45">
        <f t="shared" si="0"/>
        <v>2.5555780727729549</v>
      </c>
      <c r="C28">
        <f t="shared" si="1"/>
        <v>3.6562056410426469</v>
      </c>
    </row>
    <row r="29" spans="1:3" x14ac:dyDescent="0.35">
      <c r="A29" s="45">
        <v>362.1</v>
      </c>
      <c r="B29" s="45">
        <f t="shared" si="0"/>
        <v>2.5588285248170117</v>
      </c>
      <c r="C29">
        <f t="shared" si="1"/>
        <v>3.6608559865852204</v>
      </c>
    </row>
    <row r="30" spans="1:3" x14ac:dyDescent="0.35">
      <c r="A30" s="45">
        <v>363.3</v>
      </c>
      <c r="B30" s="45">
        <f t="shared" si="0"/>
        <v>2.5602653978627146</v>
      </c>
      <c r="C30">
        <f t="shared" si="1"/>
        <v>3.6629116871686351</v>
      </c>
    </row>
    <row r="31" spans="1:3" x14ac:dyDescent="0.35">
      <c r="A31" s="45">
        <v>364.2</v>
      </c>
      <c r="B31" s="45">
        <f t="shared" si="0"/>
        <v>2.5613399414589013</v>
      </c>
      <c r="C31">
        <f t="shared" si="1"/>
        <v>3.6644490115023274</v>
      </c>
    </row>
    <row r="32" spans="1:3" x14ac:dyDescent="0.35">
      <c r="A32" s="45">
        <v>366.7</v>
      </c>
      <c r="B32" s="45">
        <f t="shared" si="0"/>
        <v>2.5643109099606027</v>
      </c>
      <c r="C32">
        <f t="shared" si="1"/>
        <v>3.6686995064924854</v>
      </c>
    </row>
    <row r="33" spans="1:3" x14ac:dyDescent="0.35">
      <c r="A33" s="45">
        <v>377.2</v>
      </c>
      <c r="B33" s="45">
        <f t="shared" si="0"/>
        <v>2.5765716840652906</v>
      </c>
      <c r="C33">
        <f t="shared" si="1"/>
        <v>3.6862407085878965</v>
      </c>
    </row>
    <row r="34" spans="1:3" x14ac:dyDescent="0.35">
      <c r="A34" s="45">
        <v>405.4</v>
      </c>
      <c r="B34" s="45">
        <f t="shared" si="0"/>
        <v>2.60788374435699</v>
      </c>
      <c r="C34">
        <f t="shared" si="1"/>
        <v>3.7310381392322109</v>
      </c>
    </row>
    <row r="35" spans="1:3" x14ac:dyDescent="0.35">
      <c r="A35" s="45">
        <v>410.2</v>
      </c>
      <c r="B35" s="45">
        <f t="shared" si="0"/>
        <v>2.6129956560323473</v>
      </c>
      <c r="C35">
        <f t="shared" si="1"/>
        <v>3.7383516314330869</v>
      </c>
    </row>
    <row r="36" spans="1:3" x14ac:dyDescent="0.35">
      <c r="A36" s="45">
        <v>425.5</v>
      </c>
      <c r="B36" s="45">
        <f t="shared" si="0"/>
        <v>2.6288995644206068</v>
      </c>
      <c r="C36">
        <f t="shared" si="1"/>
        <v>3.761104980345916</v>
      </c>
    </row>
    <row r="37" spans="1:3" x14ac:dyDescent="0.35">
      <c r="A37" s="45">
        <v>426.4</v>
      </c>
      <c r="B37" s="45">
        <f t="shared" si="0"/>
        <v>2.6298171960185157</v>
      </c>
      <c r="C37">
        <f t="shared" si="1"/>
        <v>3.7624178143619917</v>
      </c>
    </row>
    <row r="38" spans="1:3" x14ac:dyDescent="0.35">
      <c r="A38" s="45">
        <v>430.3</v>
      </c>
      <c r="B38" s="45">
        <f t="shared" si="0"/>
        <v>2.6337713460825554</v>
      </c>
      <c r="C38">
        <f t="shared" si="1"/>
        <v>3.7680749241657181</v>
      </c>
    </row>
    <row r="39" spans="1:3" x14ac:dyDescent="0.35">
      <c r="A39" s="45">
        <v>439.5</v>
      </c>
      <c r="B39" s="45">
        <f t="shared" si="0"/>
        <v>2.6429588794097909</v>
      </c>
      <c r="C39">
        <f t="shared" si="1"/>
        <v>3.7812193127235112</v>
      </c>
    </row>
    <row r="40" spans="1:3" x14ac:dyDescent="0.35">
      <c r="A40" s="45">
        <v>443.3</v>
      </c>
      <c r="B40" s="45">
        <f t="shared" si="0"/>
        <v>2.6466977312993345</v>
      </c>
      <c r="C40">
        <f t="shared" si="1"/>
        <v>3.7865684004759905</v>
      </c>
    </row>
    <row r="41" spans="1:3" x14ac:dyDescent="0.35">
      <c r="A41" s="45">
        <v>455.6</v>
      </c>
      <c r="B41" s="45">
        <f t="shared" si="0"/>
        <v>2.6585837154070626</v>
      </c>
      <c r="C41">
        <f t="shared" si="1"/>
        <v>3.8035733993085499</v>
      </c>
    </row>
    <row r="42" spans="1:3" x14ac:dyDescent="0.35">
      <c r="A42" s="45">
        <v>459.5</v>
      </c>
      <c r="B42" s="45">
        <f t="shared" si="0"/>
        <v>2.6622855157221301</v>
      </c>
      <c r="C42">
        <f t="shared" si="1"/>
        <v>3.8088694782419852</v>
      </c>
    </row>
    <row r="43" spans="1:3" x14ac:dyDescent="0.35">
      <c r="A43" s="45">
        <v>463.8</v>
      </c>
      <c r="B43" s="45">
        <f t="shared" si="0"/>
        <v>2.6663307443019684</v>
      </c>
      <c r="C43">
        <f t="shared" si="1"/>
        <v>3.8146568919432084</v>
      </c>
    </row>
    <row r="44" spans="1:3" x14ac:dyDescent="0.35">
      <c r="A44" s="45">
        <v>470.6</v>
      </c>
      <c r="B44" s="45">
        <f t="shared" si="0"/>
        <v>2.6726519228400023</v>
      </c>
      <c r="C44">
        <f t="shared" si="1"/>
        <v>3.8237004538969703</v>
      </c>
    </row>
    <row r="45" spans="1:3" x14ac:dyDescent="0.35">
      <c r="A45" s="45">
        <v>485.3</v>
      </c>
      <c r="B45" s="45">
        <f t="shared" si="0"/>
        <v>2.6860102913152857</v>
      </c>
      <c r="C45">
        <f t="shared" si="1"/>
        <v>3.8428119585286646</v>
      </c>
    </row>
    <row r="46" spans="1:3" x14ac:dyDescent="0.35">
      <c r="A46" s="45">
        <v>485.8</v>
      </c>
      <c r="B46" s="45">
        <f t="shared" si="0"/>
        <v>2.6864575104691117</v>
      </c>
      <c r="C46">
        <f t="shared" si="1"/>
        <v>3.8434517844883653</v>
      </c>
    </row>
    <row r="47" spans="1:3" x14ac:dyDescent="0.35">
      <c r="A47" s="45">
        <v>503.2</v>
      </c>
      <c r="B47" s="45">
        <f t="shared" si="0"/>
        <v>2.7017406324372124</v>
      </c>
      <c r="C47">
        <f t="shared" si="1"/>
        <v>3.8653169888223031</v>
      </c>
    </row>
    <row r="48" spans="1:3" x14ac:dyDescent="0.35">
      <c r="A48" s="45">
        <v>509.2</v>
      </c>
      <c r="B48" s="45">
        <f t="shared" si="0"/>
        <v>2.7068883949816178</v>
      </c>
      <c r="C48">
        <f t="shared" si="1"/>
        <v>3.8726817720211124</v>
      </c>
    </row>
    <row r="49" spans="1:3" x14ac:dyDescent="0.35">
      <c r="A49" s="45">
        <v>512.9</v>
      </c>
      <c r="B49" s="45">
        <f t="shared" si="0"/>
        <v>2.7100326990657537</v>
      </c>
      <c r="C49">
        <f t="shared" si="1"/>
        <v>3.8771802541657396</v>
      </c>
    </row>
    <row r="50" spans="1:3" x14ac:dyDescent="0.35">
      <c r="A50" s="45">
        <v>518</v>
      </c>
      <c r="B50" s="45">
        <f t="shared" si="0"/>
        <v>2.7143297597452332</v>
      </c>
      <c r="C50">
        <f t="shared" si="1"/>
        <v>3.8833279581484899</v>
      </c>
    </row>
    <row r="51" spans="1:3" x14ac:dyDescent="0.35">
      <c r="A51" s="45">
        <v>525.4</v>
      </c>
      <c r="B51" s="45">
        <f t="shared" si="0"/>
        <v>2.7204900684500513</v>
      </c>
      <c r="C51">
        <f t="shared" si="1"/>
        <v>3.8921413674029695</v>
      </c>
    </row>
    <row r="52" spans="1:3" x14ac:dyDescent="0.35">
      <c r="A52" s="45">
        <v>536.4</v>
      </c>
      <c r="B52" s="45">
        <f t="shared" si="0"/>
        <v>2.7294887691795613</v>
      </c>
      <c r="C52">
        <f t="shared" si="1"/>
        <v>3.9050155975897969</v>
      </c>
    </row>
    <row r="53" spans="1:3" x14ac:dyDescent="0.35">
      <c r="A53" s="45">
        <v>542.9</v>
      </c>
      <c r="B53" s="45">
        <f t="shared" si="0"/>
        <v>2.7347198416556799</v>
      </c>
      <c r="C53">
        <f t="shared" si="1"/>
        <v>3.9124995703549623</v>
      </c>
    </row>
    <row r="54" spans="1:3" x14ac:dyDescent="0.35">
      <c r="A54" s="45">
        <v>547.1</v>
      </c>
      <c r="B54" s="45">
        <f t="shared" si="0"/>
        <v>2.7380667147774691</v>
      </c>
      <c r="C54">
        <f t="shared" si="1"/>
        <v>3.9172878632731529</v>
      </c>
    </row>
    <row r="55" spans="1:3" x14ac:dyDescent="0.35">
      <c r="A55" s="45">
        <v>560.1</v>
      </c>
      <c r="B55" s="45">
        <f t="shared" si="0"/>
        <v>2.7482655726687408</v>
      </c>
      <c r="C55">
        <f t="shared" si="1"/>
        <v>3.9318791301773168</v>
      </c>
    </row>
    <row r="56" spans="1:3" x14ac:dyDescent="0.35">
      <c r="A56" s="45">
        <v>598.29999999999995</v>
      </c>
      <c r="B56" s="45">
        <f t="shared" si="0"/>
        <v>2.7769190028420465</v>
      </c>
      <c r="C56">
        <f t="shared" si="1"/>
        <v>3.9728729210346581</v>
      </c>
    </row>
    <row r="57" spans="1:3" x14ac:dyDescent="0.35">
      <c r="A57" s="45">
        <v>604</v>
      </c>
      <c r="B57" s="45">
        <f t="shared" si="0"/>
        <v>2.7810369386211318</v>
      </c>
      <c r="C57">
        <f t="shared" si="1"/>
        <v>3.9787643552214473</v>
      </c>
    </row>
    <row r="58" spans="1:3" x14ac:dyDescent="0.35">
      <c r="A58" s="45">
        <v>610.9</v>
      </c>
      <c r="B58" s="45">
        <f t="shared" si="0"/>
        <v>2.7859701251320095</v>
      </c>
      <c r="C58">
        <f t="shared" si="1"/>
        <v>3.9858221495191639</v>
      </c>
    </row>
    <row r="59" spans="1:3" x14ac:dyDescent="0.35">
      <c r="A59" s="45">
        <v>618.5</v>
      </c>
      <c r="B59" s="45">
        <f t="shared" si="0"/>
        <v>2.7913397039651393</v>
      </c>
      <c r="C59">
        <f t="shared" si="1"/>
        <v>3.9935042800824503</v>
      </c>
    </row>
    <row r="60" spans="1:3" x14ac:dyDescent="0.35">
      <c r="A60" s="45">
        <v>683.6</v>
      </c>
      <c r="B60" s="45">
        <f t="shared" si="0"/>
        <v>2.8348020540486991</v>
      </c>
      <c r="C60">
        <f t="shared" si="1"/>
        <v>4.0556848455057777</v>
      </c>
    </row>
    <row r="61" spans="1:3" x14ac:dyDescent="0.35">
      <c r="A61" s="45">
        <v>693.1</v>
      </c>
      <c r="B61" s="45">
        <f t="shared" si="0"/>
        <v>2.8407958988470936</v>
      </c>
      <c r="C61">
        <f t="shared" si="1"/>
        <v>4.0642600987515713</v>
      </c>
    </row>
    <row r="62" spans="1:3" x14ac:dyDescent="0.35">
      <c r="A62" s="45">
        <v>717.6</v>
      </c>
      <c r="B62" s="45">
        <f t="shared" si="0"/>
        <v>2.8558824300360355</v>
      </c>
      <c r="C62">
        <f t="shared" si="1"/>
        <v>4.0858440452662332</v>
      </c>
    </row>
    <row r="63" spans="1:3" x14ac:dyDescent="0.35">
      <c r="A63" s="45">
        <v>733.4</v>
      </c>
      <c r="B63" s="45">
        <f t="shared" si="0"/>
        <v>2.865340905624584</v>
      </c>
      <c r="C63">
        <f t="shared" si="1"/>
        <v>4.0993760645658783</v>
      </c>
    </row>
    <row r="64" spans="1:3" x14ac:dyDescent="0.35">
      <c r="A64" s="45">
        <v>742.6</v>
      </c>
      <c r="B64" s="45">
        <f t="shared" si="0"/>
        <v>2.8707549448901402</v>
      </c>
      <c r="C64">
        <f t="shared" si="1"/>
        <v>4.1071218036275985</v>
      </c>
    </row>
    <row r="65" spans="1:3" x14ac:dyDescent="0.35">
      <c r="A65" s="45">
        <v>743.7</v>
      </c>
      <c r="B65" s="45">
        <f t="shared" si="0"/>
        <v>2.871397781487484</v>
      </c>
      <c r="C65">
        <f t="shared" si="1"/>
        <v>4.1080414948780906</v>
      </c>
    </row>
    <row r="66" spans="1:3" x14ac:dyDescent="0.35">
      <c r="A66" s="45">
        <v>751.1</v>
      </c>
      <c r="B66" s="45">
        <f t="shared" si="0"/>
        <v>2.875697761980208</v>
      </c>
      <c r="C66">
        <f t="shared" si="1"/>
        <v>4.1141933761692036</v>
      </c>
    </row>
    <row r="67" spans="1:3" x14ac:dyDescent="0.35">
      <c r="A67" s="45">
        <v>751.4</v>
      </c>
      <c r="B67" s="45">
        <f t="shared" ref="B67:B130" si="2">LOG(A67)</f>
        <v>2.875871190727366</v>
      </c>
      <c r="C67">
        <f t="shared" ref="C67:C130" si="3">LOG(A67,5)</f>
        <v>4.1144414966122582</v>
      </c>
    </row>
    <row r="68" spans="1:3" x14ac:dyDescent="0.35">
      <c r="A68" s="45">
        <v>773.2</v>
      </c>
      <c r="B68" s="45">
        <f t="shared" si="2"/>
        <v>2.8882918453565156</v>
      </c>
      <c r="C68">
        <f t="shared" si="3"/>
        <v>4.1322114360261084</v>
      </c>
    </row>
    <row r="69" spans="1:3" x14ac:dyDescent="0.35">
      <c r="A69" s="45">
        <v>787.2</v>
      </c>
      <c r="B69" s="45">
        <f t="shared" si="2"/>
        <v>2.8960850854232851</v>
      </c>
      <c r="C69">
        <f t="shared" si="3"/>
        <v>4.1433610419010742</v>
      </c>
    </row>
    <row r="70" spans="1:3" x14ac:dyDescent="0.35">
      <c r="A70" s="45">
        <v>787.5</v>
      </c>
      <c r="B70" s="45">
        <f t="shared" si="2"/>
        <v>2.8962505624616379</v>
      </c>
      <c r="C70">
        <f t="shared" si="3"/>
        <v>4.1435977860207451</v>
      </c>
    </row>
    <row r="71" spans="1:3" x14ac:dyDescent="0.35">
      <c r="A71" s="45">
        <v>794.7</v>
      </c>
      <c r="B71" s="45">
        <f t="shared" si="2"/>
        <v>2.9002032130168933</v>
      </c>
      <c r="C71">
        <f t="shared" si="3"/>
        <v>4.1492527505124048</v>
      </c>
    </row>
    <row r="72" spans="1:3" x14ac:dyDescent="0.35">
      <c r="A72" s="45">
        <v>798.5</v>
      </c>
      <c r="B72" s="45">
        <f t="shared" si="2"/>
        <v>2.9022749204745018</v>
      </c>
      <c r="C72">
        <f t="shared" si="3"/>
        <v>4.1522166938071905</v>
      </c>
    </row>
    <row r="73" spans="1:3" x14ac:dyDescent="0.35">
      <c r="A73" s="45">
        <v>803.3</v>
      </c>
      <c r="B73" s="45">
        <f t="shared" si="2"/>
        <v>2.9048777669634047</v>
      </c>
      <c r="C73">
        <f t="shared" si="3"/>
        <v>4.1559405252631283</v>
      </c>
    </row>
    <row r="74" spans="1:3" x14ac:dyDescent="0.35">
      <c r="A74" s="45">
        <v>812.8</v>
      </c>
      <c r="B74" s="45">
        <f t="shared" si="2"/>
        <v>2.9099836949398439</v>
      </c>
      <c r="C74">
        <f t="shared" si="3"/>
        <v>4.1632454567262309</v>
      </c>
    </row>
    <row r="75" spans="1:3" x14ac:dyDescent="0.35">
      <c r="A75" s="45">
        <v>821.1</v>
      </c>
      <c r="B75" s="45">
        <f t="shared" si="2"/>
        <v>2.9143960521297863</v>
      </c>
      <c r="C75">
        <f t="shared" si="3"/>
        <v>4.1695581127237276</v>
      </c>
    </row>
    <row r="76" spans="1:3" x14ac:dyDescent="0.35">
      <c r="A76" s="45">
        <v>836.6</v>
      </c>
      <c r="B76" s="45">
        <f t="shared" si="2"/>
        <v>2.9225178602446116</v>
      </c>
      <c r="C76">
        <f t="shared" si="3"/>
        <v>4.1811777932027789</v>
      </c>
    </row>
    <row r="77" spans="1:3" x14ac:dyDescent="0.35">
      <c r="A77" s="45">
        <v>838.5</v>
      </c>
      <c r="B77" s="45">
        <f t="shared" si="2"/>
        <v>2.9235030669421045</v>
      </c>
      <c r="C77">
        <f t="shared" si="3"/>
        <v>4.1825873053297391</v>
      </c>
    </row>
    <row r="78" spans="1:3" x14ac:dyDescent="0.35">
      <c r="A78" s="45">
        <v>848.8</v>
      </c>
      <c r="B78" s="45">
        <f t="shared" si="2"/>
        <v>2.9288053708932842</v>
      </c>
      <c r="C78">
        <f t="shared" si="3"/>
        <v>4.1901731872964714</v>
      </c>
    </row>
    <row r="79" spans="1:3" x14ac:dyDescent="0.35">
      <c r="A79" s="45">
        <v>856.5</v>
      </c>
      <c r="B79" s="45">
        <f t="shared" si="2"/>
        <v>2.9327273673015295</v>
      </c>
      <c r="C79">
        <f t="shared" si="3"/>
        <v>4.1957842956185951</v>
      </c>
    </row>
    <row r="80" spans="1:3" x14ac:dyDescent="0.35">
      <c r="A80" s="45">
        <v>862.3</v>
      </c>
      <c r="B80" s="45">
        <f t="shared" si="2"/>
        <v>2.9356583861006342</v>
      </c>
      <c r="C80">
        <f t="shared" si="3"/>
        <v>4.1999776355057481</v>
      </c>
    </row>
    <row r="81" spans="1:3" x14ac:dyDescent="0.35">
      <c r="A81" s="45">
        <v>875</v>
      </c>
      <c r="B81" s="45">
        <f t="shared" si="2"/>
        <v>2.9420080530223132</v>
      </c>
      <c r="C81">
        <f t="shared" si="3"/>
        <v>4.2090619551221673</v>
      </c>
    </row>
    <row r="82" spans="1:3" x14ac:dyDescent="0.35">
      <c r="A82" s="45">
        <v>875.6</v>
      </c>
      <c r="B82" s="45">
        <f t="shared" si="2"/>
        <v>2.9423057528958942</v>
      </c>
      <c r="C82">
        <f t="shared" si="3"/>
        <v>4.2094878673526415</v>
      </c>
    </row>
    <row r="83" spans="1:3" x14ac:dyDescent="0.35">
      <c r="A83" s="45">
        <v>886.8</v>
      </c>
      <c r="B83" s="45">
        <f t="shared" si="2"/>
        <v>2.9478256844424506</v>
      </c>
      <c r="C83">
        <f t="shared" si="3"/>
        <v>4.2173851040184696</v>
      </c>
    </row>
    <row r="84" spans="1:3" x14ac:dyDescent="0.35">
      <c r="A84" s="45">
        <v>912.2</v>
      </c>
      <c r="B84" s="45">
        <f t="shared" si="2"/>
        <v>2.9600900679049196</v>
      </c>
      <c r="C84">
        <f t="shared" si="3"/>
        <v>4.2349314699374467</v>
      </c>
    </row>
    <row r="85" spans="1:3" x14ac:dyDescent="0.35">
      <c r="A85" s="45">
        <v>933.8</v>
      </c>
      <c r="B85" s="45">
        <f t="shared" si="2"/>
        <v>2.9702538695947869</v>
      </c>
      <c r="C85">
        <f t="shared" si="3"/>
        <v>4.2494725827560469</v>
      </c>
    </row>
    <row r="86" spans="1:3" x14ac:dyDescent="0.35">
      <c r="A86" s="45">
        <v>973.2</v>
      </c>
      <c r="B86" s="45">
        <f t="shared" si="2"/>
        <v>2.9882021002587811</v>
      </c>
      <c r="C86">
        <f t="shared" si="3"/>
        <v>4.2751506956259169</v>
      </c>
    </row>
    <row r="87" spans="1:3" x14ac:dyDescent="0.35">
      <c r="A87" s="45">
        <v>975.2</v>
      </c>
      <c r="B87" s="45">
        <f t="shared" si="2"/>
        <v>2.9890936926103255</v>
      </c>
      <c r="C87">
        <f t="shared" si="3"/>
        <v>4.2764262759026295</v>
      </c>
    </row>
    <row r="88" spans="1:3" x14ac:dyDescent="0.35">
      <c r="A88" s="45">
        <v>975.9</v>
      </c>
      <c r="B88" s="45">
        <f t="shared" si="2"/>
        <v>2.9894053180015159</v>
      </c>
      <c r="C88">
        <f t="shared" si="3"/>
        <v>4.2768721110447059</v>
      </c>
    </row>
    <row r="89" spans="1:3" x14ac:dyDescent="0.35">
      <c r="A89" s="45">
        <v>978.7</v>
      </c>
      <c r="B89" s="45">
        <f t="shared" si="2"/>
        <v>2.9906495883188544</v>
      </c>
      <c r="C89">
        <f t="shared" si="3"/>
        <v>4.278652259419629</v>
      </c>
    </row>
    <row r="90" spans="1:3" x14ac:dyDescent="0.35">
      <c r="A90" s="45">
        <v>979.6</v>
      </c>
      <c r="B90" s="45">
        <f t="shared" si="2"/>
        <v>2.9910487764526765</v>
      </c>
      <c r="C90">
        <f t="shared" si="3"/>
        <v>4.2792233685249492</v>
      </c>
    </row>
    <row r="91" spans="1:3" x14ac:dyDescent="0.35">
      <c r="A91" s="45">
        <v>990.1</v>
      </c>
      <c r="B91" s="45">
        <f t="shared" si="2"/>
        <v>2.9956790605116224</v>
      </c>
      <c r="C91">
        <f t="shared" si="3"/>
        <v>4.2858478073853039</v>
      </c>
    </row>
    <row r="92" spans="1:3" x14ac:dyDescent="0.35">
      <c r="A92" s="45">
        <v>991.2</v>
      </c>
      <c r="B92" s="45">
        <f t="shared" si="2"/>
        <v>2.9961612933680071</v>
      </c>
      <c r="C92">
        <f t="shared" si="3"/>
        <v>4.2865377266284659</v>
      </c>
    </row>
    <row r="93" spans="1:3" x14ac:dyDescent="0.35">
      <c r="A93" s="45">
        <v>995.4</v>
      </c>
      <c r="B93" s="45">
        <f t="shared" si="2"/>
        <v>2.9979976364080043</v>
      </c>
      <c r="C93">
        <f t="shared" si="3"/>
        <v>4.2891649395683711</v>
      </c>
    </row>
    <row r="94" spans="1:3" x14ac:dyDescent="0.35">
      <c r="A94" s="45">
        <v>1003.1</v>
      </c>
      <c r="B94" s="45">
        <f t="shared" si="2"/>
        <v>3.0013442304116014</v>
      </c>
      <c r="C94">
        <f t="shared" si="3"/>
        <v>4.2939528331587065</v>
      </c>
    </row>
    <row r="95" spans="1:3" x14ac:dyDescent="0.35">
      <c r="A95" s="45">
        <v>1014.2</v>
      </c>
      <c r="B95" s="45">
        <f t="shared" si="2"/>
        <v>3.0061236062118546</v>
      </c>
      <c r="C95">
        <f t="shared" si="3"/>
        <v>4.3007905740783521</v>
      </c>
    </row>
    <row r="96" spans="1:3" x14ac:dyDescent="0.35">
      <c r="A96" s="45">
        <v>1033.3</v>
      </c>
      <c r="B96" s="45">
        <f t="shared" si="2"/>
        <v>3.0142264293892294</v>
      </c>
      <c r="C96">
        <f t="shared" si="3"/>
        <v>4.3123830932524365</v>
      </c>
    </row>
    <row r="97" spans="1:3" x14ac:dyDescent="0.35">
      <c r="A97" s="45">
        <v>1040.9000000000001</v>
      </c>
      <c r="B97" s="45">
        <f t="shared" si="2"/>
        <v>3.0174090085362111</v>
      </c>
      <c r="C97">
        <f t="shared" si="3"/>
        <v>4.3169363346322358</v>
      </c>
    </row>
    <row r="98" spans="1:3" x14ac:dyDescent="0.35">
      <c r="A98" s="45">
        <v>1045.7</v>
      </c>
      <c r="B98" s="45">
        <f t="shared" si="2"/>
        <v>3.0194071080188833</v>
      </c>
      <c r="C98">
        <f t="shared" si="3"/>
        <v>4.3197949687227943</v>
      </c>
    </row>
    <row r="99" spans="1:3" x14ac:dyDescent="0.35">
      <c r="A99" s="45">
        <v>1068</v>
      </c>
      <c r="B99" s="45">
        <f t="shared" si="2"/>
        <v>3.0285712526925375</v>
      </c>
      <c r="C99">
        <f t="shared" si="3"/>
        <v>4.3329058956821846</v>
      </c>
    </row>
    <row r="100" spans="1:3" x14ac:dyDescent="0.35">
      <c r="A100" s="45">
        <v>1081.9000000000001</v>
      </c>
      <c r="B100" s="45">
        <f t="shared" si="2"/>
        <v>3.0341871207934528</v>
      </c>
      <c r="C100">
        <f t="shared" si="3"/>
        <v>4.3409403865273957</v>
      </c>
    </row>
    <row r="101" spans="1:3" x14ac:dyDescent="0.35">
      <c r="A101" s="45">
        <v>1087.8</v>
      </c>
      <c r="B101" s="45">
        <f t="shared" si="2"/>
        <v>3.0365490544791522</v>
      </c>
      <c r="C101">
        <f t="shared" si="3"/>
        <v>4.3443195496832496</v>
      </c>
    </row>
    <row r="102" spans="1:3" x14ac:dyDescent="0.35">
      <c r="A102" s="45">
        <v>1088.9000000000001</v>
      </c>
      <c r="B102" s="45">
        <f t="shared" si="2"/>
        <v>3.0369879978069059</v>
      </c>
      <c r="C102">
        <f t="shared" si="3"/>
        <v>4.3449475356125902</v>
      </c>
    </row>
    <row r="103" spans="1:3" x14ac:dyDescent="0.35">
      <c r="A103" s="45">
        <v>1099.0999999999999</v>
      </c>
      <c r="B103" s="45">
        <f t="shared" si="2"/>
        <v>3.0410372078670282</v>
      </c>
      <c r="C103">
        <f t="shared" si="3"/>
        <v>4.350740645524322</v>
      </c>
    </row>
    <row r="104" spans="1:3" x14ac:dyDescent="0.35">
      <c r="A104" s="45">
        <v>1108.4000000000001</v>
      </c>
      <c r="B104" s="45">
        <f t="shared" si="2"/>
        <v>3.0446965171101943</v>
      </c>
      <c r="C104">
        <f t="shared" si="3"/>
        <v>4.3559759334772608</v>
      </c>
    </row>
    <row r="105" spans="1:3" x14ac:dyDescent="0.35">
      <c r="A105" s="45">
        <v>1110.5999999999999</v>
      </c>
      <c r="B105" s="45">
        <f t="shared" si="2"/>
        <v>3.0455576691365476</v>
      </c>
      <c r="C105">
        <f t="shared" si="3"/>
        <v>4.3572079634943019</v>
      </c>
    </row>
    <row r="106" spans="1:3" x14ac:dyDescent="0.35">
      <c r="A106" s="45">
        <v>1127.3</v>
      </c>
      <c r="B106" s="45">
        <f t="shared" si="2"/>
        <v>3.0520395070014721</v>
      </c>
      <c r="C106">
        <f t="shared" si="3"/>
        <v>4.3664813769808815</v>
      </c>
    </row>
    <row r="107" spans="1:3" x14ac:dyDescent="0.35">
      <c r="A107" s="45">
        <v>1130.3</v>
      </c>
      <c r="B107" s="45">
        <f t="shared" si="2"/>
        <v>3.0531937276008696</v>
      </c>
      <c r="C107">
        <f t="shared" si="3"/>
        <v>4.3681326933352853</v>
      </c>
    </row>
    <row r="108" spans="1:3" x14ac:dyDescent="0.35">
      <c r="A108" s="45">
        <v>1133.8</v>
      </c>
      <c r="B108" s="45">
        <f t="shared" si="2"/>
        <v>3.0545364526549514</v>
      </c>
      <c r="C108">
        <f t="shared" si="3"/>
        <v>4.3700536985940976</v>
      </c>
    </row>
    <row r="109" spans="1:3" x14ac:dyDescent="0.35">
      <c r="A109" s="45">
        <v>1153.5</v>
      </c>
      <c r="B109" s="45">
        <f t="shared" si="2"/>
        <v>3.0620175988571123</v>
      </c>
      <c r="C109">
        <f t="shared" si="3"/>
        <v>4.3807567990930494</v>
      </c>
    </row>
    <row r="110" spans="1:3" x14ac:dyDescent="0.35">
      <c r="A110" s="45">
        <v>1167.3</v>
      </c>
      <c r="B110" s="45">
        <f t="shared" si="2"/>
        <v>3.0671824855234049</v>
      </c>
      <c r="C110">
        <f t="shared" si="3"/>
        <v>4.3881460813716195</v>
      </c>
    </row>
    <row r="111" spans="1:3" x14ac:dyDescent="0.35">
      <c r="A111" s="45">
        <v>1170.9000000000001</v>
      </c>
      <c r="B111" s="45">
        <f t="shared" si="2"/>
        <v>3.0685198060009111</v>
      </c>
      <c r="C111">
        <f t="shared" si="3"/>
        <v>4.39005935442942</v>
      </c>
    </row>
    <row r="112" spans="1:3" x14ac:dyDescent="0.35">
      <c r="A112" s="45">
        <v>1184.9000000000001</v>
      </c>
      <c r="B112" s="45">
        <f t="shared" si="2"/>
        <v>3.0736816994762832</v>
      </c>
      <c r="C112">
        <f t="shared" si="3"/>
        <v>4.3974443544199069</v>
      </c>
    </row>
    <row r="113" spans="1:3" x14ac:dyDescent="0.35">
      <c r="A113" s="45">
        <v>1185.4000000000001</v>
      </c>
      <c r="B113" s="45">
        <f t="shared" si="2"/>
        <v>3.0738649229029993</v>
      </c>
      <c r="C113">
        <f t="shared" si="3"/>
        <v>4.3977064878813987</v>
      </c>
    </row>
    <row r="114" spans="1:3" x14ac:dyDescent="0.35">
      <c r="A114" s="45">
        <v>1187.9000000000001</v>
      </c>
      <c r="B114" s="45">
        <f t="shared" si="2"/>
        <v>3.0747798823319328</v>
      </c>
      <c r="C114">
        <f t="shared" si="3"/>
        <v>4.3990154988879624</v>
      </c>
    </row>
    <row r="115" spans="1:3" x14ac:dyDescent="0.35">
      <c r="A115" s="45">
        <v>1231.8</v>
      </c>
      <c r="B115" s="45">
        <f t="shared" si="2"/>
        <v>3.0905401997542357</v>
      </c>
      <c r="C115">
        <f t="shared" si="3"/>
        <v>4.4215634155718462</v>
      </c>
    </row>
    <row r="116" spans="1:3" x14ac:dyDescent="0.35">
      <c r="A116" s="45">
        <v>1241.4000000000001</v>
      </c>
      <c r="B116" s="45">
        <f t="shared" si="2"/>
        <v>3.0939117410493782</v>
      </c>
      <c r="C116">
        <f t="shared" si="3"/>
        <v>4.4263870006673836</v>
      </c>
    </row>
    <row r="117" spans="1:3" x14ac:dyDescent="0.35">
      <c r="A117" s="45">
        <v>1243.9000000000001</v>
      </c>
      <c r="B117" s="45">
        <f t="shared" si="2"/>
        <v>3.0947854678195585</v>
      </c>
      <c r="C117">
        <f t="shared" si="3"/>
        <v>4.4276370210756415</v>
      </c>
    </row>
    <row r="118" spans="1:3" x14ac:dyDescent="0.35">
      <c r="A118" s="45">
        <v>1274.0999999999999</v>
      </c>
      <c r="B118" s="45">
        <f t="shared" si="2"/>
        <v>3.1052035157103419</v>
      </c>
      <c r="C118">
        <f t="shared" si="3"/>
        <v>4.4425418779738717</v>
      </c>
    </row>
    <row r="119" spans="1:3" x14ac:dyDescent="0.35">
      <c r="A119" s="45">
        <v>1287.2</v>
      </c>
      <c r="B119" s="45">
        <f t="shared" si="2"/>
        <v>3.109646031090973</v>
      </c>
      <c r="C119">
        <f t="shared" si="3"/>
        <v>4.4488976805878213</v>
      </c>
    </row>
    <row r="120" spans="1:3" x14ac:dyDescent="0.35">
      <c r="A120" s="45">
        <v>1311</v>
      </c>
      <c r="B120" s="45">
        <f t="shared" si="2"/>
        <v>3.1176026916900841</v>
      </c>
      <c r="C120">
        <f t="shared" si="3"/>
        <v>4.4602810883875152</v>
      </c>
    </row>
    <row r="121" spans="1:3" x14ac:dyDescent="0.35">
      <c r="A121" s="45">
        <v>1330.1</v>
      </c>
      <c r="B121" s="45">
        <f t="shared" si="2"/>
        <v>3.1238842934600077</v>
      </c>
      <c r="C121">
        <f t="shared" si="3"/>
        <v>4.4692680287868969</v>
      </c>
    </row>
    <row r="122" spans="1:3" x14ac:dyDescent="0.35">
      <c r="A122" s="45">
        <v>1331.2</v>
      </c>
      <c r="B122" s="45">
        <f t="shared" si="2"/>
        <v>3.1242433089466486</v>
      </c>
      <c r="C122">
        <f t="shared" si="3"/>
        <v>4.4697816638276198</v>
      </c>
    </row>
    <row r="123" spans="1:3" x14ac:dyDescent="0.35">
      <c r="A123" s="45">
        <v>1339</v>
      </c>
      <c r="B123" s="45">
        <f t="shared" si="2"/>
        <v>3.126780577012009</v>
      </c>
      <c r="C123">
        <f t="shared" si="3"/>
        <v>4.4734116737702792</v>
      </c>
    </row>
    <row r="124" spans="1:3" x14ac:dyDescent="0.35">
      <c r="A124" s="45">
        <v>1348</v>
      </c>
      <c r="B124" s="45">
        <f t="shared" si="2"/>
        <v>3.129689892199301</v>
      </c>
      <c r="C124">
        <f t="shared" si="3"/>
        <v>4.4775739628087852</v>
      </c>
    </row>
    <row r="125" spans="1:3" x14ac:dyDescent="0.35">
      <c r="A125" s="45">
        <v>1364.5</v>
      </c>
      <c r="B125" s="45">
        <f t="shared" si="2"/>
        <v>3.1349735400059155</v>
      </c>
      <c r="C125">
        <f t="shared" si="3"/>
        <v>4.4851331538668235</v>
      </c>
    </row>
    <row r="126" spans="1:3" x14ac:dyDescent="0.35">
      <c r="A126" s="45">
        <v>1365.9</v>
      </c>
      <c r="B126" s="45">
        <f t="shared" si="2"/>
        <v>3.1354189050278523</v>
      </c>
      <c r="C126">
        <f t="shared" si="3"/>
        <v>4.485770327163495</v>
      </c>
    </row>
    <row r="127" spans="1:3" x14ac:dyDescent="0.35">
      <c r="A127" s="45">
        <v>1377.2</v>
      </c>
      <c r="B127" s="45">
        <f t="shared" si="2"/>
        <v>3.1389970140326358</v>
      </c>
      <c r="C127">
        <f t="shared" si="3"/>
        <v>4.4908894438388698</v>
      </c>
    </row>
    <row r="128" spans="1:3" x14ac:dyDescent="0.35">
      <c r="A128" s="45">
        <v>1381.8</v>
      </c>
      <c r="B128" s="45">
        <f t="shared" si="2"/>
        <v>3.1404451883478748</v>
      </c>
      <c r="C128">
        <f t="shared" si="3"/>
        <v>4.4929613128836863</v>
      </c>
    </row>
    <row r="129" spans="1:3" x14ac:dyDescent="0.35">
      <c r="A129" s="45">
        <v>1397.4</v>
      </c>
      <c r="B129" s="45">
        <f t="shared" si="2"/>
        <v>3.1453207389183242</v>
      </c>
      <c r="C129">
        <f t="shared" si="3"/>
        <v>4.4999366487925299</v>
      </c>
    </row>
    <row r="130" spans="1:3" x14ac:dyDescent="0.35">
      <c r="A130" s="45">
        <v>1432.1</v>
      </c>
      <c r="B130" s="45">
        <f t="shared" si="2"/>
        <v>3.1559733447399019</v>
      </c>
      <c r="C130">
        <f t="shared" si="3"/>
        <v>4.5151770822238575</v>
      </c>
    </row>
    <row r="131" spans="1:3" x14ac:dyDescent="0.35">
      <c r="A131" s="45">
        <v>1447.7</v>
      </c>
      <c r="B131" s="45">
        <f t="shared" ref="B131:B194" si="4">LOG(A131)</f>
        <v>3.1606785744003849</v>
      </c>
      <c r="C131">
        <f t="shared" ref="C131:C194" si="5">LOG(A131,5)</f>
        <v>4.5219087439994619</v>
      </c>
    </row>
    <row r="132" spans="1:3" x14ac:dyDescent="0.35">
      <c r="A132" s="45">
        <v>1468.1</v>
      </c>
      <c r="B132" s="45">
        <f t="shared" si="4"/>
        <v>3.1667556386652378</v>
      </c>
      <c r="C132">
        <f t="shared" si="5"/>
        <v>4.5306030573850915</v>
      </c>
    </row>
    <row r="133" spans="1:3" x14ac:dyDescent="0.35">
      <c r="A133" s="45">
        <v>1491.8</v>
      </c>
      <c r="B133" s="45">
        <f t="shared" si="4"/>
        <v>3.1737106028159108</v>
      </c>
      <c r="C133">
        <f t="shared" si="5"/>
        <v>4.5405533615577012</v>
      </c>
    </row>
    <row r="134" spans="1:3" x14ac:dyDescent="0.35">
      <c r="A134" s="45">
        <v>1556.5</v>
      </c>
      <c r="B134" s="45">
        <f t="shared" si="4"/>
        <v>3.1921491250185339</v>
      </c>
      <c r="C134">
        <f t="shared" si="5"/>
        <v>4.5669329230385101</v>
      </c>
    </row>
    <row r="135" spans="1:3" x14ac:dyDescent="0.35">
      <c r="A135" s="45">
        <v>1563</v>
      </c>
      <c r="B135" s="45">
        <f t="shared" si="4"/>
        <v>3.1939589780191868</v>
      </c>
      <c r="C135">
        <f t="shared" si="5"/>
        <v>4.5695222373001032</v>
      </c>
    </row>
    <row r="136" spans="1:3" x14ac:dyDescent="0.35">
      <c r="A136" s="45">
        <v>1563.4</v>
      </c>
      <c r="B136" s="45">
        <f t="shared" si="4"/>
        <v>3.1940701076210991</v>
      </c>
      <c r="C136">
        <f t="shared" si="5"/>
        <v>4.5696812278164662</v>
      </c>
    </row>
    <row r="137" spans="1:3" x14ac:dyDescent="0.35">
      <c r="A137" s="45">
        <v>1566.6</v>
      </c>
      <c r="B137" s="45">
        <f t="shared" si="4"/>
        <v>3.1949581222065881</v>
      </c>
      <c r="C137">
        <f t="shared" si="5"/>
        <v>4.5709516894671527</v>
      </c>
    </row>
    <row r="138" spans="1:3" x14ac:dyDescent="0.35">
      <c r="A138" s="45">
        <v>1571.9</v>
      </c>
      <c r="B138" s="45">
        <f t="shared" si="4"/>
        <v>3.1964249139491954</v>
      </c>
      <c r="C138">
        <f t="shared" si="5"/>
        <v>4.5730501940288768</v>
      </c>
    </row>
    <row r="139" spans="1:3" x14ac:dyDescent="0.35">
      <c r="A139" s="45">
        <v>1574.7</v>
      </c>
      <c r="B139" s="45">
        <f t="shared" si="4"/>
        <v>3.1971978274878032</v>
      </c>
      <c r="C139">
        <f t="shared" si="5"/>
        <v>4.5741559833099803</v>
      </c>
    </row>
    <row r="140" spans="1:3" x14ac:dyDescent="0.35">
      <c r="A140" s="45">
        <v>1611.6</v>
      </c>
      <c r="B140" s="45">
        <f t="shared" si="4"/>
        <v>3.2072572587163402</v>
      </c>
      <c r="C140">
        <f t="shared" si="5"/>
        <v>4.5885477757561999</v>
      </c>
    </row>
    <row r="141" spans="1:3" x14ac:dyDescent="0.35">
      <c r="A141" s="45">
        <v>1631.8</v>
      </c>
      <c r="B141" s="45">
        <f t="shared" si="4"/>
        <v>3.2126669287934235</v>
      </c>
      <c r="C141">
        <f t="shared" si="5"/>
        <v>4.5962872639223935</v>
      </c>
    </row>
    <row r="142" spans="1:3" x14ac:dyDescent="0.35">
      <c r="A142" s="45">
        <v>1654.8</v>
      </c>
      <c r="B142" s="45">
        <f t="shared" si="4"/>
        <v>3.2187455122234745</v>
      </c>
      <c r="C142">
        <f t="shared" si="5"/>
        <v>4.6049837507420612</v>
      </c>
    </row>
    <row r="143" spans="1:3" x14ac:dyDescent="0.35">
      <c r="A143" s="45">
        <v>1662.2</v>
      </c>
      <c r="B143" s="45">
        <f t="shared" si="4"/>
        <v>3.2206832779743455</v>
      </c>
      <c r="C143">
        <f t="shared" si="5"/>
        <v>4.6077560667768696</v>
      </c>
    </row>
    <row r="144" spans="1:3" x14ac:dyDescent="0.35">
      <c r="A144" s="45">
        <v>1735.2</v>
      </c>
      <c r="B144" s="45">
        <f t="shared" si="4"/>
        <v>3.2393495390061369</v>
      </c>
      <c r="C144">
        <f t="shared" si="5"/>
        <v>4.6344614488619325</v>
      </c>
    </row>
    <row r="145" spans="1:3" x14ac:dyDescent="0.35">
      <c r="A145" s="45">
        <v>1764.3</v>
      </c>
      <c r="B145" s="45">
        <f t="shared" si="4"/>
        <v>3.2465724341216999</v>
      </c>
      <c r="C145">
        <f t="shared" si="5"/>
        <v>4.6447950755851917</v>
      </c>
    </row>
    <row r="146" spans="1:3" x14ac:dyDescent="0.35">
      <c r="A146" s="45">
        <v>1780.5</v>
      </c>
      <c r="B146" s="45">
        <f t="shared" si="4"/>
        <v>3.2505419780102724</v>
      </c>
      <c r="C146">
        <f t="shared" si="5"/>
        <v>4.6504742089728159</v>
      </c>
    </row>
    <row r="147" spans="1:3" x14ac:dyDescent="0.35">
      <c r="A147" s="45">
        <v>1805.1</v>
      </c>
      <c r="B147" s="45">
        <f t="shared" si="4"/>
        <v>3.2565012662113184</v>
      </c>
      <c r="C147">
        <f t="shared" si="5"/>
        <v>4.6590000229048556</v>
      </c>
    </row>
    <row r="148" spans="1:3" x14ac:dyDescent="0.35">
      <c r="A148" s="45">
        <v>1822.2</v>
      </c>
      <c r="B148" s="45">
        <f t="shared" si="4"/>
        <v>3.2605960423019087</v>
      </c>
      <c r="C148">
        <f t="shared" si="5"/>
        <v>4.6648583230682226</v>
      </c>
    </row>
    <row r="149" spans="1:3" x14ac:dyDescent="0.35">
      <c r="A149" s="45">
        <v>1841.3</v>
      </c>
      <c r="B149" s="45">
        <f t="shared" si="4"/>
        <v>3.2651245531591808</v>
      </c>
      <c r="C149">
        <f t="shared" si="5"/>
        <v>4.6713371573947029</v>
      </c>
    </row>
    <row r="150" spans="1:3" x14ac:dyDescent="0.35">
      <c r="A150" s="45">
        <v>1843.5</v>
      </c>
      <c r="B150" s="45">
        <f t="shared" si="4"/>
        <v>3.2656431419421352</v>
      </c>
      <c r="C150">
        <f t="shared" si="5"/>
        <v>4.6720790902097553</v>
      </c>
    </row>
    <row r="151" spans="1:3" x14ac:dyDescent="0.35">
      <c r="A151" s="45">
        <v>1885.3</v>
      </c>
      <c r="B151" s="45">
        <f t="shared" si="4"/>
        <v>3.2753804675274338</v>
      </c>
      <c r="C151">
        <f t="shared" si="5"/>
        <v>4.6860100536629705</v>
      </c>
    </row>
    <row r="152" spans="1:3" x14ac:dyDescent="0.35">
      <c r="A152" s="45">
        <v>1887.8</v>
      </c>
      <c r="B152" s="45">
        <f t="shared" si="4"/>
        <v>3.2759559817537438</v>
      </c>
      <c r="C152">
        <f t="shared" si="5"/>
        <v>4.6868334283753894</v>
      </c>
    </row>
    <row r="153" spans="1:3" x14ac:dyDescent="0.35">
      <c r="A153" s="45">
        <v>1922.1</v>
      </c>
      <c r="B153" s="45">
        <f t="shared" si="4"/>
        <v>3.2837759787115228</v>
      </c>
      <c r="C153">
        <f t="shared" si="5"/>
        <v>4.6980213147070895</v>
      </c>
    </row>
    <row r="154" spans="1:3" x14ac:dyDescent="0.35">
      <c r="A154" s="45">
        <v>1990.7</v>
      </c>
      <c r="B154" s="45">
        <f t="shared" si="4"/>
        <v>3.2990058164506371</v>
      </c>
      <c r="C154">
        <f t="shared" si="5"/>
        <v>4.7198102865437015</v>
      </c>
    </row>
    <row r="155" spans="1:3" x14ac:dyDescent="0.35">
      <c r="A155" s="45">
        <v>2011.7</v>
      </c>
      <c r="B155" s="45">
        <f t="shared" si="4"/>
        <v>3.3035632159172486</v>
      </c>
      <c r="C155">
        <f t="shared" si="5"/>
        <v>4.7263304511263584</v>
      </c>
    </row>
    <row r="156" spans="1:3" x14ac:dyDescent="0.35">
      <c r="A156" s="45">
        <v>2022.2</v>
      </c>
      <c r="B156" s="45">
        <f t="shared" si="4"/>
        <v>3.3058241060526932</v>
      </c>
      <c r="C156">
        <f t="shared" si="5"/>
        <v>4.729565053643519</v>
      </c>
    </row>
    <row r="157" spans="1:3" x14ac:dyDescent="0.35">
      <c r="A157" s="45">
        <v>2035.7</v>
      </c>
      <c r="B157" s="45">
        <f t="shared" si="4"/>
        <v>3.3087137766390038</v>
      </c>
      <c r="C157">
        <f t="shared" si="5"/>
        <v>4.7336992376119076</v>
      </c>
    </row>
    <row r="158" spans="1:3" x14ac:dyDescent="0.35">
      <c r="A158" s="45">
        <v>2067.1999999999998</v>
      </c>
      <c r="B158" s="45">
        <f t="shared" si="4"/>
        <v>3.31538249631499</v>
      </c>
      <c r="C158">
        <f t="shared" si="5"/>
        <v>4.7432400185247037</v>
      </c>
    </row>
    <row r="159" spans="1:3" x14ac:dyDescent="0.35">
      <c r="A159" s="45">
        <v>2068.9</v>
      </c>
      <c r="B159" s="45">
        <f t="shared" si="4"/>
        <v>3.3157394996083389</v>
      </c>
      <c r="C159">
        <f t="shared" si="5"/>
        <v>4.7437507747676531</v>
      </c>
    </row>
    <row r="160" spans="1:3" x14ac:dyDescent="0.35">
      <c r="A160" s="45">
        <v>2086.9</v>
      </c>
      <c r="B160" s="45">
        <f t="shared" si="4"/>
        <v>3.3195016390564942</v>
      </c>
      <c r="C160">
        <f t="shared" si="5"/>
        <v>4.7491331794843319</v>
      </c>
    </row>
    <row r="161" spans="1:3" x14ac:dyDescent="0.35">
      <c r="A161" s="45">
        <v>2094.5</v>
      </c>
      <c r="B161" s="45">
        <f t="shared" si="4"/>
        <v>3.3210803646972384</v>
      </c>
      <c r="C161">
        <f t="shared" si="5"/>
        <v>4.7513918252501739</v>
      </c>
    </row>
    <row r="162" spans="1:3" x14ac:dyDescent="0.35">
      <c r="A162" s="45">
        <v>2102.4</v>
      </c>
      <c r="B162" s="45">
        <f t="shared" si="4"/>
        <v>3.3227153478796869</v>
      </c>
      <c r="C162">
        <f t="shared" si="5"/>
        <v>4.7537309573621469</v>
      </c>
    </row>
    <row r="163" spans="1:3" x14ac:dyDescent="0.35">
      <c r="A163" s="45">
        <v>2115.4</v>
      </c>
      <c r="B163" s="45">
        <f t="shared" si="4"/>
        <v>3.3253925000172635</v>
      </c>
      <c r="C163">
        <f t="shared" si="5"/>
        <v>4.7575610961677741</v>
      </c>
    </row>
    <row r="164" spans="1:3" x14ac:dyDescent="0.35">
      <c r="A164" s="45">
        <v>2121.3000000000002</v>
      </c>
      <c r="B164" s="45">
        <f t="shared" si="4"/>
        <v>3.3266020919636485</v>
      </c>
      <c r="C164">
        <f t="shared" si="5"/>
        <v>4.7592916310103019</v>
      </c>
    </row>
    <row r="165" spans="1:3" x14ac:dyDescent="0.35">
      <c r="A165" s="45">
        <v>2142.9</v>
      </c>
      <c r="B165" s="45">
        <f t="shared" si="4"/>
        <v>3.3310019048442046</v>
      </c>
      <c r="C165">
        <f t="shared" si="5"/>
        <v>4.7655863401584231</v>
      </c>
    </row>
    <row r="166" spans="1:3" x14ac:dyDescent="0.35">
      <c r="A166" s="45">
        <v>2148.1999999999998</v>
      </c>
      <c r="B166" s="45">
        <f t="shared" si="4"/>
        <v>3.3320747122476861</v>
      </c>
      <c r="C166">
        <f t="shared" si="5"/>
        <v>4.7671211805619116</v>
      </c>
    </row>
    <row r="167" spans="1:3" x14ac:dyDescent="0.35">
      <c r="A167" s="45">
        <v>2236.1</v>
      </c>
      <c r="B167" s="45">
        <f t="shared" si="4"/>
        <v>3.3494912216102164</v>
      </c>
      <c r="C167">
        <f t="shared" si="5"/>
        <v>4.7920385722303491</v>
      </c>
    </row>
    <row r="168" spans="1:3" x14ac:dyDescent="0.35">
      <c r="A168" s="45">
        <v>2307.9</v>
      </c>
      <c r="B168" s="45">
        <f t="shared" si="4"/>
        <v>3.36321698715741</v>
      </c>
      <c r="C168">
        <f t="shared" si="5"/>
        <v>4.8116757032403301</v>
      </c>
    </row>
    <row r="169" spans="1:3" x14ac:dyDescent="0.35">
      <c r="A169" s="45">
        <v>2330</v>
      </c>
      <c r="B169" s="45">
        <f t="shared" si="4"/>
        <v>3.3673559210260189</v>
      </c>
      <c r="C169">
        <f t="shared" si="5"/>
        <v>4.8175971789015657</v>
      </c>
    </row>
    <row r="170" spans="1:3" x14ac:dyDescent="0.35">
      <c r="A170" s="45">
        <v>2331.4</v>
      </c>
      <c r="B170" s="45">
        <f t="shared" si="4"/>
        <v>3.3676167921346756</v>
      </c>
      <c r="C170">
        <f t="shared" si="5"/>
        <v>4.8179704010813991</v>
      </c>
    </row>
    <row r="171" spans="1:3" x14ac:dyDescent="0.35">
      <c r="A171" s="45">
        <v>2334.6</v>
      </c>
      <c r="B171" s="45">
        <f t="shared" si="4"/>
        <v>3.3682124811873861</v>
      </c>
      <c r="C171">
        <f t="shared" si="5"/>
        <v>4.8188226394450124</v>
      </c>
    </row>
    <row r="172" spans="1:3" x14ac:dyDescent="0.35">
      <c r="A172" s="45">
        <v>2388.4</v>
      </c>
      <c r="B172" s="45">
        <f t="shared" si="4"/>
        <v>3.3781070625097422</v>
      </c>
      <c r="C172">
        <f t="shared" si="5"/>
        <v>4.8329785849948586</v>
      </c>
    </row>
    <row r="173" spans="1:3" x14ac:dyDescent="0.35">
      <c r="A173" s="45">
        <v>2418.6999999999998</v>
      </c>
      <c r="B173" s="45">
        <f t="shared" si="4"/>
        <v>3.3835820046064842</v>
      </c>
      <c r="C173">
        <f t="shared" si="5"/>
        <v>4.8408114563094768</v>
      </c>
    </row>
    <row r="174" spans="1:3" x14ac:dyDescent="0.35">
      <c r="A174" s="45">
        <v>2428.3000000000002</v>
      </c>
      <c r="B174" s="45">
        <f t="shared" si="4"/>
        <v>3.3853023398563167</v>
      </c>
      <c r="C174">
        <f t="shared" si="5"/>
        <v>4.8432726996234399</v>
      </c>
    </row>
    <row r="175" spans="1:3" x14ac:dyDescent="0.35">
      <c r="A175" s="45">
        <v>2435</v>
      </c>
      <c r="B175" s="45">
        <f t="shared" si="4"/>
        <v>3.3864989655506532</v>
      </c>
      <c r="C175">
        <f t="shared" si="5"/>
        <v>4.8449846839531148</v>
      </c>
    </row>
    <row r="176" spans="1:3" x14ac:dyDescent="0.35">
      <c r="A176" s="45">
        <v>2462</v>
      </c>
      <c r="B176" s="45">
        <f t="shared" si="4"/>
        <v>3.3912880485952974</v>
      </c>
      <c r="C176">
        <f t="shared" si="5"/>
        <v>4.8518363127997546</v>
      </c>
    </row>
    <row r="177" spans="1:3" x14ac:dyDescent="0.35">
      <c r="A177" s="45">
        <v>2494.6</v>
      </c>
      <c r="B177" s="45">
        <f t="shared" si="4"/>
        <v>3.3970009180076959</v>
      </c>
      <c r="C177">
        <f t="shared" si="5"/>
        <v>4.8600095811474073</v>
      </c>
    </row>
    <row r="178" spans="1:3" x14ac:dyDescent="0.35">
      <c r="A178" s="45">
        <v>2519.8000000000002</v>
      </c>
      <c r="B178" s="45">
        <f t="shared" si="4"/>
        <v>3.401366071597677</v>
      </c>
      <c r="C178">
        <f t="shared" si="5"/>
        <v>4.8662547040609834</v>
      </c>
    </row>
    <row r="179" spans="1:3" x14ac:dyDescent="0.35">
      <c r="A179" s="45">
        <v>2527.6999999999998</v>
      </c>
      <c r="B179" s="45">
        <f t="shared" si="4"/>
        <v>3.4027255284410836</v>
      </c>
      <c r="C179">
        <f t="shared" si="5"/>
        <v>4.8681996470985567</v>
      </c>
    </row>
    <row r="180" spans="1:3" x14ac:dyDescent="0.35">
      <c r="A180" s="45">
        <v>2529.6999999999998</v>
      </c>
      <c r="B180" s="45">
        <f t="shared" si="4"/>
        <v>3.403069020752977</v>
      </c>
      <c r="C180">
        <f t="shared" si="5"/>
        <v>4.8686910734970619</v>
      </c>
    </row>
    <row r="181" spans="1:3" x14ac:dyDescent="0.35">
      <c r="A181" s="45">
        <v>2538.5</v>
      </c>
      <c r="B181" s="45">
        <f t="shared" si="4"/>
        <v>3.4045771677406238</v>
      </c>
      <c r="C181">
        <f t="shared" si="5"/>
        <v>4.8708487440384172</v>
      </c>
    </row>
    <row r="182" spans="1:3" x14ac:dyDescent="0.35">
      <c r="A182" s="45">
        <v>2577.5</v>
      </c>
      <c r="B182" s="45">
        <f t="shared" si="4"/>
        <v>3.4111986739555542</v>
      </c>
      <c r="C182">
        <f t="shared" si="5"/>
        <v>4.8803219777592552</v>
      </c>
    </row>
    <row r="183" spans="1:3" x14ac:dyDescent="0.35">
      <c r="A183" s="45">
        <v>2606.1</v>
      </c>
      <c r="B183" s="45">
        <f t="shared" si="4"/>
        <v>3.4159910762326491</v>
      </c>
      <c r="C183">
        <f t="shared" si="5"/>
        <v>4.8871783553539521</v>
      </c>
    </row>
    <row r="184" spans="1:3" x14ac:dyDescent="0.35">
      <c r="A184" s="45">
        <v>2630.3</v>
      </c>
      <c r="B184" s="45">
        <f t="shared" si="4"/>
        <v>3.4200052849590512</v>
      </c>
      <c r="C184">
        <f t="shared" si="5"/>
        <v>4.8929213896780297</v>
      </c>
    </row>
    <row r="185" spans="1:3" x14ac:dyDescent="0.35">
      <c r="A185" s="45">
        <v>2652.8</v>
      </c>
      <c r="B185" s="45">
        <f t="shared" si="4"/>
        <v>3.4237045088701796</v>
      </c>
      <c r="C185">
        <f t="shared" si="5"/>
        <v>4.8982137826107452</v>
      </c>
    </row>
    <row r="186" spans="1:3" x14ac:dyDescent="0.35">
      <c r="A186" s="45">
        <v>2699.9</v>
      </c>
      <c r="B186" s="45">
        <f t="shared" si="4"/>
        <v>3.4313476788802988</v>
      </c>
      <c r="C186">
        <f t="shared" si="5"/>
        <v>4.9091486867735927</v>
      </c>
    </row>
    <row r="187" spans="1:3" x14ac:dyDescent="0.35">
      <c r="A187" s="45">
        <v>2727</v>
      </c>
      <c r="B187" s="45">
        <f t="shared" si="4"/>
        <v>3.43568513794163</v>
      </c>
      <c r="C187">
        <f t="shared" si="5"/>
        <v>4.9153541877742422</v>
      </c>
    </row>
    <row r="188" spans="1:3" x14ac:dyDescent="0.35">
      <c r="A188" s="45">
        <v>2739.6</v>
      </c>
      <c r="B188" s="45">
        <f t="shared" si="4"/>
        <v>3.43768715753786</v>
      </c>
      <c r="C188">
        <f t="shared" si="5"/>
        <v>4.9182184302793717</v>
      </c>
    </row>
    <row r="189" spans="1:3" x14ac:dyDescent="0.35">
      <c r="A189" s="45">
        <v>2749.4</v>
      </c>
      <c r="B189" s="45">
        <f t="shared" si="4"/>
        <v>3.4392379283321444</v>
      </c>
      <c r="C189">
        <f t="shared" si="5"/>
        <v>4.9204370817016994</v>
      </c>
    </row>
    <row r="190" spans="1:3" x14ac:dyDescent="0.35">
      <c r="A190" s="45">
        <v>2825.9</v>
      </c>
      <c r="B190" s="45">
        <f t="shared" si="4"/>
        <v>3.4511567894245712</v>
      </c>
      <c r="C190">
        <f t="shared" si="5"/>
        <v>4.9374891168655681</v>
      </c>
    </row>
    <row r="191" spans="1:3" x14ac:dyDescent="0.35">
      <c r="A191" s="45">
        <v>2831.4</v>
      </c>
      <c r="B191" s="45">
        <f t="shared" si="4"/>
        <v>3.4520012277265928</v>
      </c>
      <c r="C191">
        <f t="shared" si="5"/>
        <v>4.9386972349490099</v>
      </c>
    </row>
    <row r="192" spans="1:3" x14ac:dyDescent="0.35">
      <c r="A192" s="45">
        <v>2848.7</v>
      </c>
      <c r="B192" s="45">
        <f t="shared" si="4"/>
        <v>3.454646715576879</v>
      </c>
      <c r="C192">
        <f t="shared" si="5"/>
        <v>4.9424820724010816</v>
      </c>
    </row>
    <row r="193" spans="1:3" x14ac:dyDescent="0.35">
      <c r="A193" s="45">
        <v>2877.9</v>
      </c>
      <c r="B193" s="45">
        <f t="shared" si="4"/>
        <v>3.4590756991896359</v>
      </c>
      <c r="C193">
        <f t="shared" si="5"/>
        <v>4.9488185154319444</v>
      </c>
    </row>
    <row r="194" spans="1:3" x14ac:dyDescent="0.35">
      <c r="A194" s="45">
        <v>2918.8</v>
      </c>
      <c r="B194" s="45">
        <f t="shared" si="4"/>
        <v>3.4652043375806301</v>
      </c>
      <c r="C194">
        <f t="shared" si="5"/>
        <v>4.9575866147108476</v>
      </c>
    </row>
    <row r="195" spans="1:3" x14ac:dyDescent="0.35">
      <c r="A195" s="45">
        <v>2926.2</v>
      </c>
      <c r="B195" s="45">
        <f t="shared" ref="B195:B258" si="6">LOG(A195)</f>
        <v>3.4663040059752102</v>
      </c>
      <c r="C195">
        <f t="shared" ref="C195:C258" si="7">LOG(A195,5)</f>
        <v>4.9591598845046274</v>
      </c>
    </row>
    <row r="196" spans="1:3" x14ac:dyDescent="0.35">
      <c r="A196" s="45">
        <v>2940.4</v>
      </c>
      <c r="B196" s="45">
        <f t="shared" si="6"/>
        <v>3.4684064140775641</v>
      </c>
      <c r="C196">
        <f t="shared" si="7"/>
        <v>4.9621677504921697</v>
      </c>
    </row>
    <row r="197" spans="1:3" x14ac:dyDescent="0.35">
      <c r="A197" s="45">
        <v>2967.8</v>
      </c>
      <c r="B197" s="45">
        <f t="shared" si="6"/>
        <v>3.4724346304941105</v>
      </c>
      <c r="C197">
        <f t="shared" si="7"/>
        <v>4.9679308252901686</v>
      </c>
    </row>
    <row r="198" spans="1:3" x14ac:dyDescent="0.35">
      <c r="A198" s="45">
        <v>3059.5</v>
      </c>
      <c r="B198" s="45">
        <f t="shared" si="6"/>
        <v>3.4856504575326674</v>
      </c>
      <c r="C198">
        <f t="shared" si="7"/>
        <v>4.9868383992297849</v>
      </c>
    </row>
    <row r="199" spans="1:3" x14ac:dyDescent="0.35">
      <c r="A199" s="45">
        <v>3127.3</v>
      </c>
      <c r="B199" s="45">
        <f t="shared" si="6"/>
        <v>3.4951695448486673</v>
      </c>
      <c r="C199">
        <f t="shared" si="7"/>
        <v>5.0004571343070392</v>
      </c>
    </row>
    <row r="200" spans="1:3" x14ac:dyDescent="0.35">
      <c r="A200" s="45">
        <v>3171</v>
      </c>
      <c r="B200" s="45">
        <f t="shared" si="6"/>
        <v>3.5011962420270888</v>
      </c>
      <c r="C200">
        <f t="shared" si="7"/>
        <v>5.0090793886828147</v>
      </c>
    </row>
    <row r="201" spans="1:3" x14ac:dyDescent="0.35">
      <c r="A201" s="45">
        <v>3171</v>
      </c>
      <c r="B201" s="45">
        <f t="shared" si="6"/>
        <v>3.5011962420270888</v>
      </c>
      <c r="C201">
        <f t="shared" si="7"/>
        <v>5.0090793886828147</v>
      </c>
    </row>
    <row r="202" spans="1:3" x14ac:dyDescent="0.35">
      <c r="A202" s="45">
        <v>3210.2</v>
      </c>
      <c r="B202" s="45">
        <f t="shared" si="6"/>
        <v>3.5065320904081769</v>
      </c>
      <c r="C202">
        <f t="shared" si="7"/>
        <v>5.0167132618790706</v>
      </c>
    </row>
    <row r="203" spans="1:3" x14ac:dyDescent="0.35">
      <c r="A203" s="45">
        <v>3259.7</v>
      </c>
      <c r="B203" s="45">
        <f t="shared" si="6"/>
        <v>3.5131776324790427</v>
      </c>
      <c r="C203">
        <f t="shared" si="7"/>
        <v>5.0262208831355499</v>
      </c>
    </row>
    <row r="204" spans="1:3" x14ac:dyDescent="0.35">
      <c r="A204" s="45">
        <v>3269.1</v>
      </c>
      <c r="B204" s="45">
        <f t="shared" si="6"/>
        <v>3.514428205616754</v>
      </c>
      <c r="C204">
        <f t="shared" si="7"/>
        <v>5.0280100488078281</v>
      </c>
    </row>
    <row r="205" spans="1:3" x14ac:dyDescent="0.35">
      <c r="A205" s="45">
        <v>3280.7</v>
      </c>
      <c r="B205" s="45">
        <f t="shared" si="6"/>
        <v>3.5159665186209068</v>
      </c>
      <c r="C205">
        <f t="shared" si="7"/>
        <v>5.0302108771618501</v>
      </c>
    </row>
    <row r="206" spans="1:3" x14ac:dyDescent="0.35">
      <c r="A206" s="45">
        <v>3311.1</v>
      </c>
      <c r="B206" s="45">
        <f t="shared" si="6"/>
        <v>3.5199722972704519</v>
      </c>
      <c r="C206">
        <f t="shared" si="7"/>
        <v>5.0359418507725842</v>
      </c>
    </row>
    <row r="207" spans="1:3" x14ac:dyDescent="0.35">
      <c r="A207" s="45">
        <v>3397.9</v>
      </c>
      <c r="B207" s="45">
        <f t="shared" si="6"/>
        <v>3.5312105934596758</v>
      </c>
      <c r="C207">
        <f t="shared" si="7"/>
        <v>5.0520202176831921</v>
      </c>
    </row>
    <row r="208" spans="1:3" x14ac:dyDescent="0.35">
      <c r="A208" s="45">
        <v>3419.1</v>
      </c>
      <c r="B208" s="45">
        <f t="shared" si="6"/>
        <v>3.5339118029940453</v>
      </c>
      <c r="C208">
        <f t="shared" si="7"/>
        <v>5.0558847748424594</v>
      </c>
    </row>
    <row r="209" spans="1:3" x14ac:dyDescent="0.35">
      <c r="A209" s="45">
        <v>3427.8</v>
      </c>
      <c r="B209" s="45">
        <f t="shared" si="6"/>
        <v>3.5350154744441928</v>
      </c>
      <c r="C209">
        <f t="shared" si="7"/>
        <v>5.0574637717140005</v>
      </c>
    </row>
    <row r="210" spans="1:3" x14ac:dyDescent="0.35">
      <c r="A210" s="45">
        <v>3456</v>
      </c>
      <c r="B210" s="45">
        <f t="shared" si="6"/>
        <v>3.5385737338068557</v>
      </c>
      <c r="C210">
        <f t="shared" si="7"/>
        <v>5.0625544899717081</v>
      </c>
    </row>
    <row r="211" spans="1:3" x14ac:dyDescent="0.35">
      <c r="A211" s="45">
        <v>3457.2</v>
      </c>
      <c r="B211" s="45">
        <f t="shared" si="6"/>
        <v>3.5387245043280378</v>
      </c>
      <c r="C211">
        <f t="shared" si="7"/>
        <v>5.0627701938220113</v>
      </c>
    </row>
    <row r="212" spans="1:3" x14ac:dyDescent="0.35">
      <c r="A212" s="45">
        <v>3488.8</v>
      </c>
      <c r="B212" s="45">
        <f t="shared" si="6"/>
        <v>3.54267607366537</v>
      </c>
      <c r="C212">
        <f t="shared" si="7"/>
        <v>5.0684236114405339</v>
      </c>
    </row>
    <row r="213" spans="1:3" x14ac:dyDescent="0.35">
      <c r="A213" s="45">
        <v>3500.5</v>
      </c>
      <c r="B213" s="45">
        <f t="shared" si="6"/>
        <v>3.5441300819879644</v>
      </c>
      <c r="C213">
        <f t="shared" si="7"/>
        <v>5.0705038270629137</v>
      </c>
    </row>
    <row r="214" spans="1:3" x14ac:dyDescent="0.35">
      <c r="A214" s="45">
        <v>3540.8</v>
      </c>
      <c r="B214" s="45">
        <f t="shared" si="6"/>
        <v>3.5491013965831826</v>
      </c>
      <c r="C214">
        <f t="shared" si="7"/>
        <v>5.0776161703171008</v>
      </c>
    </row>
    <row r="215" spans="1:3" x14ac:dyDescent="0.35">
      <c r="A215" s="45">
        <v>3562.9</v>
      </c>
      <c r="B215" s="45">
        <f t="shared" si="6"/>
        <v>3.5518036331684018</v>
      </c>
      <c r="C215">
        <f t="shared" si="7"/>
        <v>5.0814821968539414</v>
      </c>
    </row>
    <row r="216" spans="1:3" x14ac:dyDescent="0.35">
      <c r="A216" s="45">
        <v>3629</v>
      </c>
      <c r="B216" s="45">
        <f t="shared" si="6"/>
        <v>3.5597869682005565</v>
      </c>
      <c r="C216">
        <f t="shared" si="7"/>
        <v>5.0929037671396911</v>
      </c>
    </row>
    <row r="217" spans="1:3" x14ac:dyDescent="0.35">
      <c r="A217" s="45">
        <v>3672.6</v>
      </c>
      <c r="B217" s="45">
        <f t="shared" si="6"/>
        <v>3.564973629882831</v>
      </c>
      <c r="C217">
        <f t="shared" si="7"/>
        <v>5.1003242024231792</v>
      </c>
    </row>
    <row r="218" spans="1:3" x14ac:dyDescent="0.35">
      <c r="A218" s="45">
        <v>3694.4</v>
      </c>
      <c r="B218" s="45">
        <f t="shared" si="6"/>
        <v>3.567543915573101</v>
      </c>
      <c r="C218">
        <f t="shared" si="7"/>
        <v>5.1040014499078001</v>
      </c>
    </row>
    <row r="219" spans="1:3" x14ac:dyDescent="0.35">
      <c r="A219" s="45">
        <v>3718.9</v>
      </c>
      <c r="B219" s="45">
        <f t="shared" si="6"/>
        <v>3.5704145004799495</v>
      </c>
      <c r="C219">
        <f t="shared" si="7"/>
        <v>5.108108328441987</v>
      </c>
    </row>
    <row r="220" spans="1:3" x14ac:dyDescent="0.35">
      <c r="A220" s="45">
        <v>3725.8</v>
      </c>
      <c r="B220" s="45">
        <f t="shared" si="6"/>
        <v>3.5712195383681626</v>
      </c>
      <c r="C220">
        <f t="shared" si="7"/>
        <v>5.1092600772770149</v>
      </c>
    </row>
    <row r="221" spans="1:3" x14ac:dyDescent="0.35">
      <c r="A221" s="45">
        <v>3737.9</v>
      </c>
      <c r="B221" s="45">
        <f t="shared" si="6"/>
        <v>3.5726276785224496</v>
      </c>
      <c r="C221">
        <f t="shared" si="7"/>
        <v>5.1112746703862353</v>
      </c>
    </row>
    <row r="222" spans="1:3" x14ac:dyDescent="0.35">
      <c r="A222" s="45">
        <v>3814.2</v>
      </c>
      <c r="B222" s="45">
        <f t="shared" si="6"/>
        <v>3.5814034618141006</v>
      </c>
      <c r="C222">
        <f t="shared" si="7"/>
        <v>5.123829977820332</v>
      </c>
    </row>
    <row r="223" spans="1:3" x14ac:dyDescent="0.35">
      <c r="A223" s="45">
        <v>3850.8</v>
      </c>
      <c r="B223" s="45">
        <f t="shared" si="6"/>
        <v>3.5855509631431288</v>
      </c>
      <c r="C223">
        <f t="shared" si="7"/>
        <v>5.1297637107463521</v>
      </c>
    </row>
    <row r="224" spans="1:3" x14ac:dyDescent="0.35">
      <c r="A224" s="45">
        <v>4055.3</v>
      </c>
      <c r="B224" s="45">
        <f t="shared" si="6"/>
        <v>3.6080229876532819</v>
      </c>
      <c r="C224">
        <f t="shared" si="7"/>
        <v>5.1619139094254782</v>
      </c>
    </row>
    <row r="225" spans="1:3" x14ac:dyDescent="0.35">
      <c r="A225" s="45">
        <v>4134.6000000000004</v>
      </c>
      <c r="B225" s="45">
        <f t="shared" si="6"/>
        <v>3.6164335002983323</v>
      </c>
      <c r="C225">
        <f t="shared" si="7"/>
        <v>5.173946632708132</v>
      </c>
    </row>
    <row r="226" spans="1:3" x14ac:dyDescent="0.35">
      <c r="A226" s="45">
        <v>4156.5</v>
      </c>
      <c r="B226" s="45">
        <f t="shared" si="6"/>
        <v>3.6187277848379131</v>
      </c>
      <c r="C226">
        <f t="shared" si="7"/>
        <v>5.1772290118164594</v>
      </c>
    </row>
    <row r="227" spans="1:3" x14ac:dyDescent="0.35">
      <c r="A227" s="45">
        <v>4170.7</v>
      </c>
      <c r="B227" s="45">
        <f t="shared" si="6"/>
        <v>3.6202089520059122</v>
      </c>
      <c r="C227">
        <f t="shared" si="7"/>
        <v>5.1793480829623038</v>
      </c>
    </row>
    <row r="228" spans="1:3" x14ac:dyDescent="0.35">
      <c r="A228" s="45">
        <v>4198.8</v>
      </c>
      <c r="B228" s="45">
        <f t="shared" si="6"/>
        <v>3.6231251885305311</v>
      </c>
      <c r="C228">
        <f t="shared" si="7"/>
        <v>5.1835202741958746</v>
      </c>
    </row>
    <row r="229" spans="1:3" x14ac:dyDescent="0.35">
      <c r="A229" s="45">
        <v>4315.3999999999996</v>
      </c>
      <c r="B229" s="45">
        <f t="shared" si="6"/>
        <v>3.6350210572334878</v>
      </c>
      <c r="C229">
        <f t="shared" si="7"/>
        <v>5.2005394146871122</v>
      </c>
    </row>
    <row r="230" spans="1:3" x14ac:dyDescent="0.35">
      <c r="A230" s="45">
        <v>4329.7</v>
      </c>
      <c r="B230" s="45">
        <f t="shared" si="6"/>
        <v>3.6364578056239814</v>
      </c>
      <c r="C230">
        <f t="shared" si="7"/>
        <v>5.2025949369292421</v>
      </c>
    </row>
    <row r="231" spans="1:3" x14ac:dyDescent="0.35">
      <c r="A231" s="45">
        <v>4579.1000000000004</v>
      </c>
      <c r="B231" s="45">
        <f t="shared" si="6"/>
        <v>3.6607801279072505</v>
      </c>
      <c r="C231">
        <f t="shared" si="7"/>
        <v>5.2373923132578204</v>
      </c>
    </row>
    <row r="232" spans="1:3" x14ac:dyDescent="0.35">
      <c r="A232" s="45">
        <v>4614.8999999999996</v>
      </c>
      <c r="B232" s="45">
        <f t="shared" si="6"/>
        <v>3.664162294761991</v>
      </c>
      <c r="C232">
        <f t="shared" si="7"/>
        <v>5.2422311000923907</v>
      </c>
    </row>
    <row r="233" spans="1:3" x14ac:dyDescent="0.35">
      <c r="A233" s="45">
        <v>4651.5</v>
      </c>
      <c r="B233" s="45">
        <f t="shared" si="6"/>
        <v>3.6675930252930078</v>
      </c>
      <c r="C233">
        <f t="shared" si="7"/>
        <v>5.2471393658401828</v>
      </c>
    </row>
    <row r="234" spans="1:3" x14ac:dyDescent="0.35">
      <c r="A234" s="45">
        <v>4884.8</v>
      </c>
      <c r="B234" s="45">
        <f t="shared" si="6"/>
        <v>3.6888467869545867</v>
      </c>
      <c r="C234">
        <f t="shared" si="7"/>
        <v>5.2775466244202827</v>
      </c>
    </row>
    <row r="235" spans="1:3" x14ac:dyDescent="0.35">
      <c r="A235" s="45">
        <v>4922.8</v>
      </c>
      <c r="B235" s="45">
        <f t="shared" si="6"/>
        <v>3.6922121919253503</v>
      </c>
      <c r="C235">
        <f t="shared" si="7"/>
        <v>5.2823614304203783</v>
      </c>
    </row>
    <row r="236" spans="1:3" x14ac:dyDescent="0.35">
      <c r="A236" s="45">
        <v>4933.6000000000004</v>
      </c>
      <c r="B236" s="45">
        <f t="shared" si="6"/>
        <v>3.6931639354182484</v>
      </c>
      <c r="C236">
        <f t="shared" si="7"/>
        <v>5.2837230675249662</v>
      </c>
    </row>
    <row r="237" spans="1:3" x14ac:dyDescent="0.35">
      <c r="A237" s="45">
        <v>4983</v>
      </c>
      <c r="B237" s="45">
        <f t="shared" si="6"/>
        <v>3.6974908871710568</v>
      </c>
      <c r="C237">
        <f t="shared" si="7"/>
        <v>5.2899135359656251</v>
      </c>
    </row>
    <row r="238" spans="1:3" x14ac:dyDescent="0.35">
      <c r="A238" s="45">
        <v>4989.7</v>
      </c>
      <c r="B238" s="45">
        <f t="shared" si="6"/>
        <v>3.6980744349498003</v>
      </c>
      <c r="C238">
        <f t="shared" si="7"/>
        <v>5.290748404093188</v>
      </c>
    </row>
    <row r="239" spans="1:3" x14ac:dyDescent="0.35">
      <c r="A239" s="45">
        <v>5015.8999999999996</v>
      </c>
      <c r="B239" s="45">
        <f t="shared" si="6"/>
        <v>3.7003488695529021</v>
      </c>
      <c r="C239">
        <f t="shared" si="7"/>
        <v>5.2940023843627175</v>
      </c>
    </row>
    <row r="240" spans="1:3" x14ac:dyDescent="0.35">
      <c r="A240" s="45">
        <v>5116.7</v>
      </c>
      <c r="B240" s="45">
        <f t="shared" si="6"/>
        <v>3.7089899543643394</v>
      </c>
      <c r="C240">
        <f t="shared" si="7"/>
        <v>5.3063649818387644</v>
      </c>
    </row>
    <row r="241" spans="1:3" x14ac:dyDescent="0.35">
      <c r="A241" s="45">
        <v>5140.6000000000004</v>
      </c>
      <c r="B241" s="45">
        <f t="shared" si="6"/>
        <v>3.7110138118905227</v>
      </c>
      <c r="C241">
        <f t="shared" si="7"/>
        <v>5.3092604673583548</v>
      </c>
    </row>
    <row r="242" spans="1:3" x14ac:dyDescent="0.35">
      <c r="A242" s="45">
        <v>5271.2</v>
      </c>
      <c r="B242" s="45">
        <f t="shared" si="6"/>
        <v>3.7219094945394802</v>
      </c>
      <c r="C242">
        <f t="shared" si="7"/>
        <v>5.3248486651084255</v>
      </c>
    </row>
    <row r="243" spans="1:3" x14ac:dyDescent="0.35">
      <c r="A243" s="45">
        <v>5336.1</v>
      </c>
      <c r="B243" s="45">
        <f t="shared" si="6"/>
        <v>3.7272239597842884</v>
      </c>
      <c r="C243">
        <f t="shared" si="7"/>
        <v>5.3324519459528688</v>
      </c>
    </row>
    <row r="244" spans="1:3" x14ac:dyDescent="0.35">
      <c r="A244" s="45">
        <v>5405.9</v>
      </c>
      <c r="B244" s="45">
        <f t="shared" si="6"/>
        <v>3.7328680077241803</v>
      </c>
      <c r="C244">
        <f t="shared" si="7"/>
        <v>5.3405267530331137</v>
      </c>
    </row>
    <row r="245" spans="1:3" x14ac:dyDescent="0.35">
      <c r="A245" s="45">
        <v>5429.5</v>
      </c>
      <c r="B245" s="45">
        <f t="shared" si="6"/>
        <v>3.7347598374637756</v>
      </c>
      <c r="C245">
        <f t="shared" si="7"/>
        <v>5.3432333494934197</v>
      </c>
    </row>
    <row r="246" spans="1:3" x14ac:dyDescent="0.35">
      <c r="A246" s="45">
        <v>5431.5</v>
      </c>
      <c r="B246" s="45">
        <f t="shared" si="6"/>
        <v>3.7349197838726931</v>
      </c>
      <c r="C246">
        <f t="shared" si="7"/>
        <v>5.3434621810712057</v>
      </c>
    </row>
    <row r="247" spans="1:3" x14ac:dyDescent="0.35">
      <c r="A247" s="45">
        <v>5491.4</v>
      </c>
      <c r="B247" s="45">
        <f t="shared" si="6"/>
        <v>3.7396830793796925</v>
      </c>
      <c r="C247">
        <f t="shared" si="7"/>
        <v>5.3502769162922466</v>
      </c>
    </row>
    <row r="248" spans="1:3" x14ac:dyDescent="0.35">
      <c r="A248" s="45">
        <v>5704.6</v>
      </c>
      <c r="B248" s="45">
        <f t="shared" si="6"/>
        <v>3.7562251975915579</v>
      </c>
      <c r="C248">
        <f t="shared" si="7"/>
        <v>5.373943337038841</v>
      </c>
    </row>
    <row r="249" spans="1:3" x14ac:dyDescent="0.35">
      <c r="A249" s="45">
        <v>5729.1</v>
      </c>
      <c r="B249" s="45">
        <f t="shared" si="6"/>
        <v>3.7580864028167555</v>
      </c>
      <c r="C249">
        <f t="shared" si="7"/>
        <v>5.3766061197242951</v>
      </c>
    </row>
    <row r="250" spans="1:3" x14ac:dyDescent="0.35">
      <c r="A250" s="45">
        <v>5757.4</v>
      </c>
      <c r="B250" s="45">
        <f t="shared" si="6"/>
        <v>3.7602264034620871</v>
      </c>
      <c r="C250">
        <f t="shared" si="7"/>
        <v>5.3796677684818333</v>
      </c>
    </row>
    <row r="251" spans="1:3" x14ac:dyDescent="0.35">
      <c r="A251" s="45">
        <v>5807.9</v>
      </c>
      <c r="B251" s="45">
        <f t="shared" si="6"/>
        <v>3.7640191301055927</v>
      </c>
      <c r="C251">
        <f t="shared" si="7"/>
        <v>5.3850939335818762</v>
      </c>
    </row>
    <row r="252" spans="1:3" x14ac:dyDescent="0.35">
      <c r="A252" s="45">
        <v>5816.7</v>
      </c>
      <c r="B252" s="45">
        <f t="shared" si="6"/>
        <v>3.7646766653619976</v>
      </c>
      <c r="C252">
        <f t="shared" si="7"/>
        <v>5.3860346538593218</v>
      </c>
    </row>
    <row r="253" spans="1:3" x14ac:dyDescent="0.35">
      <c r="A253" s="45">
        <v>6040.3</v>
      </c>
      <c r="B253" s="45">
        <f t="shared" si="6"/>
        <v>3.7810585090034232</v>
      </c>
      <c r="C253">
        <f t="shared" si="7"/>
        <v>5.4094717735351336</v>
      </c>
    </row>
    <row r="254" spans="1:3" x14ac:dyDescent="0.35">
      <c r="A254" s="45">
        <v>6148.5</v>
      </c>
      <c r="B254" s="45">
        <f t="shared" si="6"/>
        <v>3.788769177372183</v>
      </c>
      <c r="C254">
        <f t="shared" si="7"/>
        <v>5.4205032460173959</v>
      </c>
    </row>
    <row r="255" spans="1:3" x14ac:dyDescent="0.35">
      <c r="A255" s="45">
        <v>6185.1</v>
      </c>
      <c r="B255" s="45">
        <f t="shared" si="6"/>
        <v>3.791346725646159</v>
      </c>
      <c r="C255">
        <f t="shared" si="7"/>
        <v>5.4241908839102759</v>
      </c>
    </row>
    <row r="256" spans="1:3" x14ac:dyDescent="0.35">
      <c r="A256" s="45">
        <v>6185.9</v>
      </c>
      <c r="B256" s="45">
        <f t="shared" si="6"/>
        <v>3.7914028950077316</v>
      </c>
      <c r="C256">
        <f t="shared" si="7"/>
        <v>5.4242712440991605</v>
      </c>
    </row>
    <row r="257" spans="1:3" x14ac:dyDescent="0.35">
      <c r="A257" s="45">
        <v>6199.5</v>
      </c>
      <c r="B257" s="45">
        <f t="shared" si="6"/>
        <v>3.7923566643373894</v>
      </c>
      <c r="C257">
        <f t="shared" si="7"/>
        <v>5.4256357795209107</v>
      </c>
    </row>
    <row r="258" spans="1:3" x14ac:dyDescent="0.35">
      <c r="A258" s="45">
        <v>6220.4</v>
      </c>
      <c r="B258" s="45">
        <f t="shared" si="6"/>
        <v>3.7938183126984102</v>
      </c>
      <c r="C258">
        <f t="shared" si="7"/>
        <v>5.4277269255671694</v>
      </c>
    </row>
    <row r="259" spans="1:3" x14ac:dyDescent="0.35">
      <c r="A259" s="45">
        <v>6327.8</v>
      </c>
      <c r="B259" s="45">
        <f t="shared" ref="B259:B322" si="8">LOG(A259)</f>
        <v>3.8012527441512791</v>
      </c>
      <c r="C259">
        <f t="shared" ref="C259:C322" si="9">LOG(A259,5)</f>
        <v>5.4383631923693923</v>
      </c>
    </row>
    <row r="260" spans="1:3" x14ac:dyDescent="0.35">
      <c r="A260" s="45">
        <v>6355.1</v>
      </c>
      <c r="B260" s="45">
        <f t="shared" si="8"/>
        <v>3.803122388738414</v>
      </c>
      <c r="C260">
        <f t="shared" si="9"/>
        <v>5.4410380490521355</v>
      </c>
    </row>
    <row r="261" spans="1:3" x14ac:dyDescent="0.35">
      <c r="A261" s="45">
        <v>6361.7</v>
      </c>
      <c r="B261" s="45">
        <f t="shared" si="8"/>
        <v>3.8035731851396974</v>
      </c>
      <c r="C261">
        <f t="shared" si="9"/>
        <v>5.4416829928959149</v>
      </c>
    </row>
    <row r="262" spans="1:3" x14ac:dyDescent="0.35">
      <c r="A262" s="45">
        <v>6444.5</v>
      </c>
      <c r="B262" s="45">
        <f t="shared" si="8"/>
        <v>3.8091892280254225</v>
      </c>
      <c r="C262">
        <f t="shared" si="9"/>
        <v>5.4497177338016565</v>
      </c>
    </row>
    <row r="263" spans="1:3" x14ac:dyDescent="0.35">
      <c r="A263" s="45">
        <v>6494.6</v>
      </c>
      <c r="B263" s="45">
        <f t="shared" si="8"/>
        <v>3.8125524081969977</v>
      </c>
      <c r="C263">
        <f t="shared" si="9"/>
        <v>5.4545293568337074</v>
      </c>
    </row>
    <row r="264" spans="1:3" x14ac:dyDescent="0.35">
      <c r="A264" s="45">
        <v>6557.2</v>
      </c>
      <c r="B264" s="45">
        <f t="shared" si="8"/>
        <v>3.8167184302078807</v>
      </c>
      <c r="C264">
        <f t="shared" si="9"/>
        <v>5.4604895868650951</v>
      </c>
    </row>
    <row r="265" spans="1:3" x14ac:dyDescent="0.35">
      <c r="A265" s="45">
        <v>6645.3</v>
      </c>
      <c r="B265" s="45">
        <f t="shared" si="8"/>
        <v>3.822514591810521</v>
      </c>
      <c r="C265">
        <f t="shared" si="9"/>
        <v>5.4687820193967971</v>
      </c>
    </row>
    <row r="266" spans="1:3" x14ac:dyDescent="0.35">
      <c r="A266" s="45">
        <v>6647.9</v>
      </c>
      <c r="B266" s="45">
        <f t="shared" si="8"/>
        <v>3.822684478018108</v>
      </c>
      <c r="C266">
        <f t="shared" si="9"/>
        <v>5.4690250716115321</v>
      </c>
    </row>
    <row r="267" spans="1:3" x14ac:dyDescent="0.35">
      <c r="A267" s="45">
        <v>6792.6</v>
      </c>
      <c r="B267" s="45">
        <f t="shared" si="8"/>
        <v>3.8320360407783358</v>
      </c>
      <c r="C267">
        <f t="shared" si="9"/>
        <v>5.4824041332339419</v>
      </c>
    </row>
    <row r="268" spans="1:3" x14ac:dyDescent="0.35">
      <c r="A268" s="45">
        <v>6840</v>
      </c>
      <c r="B268" s="45">
        <f t="shared" si="8"/>
        <v>3.8350561017201161</v>
      </c>
      <c r="C268">
        <f t="shared" si="9"/>
        <v>5.4867248636273009</v>
      </c>
    </row>
    <row r="269" spans="1:3" x14ac:dyDescent="0.35">
      <c r="A269" s="45">
        <v>6880.4</v>
      </c>
      <c r="B269" s="45">
        <f t="shared" si="8"/>
        <v>3.8376136871807178</v>
      </c>
      <c r="C269">
        <f t="shared" si="9"/>
        <v>5.4903839411910527</v>
      </c>
    </row>
    <row r="270" spans="1:3" x14ac:dyDescent="0.35">
      <c r="A270" s="45">
        <v>6894.2</v>
      </c>
      <c r="B270" s="45">
        <f t="shared" si="8"/>
        <v>3.8384838780908561</v>
      </c>
      <c r="C270">
        <f t="shared" si="9"/>
        <v>5.4916289029272356</v>
      </c>
    </row>
    <row r="271" spans="1:3" x14ac:dyDescent="0.35">
      <c r="A271" s="45">
        <v>6967.8</v>
      </c>
      <c r="B271" s="45">
        <f t="shared" si="8"/>
        <v>3.8430956764222612</v>
      </c>
      <c r="C271">
        <f t="shared" si="9"/>
        <v>5.4982268946905393</v>
      </c>
    </row>
    <row r="272" spans="1:3" x14ac:dyDescent="0.35">
      <c r="A272" s="45">
        <v>7353.6</v>
      </c>
      <c r="B272" s="45">
        <f t="shared" si="8"/>
        <v>3.8665000026721725</v>
      </c>
      <c r="C272">
        <f t="shared" si="9"/>
        <v>5.5317109156137887</v>
      </c>
    </row>
    <row r="273" spans="1:3" x14ac:dyDescent="0.35">
      <c r="A273" s="45">
        <v>7383</v>
      </c>
      <c r="B273" s="45">
        <f t="shared" si="8"/>
        <v>3.8682328684224649</v>
      </c>
      <c r="C273">
        <f t="shared" si="9"/>
        <v>5.5341900860210211</v>
      </c>
    </row>
    <row r="274" spans="1:3" x14ac:dyDescent="0.35">
      <c r="A274" s="45">
        <v>7497.2</v>
      </c>
      <c r="B274" s="45">
        <f t="shared" si="8"/>
        <v>3.8748990965120882</v>
      </c>
      <c r="C274">
        <f t="shared" si="9"/>
        <v>5.5437273022796152</v>
      </c>
    </row>
    <row r="275" spans="1:3" x14ac:dyDescent="0.35">
      <c r="A275" s="45">
        <v>7554.6</v>
      </c>
      <c r="B275" s="45">
        <f t="shared" si="8"/>
        <v>3.8782114743147962</v>
      </c>
      <c r="C275">
        <f t="shared" si="9"/>
        <v>5.548466243553432</v>
      </c>
    </row>
    <row r="276" spans="1:3" x14ac:dyDescent="0.35">
      <c r="A276" s="45">
        <v>7601.1</v>
      </c>
      <c r="B276" s="45">
        <f t="shared" si="8"/>
        <v>3.8808764461441205</v>
      </c>
      <c r="C276">
        <f t="shared" si="9"/>
        <v>5.5522789562775721</v>
      </c>
    </row>
    <row r="277" spans="1:3" x14ac:dyDescent="0.35">
      <c r="A277" s="45">
        <v>7887.2</v>
      </c>
      <c r="B277" s="45">
        <f t="shared" si="8"/>
        <v>3.8969228536059299</v>
      </c>
      <c r="C277">
        <f t="shared" si="9"/>
        <v>5.575236175274477</v>
      </c>
    </row>
    <row r="278" spans="1:3" x14ac:dyDescent="0.35">
      <c r="A278" s="45">
        <v>7914</v>
      </c>
      <c r="B278" s="45">
        <f t="shared" si="8"/>
        <v>3.8983960459300091</v>
      </c>
      <c r="C278">
        <f t="shared" si="9"/>
        <v>5.5773438369980708</v>
      </c>
    </row>
    <row r="279" spans="1:3" x14ac:dyDescent="0.35">
      <c r="A279" s="45">
        <v>8044.6</v>
      </c>
      <c r="B279" s="45">
        <f t="shared" si="8"/>
        <v>3.9055044546362221</v>
      </c>
      <c r="C279">
        <f t="shared" si="9"/>
        <v>5.5875136706992539</v>
      </c>
    </row>
    <row r="280" spans="1:3" x14ac:dyDescent="0.35">
      <c r="A280" s="45">
        <v>8067.7</v>
      </c>
      <c r="B280" s="45">
        <f t="shared" si="8"/>
        <v>3.9067497404620282</v>
      </c>
      <c r="C280">
        <f t="shared" si="9"/>
        <v>5.5892952719383366</v>
      </c>
    </row>
    <row r="281" spans="1:3" x14ac:dyDescent="0.35">
      <c r="A281" s="45">
        <v>8090.8</v>
      </c>
      <c r="B281" s="45">
        <f t="shared" si="8"/>
        <v>3.9079914657912753</v>
      </c>
      <c r="C281">
        <f t="shared" si="9"/>
        <v>5.5910717792584554</v>
      </c>
    </row>
    <row r="282" spans="1:3" x14ac:dyDescent="0.35">
      <c r="A282" s="45">
        <v>8100.1</v>
      </c>
      <c r="B282" s="45">
        <f t="shared" si="8"/>
        <v>3.9084903805058238</v>
      </c>
      <c r="C282">
        <f t="shared" si="9"/>
        <v>5.5917855648450381</v>
      </c>
    </row>
    <row r="283" spans="1:3" x14ac:dyDescent="0.35">
      <c r="A283" s="45">
        <v>8234</v>
      </c>
      <c r="B283" s="45">
        <f t="shared" si="8"/>
        <v>3.9156108626614672</v>
      </c>
      <c r="C283">
        <f t="shared" si="9"/>
        <v>5.6019726717472977</v>
      </c>
    </row>
    <row r="284" spans="1:3" x14ac:dyDescent="0.35">
      <c r="A284" s="45">
        <v>8259</v>
      </c>
      <c r="B284" s="45">
        <f t="shared" si="8"/>
        <v>3.9169274661129925</v>
      </c>
      <c r="C284">
        <f t="shared" si="9"/>
        <v>5.6038563054416741</v>
      </c>
    </row>
    <row r="285" spans="1:3" x14ac:dyDescent="0.35">
      <c r="A285" s="45">
        <v>8263.7999999999993</v>
      </c>
      <c r="B285" s="45">
        <f t="shared" si="8"/>
        <v>3.917179797869327</v>
      </c>
      <c r="C285">
        <f t="shared" si="9"/>
        <v>5.6042173105703181</v>
      </c>
    </row>
    <row r="286" spans="1:3" x14ac:dyDescent="0.35">
      <c r="A286" s="45">
        <v>8431.1</v>
      </c>
      <c r="B286" s="45">
        <f t="shared" si="8"/>
        <v>3.9258842404331142</v>
      </c>
      <c r="C286">
        <f t="shared" si="9"/>
        <v>5.6166705524974248</v>
      </c>
    </row>
    <row r="287" spans="1:3" x14ac:dyDescent="0.35">
      <c r="A287" s="45">
        <v>8584.4</v>
      </c>
      <c r="B287" s="45">
        <f t="shared" si="8"/>
        <v>3.9337099458807057</v>
      </c>
      <c r="C287">
        <f t="shared" si="9"/>
        <v>5.6278666058316817</v>
      </c>
    </row>
    <row r="288" spans="1:3" x14ac:dyDescent="0.35">
      <c r="A288" s="45">
        <v>8618.6</v>
      </c>
      <c r="B288" s="45">
        <f t="shared" si="8"/>
        <v>3.9354367250295206</v>
      </c>
      <c r="C288">
        <f t="shared" si="9"/>
        <v>5.6303370682808609</v>
      </c>
    </row>
    <row r="289" spans="1:3" x14ac:dyDescent="0.35">
      <c r="A289" s="45">
        <v>8622.4</v>
      </c>
      <c r="B289" s="45">
        <f t="shared" si="8"/>
        <v>3.9356281662519503</v>
      </c>
      <c r="C289">
        <f t="shared" si="9"/>
        <v>5.6306109587500401</v>
      </c>
    </row>
    <row r="290" spans="1:3" x14ac:dyDescent="0.35">
      <c r="A290" s="45">
        <v>8799.2000000000007</v>
      </c>
      <c r="B290" s="45">
        <f t="shared" si="8"/>
        <v>3.944443189038918</v>
      </c>
      <c r="C290">
        <f t="shared" si="9"/>
        <v>5.6432224052102375</v>
      </c>
    </row>
    <row r="291" spans="1:3" x14ac:dyDescent="0.35">
      <c r="A291" s="45">
        <v>9187.4</v>
      </c>
      <c r="B291" s="45">
        <f t="shared" si="8"/>
        <v>3.9631926250517568</v>
      </c>
      <c r="C291">
        <f t="shared" si="9"/>
        <v>5.6700467837909025</v>
      </c>
    </row>
    <row r="292" spans="1:3" x14ac:dyDescent="0.35">
      <c r="A292" s="45">
        <v>9250.6</v>
      </c>
      <c r="B292" s="45">
        <f t="shared" si="8"/>
        <v>3.9661699022783159</v>
      </c>
      <c r="C292">
        <f t="shared" si="9"/>
        <v>5.6743063045258273</v>
      </c>
    </row>
    <row r="293" spans="1:3" x14ac:dyDescent="0.35">
      <c r="A293" s="45">
        <v>9368.9</v>
      </c>
      <c r="B293" s="45">
        <f t="shared" si="8"/>
        <v>3.9716886034839667</v>
      </c>
      <c r="C293">
        <f t="shared" si="9"/>
        <v>5.6822017809717638</v>
      </c>
    </row>
    <row r="294" spans="1:3" x14ac:dyDescent="0.35">
      <c r="A294" s="45">
        <v>9438.4</v>
      </c>
      <c r="B294" s="45">
        <f t="shared" si="8"/>
        <v>3.9748983788250722</v>
      </c>
      <c r="C294">
        <f t="shared" si="9"/>
        <v>5.6867939313089648</v>
      </c>
    </row>
    <row r="295" spans="1:3" x14ac:dyDescent="0.35">
      <c r="A295" s="45">
        <v>9508.6</v>
      </c>
      <c r="B295" s="45">
        <f t="shared" si="8"/>
        <v>3.97811657823785</v>
      </c>
      <c r="C295">
        <f t="shared" si="9"/>
        <v>5.6913981337680308</v>
      </c>
    </row>
    <row r="296" spans="1:3" x14ac:dyDescent="0.35">
      <c r="A296" s="45">
        <v>9643.9</v>
      </c>
      <c r="B296" s="45">
        <f t="shared" si="8"/>
        <v>3.984252698421161</v>
      </c>
      <c r="C296">
        <f t="shared" si="9"/>
        <v>5.7001769370718156</v>
      </c>
    </row>
    <row r="297" spans="1:3" x14ac:dyDescent="0.35">
      <c r="A297" s="45">
        <v>9765.2999999999993</v>
      </c>
      <c r="B297" s="45">
        <f t="shared" si="8"/>
        <v>3.9896855897993215</v>
      </c>
      <c r="C297">
        <f t="shared" si="9"/>
        <v>5.7079496474091087</v>
      </c>
    </row>
    <row r="298" spans="1:3" x14ac:dyDescent="0.35">
      <c r="A298" s="45">
        <v>9906.2999999999993</v>
      </c>
      <c r="B298" s="45">
        <f t="shared" si="8"/>
        <v>3.995911475914935</v>
      </c>
      <c r="C298">
        <f t="shared" si="9"/>
        <v>5.7168568767279515</v>
      </c>
    </row>
    <row r="299" spans="1:3" x14ac:dyDescent="0.35">
      <c r="A299" s="45">
        <v>9914.1</v>
      </c>
      <c r="B299" s="45">
        <f t="shared" si="8"/>
        <v>3.9962532951651744</v>
      </c>
      <c r="C299">
        <f t="shared" si="9"/>
        <v>5.717345909516367</v>
      </c>
    </row>
    <row r="300" spans="1:3" x14ac:dyDescent="0.35">
      <c r="A300" s="45">
        <v>10174.9</v>
      </c>
      <c r="B300" s="45">
        <f t="shared" si="8"/>
        <v>4.0075301496258469</v>
      </c>
      <c r="C300">
        <f t="shared" si="9"/>
        <v>5.7334794408420562</v>
      </c>
    </row>
    <row r="301" spans="1:3" x14ac:dyDescent="0.35">
      <c r="A301" s="45">
        <v>10345.200000000001</v>
      </c>
      <c r="B301" s="45">
        <f t="shared" si="8"/>
        <v>4.014738891140639</v>
      </c>
      <c r="C301">
        <f t="shared" si="9"/>
        <v>5.7437928183404798</v>
      </c>
    </row>
    <row r="302" spans="1:3" x14ac:dyDescent="0.35">
      <c r="A302" s="45">
        <v>10443</v>
      </c>
      <c r="B302" s="45">
        <f t="shared" si="8"/>
        <v>4.0188252780039511</v>
      </c>
      <c r="C302">
        <f t="shared" si="9"/>
        <v>5.7496391162330394</v>
      </c>
    </row>
    <row r="303" spans="1:3" x14ac:dyDescent="0.35">
      <c r="A303" s="45">
        <v>10507.9</v>
      </c>
      <c r="B303" s="45">
        <f t="shared" si="8"/>
        <v>4.0215159311053874</v>
      </c>
      <c r="C303">
        <f t="shared" si="9"/>
        <v>5.7534885705511734</v>
      </c>
    </row>
    <row r="304" spans="1:3" x14ac:dyDescent="0.35">
      <c r="A304" s="45">
        <v>10578.6</v>
      </c>
      <c r="B304" s="45">
        <f t="shared" si="8"/>
        <v>4.0244281958177046</v>
      </c>
      <c r="C304">
        <f t="shared" si="9"/>
        <v>5.7576550794059891</v>
      </c>
    </row>
    <row r="305" spans="1:3" x14ac:dyDescent="0.35">
      <c r="A305" s="45">
        <v>10602.9</v>
      </c>
      <c r="B305" s="45">
        <f t="shared" si="8"/>
        <v>4.0254246654294059</v>
      </c>
      <c r="C305">
        <f t="shared" si="9"/>
        <v>5.7590807051202821</v>
      </c>
    </row>
    <row r="306" spans="1:3" x14ac:dyDescent="0.35">
      <c r="A306" s="45">
        <v>10608.2</v>
      </c>
      <c r="B306" s="45">
        <f t="shared" si="8"/>
        <v>4.0256416990393538</v>
      </c>
      <c r="C306">
        <f t="shared" si="9"/>
        <v>5.7593912100183493</v>
      </c>
    </row>
    <row r="307" spans="1:3" x14ac:dyDescent="0.35">
      <c r="A307" s="45">
        <v>10644.8</v>
      </c>
      <c r="B307" s="45">
        <f t="shared" si="8"/>
        <v>4.0271375061019743</v>
      </c>
      <c r="C307">
        <f t="shared" si="9"/>
        <v>5.7615312261182394</v>
      </c>
    </row>
    <row r="308" spans="1:3" x14ac:dyDescent="0.35">
      <c r="A308" s="45">
        <v>10674.7</v>
      </c>
      <c r="B308" s="45">
        <f t="shared" si="8"/>
        <v>4.0283556785284098</v>
      </c>
      <c r="C308">
        <f t="shared" si="9"/>
        <v>5.763274036852434</v>
      </c>
    </row>
    <row r="309" spans="1:3" x14ac:dyDescent="0.35">
      <c r="A309" s="45">
        <v>10806.1</v>
      </c>
      <c r="B309" s="45">
        <f t="shared" si="8"/>
        <v>4.0336689821969989</v>
      </c>
      <c r="C309">
        <f t="shared" si="9"/>
        <v>5.7708756558570098</v>
      </c>
    </row>
    <row r="310" spans="1:3" x14ac:dyDescent="0.35">
      <c r="A310" s="45">
        <v>10887.2</v>
      </c>
      <c r="B310" s="45">
        <f t="shared" si="8"/>
        <v>4.0369162010683377</v>
      </c>
      <c r="C310">
        <f t="shared" si="9"/>
        <v>5.7755213757751669</v>
      </c>
    </row>
    <row r="311" spans="1:3" x14ac:dyDescent="0.35">
      <c r="A311" s="45">
        <v>10940</v>
      </c>
      <c r="B311" s="45">
        <f t="shared" si="8"/>
        <v>4.0390173219974121</v>
      </c>
      <c r="C311">
        <f t="shared" si="9"/>
        <v>5.7785274002340712</v>
      </c>
    </row>
    <row r="312" spans="1:3" x14ac:dyDescent="0.35">
      <c r="A312" s="45">
        <v>11112.1</v>
      </c>
      <c r="B312" s="45">
        <f t="shared" si="8"/>
        <v>4.0457961410496432</v>
      </c>
      <c r="C312">
        <f t="shared" si="9"/>
        <v>5.7882256977435205</v>
      </c>
    </row>
    <row r="313" spans="1:3" x14ac:dyDescent="0.35">
      <c r="A313" s="45">
        <v>11181.7</v>
      </c>
      <c r="B313" s="45">
        <f t="shared" si="8"/>
        <v>4.0485078361526359</v>
      </c>
      <c r="C313">
        <f t="shared" si="9"/>
        <v>5.7921052563600135</v>
      </c>
    </row>
    <row r="314" spans="1:3" x14ac:dyDescent="0.35">
      <c r="A314" s="45">
        <v>11208.3</v>
      </c>
      <c r="B314" s="45">
        <f t="shared" si="8"/>
        <v>4.0495397467067793</v>
      </c>
      <c r="C314">
        <f t="shared" si="9"/>
        <v>5.7935815865998546</v>
      </c>
    </row>
    <row r="315" spans="1:3" x14ac:dyDescent="0.35">
      <c r="A315" s="45">
        <v>11208.3</v>
      </c>
      <c r="B315" s="45">
        <f t="shared" si="8"/>
        <v>4.0495397467067793</v>
      </c>
      <c r="C315">
        <f t="shared" si="9"/>
        <v>5.7935815865998546</v>
      </c>
    </row>
    <row r="316" spans="1:3" x14ac:dyDescent="0.35">
      <c r="A316" s="45">
        <v>12270.3</v>
      </c>
      <c r="B316" s="45">
        <f t="shared" si="8"/>
        <v>4.0888551810441864</v>
      </c>
      <c r="C316">
        <f t="shared" si="9"/>
        <v>5.8498292568768582</v>
      </c>
    </row>
    <row r="317" spans="1:3" x14ac:dyDescent="0.35">
      <c r="A317" s="45">
        <v>12279.1</v>
      </c>
      <c r="B317" s="45">
        <f t="shared" si="8"/>
        <v>4.0891665362385652</v>
      </c>
      <c r="C317">
        <f t="shared" si="9"/>
        <v>5.85027470545469</v>
      </c>
    </row>
    <row r="318" spans="1:3" x14ac:dyDescent="0.35">
      <c r="A318" s="45">
        <v>12338.7</v>
      </c>
      <c r="B318" s="45">
        <f t="shared" si="8"/>
        <v>4.091269405032107</v>
      </c>
      <c r="C318">
        <f t="shared" si="9"/>
        <v>5.8532832305423144</v>
      </c>
    </row>
    <row r="319" spans="1:3" x14ac:dyDescent="0.35">
      <c r="A319" s="45">
        <v>12621.1</v>
      </c>
      <c r="B319" s="45">
        <f t="shared" si="8"/>
        <v>4.1010972077695511</v>
      </c>
      <c r="C319">
        <f t="shared" si="9"/>
        <v>5.8673436375361447</v>
      </c>
    </row>
    <row r="320" spans="1:3" x14ac:dyDescent="0.35">
      <c r="A320" s="45">
        <v>12678.8</v>
      </c>
      <c r="B320" s="45">
        <f t="shared" si="8"/>
        <v>4.1030781511766214</v>
      </c>
      <c r="C320">
        <f t="shared" si="9"/>
        <v>5.8701777268315096</v>
      </c>
    </row>
    <row r="321" spans="1:3" x14ac:dyDescent="0.35">
      <c r="A321" s="45">
        <v>12746.3</v>
      </c>
      <c r="B321" s="45">
        <f t="shared" si="8"/>
        <v>4.1053841359241163</v>
      </c>
      <c r="C321">
        <f t="shared" si="9"/>
        <v>5.8734768451530259</v>
      </c>
    </row>
    <row r="322" spans="1:3" x14ac:dyDescent="0.35">
      <c r="A322" s="45">
        <v>12767.4</v>
      </c>
      <c r="B322" s="45">
        <f t="shared" si="8"/>
        <v>4.106102464951837</v>
      </c>
      <c r="C322">
        <f t="shared" si="9"/>
        <v>5.8745045416539696</v>
      </c>
    </row>
    <row r="323" spans="1:3" x14ac:dyDescent="0.35">
      <c r="A323" s="45">
        <v>13476</v>
      </c>
      <c r="B323" s="45">
        <f t="shared" ref="B323:B386" si="10">LOG(A323)</f>
        <v>4.1295610023090825</v>
      </c>
      <c r="C323">
        <f t="shared" ref="C323:C386" si="11">LOG(A323,5)</f>
        <v>5.9080661211376695</v>
      </c>
    </row>
    <row r="324" spans="1:3" x14ac:dyDescent="0.35">
      <c r="A324" s="45">
        <v>13626.1</v>
      </c>
      <c r="B324" s="45">
        <f t="shared" si="10"/>
        <v>4.1343715718401928</v>
      </c>
      <c r="C324">
        <f t="shared" si="11"/>
        <v>5.914948490196811</v>
      </c>
    </row>
    <row r="325" spans="1:3" x14ac:dyDescent="0.35">
      <c r="A325" s="45">
        <v>13662.7</v>
      </c>
      <c r="B325" s="45">
        <f t="shared" si="10"/>
        <v>4.1355365323784827</v>
      </c>
      <c r="C325">
        <f t="shared" si="11"/>
        <v>5.9166151719300242</v>
      </c>
    </row>
    <row r="326" spans="1:3" x14ac:dyDescent="0.35">
      <c r="A326" s="45">
        <v>14213.4</v>
      </c>
      <c r="B326" s="45">
        <f t="shared" si="10"/>
        <v>4.1526979783226032</v>
      </c>
      <c r="C326">
        <f t="shared" si="11"/>
        <v>5.9411676503449202</v>
      </c>
    </row>
    <row r="327" spans="1:3" x14ac:dyDescent="0.35">
      <c r="A327" s="45">
        <v>14230.3</v>
      </c>
      <c r="B327" s="45">
        <f t="shared" si="10"/>
        <v>4.1532140558798716</v>
      </c>
      <c r="C327">
        <f t="shared" si="11"/>
        <v>5.9419059904082516</v>
      </c>
    </row>
    <row r="328" spans="1:3" x14ac:dyDescent="0.35">
      <c r="A328" s="45">
        <v>14300.8</v>
      </c>
      <c r="B328" s="45">
        <f t="shared" si="10"/>
        <v>4.1553603329802655</v>
      </c>
      <c r="C328">
        <f t="shared" si="11"/>
        <v>5.9449766187429143</v>
      </c>
    </row>
    <row r="329" spans="1:3" x14ac:dyDescent="0.35">
      <c r="A329" s="45">
        <v>14539.4</v>
      </c>
      <c r="B329" s="45">
        <f t="shared" si="10"/>
        <v>4.1625464847853504</v>
      </c>
      <c r="C329">
        <f t="shared" si="11"/>
        <v>5.9552576776732069</v>
      </c>
    </row>
    <row r="330" spans="1:3" x14ac:dyDescent="0.35">
      <c r="A330" s="45">
        <v>14600.8</v>
      </c>
      <c r="B330" s="45">
        <f t="shared" si="10"/>
        <v>4.164376652090402</v>
      </c>
      <c r="C330">
        <f t="shared" si="11"/>
        <v>5.9578760551338963</v>
      </c>
    </row>
    <row r="331" spans="1:3" x14ac:dyDescent="0.35">
      <c r="A331" s="45">
        <v>14653.9</v>
      </c>
      <c r="B331" s="45">
        <f t="shared" si="10"/>
        <v>4.1659532235346113</v>
      </c>
      <c r="C331">
        <f t="shared" si="11"/>
        <v>5.9601316189412552</v>
      </c>
    </row>
    <row r="332" spans="1:3" x14ac:dyDescent="0.35">
      <c r="A332" s="45">
        <v>14784.8</v>
      </c>
      <c r="B332" s="45">
        <f t="shared" si="10"/>
        <v>4.1698154540238637</v>
      </c>
      <c r="C332">
        <f t="shared" si="11"/>
        <v>5.9656572215641042</v>
      </c>
    </row>
    <row r="333" spans="1:3" x14ac:dyDescent="0.35">
      <c r="A333" s="45">
        <v>14787.8</v>
      </c>
      <c r="B333" s="45">
        <f t="shared" si="10"/>
        <v>4.1699035682546164</v>
      </c>
      <c r="C333">
        <f t="shared" si="11"/>
        <v>5.9657832845284746</v>
      </c>
    </row>
    <row r="334" spans="1:3" x14ac:dyDescent="0.35">
      <c r="A334" s="45">
        <v>15193.2</v>
      </c>
      <c r="B334" s="45">
        <f t="shared" si="10"/>
        <v>4.1816492548356416</v>
      </c>
      <c r="C334">
        <f t="shared" si="11"/>
        <v>5.9825875629784244</v>
      </c>
    </row>
    <row r="335" spans="1:3" x14ac:dyDescent="0.35">
      <c r="A335" s="45">
        <v>15526.3</v>
      </c>
      <c r="B335" s="45">
        <f t="shared" si="10"/>
        <v>4.1910679733697043</v>
      </c>
      <c r="C335">
        <f t="shared" si="11"/>
        <v>5.9960627027921998</v>
      </c>
    </row>
    <row r="336" spans="1:3" x14ac:dyDescent="0.35">
      <c r="A336" s="45">
        <v>15667.7</v>
      </c>
      <c r="B336" s="45">
        <f t="shared" si="10"/>
        <v>4.1950052472266117</v>
      </c>
      <c r="C336">
        <f t="shared" si="11"/>
        <v>6.0016956682019922</v>
      </c>
    </row>
    <row r="337" spans="1:3" x14ac:dyDescent="0.35">
      <c r="A337" s="45">
        <v>15724.2</v>
      </c>
      <c r="B337" s="45">
        <f t="shared" si="10"/>
        <v>4.1965685590824187</v>
      </c>
      <c r="C337">
        <f t="shared" si="11"/>
        <v>6.0039322618270541</v>
      </c>
    </row>
    <row r="338" spans="1:3" x14ac:dyDescent="0.35">
      <c r="A338" s="45">
        <v>15727.5</v>
      </c>
      <c r="B338" s="45">
        <f t="shared" si="10"/>
        <v>4.1966596938570442</v>
      </c>
      <c r="C338">
        <f t="shared" si="11"/>
        <v>6.0040626462127351</v>
      </c>
    </row>
    <row r="339" spans="1:3" x14ac:dyDescent="0.35">
      <c r="A339" s="45">
        <v>15845.1</v>
      </c>
      <c r="B339" s="45">
        <f t="shared" si="10"/>
        <v>4.199894984410582</v>
      </c>
      <c r="C339">
        <f t="shared" si="11"/>
        <v>6.0086913005662392</v>
      </c>
    </row>
    <row r="340" spans="1:3" x14ac:dyDescent="0.35">
      <c r="A340" s="45">
        <v>16532.8</v>
      </c>
      <c r="B340" s="45">
        <f t="shared" si="10"/>
        <v>4.2183464120451539</v>
      </c>
      <c r="C340">
        <f t="shared" si="11"/>
        <v>6.035089325546009</v>
      </c>
    </row>
    <row r="341" spans="1:3" x14ac:dyDescent="0.35">
      <c r="A341" s="45">
        <v>16576.599999999999</v>
      </c>
      <c r="B341" s="45">
        <f t="shared" si="10"/>
        <v>4.2194954578994306</v>
      </c>
      <c r="C341">
        <f t="shared" si="11"/>
        <v>6.0367332385138734</v>
      </c>
    </row>
    <row r="342" spans="1:3" x14ac:dyDescent="0.35">
      <c r="A342" s="45">
        <v>16609.599999999999</v>
      </c>
      <c r="B342" s="45">
        <f t="shared" si="10"/>
        <v>4.2203591736985633</v>
      </c>
      <c r="C342">
        <f t="shared" si="11"/>
        <v>6.0379689364605298</v>
      </c>
    </row>
    <row r="343" spans="1:3" x14ac:dyDescent="0.35">
      <c r="A343" s="45">
        <v>16620.599999999999</v>
      </c>
      <c r="B343" s="45">
        <f t="shared" si="10"/>
        <v>4.2206466976662451</v>
      </c>
      <c r="C343">
        <f t="shared" si="11"/>
        <v>6.0383802902609762</v>
      </c>
    </row>
    <row r="344" spans="1:3" x14ac:dyDescent="0.35">
      <c r="A344" s="45">
        <v>16866.400000000001</v>
      </c>
      <c r="B344" s="45">
        <f t="shared" si="10"/>
        <v>4.2270223957499375</v>
      </c>
      <c r="C344">
        <f t="shared" si="11"/>
        <v>6.0475018520506687</v>
      </c>
    </row>
    <row r="345" spans="1:3" x14ac:dyDescent="0.35">
      <c r="A345" s="45">
        <v>16885.3</v>
      </c>
      <c r="B345" s="45">
        <f t="shared" si="10"/>
        <v>4.2275087811210987</v>
      </c>
      <c r="C345">
        <f t="shared" si="11"/>
        <v>6.0481977121993786</v>
      </c>
    </row>
    <row r="346" spans="1:3" x14ac:dyDescent="0.35">
      <c r="A346" s="45">
        <v>17114.8</v>
      </c>
      <c r="B346" s="45">
        <f t="shared" si="10"/>
        <v>4.2333718284283872</v>
      </c>
      <c r="C346">
        <f t="shared" si="11"/>
        <v>6.0565858365407923</v>
      </c>
    </row>
    <row r="347" spans="1:3" x14ac:dyDescent="0.35">
      <c r="A347" s="45">
        <v>17441.599999999999</v>
      </c>
      <c r="B347" s="45">
        <f t="shared" si="10"/>
        <v>4.2415863222994252</v>
      </c>
      <c r="C347">
        <f t="shared" si="11"/>
        <v>6.0683381203585229</v>
      </c>
    </row>
    <row r="348" spans="1:3" x14ac:dyDescent="0.35">
      <c r="A348" s="45">
        <v>18023.099999999999</v>
      </c>
      <c r="B348" s="45">
        <f t="shared" si="10"/>
        <v>4.2558294923646507</v>
      </c>
      <c r="C348">
        <f t="shared" si="11"/>
        <v>6.0887154898834943</v>
      </c>
    </row>
    <row r="349" spans="1:3" x14ac:dyDescent="0.35">
      <c r="A349" s="45">
        <v>18430.400000000001</v>
      </c>
      <c r="B349" s="45">
        <f t="shared" si="10"/>
        <v>4.2655347609329981</v>
      </c>
      <c r="C349">
        <f t="shared" si="11"/>
        <v>6.1026005901140357</v>
      </c>
    </row>
    <row r="350" spans="1:3" x14ac:dyDescent="0.35">
      <c r="A350" s="45">
        <v>18563.900000000001</v>
      </c>
      <c r="B350" s="45">
        <f t="shared" si="10"/>
        <v>4.2686692202961645</v>
      </c>
      <c r="C350">
        <f t="shared" si="11"/>
        <v>6.1070849876471511</v>
      </c>
    </row>
    <row r="351" spans="1:3" x14ac:dyDescent="0.35">
      <c r="A351" s="45">
        <v>18568.400000000001</v>
      </c>
      <c r="B351" s="45">
        <f t="shared" si="10"/>
        <v>4.2687744831093024</v>
      </c>
      <c r="C351">
        <f t="shared" si="11"/>
        <v>6.1072355846863449</v>
      </c>
    </row>
    <row r="352" spans="1:3" x14ac:dyDescent="0.35">
      <c r="A352" s="45">
        <v>18690.099999999999</v>
      </c>
      <c r="B352" s="45">
        <f t="shared" si="10"/>
        <v>4.2716116250456064</v>
      </c>
      <c r="C352">
        <f t="shared" si="11"/>
        <v>6.111294617146541</v>
      </c>
    </row>
    <row r="353" spans="1:3" x14ac:dyDescent="0.35">
      <c r="A353" s="45">
        <v>19078.2</v>
      </c>
      <c r="B353" s="45">
        <f t="shared" si="10"/>
        <v>4.280537397257814</v>
      </c>
      <c r="C353">
        <f t="shared" si="11"/>
        <v>6.12406451021325</v>
      </c>
    </row>
    <row r="354" spans="1:3" x14ac:dyDescent="0.35">
      <c r="A354" s="45">
        <v>19384</v>
      </c>
      <c r="B354" s="45">
        <f t="shared" si="10"/>
        <v>4.2874434011294502</v>
      </c>
      <c r="C354">
        <f t="shared" si="11"/>
        <v>6.1339447680623636</v>
      </c>
    </row>
    <row r="355" spans="1:3" x14ac:dyDescent="0.35">
      <c r="A355" s="45">
        <v>19789.099999999999</v>
      </c>
      <c r="B355" s="45">
        <f t="shared" si="10"/>
        <v>4.2964260431239421</v>
      </c>
      <c r="C355">
        <f t="shared" si="11"/>
        <v>6.1467960233934491</v>
      </c>
    </row>
    <row r="356" spans="1:3" x14ac:dyDescent="0.35">
      <c r="A356" s="45">
        <v>19930.900000000001</v>
      </c>
      <c r="B356" s="45">
        <f t="shared" si="10"/>
        <v>4.2995269101509956</v>
      </c>
      <c r="C356">
        <f t="shared" si="11"/>
        <v>6.1512323611587583</v>
      </c>
    </row>
    <row r="357" spans="1:3" x14ac:dyDescent="0.35">
      <c r="A357" s="45">
        <v>20906.8</v>
      </c>
      <c r="B357" s="45">
        <f t="shared" si="10"/>
        <v>4.3202875646831034</v>
      </c>
      <c r="C357">
        <f t="shared" si="11"/>
        <v>6.1809341429281046</v>
      </c>
    </row>
    <row r="358" spans="1:3" x14ac:dyDescent="0.35">
      <c r="A358" s="45">
        <v>20917.900000000001</v>
      </c>
      <c r="B358" s="45">
        <f t="shared" si="10"/>
        <v>4.320518082480592</v>
      </c>
      <c r="C358">
        <f t="shared" si="11"/>
        <v>6.1812639393371898</v>
      </c>
    </row>
    <row r="359" spans="1:3" x14ac:dyDescent="0.35">
      <c r="A359" s="45">
        <v>21154.7</v>
      </c>
      <c r="B359" s="45">
        <f t="shared" si="10"/>
        <v>4.325406870874196</v>
      </c>
      <c r="C359">
        <f t="shared" si="11"/>
        <v>6.1882582142893003</v>
      </c>
    </row>
    <row r="360" spans="1:3" x14ac:dyDescent="0.35">
      <c r="A360" s="45">
        <v>21626</v>
      </c>
      <c r="B360" s="45">
        <f t="shared" si="10"/>
        <v>4.334976198654342</v>
      </c>
      <c r="C360">
        <f t="shared" si="11"/>
        <v>6.2019488272208756</v>
      </c>
    </row>
    <row r="361" spans="1:3" x14ac:dyDescent="0.35">
      <c r="A361" s="45">
        <v>21679.599999999999</v>
      </c>
      <c r="B361" s="45">
        <f t="shared" si="10"/>
        <v>4.3360512649791101</v>
      </c>
      <c r="C361">
        <f t="shared" si="11"/>
        <v>6.2034868994100956</v>
      </c>
    </row>
    <row r="362" spans="1:3" x14ac:dyDescent="0.35">
      <c r="A362" s="45">
        <v>21775.4</v>
      </c>
      <c r="B362" s="45">
        <f t="shared" si="10"/>
        <v>4.3379661414614326</v>
      </c>
      <c r="C362">
        <f t="shared" si="11"/>
        <v>6.2062264683049611</v>
      </c>
    </row>
    <row r="363" spans="1:3" x14ac:dyDescent="0.35">
      <c r="A363" s="45">
        <v>22136</v>
      </c>
      <c r="B363" s="45">
        <f t="shared" si="10"/>
        <v>4.3450991461328954</v>
      </c>
      <c r="C363">
        <f t="shared" si="11"/>
        <v>6.2164314908770502</v>
      </c>
    </row>
    <row r="364" spans="1:3" x14ac:dyDescent="0.35">
      <c r="A364" s="45">
        <v>23234.1</v>
      </c>
      <c r="B364" s="45">
        <f t="shared" si="10"/>
        <v>4.366125854236711</v>
      </c>
      <c r="C364">
        <f t="shared" si="11"/>
        <v>6.2465139092546318</v>
      </c>
    </row>
    <row r="365" spans="1:3" x14ac:dyDescent="0.35">
      <c r="A365" s="45">
        <v>23572.1</v>
      </c>
      <c r="B365" s="45">
        <f t="shared" si="10"/>
        <v>4.3723982748359775</v>
      </c>
      <c r="C365">
        <f t="shared" si="11"/>
        <v>6.2554877143683782</v>
      </c>
    </row>
    <row r="366" spans="1:3" x14ac:dyDescent="0.35">
      <c r="A366" s="45">
        <v>23670.5</v>
      </c>
      <c r="B366" s="45">
        <f t="shared" si="10"/>
        <v>4.3742074317756181</v>
      </c>
      <c r="C366">
        <f t="shared" si="11"/>
        <v>6.2580760327917986</v>
      </c>
    </row>
    <row r="367" spans="1:3" x14ac:dyDescent="0.35">
      <c r="A367" s="45">
        <v>25166.7</v>
      </c>
      <c r="B367" s="45">
        <f t="shared" si="10"/>
        <v>4.4008262721336244</v>
      </c>
      <c r="C367">
        <f t="shared" si="11"/>
        <v>6.2961589836950953</v>
      </c>
    </row>
    <row r="368" spans="1:3" x14ac:dyDescent="0.35">
      <c r="A368" s="45">
        <v>25968.9</v>
      </c>
      <c r="B368" s="45">
        <f t="shared" si="10"/>
        <v>4.4144535540171441</v>
      </c>
      <c r="C368">
        <f t="shared" si="11"/>
        <v>6.3156552164361059</v>
      </c>
    </row>
    <row r="369" spans="1:3" x14ac:dyDescent="0.35">
      <c r="A369" s="45">
        <v>27095.599999999999</v>
      </c>
      <c r="B369" s="45">
        <f t="shared" si="10"/>
        <v>4.4328987723922939</v>
      </c>
      <c r="C369">
        <f t="shared" si="11"/>
        <v>6.3420443579739771</v>
      </c>
    </row>
    <row r="370" spans="1:3" x14ac:dyDescent="0.35">
      <c r="A370" s="45">
        <v>28104.400000000001</v>
      </c>
      <c r="B370" s="45">
        <f t="shared" si="10"/>
        <v>4.4487743179879446</v>
      </c>
      <c r="C370">
        <f t="shared" si="11"/>
        <v>6.3647571289042997</v>
      </c>
    </row>
    <row r="371" spans="1:3" x14ac:dyDescent="0.35">
      <c r="A371" s="45">
        <v>29514.5</v>
      </c>
      <c r="B371" s="45">
        <f t="shared" si="10"/>
        <v>4.4700354303124135</v>
      </c>
      <c r="C371">
        <f t="shared" si="11"/>
        <v>6.3951749039054819</v>
      </c>
    </row>
    <row r="372" spans="1:3" x14ac:dyDescent="0.35">
      <c r="A372" s="45">
        <v>29525.3</v>
      </c>
      <c r="B372" s="45">
        <f t="shared" si="10"/>
        <v>4.470194319077514</v>
      </c>
      <c r="C372">
        <f t="shared" si="11"/>
        <v>6.3954022223370526</v>
      </c>
    </row>
    <row r="373" spans="1:3" x14ac:dyDescent="0.35">
      <c r="A373" s="45">
        <v>30092</v>
      </c>
      <c r="B373" s="45">
        <f t="shared" si="10"/>
        <v>4.4784510531471504</v>
      </c>
      <c r="C373">
        <f t="shared" si="11"/>
        <v>6.4072149382167272</v>
      </c>
    </row>
    <row r="374" spans="1:3" x14ac:dyDescent="0.35">
      <c r="A374" s="45">
        <v>32242.7</v>
      </c>
      <c r="B374" s="45">
        <f t="shared" si="10"/>
        <v>4.5084314024259591</v>
      </c>
      <c r="C374">
        <f t="shared" si="11"/>
        <v>6.4501071211327714</v>
      </c>
    </row>
    <row r="375" spans="1:3" x14ac:dyDescent="0.35">
      <c r="A375" s="45">
        <v>32773.300000000003</v>
      </c>
      <c r="B375" s="45">
        <f t="shared" si="10"/>
        <v>4.5155201734432113</v>
      </c>
      <c r="C375">
        <f t="shared" si="11"/>
        <v>6.4602488596527046</v>
      </c>
    </row>
    <row r="376" spans="1:3" x14ac:dyDescent="0.35">
      <c r="A376" s="45">
        <v>34285.300000000003</v>
      </c>
      <c r="B376" s="45">
        <f t="shared" si="10"/>
        <v>4.5351079539406545</v>
      </c>
      <c r="C376">
        <f t="shared" si="11"/>
        <v>6.4882726380350837</v>
      </c>
    </row>
    <row r="377" spans="1:3" x14ac:dyDescent="0.35">
      <c r="A377" s="45">
        <v>35089.699999999997</v>
      </c>
      <c r="B377" s="45">
        <f t="shared" si="10"/>
        <v>4.5451796552230572</v>
      </c>
      <c r="C377">
        <f t="shared" si="11"/>
        <v>6.502681984959735</v>
      </c>
    </row>
    <row r="378" spans="1:3" x14ac:dyDescent="0.35">
      <c r="A378" s="45">
        <v>37579.599999999999</v>
      </c>
      <c r="B378" s="45">
        <f t="shared" si="10"/>
        <v>4.5749521531270059</v>
      </c>
      <c r="C378">
        <f t="shared" si="11"/>
        <v>6.5452767997862038</v>
      </c>
    </row>
    <row r="379" spans="1:3" x14ac:dyDescent="0.35">
      <c r="A379" s="45">
        <v>37887.699999999997</v>
      </c>
      <c r="B379" s="45">
        <f t="shared" si="10"/>
        <v>4.578498241917206</v>
      </c>
      <c r="C379">
        <f t="shared" si="11"/>
        <v>6.5503501058911899</v>
      </c>
    </row>
    <row r="380" spans="1:3" x14ac:dyDescent="0.35">
      <c r="A380" s="45">
        <v>40205.800000000003</v>
      </c>
      <c r="B380" s="45">
        <f t="shared" si="10"/>
        <v>4.6042887079675605</v>
      </c>
      <c r="C380">
        <f t="shared" si="11"/>
        <v>6.5872479210912207</v>
      </c>
    </row>
    <row r="381" spans="1:3" x14ac:dyDescent="0.35">
      <c r="A381" s="45">
        <v>41495</v>
      </c>
      <c r="B381" s="45">
        <f t="shared" si="10"/>
        <v>4.6179957689233788</v>
      </c>
      <c r="C381">
        <f t="shared" si="11"/>
        <v>6.6068582918807932</v>
      </c>
    </row>
    <row r="382" spans="1:3" x14ac:dyDescent="0.35">
      <c r="A382" s="45">
        <v>42013.4</v>
      </c>
      <c r="B382" s="45">
        <f t="shared" si="10"/>
        <v>4.6233878289192996</v>
      </c>
      <c r="C382">
        <f t="shared" si="11"/>
        <v>6.6145725857166813</v>
      </c>
    </row>
    <row r="383" spans="1:3" x14ac:dyDescent="0.35">
      <c r="A383" s="45">
        <v>42428.6</v>
      </c>
      <c r="B383" s="45">
        <f t="shared" si="10"/>
        <v>4.6276587017570536</v>
      </c>
      <c r="C383">
        <f t="shared" si="11"/>
        <v>6.6206828233681678</v>
      </c>
    </row>
    <row r="384" spans="1:3" x14ac:dyDescent="0.35">
      <c r="A384" s="45">
        <v>44108.4</v>
      </c>
      <c r="B384" s="45">
        <f t="shared" si="10"/>
        <v>4.6445213043489391</v>
      </c>
      <c r="C384">
        <f t="shared" si="11"/>
        <v>6.6448077536044856</v>
      </c>
    </row>
    <row r="385" spans="1:3" x14ac:dyDescent="0.35">
      <c r="A385" s="45">
        <v>45969.9</v>
      </c>
      <c r="B385" s="45">
        <f t="shared" si="10"/>
        <v>4.6624735590147122</v>
      </c>
      <c r="C385">
        <f t="shared" si="11"/>
        <v>6.6704916235193714</v>
      </c>
    </row>
    <row r="386" spans="1:3" x14ac:dyDescent="0.35">
      <c r="A386" s="45">
        <v>47142.9</v>
      </c>
      <c r="B386" s="45">
        <f t="shared" si="10"/>
        <v>4.6734162946766169</v>
      </c>
      <c r="C386">
        <f t="shared" si="11"/>
        <v>6.6861471389120517</v>
      </c>
    </row>
    <row r="387" spans="1:3" x14ac:dyDescent="0.35">
      <c r="A387" s="45">
        <v>47983.9</v>
      </c>
      <c r="B387" s="45">
        <f t="shared" ref="B387:B401" si="12">LOG(A387)</f>
        <v>4.6810955433326447</v>
      </c>
      <c r="C387">
        <f t="shared" ref="C387:C401" si="13">LOG(A387,5)</f>
        <v>6.6971336599478475</v>
      </c>
    </row>
    <row r="388" spans="1:3" x14ac:dyDescent="0.35">
      <c r="A388" s="45">
        <v>48858.400000000001</v>
      </c>
      <c r="B388" s="45">
        <f t="shared" si="12"/>
        <v>4.6889392407268851</v>
      </c>
      <c r="C388">
        <f t="shared" si="13"/>
        <v>6.7083554539384087</v>
      </c>
    </row>
    <row r="389" spans="1:3" x14ac:dyDescent="0.35">
      <c r="A389" s="45">
        <v>50307.9</v>
      </c>
      <c r="B389" s="45">
        <f t="shared" si="12"/>
        <v>4.7016361889725999</v>
      </c>
      <c r="C389">
        <f t="shared" si="13"/>
        <v>6.7265206801526238</v>
      </c>
    </row>
    <row r="390" spans="1:3" x14ac:dyDescent="0.35">
      <c r="A390" s="45">
        <v>50790</v>
      </c>
      <c r="B390" s="45">
        <f t="shared" si="12"/>
        <v>4.7057782128285979</v>
      </c>
      <c r="C390">
        <f t="shared" si="13"/>
        <v>6.7324465765863817</v>
      </c>
    </row>
    <row r="391" spans="1:3" x14ac:dyDescent="0.35">
      <c r="A391" s="45">
        <v>53678.8</v>
      </c>
      <c r="B391" s="45">
        <f t="shared" si="12"/>
        <v>4.7298027985319591</v>
      </c>
      <c r="C391">
        <f t="shared" si="13"/>
        <v>6.7668179881696053</v>
      </c>
    </row>
    <row r="392" spans="1:3" x14ac:dyDescent="0.35">
      <c r="A392" s="45">
        <v>55354.400000000001</v>
      </c>
      <c r="B392" s="45">
        <f t="shared" si="12"/>
        <v>4.7431521477038459</v>
      </c>
      <c r="C392">
        <f t="shared" si="13"/>
        <v>6.7859165890953594</v>
      </c>
    </row>
    <row r="393" spans="1:3" x14ac:dyDescent="0.35">
      <c r="A393" s="45">
        <v>61307.1</v>
      </c>
      <c r="B393" s="45">
        <f t="shared" si="12"/>
        <v>4.7875107732502986</v>
      </c>
      <c r="C393">
        <f t="shared" si="13"/>
        <v>6.8493794348130255</v>
      </c>
    </row>
    <row r="394" spans="1:3" x14ac:dyDescent="0.35">
      <c r="A394" s="45">
        <v>62570.400000000001</v>
      </c>
      <c r="B394" s="45">
        <f t="shared" si="12"/>
        <v>4.7963689313437907</v>
      </c>
      <c r="C394">
        <f t="shared" si="13"/>
        <v>6.8620525939450943</v>
      </c>
    </row>
    <row r="395" spans="1:3" x14ac:dyDescent="0.35">
      <c r="A395" s="45">
        <v>67629.2</v>
      </c>
      <c r="B395" s="45">
        <f t="shared" si="12"/>
        <v>4.8301342500951572</v>
      </c>
      <c r="C395">
        <f t="shared" si="13"/>
        <v>6.910359843958549</v>
      </c>
    </row>
    <row r="396" spans="1:3" x14ac:dyDescent="0.35">
      <c r="A396" s="45">
        <v>90072.3</v>
      </c>
      <c r="B396" s="45">
        <f t="shared" si="12"/>
        <v>4.9545912526133593</v>
      </c>
      <c r="C396">
        <f t="shared" si="13"/>
        <v>7.0884175599494235</v>
      </c>
    </row>
    <row r="397" spans="1:3" x14ac:dyDescent="0.35">
      <c r="A397" s="45">
        <v>180498.3</v>
      </c>
      <c r="B397" s="45">
        <f t="shared" si="12"/>
        <v>5.2564731159142752</v>
      </c>
      <c r="C397">
        <f t="shared" si="13"/>
        <v>7.5203128650815589</v>
      </c>
    </row>
    <row r="398" spans="1:3" x14ac:dyDescent="0.35">
      <c r="A398" s="45">
        <v>187895.2</v>
      </c>
      <c r="B398" s="45">
        <f t="shared" si="12"/>
        <v>5.27391568568786</v>
      </c>
      <c r="C398">
        <f t="shared" si="13"/>
        <v>7.5452675407691876</v>
      </c>
    </row>
    <row r="399" spans="1:3" x14ac:dyDescent="0.35">
      <c r="A399" s="45">
        <v>205699.3</v>
      </c>
      <c r="B399" s="45">
        <f t="shared" si="12"/>
        <v>5.3132328137819647</v>
      </c>
      <c r="C399">
        <f t="shared" si="13"/>
        <v>7.6015176342641908</v>
      </c>
    </row>
    <row r="400" spans="1:3" x14ac:dyDescent="0.35">
      <c r="A400" s="45">
        <v>231204.8</v>
      </c>
      <c r="B400" s="45">
        <f t="shared" si="12"/>
        <v>5.3639968461493295</v>
      </c>
      <c r="C400">
        <f t="shared" si="13"/>
        <v>7.6741445453654595</v>
      </c>
    </row>
    <row r="401" spans="1:3" x14ac:dyDescent="0.35">
      <c r="A401" s="45">
        <v>244785.8</v>
      </c>
      <c r="B401" s="45">
        <f t="shared" si="12"/>
        <v>5.3887862208243709</v>
      </c>
      <c r="C401">
        <f t="shared" si="13"/>
        <v>7.7096101226023386</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4ED3A-EF25-49BA-ABC6-1A66C68B208A}">
  <sheetPr codeName="Sheet15"/>
  <dimension ref="A2:J30"/>
  <sheetViews>
    <sheetView workbookViewId="0">
      <selection activeCell="S17" sqref="S17"/>
    </sheetView>
  </sheetViews>
  <sheetFormatPr defaultColWidth="8.1640625" defaultRowHeight="14.5" x14ac:dyDescent="0.35"/>
  <cols>
    <col min="1" max="2" width="8.1640625" style="197"/>
    <col min="3" max="3" width="13.4140625" style="197" customWidth="1"/>
    <col min="4" max="16384" width="8.1640625" style="197"/>
  </cols>
  <sheetData>
    <row r="2" spans="1:7" x14ac:dyDescent="0.35">
      <c r="C2" s="197" t="s">
        <v>1810</v>
      </c>
    </row>
    <row r="4" spans="1:7" x14ac:dyDescent="0.35">
      <c r="C4" s="197" t="s">
        <v>1811</v>
      </c>
      <c r="D4" s="198">
        <v>0.1</v>
      </c>
      <c r="E4" s="198">
        <v>0.2</v>
      </c>
      <c r="F4" s="198">
        <v>0.3</v>
      </c>
      <c r="G4" s="198">
        <f>1-SUM(D4:F4)</f>
        <v>0.39999999999999991</v>
      </c>
    </row>
    <row r="6" spans="1:7" x14ac:dyDescent="0.35">
      <c r="A6" s="199" t="s">
        <v>1740</v>
      </c>
      <c r="B6" s="200" t="s">
        <v>309</v>
      </c>
      <c r="C6" s="199" t="s">
        <v>1812</v>
      </c>
      <c r="D6" s="199" t="s">
        <v>1813</v>
      </c>
      <c r="E6" s="199" t="s">
        <v>1814</v>
      </c>
      <c r="F6" s="199" t="s">
        <v>1815</v>
      </c>
    </row>
    <row r="7" spans="1:7" x14ac:dyDescent="0.35">
      <c r="A7" s="201">
        <v>1</v>
      </c>
      <c r="B7" s="198">
        <v>515</v>
      </c>
      <c r="C7" s="202"/>
      <c r="D7" s="202"/>
      <c r="E7" s="202"/>
      <c r="F7" s="202"/>
    </row>
    <row r="8" spans="1:7" x14ac:dyDescent="0.35">
      <c r="A8" s="201">
        <v>2</v>
      </c>
      <c r="B8" s="198">
        <v>624</v>
      </c>
      <c r="C8" s="202"/>
      <c r="D8" s="202"/>
      <c r="E8" s="202"/>
      <c r="F8" s="202"/>
    </row>
    <row r="9" spans="1:7" x14ac:dyDescent="0.35">
      <c r="A9" s="201">
        <v>3</v>
      </c>
      <c r="B9" s="198">
        <v>608</v>
      </c>
      <c r="C9" s="202"/>
      <c r="D9" s="202"/>
      <c r="E9" s="202"/>
      <c r="F9" s="202"/>
    </row>
    <row r="10" spans="1:7" x14ac:dyDescent="0.35">
      <c r="A10" s="201">
        <v>4</v>
      </c>
      <c r="B10" s="198">
        <v>657</v>
      </c>
      <c r="C10" s="202"/>
      <c r="D10" s="202"/>
      <c r="E10" s="202"/>
      <c r="F10" s="202"/>
    </row>
    <row r="11" spans="1:7" x14ac:dyDescent="0.35">
      <c r="A11" s="201">
        <v>5</v>
      </c>
      <c r="B11" s="198">
        <v>618</v>
      </c>
      <c r="C11" s="202" cm="1">
        <f t="array" ref="C11">SUMPRODUCT(B7:B10,TRANSPOSE($D$4:$G$4))</f>
        <v>621.5</v>
      </c>
      <c r="D11" s="202">
        <f>B11-C11</f>
        <v>-3.5</v>
      </c>
      <c r="E11" s="202">
        <f>D11^2</f>
        <v>12.25</v>
      </c>
      <c r="F11" s="202">
        <f>D11/B11</f>
        <v>-5.6634304207119745E-3</v>
      </c>
    </row>
    <row r="12" spans="1:7" x14ac:dyDescent="0.35">
      <c r="A12" s="201">
        <v>6</v>
      </c>
      <c r="B12" s="198">
        <v>641</v>
      </c>
      <c r="C12" s="202" cm="1">
        <f t="array" ref="C12">SUMPRODUCT(B8:B11,TRANSPOSE($D$4:$G$4))</f>
        <v>628.29999999999995</v>
      </c>
      <c r="D12" s="202">
        <f t="shared" ref="D12:D29" si="0">B12-C12</f>
        <v>12.700000000000045</v>
      </c>
      <c r="E12" s="202">
        <f>D12^2</f>
        <v>161.29000000000116</v>
      </c>
      <c r="F12" s="202">
        <f t="shared" ref="F12:F29" si="1">D12/B12</f>
        <v>1.9812792511700539E-2</v>
      </c>
    </row>
    <row r="13" spans="1:7" x14ac:dyDescent="0.35">
      <c r="A13" s="201">
        <v>7</v>
      </c>
      <c r="B13" s="198">
        <v>685</v>
      </c>
      <c r="C13" s="202" cm="1">
        <f t="array" ref="C13">SUMPRODUCT(B9:B12,TRANSPOSE($D$4:$G$4))</f>
        <v>634</v>
      </c>
      <c r="D13" s="202">
        <f t="shared" si="0"/>
        <v>51</v>
      </c>
      <c r="E13" s="202">
        <f t="shared" ref="E13:E29" si="2">D13^2</f>
        <v>2601</v>
      </c>
      <c r="F13" s="202">
        <f t="shared" si="1"/>
        <v>7.4452554744525543E-2</v>
      </c>
    </row>
    <row r="14" spans="1:7" x14ac:dyDescent="0.35">
      <c r="A14" s="201">
        <v>8</v>
      </c>
      <c r="B14" s="198">
        <v>641</v>
      </c>
      <c r="C14" s="202" cm="1">
        <f t="array" ref="C14">SUMPRODUCT(B10:B13,TRANSPOSE($D$4:$G$4))</f>
        <v>655.59999999999991</v>
      </c>
      <c r="D14" s="202">
        <f t="shared" si="0"/>
        <v>-14.599999999999909</v>
      </c>
      <c r="E14" s="202">
        <f t="shared" si="2"/>
        <v>213.15999999999735</v>
      </c>
      <c r="F14" s="202">
        <f t="shared" si="1"/>
        <v>-2.2776911076442915E-2</v>
      </c>
    </row>
    <row r="15" spans="1:7" x14ac:dyDescent="0.35">
      <c r="A15" s="201">
        <v>9</v>
      </c>
      <c r="B15" s="198">
        <v>675</v>
      </c>
      <c r="C15" s="202" cm="1">
        <f t="array" ref="C15">SUMPRODUCT(B11:B14,TRANSPOSE($D$4:$G$4))</f>
        <v>651.89999999999986</v>
      </c>
      <c r="D15" s="202">
        <f t="shared" si="0"/>
        <v>23.100000000000136</v>
      </c>
      <c r="E15" s="202">
        <f t="shared" si="2"/>
        <v>533.61000000000627</v>
      </c>
      <c r="F15" s="202">
        <f t="shared" si="1"/>
        <v>3.4222222222222425E-2</v>
      </c>
    </row>
    <row r="16" spans="1:7" x14ac:dyDescent="0.35">
      <c r="A16" s="201">
        <v>10</v>
      </c>
      <c r="B16" s="198">
        <v>632</v>
      </c>
      <c r="C16" s="202" cm="1">
        <f t="array" ref="C16">SUMPRODUCT(B12:B15,TRANSPOSE($D$4:$G$4))</f>
        <v>663.39999999999986</v>
      </c>
      <c r="D16" s="202">
        <f t="shared" si="0"/>
        <v>-31.399999999999864</v>
      </c>
      <c r="E16" s="202">
        <f t="shared" si="2"/>
        <v>985.9599999999914</v>
      </c>
      <c r="F16" s="202">
        <f t="shared" si="1"/>
        <v>-4.9683544303797254E-2</v>
      </c>
    </row>
    <row r="17" spans="1:10" x14ac:dyDescent="0.35">
      <c r="A17" s="201">
        <v>11</v>
      </c>
      <c r="B17" s="198">
        <v>745</v>
      </c>
      <c r="C17" s="202" cm="1">
        <f t="array" ref="C17">SUMPRODUCT(B13:B16,TRANSPOSE($D$4:$G$4))</f>
        <v>652</v>
      </c>
      <c r="D17" s="202">
        <f t="shared" si="0"/>
        <v>93</v>
      </c>
      <c r="E17" s="202">
        <f t="shared" si="2"/>
        <v>8649</v>
      </c>
      <c r="F17" s="202">
        <f t="shared" si="1"/>
        <v>0.12483221476510067</v>
      </c>
    </row>
    <row r="18" spans="1:10" x14ac:dyDescent="0.35">
      <c r="A18" s="201">
        <v>12</v>
      </c>
      <c r="B18" s="198">
        <v>715</v>
      </c>
      <c r="C18" s="202" cm="1">
        <f t="array" ref="C18">SUMPRODUCT(B14:B17,TRANSPOSE($D$4:$G$4))</f>
        <v>686.7</v>
      </c>
      <c r="D18" s="202">
        <f t="shared" si="0"/>
        <v>28.299999999999955</v>
      </c>
      <c r="E18" s="202">
        <f t="shared" si="2"/>
        <v>800.88999999999737</v>
      </c>
      <c r="F18" s="202">
        <f t="shared" si="1"/>
        <v>3.9580419580419517E-2</v>
      </c>
      <c r="J18" s="197" t="s">
        <v>1816</v>
      </c>
    </row>
    <row r="19" spans="1:10" x14ac:dyDescent="0.35">
      <c r="A19" s="201">
        <v>13</v>
      </c>
      <c r="B19" s="198">
        <v>782</v>
      </c>
      <c r="C19" s="202" cm="1">
        <f t="array" ref="C19">SUMPRODUCT(B15:B18,TRANSPOSE($D$4:$G$4))</f>
        <v>703.39999999999986</v>
      </c>
      <c r="D19" s="202">
        <f t="shared" si="0"/>
        <v>78.600000000000136</v>
      </c>
      <c r="E19" s="202">
        <f t="shared" si="2"/>
        <v>6177.9600000000219</v>
      </c>
      <c r="F19" s="202">
        <f t="shared" si="1"/>
        <v>0.10051150895140683</v>
      </c>
    </row>
    <row r="20" spans="1:10" x14ac:dyDescent="0.35">
      <c r="A20" s="201">
        <v>14</v>
      </c>
      <c r="B20" s="198">
        <v>692</v>
      </c>
      <c r="C20" s="202" cm="1">
        <f t="array" ref="C20">SUMPRODUCT(B16:B19,TRANSPOSE($D$4:$G$4))</f>
        <v>739.5</v>
      </c>
      <c r="D20" s="202">
        <f t="shared" si="0"/>
        <v>-47.5</v>
      </c>
      <c r="E20" s="202">
        <f t="shared" si="2"/>
        <v>2256.25</v>
      </c>
      <c r="F20" s="202">
        <f t="shared" si="1"/>
        <v>-6.8641618497109827E-2</v>
      </c>
    </row>
    <row r="21" spans="1:10" x14ac:dyDescent="0.35">
      <c r="A21" s="201">
        <v>15</v>
      </c>
      <c r="B21" s="198">
        <v>754</v>
      </c>
      <c r="C21" s="202" cm="1">
        <f t="array" ref="C21">SUMPRODUCT(B17:B20,TRANSPOSE($D$4:$G$4))</f>
        <v>728.9</v>
      </c>
      <c r="D21" s="202">
        <f t="shared" si="0"/>
        <v>25.100000000000023</v>
      </c>
      <c r="E21" s="202">
        <f t="shared" si="2"/>
        <v>630.01000000000113</v>
      </c>
      <c r="F21" s="202">
        <f t="shared" si="1"/>
        <v>3.3289124668435047E-2</v>
      </c>
    </row>
    <row r="22" spans="1:10" x14ac:dyDescent="0.35">
      <c r="A22" s="201">
        <v>16</v>
      </c>
      <c r="B22" s="198">
        <v>700</v>
      </c>
      <c r="C22" s="202" cm="1">
        <f t="array" ref="C22">SUMPRODUCT(B18:B21,TRANSPOSE($D$4:$G$4))</f>
        <v>737.09999999999991</v>
      </c>
      <c r="D22" s="202">
        <f t="shared" si="0"/>
        <v>-37.099999999999909</v>
      </c>
      <c r="E22" s="202">
        <f t="shared" si="2"/>
        <v>1376.4099999999933</v>
      </c>
      <c r="F22" s="202">
        <f t="shared" si="1"/>
        <v>-5.2999999999999867E-2</v>
      </c>
    </row>
    <row r="23" spans="1:10" x14ac:dyDescent="0.35">
      <c r="A23" s="201">
        <v>17</v>
      </c>
      <c r="B23" s="198">
        <v>675</v>
      </c>
      <c r="C23" s="202" cm="1">
        <f t="array" ref="C23">SUMPRODUCT(B19:B22,TRANSPOSE($D$4:$G$4))</f>
        <v>722.8</v>
      </c>
      <c r="D23" s="202">
        <f t="shared" si="0"/>
        <v>-47.799999999999955</v>
      </c>
      <c r="E23" s="202">
        <f t="shared" si="2"/>
        <v>2284.8399999999956</v>
      </c>
      <c r="F23" s="202">
        <f t="shared" si="1"/>
        <v>-7.0814814814814747E-2</v>
      </c>
    </row>
    <row r="24" spans="1:10" x14ac:dyDescent="0.35">
      <c r="A24" s="201">
        <v>18</v>
      </c>
      <c r="B24" s="198">
        <v>774</v>
      </c>
      <c r="C24" s="202" cm="1">
        <f t="array" ref="C24">SUMPRODUCT(B20:B23,TRANSPOSE($D$4:$G$4))</f>
        <v>700</v>
      </c>
      <c r="D24" s="202">
        <f t="shared" si="0"/>
        <v>74</v>
      </c>
      <c r="E24" s="202">
        <f t="shared" si="2"/>
        <v>5476</v>
      </c>
      <c r="F24" s="202">
        <f t="shared" si="1"/>
        <v>9.5607235142118857E-2</v>
      </c>
    </row>
    <row r="25" spans="1:10" x14ac:dyDescent="0.35">
      <c r="A25" s="201">
        <v>19</v>
      </c>
      <c r="B25" s="198">
        <v>781</v>
      </c>
      <c r="C25" s="202" cm="1">
        <f t="array" ref="C25">SUMPRODUCT(B21:B24,TRANSPOSE($D$4:$G$4))</f>
        <v>727.49999999999989</v>
      </c>
      <c r="D25" s="202">
        <f t="shared" si="0"/>
        <v>53.500000000000114</v>
      </c>
      <c r="E25" s="202">
        <f t="shared" si="2"/>
        <v>2862.2500000000123</v>
      </c>
      <c r="F25" s="202">
        <f t="shared" si="1"/>
        <v>6.8501920614596812E-2</v>
      </c>
    </row>
    <row r="26" spans="1:10" x14ac:dyDescent="0.35">
      <c r="A26" s="201">
        <v>20</v>
      </c>
      <c r="B26" s="198">
        <v>993</v>
      </c>
      <c r="C26" s="202" cm="1">
        <f t="array" ref="C26">SUMPRODUCT(B22:B25,TRANSPOSE($D$4:$G$4))</f>
        <v>749.59999999999991</v>
      </c>
      <c r="D26" s="202">
        <f t="shared" si="0"/>
        <v>243.40000000000009</v>
      </c>
      <c r="E26" s="202">
        <f t="shared" si="2"/>
        <v>59243.560000000041</v>
      </c>
      <c r="F26" s="202">
        <f t="shared" si="1"/>
        <v>0.24511581067472316</v>
      </c>
    </row>
    <row r="27" spans="1:10" x14ac:dyDescent="0.35">
      <c r="A27" s="201">
        <v>21</v>
      </c>
      <c r="B27" s="198">
        <v>799</v>
      </c>
      <c r="C27" s="202" cm="1">
        <f t="array" ref="C27">SUMPRODUCT(B23:B26,TRANSPOSE($D$4:$G$4))</f>
        <v>853.8</v>
      </c>
      <c r="D27" s="202">
        <f t="shared" si="0"/>
        <v>-54.799999999999955</v>
      </c>
      <c r="E27" s="202">
        <f t="shared" si="2"/>
        <v>3003.039999999995</v>
      </c>
      <c r="F27" s="202">
        <f t="shared" si="1"/>
        <v>-6.8585732165206456E-2</v>
      </c>
    </row>
    <row r="28" spans="1:10" x14ac:dyDescent="0.35">
      <c r="A28" s="201">
        <v>22</v>
      </c>
      <c r="B28" s="198">
        <v>823</v>
      </c>
      <c r="C28" s="202" cm="1">
        <f t="array" ref="C28">SUMPRODUCT(B24:B27,TRANSPOSE($D$4:$G$4))</f>
        <v>851.09999999999991</v>
      </c>
      <c r="D28" s="202">
        <f t="shared" si="0"/>
        <v>-28.099999999999909</v>
      </c>
      <c r="E28" s="202">
        <f t="shared" si="2"/>
        <v>789.6099999999949</v>
      </c>
      <c r="F28" s="202">
        <f t="shared" si="1"/>
        <v>-3.4143377885783609E-2</v>
      </c>
    </row>
    <row r="29" spans="1:10" x14ac:dyDescent="0.35">
      <c r="A29" s="201">
        <v>23</v>
      </c>
      <c r="B29" s="198">
        <v>873</v>
      </c>
      <c r="C29" s="202" cm="1">
        <f t="array" ref="C29">SUMPRODUCT(B25:B28,TRANSPOSE($D$4:$G$4))</f>
        <v>845.6</v>
      </c>
      <c r="D29" s="202">
        <f t="shared" si="0"/>
        <v>27.399999999999977</v>
      </c>
      <c r="E29" s="202">
        <f t="shared" si="2"/>
        <v>750.75999999999874</v>
      </c>
      <c r="F29" s="202">
        <f t="shared" si="1"/>
        <v>3.1386025200458162E-2</v>
      </c>
    </row>
    <row r="30" spans="1:10" x14ac:dyDescent="0.35">
      <c r="B30" s="203"/>
      <c r="D30" s="204">
        <f>AVERAGE(D11:D29)</f>
        <v>23.43684210526321</v>
      </c>
      <c r="E30" s="204">
        <f>AVERAGE(E11:E29)</f>
        <v>5200.413157894739</v>
      </c>
      <c r="F30" s="204">
        <f>AVERAGE(F11:F29)</f>
        <v>2.6000126311149521E-2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AE5BF-096F-4EA7-AF6D-FE2403ED87C9}">
  <sheetPr codeName="Sheet16"/>
  <dimension ref="A1:W96"/>
  <sheetViews>
    <sheetView topLeftCell="D1" workbookViewId="0">
      <selection activeCell="W10" sqref="W10"/>
    </sheetView>
  </sheetViews>
  <sheetFormatPr defaultColWidth="9.1640625" defaultRowHeight="15.5" x14ac:dyDescent="0.35"/>
  <cols>
    <col min="1" max="2" width="12.4140625" style="207" customWidth="1"/>
    <col min="3" max="3" width="10.5" style="207" customWidth="1"/>
    <col min="4" max="7" width="7.58203125" style="207" customWidth="1"/>
    <col min="8" max="8" width="10.58203125" style="228" customWidth="1"/>
    <col min="9" max="9" width="7.08203125" style="228" customWidth="1"/>
    <col min="10" max="10" width="3.4140625" style="207" customWidth="1"/>
    <col min="11" max="11" width="9.1640625" style="207"/>
    <col min="12" max="12" width="6.83203125" style="207" customWidth="1"/>
    <col min="13" max="13" width="4.33203125" style="207" customWidth="1"/>
    <col min="14" max="14" width="31.58203125" style="207" customWidth="1"/>
    <col min="15" max="15" width="11.83203125" style="207" bestFit="1" customWidth="1"/>
    <col min="16" max="16" width="6.1640625" style="207" customWidth="1"/>
    <col min="17" max="17" width="11.83203125" style="207" bestFit="1" customWidth="1"/>
    <col min="18" max="20" width="9.1640625" style="207"/>
    <col min="21" max="21" width="15.33203125" style="207" customWidth="1"/>
    <col min="22" max="16384" width="9.1640625" style="207"/>
  </cols>
  <sheetData>
    <row r="1" spans="1:21" x14ac:dyDescent="0.35">
      <c r="A1" s="205" t="s">
        <v>0</v>
      </c>
      <c r="B1" s="205" t="s">
        <v>1</v>
      </c>
      <c r="C1" s="205" t="s">
        <v>2</v>
      </c>
      <c r="D1" s="206" t="s">
        <v>3</v>
      </c>
      <c r="E1" s="206" t="s">
        <v>4</v>
      </c>
      <c r="F1" s="206" t="s">
        <v>5</v>
      </c>
      <c r="G1" s="206" t="s">
        <v>6</v>
      </c>
      <c r="H1" s="205" t="s">
        <v>7</v>
      </c>
      <c r="I1" s="205" t="s">
        <v>8</v>
      </c>
      <c r="K1" s="208" t="s">
        <v>1817</v>
      </c>
      <c r="L1" s="209"/>
      <c r="M1" s="209"/>
      <c r="N1" s="209"/>
      <c r="O1" s="209"/>
      <c r="P1" s="209"/>
      <c r="Q1" s="209"/>
      <c r="R1" s="209"/>
      <c r="S1" s="209"/>
      <c r="T1" s="209"/>
      <c r="U1" s="210"/>
    </row>
    <row r="2" spans="1:21" x14ac:dyDescent="0.35">
      <c r="A2" s="211" t="s">
        <v>116</v>
      </c>
      <c r="B2" s="212" t="s">
        <v>1818</v>
      </c>
      <c r="C2" s="213" t="str">
        <f t="shared" ref="C2:C3" si="0">UPPER(TRIM(MID(B2,2,2))&amp;TRIM(RIGHT(A2,2)))</f>
        <v>OGLD</v>
      </c>
      <c r="D2" s="214">
        <v>94</v>
      </c>
      <c r="E2" s="214">
        <v>89</v>
      </c>
      <c r="F2" s="214">
        <v>91</v>
      </c>
      <c r="G2" s="214">
        <v>90</v>
      </c>
      <c r="H2" s="213">
        <v>96.5</v>
      </c>
      <c r="I2" s="215" t="s">
        <v>57</v>
      </c>
      <c r="K2" s="216" t="s">
        <v>1819</v>
      </c>
      <c r="L2" s="217"/>
      <c r="M2" s="217"/>
      <c r="N2" s="217"/>
      <c r="O2" s="217"/>
      <c r="P2" s="217"/>
      <c r="Q2" s="217"/>
      <c r="R2" s="217"/>
      <c r="S2" s="217"/>
      <c r="T2" s="217"/>
      <c r="U2" s="218"/>
    </row>
    <row r="3" spans="1:21" x14ac:dyDescent="0.35">
      <c r="A3" s="212" t="s">
        <v>10</v>
      </c>
      <c r="B3" s="212" t="s">
        <v>1820</v>
      </c>
      <c r="C3" s="213" t="str">
        <f t="shared" si="0"/>
        <v>ONIN</v>
      </c>
      <c r="D3" s="214">
        <v>97</v>
      </c>
      <c r="E3" s="214">
        <v>90</v>
      </c>
      <c r="F3" s="214">
        <v>87</v>
      </c>
      <c r="G3" s="214">
        <v>93</v>
      </c>
      <c r="H3" s="213">
        <v>96.75</v>
      </c>
      <c r="I3" s="215" t="s">
        <v>57</v>
      </c>
      <c r="K3" s="216"/>
      <c r="L3" s="217" t="s">
        <v>1821</v>
      </c>
      <c r="M3" s="217"/>
      <c r="N3" s="217"/>
      <c r="O3" s="217"/>
      <c r="P3" s="217"/>
      <c r="Q3" s="217"/>
      <c r="R3" s="217"/>
      <c r="S3" s="217"/>
      <c r="T3" s="217"/>
      <c r="U3" s="218"/>
    </row>
    <row r="4" spans="1:21" x14ac:dyDescent="0.35">
      <c r="A4" s="219" t="s">
        <v>46</v>
      </c>
      <c r="B4" s="220" t="s">
        <v>1822</v>
      </c>
      <c r="C4" s="213" t="str">
        <f>UPPER(TRIM(MID(B4,2,2))&amp;TRIM(RIGHT(A4,2)))</f>
        <v>ANMA</v>
      </c>
      <c r="D4" s="221">
        <v>91</v>
      </c>
      <c r="E4" s="221">
        <v>88</v>
      </c>
      <c r="F4" s="221">
        <v>90</v>
      </c>
      <c r="G4" s="221">
        <v>98</v>
      </c>
      <c r="H4" s="213" cm="1">
        <f t="array" ref="H4">AVERAGE(MIN(MAX(D4:G4)+10,105),MIN(D4:G4)+12,SMALL(D4:G4,{2,3}))</f>
        <v>96.5</v>
      </c>
      <c r="I4" s="215" t="str" cm="1">
        <f t="array" ref="I4">_xlfn.IFS(H4&lt;60,"F",H4&lt;70,"D",H4&lt;80,"C",H4&lt;90,"B",H4&gt;=90,"A")</f>
        <v>A</v>
      </c>
      <c r="K4" s="216"/>
      <c r="L4" s="217" t="s">
        <v>1823</v>
      </c>
      <c r="M4" s="217"/>
      <c r="N4" s="217"/>
      <c r="O4" s="217"/>
      <c r="P4" s="217"/>
      <c r="Q4" s="217"/>
      <c r="R4" s="217"/>
      <c r="S4" s="217"/>
      <c r="T4" s="217"/>
      <c r="U4" s="218"/>
    </row>
    <row r="5" spans="1:21" x14ac:dyDescent="0.35">
      <c r="A5" s="219" t="s">
        <v>17</v>
      </c>
      <c r="B5" s="220" t="s">
        <v>1824</v>
      </c>
      <c r="C5" s="213" t="str">
        <f t="shared" ref="C5:C68" si="1">UPPER(TRIM(MID(B5,2,2))&amp;TRIM(RIGHT(A5,2)))</f>
        <v>ALAD</v>
      </c>
      <c r="D5" s="221">
        <v>92</v>
      </c>
      <c r="E5" s="221">
        <v>87</v>
      </c>
      <c r="F5" s="221">
        <v>89</v>
      </c>
      <c r="G5" s="221">
        <v>90</v>
      </c>
      <c r="H5" s="213" cm="1">
        <f t="array" ref="H5">AVERAGE(MIN(MAX(D5:G5)+10,105),MIN(D5:G5)+12,SMALL(D5:G5,{2,3}))</f>
        <v>95</v>
      </c>
      <c r="I5" s="215" t="str" cm="1">
        <f t="array" ref="I5">_xlfn.IFS(H5&lt;60,"F",H5&lt;70,"D",H5&lt;80,"C",H5&lt;90,"B",H5&gt;=90,"A")</f>
        <v>A</v>
      </c>
      <c r="K5" s="216" t="s">
        <v>1825</v>
      </c>
      <c r="L5" s="217"/>
      <c r="M5" s="217"/>
      <c r="N5" s="217"/>
      <c r="O5" s="217"/>
      <c r="P5" s="217"/>
      <c r="Q5" s="217"/>
      <c r="R5" s="217"/>
      <c r="S5" s="217"/>
      <c r="T5" s="217"/>
      <c r="U5" s="218"/>
    </row>
    <row r="6" spans="1:21" ht="16" thickBot="1" x14ac:dyDescent="0.4">
      <c r="A6" s="219" t="s">
        <v>271</v>
      </c>
      <c r="B6" s="220" t="s">
        <v>1826</v>
      </c>
      <c r="C6" s="213" t="str">
        <f t="shared" si="1"/>
        <v>AKKI</v>
      </c>
      <c r="D6" s="221">
        <v>83</v>
      </c>
      <c r="E6" s="221">
        <v>85</v>
      </c>
      <c r="F6" s="221">
        <v>97</v>
      </c>
      <c r="G6" s="221">
        <v>80</v>
      </c>
      <c r="H6" s="213" cm="1">
        <f t="array" ref="H6">AVERAGE(MIN(MAX(D6:G6)+10,105),MIN(D6:G6)+12,SMALL(D6:G6,{2,3}))</f>
        <v>91.25</v>
      </c>
      <c r="I6" s="215" t="str" cm="1">
        <f t="array" ref="I6">_xlfn.IFS(H6&lt;60,"F",H6&lt;70,"D",H6&lt;80,"C",H6&lt;90,"B",H6&gt;=90,"A")</f>
        <v>A</v>
      </c>
      <c r="K6" s="222"/>
      <c r="L6" s="223" t="s">
        <v>1827</v>
      </c>
      <c r="M6" s="223"/>
      <c r="N6" s="223"/>
      <c r="O6" s="223"/>
      <c r="P6" s="223"/>
      <c r="Q6" s="223"/>
      <c r="R6" s="223"/>
      <c r="S6" s="223"/>
      <c r="T6" s="223"/>
      <c r="U6" s="224"/>
    </row>
    <row r="7" spans="1:21" x14ac:dyDescent="0.35">
      <c r="A7" s="219" t="s">
        <v>280</v>
      </c>
      <c r="B7" s="220" t="s">
        <v>1828</v>
      </c>
      <c r="C7" s="213" t="str">
        <f t="shared" si="1"/>
        <v>OHER</v>
      </c>
      <c r="D7" s="221">
        <v>85</v>
      </c>
      <c r="E7" s="221">
        <v>79</v>
      </c>
      <c r="F7" s="221">
        <v>94</v>
      </c>
      <c r="G7" s="221">
        <v>82</v>
      </c>
      <c r="H7" s="213" cm="1">
        <f t="array" ref="H7">AVERAGE(MIN(MAX(D7:G7)+10,105),MIN(D7:G7)+12,SMALL(D7:G7,{2,3}))</f>
        <v>90.5</v>
      </c>
      <c r="I7" s="215" t="str" cm="1">
        <f t="array" ref="I7">_xlfn.IFS(H7&lt;60,"F",H7&lt;70,"D",H7&lt;80,"C",H7&lt;90,"B",H7&gt;=90,"A")</f>
        <v>A</v>
      </c>
    </row>
    <row r="8" spans="1:21" x14ac:dyDescent="0.35">
      <c r="A8" s="220" t="s">
        <v>13</v>
      </c>
      <c r="B8" s="220" t="s">
        <v>1829</v>
      </c>
      <c r="C8" s="213" t="str">
        <f t="shared" si="1"/>
        <v>RIOD</v>
      </c>
      <c r="D8" s="221">
        <v>88</v>
      </c>
      <c r="E8" s="221">
        <v>96</v>
      </c>
      <c r="F8" s="221">
        <v>79</v>
      </c>
      <c r="G8" s="221">
        <v>79</v>
      </c>
      <c r="H8" s="213" cm="1">
        <f t="array" ref="H8">AVERAGE(MIN(MAX(D8:G8)+10,105),MIN(D8:G8)+12,SMALL(D8:G8,{2,3}))</f>
        <v>90.75</v>
      </c>
      <c r="I8" s="215" t="str" cm="1">
        <f t="array" ref="I8">_xlfn.IFS(H8&lt;60,"F",H8&lt;70,"D",H8&lt;80,"C",H8&lt;90,"B",H8&gt;=90,"A")</f>
        <v>A</v>
      </c>
    </row>
    <row r="9" spans="1:21" x14ac:dyDescent="0.35">
      <c r="A9" s="219" t="s">
        <v>58</v>
      </c>
      <c r="B9" s="220" t="s">
        <v>1830</v>
      </c>
      <c r="C9" s="213" t="str">
        <f t="shared" si="1"/>
        <v>ELAN</v>
      </c>
      <c r="D9" s="221">
        <v>85</v>
      </c>
      <c r="E9" s="221">
        <v>93</v>
      </c>
      <c r="F9" s="221">
        <v>78</v>
      </c>
      <c r="G9" s="221">
        <v>82</v>
      </c>
      <c r="H9" s="213" cm="1">
        <f t="array" ref="H9">AVERAGE(MIN(MAX(D9:G9)+10,105),MIN(D9:G9)+12,SMALL(D9:G9,{2,3}))</f>
        <v>90</v>
      </c>
      <c r="I9" s="215" t="str" cm="1">
        <f t="array" ref="I9">_xlfn.IFS(H9&lt;60,"F",H9&lt;70,"D",H9&lt;80,"C",H9&lt;90,"B",H9&gt;=90,"A")</f>
        <v>A</v>
      </c>
      <c r="K9" s="225" t="s">
        <v>1831</v>
      </c>
      <c r="L9" s="225"/>
      <c r="M9" s="225"/>
      <c r="N9" s="225"/>
      <c r="P9" s="207" t="s">
        <v>1832</v>
      </c>
    </row>
    <row r="10" spans="1:21" x14ac:dyDescent="0.35">
      <c r="A10" s="219" t="s">
        <v>82</v>
      </c>
      <c r="B10" s="220" t="s">
        <v>1833</v>
      </c>
      <c r="C10" s="213" t="str">
        <f t="shared" si="1"/>
        <v>LMOP</v>
      </c>
      <c r="D10" s="221">
        <v>85</v>
      </c>
      <c r="E10" s="221">
        <v>86</v>
      </c>
      <c r="F10" s="221">
        <v>100</v>
      </c>
      <c r="G10" s="221">
        <v>70</v>
      </c>
      <c r="H10" s="213" cm="1">
        <f t="array" ref="H10">AVERAGE(MIN(MAX(D10:G10)+10,105),MIN(D10:G10)+12,SMALL(D10:G10,{2,3}))</f>
        <v>89.5</v>
      </c>
      <c r="I10" s="215" t="str" cm="1">
        <f t="array" ref="I10">_xlfn.IFS(H10&lt;60,"F",H10&lt;70,"D",H10&lt;80,"C",H10&lt;90,"B",H10&gt;=90,"A")</f>
        <v>B</v>
      </c>
      <c r="P10" s="207" t="s">
        <v>1834</v>
      </c>
    </row>
    <row r="11" spans="1:21" x14ac:dyDescent="0.35">
      <c r="A11" s="219" t="s">
        <v>104</v>
      </c>
      <c r="B11" s="220" t="s">
        <v>105</v>
      </c>
      <c r="C11" s="213" t="str">
        <f t="shared" si="1"/>
        <v>HRIM</v>
      </c>
      <c r="D11" s="221">
        <v>88</v>
      </c>
      <c r="E11" s="221">
        <v>85</v>
      </c>
      <c r="F11" s="221">
        <v>82</v>
      </c>
      <c r="G11" s="221">
        <v>75</v>
      </c>
      <c r="H11" s="213" cm="1">
        <f t="array" ref="H11">AVERAGE(MIN(MAX(D11:G11)+10,105),MIN(D11:G11)+12,SMALL(D11:G11,{2,3}))</f>
        <v>88</v>
      </c>
      <c r="I11" s="215" t="str" cm="1">
        <f t="array" ref="I11">_xlfn.IFS(H11&lt;60,"F",H11&lt;70,"D",H11&lt;80,"C",H11&lt;90,"B",H11&gt;=90,"A")</f>
        <v>B</v>
      </c>
    </row>
    <row r="12" spans="1:21" x14ac:dyDescent="0.35">
      <c r="A12" s="219" t="s">
        <v>72</v>
      </c>
      <c r="B12" s="220" t="s">
        <v>1835</v>
      </c>
      <c r="C12" s="213" t="str">
        <f t="shared" si="1"/>
        <v>ANRD</v>
      </c>
      <c r="D12" s="221">
        <v>83</v>
      </c>
      <c r="E12" s="221">
        <v>78</v>
      </c>
      <c r="F12" s="221">
        <v>87</v>
      </c>
      <c r="G12" s="221">
        <v>81</v>
      </c>
      <c r="H12" s="213" cm="1">
        <f t="array" ref="H12">AVERAGE(MIN(MAX(D12:G12)+10,105),MIN(D12:G12)+12,SMALL(D12:G12,{2,3}))</f>
        <v>87.75</v>
      </c>
      <c r="I12" s="215" t="str" cm="1">
        <f t="array" ref="I12">_xlfn.IFS(H12&lt;60,"F",H12&lt;70,"D",H12&lt;80,"C",H12&lt;90,"B",H12&gt;=90,"A")</f>
        <v>B</v>
      </c>
    </row>
    <row r="13" spans="1:21" x14ac:dyDescent="0.35">
      <c r="A13" s="219" t="s">
        <v>119</v>
      </c>
      <c r="B13" s="220" t="s">
        <v>1836</v>
      </c>
      <c r="C13" s="213" t="str">
        <f t="shared" si="1"/>
        <v>ATOR</v>
      </c>
      <c r="D13" s="221">
        <v>82</v>
      </c>
      <c r="E13" s="221">
        <v>87</v>
      </c>
      <c r="F13" s="221">
        <v>89</v>
      </c>
      <c r="G13" s="221">
        <v>71</v>
      </c>
      <c r="H13" s="213" cm="1">
        <f t="array" ref="H13">AVERAGE(MIN(MAX(D13:G13)+10,105),MIN(D13:G13)+12,SMALL(D13:G13,{2,3}))</f>
        <v>87.75</v>
      </c>
      <c r="I13" s="215" t="str" cm="1">
        <f t="array" ref="I13">_xlfn.IFS(H13&lt;60,"F",H13&lt;70,"D",H13&lt;80,"C",H13&lt;90,"B",H13&gt;=90,"A")</f>
        <v>B</v>
      </c>
      <c r="L13" s="226"/>
    </row>
    <row r="14" spans="1:21" x14ac:dyDescent="0.35">
      <c r="A14" s="219" t="s">
        <v>28</v>
      </c>
      <c r="B14" s="220" t="s">
        <v>1837</v>
      </c>
      <c r="C14" s="213" t="str">
        <f t="shared" si="1"/>
        <v>LERZ</v>
      </c>
      <c r="D14" s="221">
        <v>91</v>
      </c>
      <c r="E14" s="221">
        <v>93</v>
      </c>
      <c r="F14" s="221">
        <v>54</v>
      </c>
      <c r="G14" s="221">
        <v>94</v>
      </c>
      <c r="H14" s="213" cm="1">
        <f t="array" ref="H14">AVERAGE(MIN(MAX(D14:G14)+10,105),MIN(D14:G14)+12,SMALL(D14:G14,{2,3}))</f>
        <v>88.5</v>
      </c>
      <c r="I14" s="215" t="str" cm="1">
        <f t="array" ref="I14">_xlfn.IFS(H14&lt;60,"F",H14&lt;70,"D",H14&lt;80,"C",H14&lt;90,"B",H14&gt;=90,"A")</f>
        <v>B</v>
      </c>
    </row>
    <row r="15" spans="1:21" x14ac:dyDescent="0.35">
      <c r="A15" s="219" t="s">
        <v>38</v>
      </c>
      <c r="B15" s="220" t="s">
        <v>1838</v>
      </c>
      <c r="C15" s="213" t="str">
        <f t="shared" si="1"/>
        <v>INGH</v>
      </c>
      <c r="D15" s="221">
        <v>80</v>
      </c>
      <c r="E15" s="221">
        <v>90</v>
      </c>
      <c r="F15" s="221">
        <v>65</v>
      </c>
      <c r="G15" s="221">
        <v>91</v>
      </c>
      <c r="H15" s="213" cm="1">
        <f t="array" ref="H15">AVERAGE(MIN(MAX(D15:G15)+10,105),MIN(D15:G15)+12,SMALL(D15:G15,{2,3}))</f>
        <v>87</v>
      </c>
      <c r="I15" s="215" t="str" cm="1">
        <f t="array" ref="I15">_xlfn.IFS(H15&lt;60,"F",H15&lt;70,"D",H15&lt;80,"C",H15&lt;90,"B",H15&gt;=90,"A")</f>
        <v>B</v>
      </c>
      <c r="N15" s="207" t="s">
        <v>1839</v>
      </c>
    </row>
    <row r="16" spans="1:21" x14ac:dyDescent="0.35">
      <c r="A16" s="219" t="s">
        <v>50</v>
      </c>
      <c r="B16" s="220" t="s">
        <v>1840</v>
      </c>
      <c r="C16" s="213" t="str">
        <f t="shared" si="1"/>
        <v>ELRY</v>
      </c>
      <c r="D16" s="221">
        <v>91</v>
      </c>
      <c r="E16" s="221">
        <v>77</v>
      </c>
      <c r="F16" s="221">
        <v>72</v>
      </c>
      <c r="G16" s="221">
        <v>85</v>
      </c>
      <c r="H16" s="213" cm="1">
        <f t="array" ref="H16">AVERAGE(MIN(MAX(D16:G16)+10,105),MIN(D16:G16)+12,SMALL(D16:G16,{2,3}))</f>
        <v>86.75</v>
      </c>
      <c r="I16" s="215" t="str" cm="1">
        <f t="array" ref="I16">_xlfn.IFS(H16&lt;60,"F",H16&lt;70,"D",H16&lt;80,"C",H16&lt;90,"B",H16&gt;=90,"A")</f>
        <v>B</v>
      </c>
    </row>
    <row r="17" spans="1:18" x14ac:dyDescent="0.35">
      <c r="A17" s="219" t="s">
        <v>148</v>
      </c>
      <c r="B17" s="220" t="s">
        <v>1841</v>
      </c>
      <c r="C17" s="213" t="str">
        <f t="shared" si="1"/>
        <v>RAIN</v>
      </c>
      <c r="D17" s="221">
        <v>72</v>
      </c>
      <c r="E17" s="221">
        <v>72</v>
      </c>
      <c r="F17" s="221">
        <v>99</v>
      </c>
      <c r="G17" s="221">
        <v>88</v>
      </c>
      <c r="H17" s="213" cm="1">
        <f t="array" ref="H17">AVERAGE(MIN(MAX(D17:G17)+10,105),MIN(D17:G17)+12,SMALL(D17:G17,{2,3}))</f>
        <v>87.25</v>
      </c>
      <c r="I17" s="215" t="str" cm="1">
        <f t="array" ref="I17">_xlfn.IFS(H17&lt;60,"F",H17&lt;70,"D",H17&lt;80,"C",H17&lt;90,"B",H17&gt;=90,"A")</f>
        <v>B</v>
      </c>
    </row>
    <row r="18" spans="1:18" x14ac:dyDescent="0.35">
      <c r="A18" s="219" t="s">
        <v>34</v>
      </c>
      <c r="B18" s="220" t="s">
        <v>1842</v>
      </c>
      <c r="C18" s="213" t="str">
        <f t="shared" si="1"/>
        <v>ILNG</v>
      </c>
      <c r="D18" s="221">
        <v>92</v>
      </c>
      <c r="E18" s="221">
        <v>90</v>
      </c>
      <c r="F18" s="221">
        <v>74</v>
      </c>
      <c r="G18" s="221">
        <v>68</v>
      </c>
      <c r="H18" s="213" cm="1">
        <f t="array" ref="H18">AVERAGE(MIN(MAX(D18:G18)+10,105),MIN(D18:G18)+12,SMALL(D18:G18,{2,3}))</f>
        <v>86.5</v>
      </c>
      <c r="I18" s="215" t="str" cm="1">
        <f t="array" ref="I18">_xlfn.IFS(H18&lt;60,"F",H18&lt;70,"D",H18&lt;80,"C",H18&lt;90,"B",H18&gt;=90,"A")</f>
        <v>B</v>
      </c>
    </row>
    <row r="19" spans="1:18" ht="16" thickBot="1" x14ac:dyDescent="0.4">
      <c r="A19" s="219" t="s">
        <v>140</v>
      </c>
      <c r="B19" s="220" t="s">
        <v>1843</v>
      </c>
      <c r="C19" s="213" t="str">
        <f t="shared" si="1"/>
        <v>MONE</v>
      </c>
      <c r="D19" s="221">
        <v>76</v>
      </c>
      <c r="E19" s="221">
        <v>70</v>
      </c>
      <c r="F19" s="221">
        <v>88</v>
      </c>
      <c r="G19" s="221">
        <v>88</v>
      </c>
      <c r="H19" s="213" cm="1">
        <f t="array" ref="H19">AVERAGE(MIN(MAX(D19:G19)+10,105),MIN(D19:G19)+12,SMALL(D19:G19,{2,3}))</f>
        <v>86</v>
      </c>
      <c r="I19" s="215" t="str" cm="1">
        <f t="array" ref="I19">_xlfn.IFS(H19&lt;60,"F",H19&lt;70,"D",H19&lt;80,"C",H19&lt;90,"B",H19&gt;=90,"A")</f>
        <v>B</v>
      </c>
    </row>
    <row r="20" spans="1:18" x14ac:dyDescent="0.35">
      <c r="A20" s="219" t="s">
        <v>54</v>
      </c>
      <c r="B20" s="220" t="s">
        <v>1844</v>
      </c>
      <c r="C20" s="213" t="str">
        <f t="shared" si="1"/>
        <v>ALPA</v>
      </c>
      <c r="D20" s="221">
        <v>86</v>
      </c>
      <c r="E20" s="221">
        <v>79</v>
      </c>
      <c r="F20" s="221">
        <v>68</v>
      </c>
      <c r="G20" s="221">
        <v>88</v>
      </c>
      <c r="H20" s="213" cm="1">
        <f t="array" ref="H20">AVERAGE(MIN(MAX(D20:G20)+10,105),MIN(D20:G20)+12,SMALL(D20:G20,{2,3}))</f>
        <v>85.75</v>
      </c>
      <c r="I20" s="215" t="str" cm="1">
        <f t="array" ref="I20">_xlfn.IFS(H20&lt;60,"F",H20&lt;70,"D",H20&lt;80,"C",H20&lt;90,"B",H20&gt;=90,"A")</f>
        <v>B</v>
      </c>
      <c r="N20" s="331" t="s">
        <v>1845</v>
      </c>
      <c r="O20" s="332">
        <f>-PMT(0.065/12,30*12,0,1000000,0)</f>
        <v>904.01356826297024</v>
      </c>
      <c r="P20" s="333"/>
      <c r="Q20" s="333"/>
      <c r="R20" s="334"/>
    </row>
    <row r="21" spans="1:18" x14ac:dyDescent="0.35">
      <c r="A21" s="220" t="s">
        <v>253</v>
      </c>
      <c r="B21" s="220" t="s">
        <v>1846</v>
      </c>
      <c r="C21" s="213" t="str">
        <f t="shared" si="1"/>
        <v>SCET</v>
      </c>
      <c r="D21" s="221">
        <v>76</v>
      </c>
      <c r="E21" s="221">
        <v>81</v>
      </c>
      <c r="F21" s="221">
        <v>90</v>
      </c>
      <c r="G21" s="221">
        <v>73</v>
      </c>
      <c r="H21" s="213" cm="1">
        <f t="array" ref="H21">AVERAGE(MIN(MAX(D21:G21)+10,105),MIN(D21:G21)+12,SMALL(D21:G21,{2,3}))</f>
        <v>85.5</v>
      </c>
      <c r="I21" s="215" t="str" cm="1">
        <f t="array" ref="I21">_xlfn.IFS(H21&lt;60,"F",H21&lt;70,"D",H21&lt;80,"C",H21&lt;90,"B",H21&gt;=90,"A")</f>
        <v>B</v>
      </c>
      <c r="N21" s="335"/>
      <c r="R21" s="336"/>
    </row>
    <row r="22" spans="1:18" x14ac:dyDescent="0.35">
      <c r="A22" s="219" t="s">
        <v>244</v>
      </c>
      <c r="B22" s="220" t="s">
        <v>1847</v>
      </c>
      <c r="C22" s="213" t="str">
        <f t="shared" si="1"/>
        <v>ELEY</v>
      </c>
      <c r="D22" s="221">
        <v>73</v>
      </c>
      <c r="E22" s="221">
        <v>84</v>
      </c>
      <c r="F22" s="221">
        <v>91</v>
      </c>
      <c r="G22" s="221">
        <v>72</v>
      </c>
      <c r="H22" s="213" cm="1">
        <f t="array" ref="H22">AVERAGE(MIN(MAX(D22:G22)+10,105),MIN(D22:G22)+12,SMALL(D22:G22,{2,3}))</f>
        <v>85.5</v>
      </c>
      <c r="I22" s="215" t="str" cm="1">
        <f t="array" ref="I22">_xlfn.IFS(H22&lt;60,"F",H22&lt;70,"D",H22&lt;80,"C",H22&lt;90,"B",H22&gt;=90,"A")</f>
        <v>B</v>
      </c>
      <c r="N22" s="337" t="s">
        <v>1848</v>
      </c>
      <c r="O22" s="207">
        <f>NPER(0.07/12,-500,0,300000,0)</f>
        <v>258.59314912168497</v>
      </c>
      <c r="Q22" s="207">
        <f>NPER(0.0653/12,-800,0,500000,0)</f>
        <v>273.054110567034</v>
      </c>
      <c r="R22" s="336"/>
    </row>
    <row r="23" spans="1:18" x14ac:dyDescent="0.35">
      <c r="A23" s="220" t="s">
        <v>262</v>
      </c>
      <c r="B23" s="220" t="s">
        <v>1849</v>
      </c>
      <c r="C23" s="213" t="str">
        <f t="shared" si="1"/>
        <v>IACE</v>
      </c>
      <c r="D23" s="221">
        <v>81</v>
      </c>
      <c r="E23" s="221">
        <v>78</v>
      </c>
      <c r="F23" s="221">
        <v>83</v>
      </c>
      <c r="G23" s="221">
        <v>77</v>
      </c>
      <c r="H23" s="213" cm="1">
        <f t="array" ref="H23">AVERAGE(MIN(MAX(D23:G23)+10,105),MIN(D23:G23)+12,SMALL(D23:G23,{2,3}))</f>
        <v>85.25</v>
      </c>
      <c r="I23" s="215" t="str" cm="1">
        <f t="array" ref="I23">_xlfn.IFS(H23&lt;60,"F",H23&lt;70,"D",H23&lt;80,"C",H23&lt;90,"B",H23&gt;=90,"A")</f>
        <v>B</v>
      </c>
      <c r="N23" s="335"/>
      <c r="R23" s="336"/>
    </row>
    <row r="24" spans="1:18" x14ac:dyDescent="0.35">
      <c r="A24" s="219" t="s">
        <v>91</v>
      </c>
      <c r="B24" s="220" t="s">
        <v>1850</v>
      </c>
      <c r="C24" s="213" t="str">
        <f t="shared" si="1"/>
        <v>ARAO</v>
      </c>
      <c r="D24" s="221">
        <v>84</v>
      </c>
      <c r="E24" s="221">
        <v>81</v>
      </c>
      <c r="F24" s="221">
        <v>71</v>
      </c>
      <c r="G24" s="221">
        <v>83</v>
      </c>
      <c r="H24" s="213" cm="1">
        <f t="array" ref="H24">AVERAGE(MIN(MAX(D24:G24)+10,105),MIN(D24:G24)+12,SMALL(D24:G24,{2,3}))</f>
        <v>85.25</v>
      </c>
      <c r="I24" s="215" t="str" cm="1">
        <f t="array" ref="I24">_xlfn.IFS(H24&lt;60,"F",H24&lt;70,"D",H24&lt;80,"C",H24&lt;90,"B",H24&gt;=90,"A")</f>
        <v>B</v>
      </c>
      <c r="N24" s="337" t="s">
        <v>1851</v>
      </c>
      <c r="O24" s="338">
        <f>PV(0.0467,1,0,2500,0) + PV(0.0467,3,0,4000,0) + PV(0.0467,4,0,5000,0)</f>
        <v>-10042.228221873544</v>
      </c>
      <c r="R24" s="336"/>
    </row>
    <row r="25" spans="1:18" x14ac:dyDescent="0.35">
      <c r="A25" s="220" t="s">
        <v>95</v>
      </c>
      <c r="B25" s="220" t="s">
        <v>1852</v>
      </c>
      <c r="C25" s="213" t="str">
        <f t="shared" si="1"/>
        <v>YRON</v>
      </c>
      <c r="D25" s="221">
        <v>81</v>
      </c>
      <c r="E25" s="221">
        <v>83</v>
      </c>
      <c r="F25" s="221">
        <v>81</v>
      </c>
      <c r="G25" s="221">
        <v>73</v>
      </c>
      <c r="H25" s="213" cm="1">
        <f t="array" ref="H25">AVERAGE(MIN(MAX(D25:G25)+10,105),MIN(D25:G25)+12,SMALL(D25:G25,{2,3}))</f>
        <v>85</v>
      </c>
      <c r="I25" s="215" t="str" cm="1">
        <f t="array" ref="I25">_xlfn.IFS(H25&lt;60,"F",H25&lt;70,"D",H25&lt;80,"C",H25&lt;90,"B",H25&gt;=90,"A")</f>
        <v>B</v>
      </c>
      <c r="N25" s="335"/>
      <c r="R25" s="336"/>
    </row>
    <row r="26" spans="1:18" x14ac:dyDescent="0.35">
      <c r="A26" s="219" t="s">
        <v>21</v>
      </c>
      <c r="B26" s="220" t="s">
        <v>1853</v>
      </c>
      <c r="C26" s="213" t="str">
        <f t="shared" si="1"/>
        <v>AUEY</v>
      </c>
      <c r="D26" s="221">
        <v>92</v>
      </c>
      <c r="E26" s="221">
        <v>90</v>
      </c>
      <c r="F26" s="221">
        <v>45</v>
      </c>
      <c r="G26" s="221">
        <v>91</v>
      </c>
      <c r="H26" s="213" cm="1">
        <f t="array" ref="H26">AVERAGE(MIN(MAX(D26:G26)+10,105),MIN(D26:G26)+12,SMALL(D26:G26,{2,3}))</f>
        <v>85</v>
      </c>
      <c r="I26" s="215" t="str" cm="1">
        <f t="array" ref="I26">_xlfn.IFS(H26&lt;60,"F",H26&lt;70,"D",H26&lt;80,"C",H26&lt;90,"B",H26&gt;=90,"A")</f>
        <v>B</v>
      </c>
      <c r="N26" s="339" t="s">
        <v>1854</v>
      </c>
      <c r="O26" s="338">
        <f>PV(0.0715/12,10*12,-273,0,0)</f>
        <v>23356.683090672726</v>
      </c>
      <c r="Q26" s="338">
        <f>PV(0.0524/12,10*12,-357,0,0)</f>
        <v>33289.043458779772</v>
      </c>
      <c r="R26" s="336"/>
    </row>
    <row r="27" spans="1:18" x14ac:dyDescent="0.35">
      <c r="A27" s="219" t="s">
        <v>294</v>
      </c>
      <c r="B27" s="220" t="s">
        <v>1855</v>
      </c>
      <c r="C27" s="213" t="str">
        <f t="shared" si="1"/>
        <v>ARSI</v>
      </c>
      <c r="D27" s="221">
        <v>90</v>
      </c>
      <c r="E27" s="221">
        <v>73</v>
      </c>
      <c r="F27" s="221">
        <v>63</v>
      </c>
      <c r="G27" s="221">
        <v>90</v>
      </c>
      <c r="H27" s="213" cm="1">
        <f t="array" ref="H27">AVERAGE(MIN(MAX(D27:G27)+10,105),MIN(D27:G27)+12,SMALL(D27:G27,{2,3}))</f>
        <v>84.5</v>
      </c>
      <c r="I27" s="215" t="str" cm="1">
        <f t="array" ref="I27">_xlfn.IFS(H27&lt;60,"F",H27&lt;70,"D",H27&lt;80,"C",H27&lt;90,"B",H27&gt;=90,"A")</f>
        <v>B</v>
      </c>
      <c r="N27" s="335"/>
      <c r="R27" s="336"/>
    </row>
    <row r="28" spans="1:18" x14ac:dyDescent="0.35">
      <c r="A28" s="219" t="s">
        <v>297</v>
      </c>
      <c r="B28" s="220" t="s">
        <v>1856</v>
      </c>
      <c r="C28" s="213" t="str">
        <f t="shared" si="1"/>
        <v>RIRM</v>
      </c>
      <c r="D28" s="221">
        <v>90</v>
      </c>
      <c r="E28" s="221">
        <v>49</v>
      </c>
      <c r="F28" s="221">
        <v>85</v>
      </c>
      <c r="G28" s="221">
        <v>94</v>
      </c>
      <c r="H28" s="213" cm="1">
        <f t="array" ref="H28">AVERAGE(MIN(MAX(D28:G28)+10,105),MIN(D28:G28)+12,SMALL(D28:G28,{2,3}))</f>
        <v>85</v>
      </c>
      <c r="I28" s="215" t="str" cm="1">
        <f t="array" ref="I28">_xlfn.IFS(H28&lt;60,"F",H28&lt;70,"D",H28&lt;80,"C",H28&lt;90,"B",H28&gt;=90,"A")</f>
        <v>B</v>
      </c>
      <c r="N28" s="339" t="s">
        <v>1857</v>
      </c>
      <c r="O28" s="207">
        <f>LOG(3.5)/LOG(1.0724)</f>
        <v>17.922440743656285</v>
      </c>
      <c r="R28" s="336"/>
    </row>
    <row r="29" spans="1:18" x14ac:dyDescent="0.35">
      <c r="A29" s="219" t="s">
        <v>25</v>
      </c>
      <c r="B29" s="220" t="s">
        <v>1858</v>
      </c>
      <c r="C29" s="213" t="str">
        <f t="shared" si="1"/>
        <v>UNNT</v>
      </c>
      <c r="D29" s="221">
        <v>92</v>
      </c>
      <c r="E29" s="221">
        <v>88</v>
      </c>
      <c r="F29" s="221">
        <v>46</v>
      </c>
      <c r="G29" s="221">
        <v>90</v>
      </c>
      <c r="H29" s="213" cm="1">
        <f t="array" ref="H29">AVERAGE(MIN(MAX(D29:G29)+10,105),MIN(D29:G29)+12,SMALL(D29:G29,{2,3}))</f>
        <v>84.5</v>
      </c>
      <c r="I29" s="215" t="str" cm="1">
        <f t="array" ref="I29">_xlfn.IFS(H29&lt;60,"F",H29&lt;70,"D",H29&lt;80,"C",H29&lt;90,"B",H29&gt;=90,"A")</f>
        <v>B</v>
      </c>
      <c r="N29" s="335"/>
      <c r="R29" s="336"/>
    </row>
    <row r="30" spans="1:18" x14ac:dyDescent="0.35">
      <c r="A30" s="219" t="s">
        <v>227</v>
      </c>
      <c r="B30" s="220" t="s">
        <v>1859</v>
      </c>
      <c r="C30" s="213" t="str">
        <f t="shared" si="1"/>
        <v>TLON</v>
      </c>
      <c r="D30" s="221">
        <v>85</v>
      </c>
      <c r="E30" s="221">
        <v>83</v>
      </c>
      <c r="F30" s="221">
        <v>80</v>
      </c>
      <c r="G30" s="221">
        <v>66</v>
      </c>
      <c r="H30" s="213" cm="1">
        <f t="array" ref="H30">AVERAGE(MIN(MAX(D30:G30)+10,105),MIN(D30:G30)+12,SMALL(D30:G30,{2,3}))</f>
        <v>84</v>
      </c>
      <c r="I30" s="215" t="str" cm="1">
        <f t="array" ref="I30">_xlfn.IFS(H30&lt;60,"F",H30&lt;70,"D",H30&lt;80,"C",H30&lt;90,"B",H30&gt;=90,"A")</f>
        <v>B</v>
      </c>
      <c r="N30" s="339" t="s">
        <v>1860</v>
      </c>
      <c r="O30" s="207">
        <f>LOG(N31)/LOG(1.0566)</f>
        <v>10.676120101549758</v>
      </c>
      <c r="R30" s="336"/>
    </row>
    <row r="31" spans="1:18" x14ac:dyDescent="0.35">
      <c r="A31" s="219" t="s">
        <v>224</v>
      </c>
      <c r="B31" s="220" t="s">
        <v>1861</v>
      </c>
      <c r="C31" s="213" t="str">
        <f t="shared" si="1"/>
        <v>OSLL</v>
      </c>
      <c r="D31" s="221">
        <v>93</v>
      </c>
      <c r="E31" s="221">
        <v>90</v>
      </c>
      <c r="F31" s="221">
        <v>79</v>
      </c>
      <c r="G31" s="221">
        <v>54</v>
      </c>
      <c r="H31" s="213" cm="1">
        <f t="array" ref="H31">AVERAGE(MIN(MAX(D31:G31)+10,105),MIN(D31:G31)+12,SMALL(D31:G31,{2,3}))</f>
        <v>84.5</v>
      </c>
      <c r="I31" s="215" t="str" cm="1">
        <f t="array" ref="I31">_xlfn.IFS(H31&lt;60,"F",H31&lt;70,"D",H31&lt;80,"C",H31&lt;90,"B",H31&gt;=90,"A")</f>
        <v>B</v>
      </c>
      <c r="N31" s="335">
        <f>45000/25000</f>
        <v>1.8</v>
      </c>
      <c r="R31" s="336"/>
    </row>
    <row r="32" spans="1:18" x14ac:dyDescent="0.35">
      <c r="A32" s="219" t="s">
        <v>291</v>
      </c>
      <c r="B32" s="220" t="s">
        <v>1862</v>
      </c>
      <c r="C32" s="213" t="str">
        <f t="shared" si="1"/>
        <v>ERES</v>
      </c>
      <c r="D32" s="221">
        <v>89</v>
      </c>
      <c r="E32" s="221">
        <v>60</v>
      </c>
      <c r="F32" s="221">
        <v>73</v>
      </c>
      <c r="G32" s="221">
        <v>90</v>
      </c>
      <c r="H32" s="213" cm="1">
        <f t="array" ref="H32">AVERAGE(MIN(MAX(D32:G32)+10,105),MIN(D32:G32)+12,SMALL(D32:G32,{2,3}))</f>
        <v>83.5</v>
      </c>
      <c r="I32" s="215" t="str" cm="1">
        <f t="array" ref="I32">_xlfn.IFS(H32&lt;60,"F",H32&lt;70,"D",H32&lt;80,"C",H32&lt;90,"B",H32&gt;=90,"A")</f>
        <v>B</v>
      </c>
      <c r="K32" s="227"/>
      <c r="N32" s="335"/>
      <c r="R32" s="336"/>
    </row>
    <row r="33" spans="1:23" x14ac:dyDescent="0.35">
      <c r="A33" s="219" t="s">
        <v>98</v>
      </c>
      <c r="B33" s="220" t="s">
        <v>1841</v>
      </c>
      <c r="C33" s="213" t="str">
        <f t="shared" si="1"/>
        <v>RAIS</v>
      </c>
      <c r="D33" s="221">
        <v>86</v>
      </c>
      <c r="E33" s="221">
        <v>84</v>
      </c>
      <c r="F33" s="221">
        <v>72</v>
      </c>
      <c r="G33" s="221">
        <v>69</v>
      </c>
      <c r="H33" s="213" cm="1">
        <f t="array" ref="H33">AVERAGE(MIN(MAX(D33:G33)+10,105),MIN(D33:G33)+12,SMALL(D33:G33,{2,3}))</f>
        <v>83.25</v>
      </c>
      <c r="I33" s="215" t="str" cm="1">
        <f t="array" ref="I33">_xlfn.IFS(H33&lt;60,"F",H33&lt;70,"D",H33&lt;80,"C",H33&lt;90,"B",H33&gt;=90,"A")</f>
        <v>B</v>
      </c>
      <c r="N33" s="335"/>
      <c r="R33" s="336"/>
    </row>
    <row r="34" spans="1:23" x14ac:dyDescent="0.35">
      <c r="A34" s="219" t="s">
        <v>69</v>
      </c>
      <c r="B34" s="220" t="s">
        <v>1863</v>
      </c>
      <c r="C34" s="213" t="str">
        <f t="shared" si="1"/>
        <v>ELER</v>
      </c>
      <c r="D34" s="221">
        <v>89</v>
      </c>
      <c r="E34" s="221">
        <v>78</v>
      </c>
      <c r="F34" s="221">
        <v>72</v>
      </c>
      <c r="G34" s="221">
        <v>71</v>
      </c>
      <c r="H34" s="213" cm="1">
        <f t="array" ref="H34">AVERAGE(MIN(MAX(D34:G34)+10,105),MIN(D34:G34)+12,SMALL(D34:G34,{2,3}))</f>
        <v>83</v>
      </c>
      <c r="I34" s="215" t="str" cm="1">
        <f t="array" ref="I34">_xlfn.IFS(H34&lt;60,"F",H34&lt;70,"D",H34&lt;80,"C",H34&lt;90,"B",H34&gt;=90,"A")</f>
        <v>B</v>
      </c>
      <c r="N34" s="335"/>
      <c r="R34" s="336"/>
    </row>
    <row r="35" spans="1:23" x14ac:dyDescent="0.35">
      <c r="A35" s="219" t="s">
        <v>78</v>
      </c>
      <c r="B35" s="220" t="s">
        <v>1864</v>
      </c>
      <c r="C35" s="213" t="str">
        <f t="shared" si="1"/>
        <v>INEW</v>
      </c>
      <c r="D35" s="221">
        <v>89</v>
      </c>
      <c r="E35" s="221">
        <v>79</v>
      </c>
      <c r="F35" s="221">
        <v>58</v>
      </c>
      <c r="G35" s="221">
        <v>83</v>
      </c>
      <c r="H35" s="213" cm="1">
        <f t="array" ref="H35">AVERAGE(MIN(MAX(D35:G35)+10,105),MIN(D35:G35)+12,SMALL(D35:G35,{2,3}))</f>
        <v>82.75</v>
      </c>
      <c r="I35" s="215" t="str" cm="1">
        <f t="array" ref="I35">_xlfn.IFS(H35&lt;60,"F",H35&lt;70,"D",H35&lt;80,"C",H35&lt;90,"B",H35&gt;=90,"A")</f>
        <v>B</v>
      </c>
      <c r="N35" s="335"/>
      <c r="R35" s="336"/>
    </row>
    <row r="36" spans="1:23" x14ac:dyDescent="0.35">
      <c r="A36" s="220" t="s">
        <v>85</v>
      </c>
      <c r="B36" s="220" t="s">
        <v>1865</v>
      </c>
      <c r="C36" s="213" t="str">
        <f t="shared" si="1"/>
        <v>EIRD</v>
      </c>
      <c r="D36" s="221">
        <v>88</v>
      </c>
      <c r="E36" s="221">
        <v>80</v>
      </c>
      <c r="F36" s="221">
        <v>53</v>
      </c>
      <c r="G36" s="221">
        <v>85</v>
      </c>
      <c r="H36" s="213" cm="1">
        <f t="array" ref="H36">AVERAGE(MIN(MAX(D36:G36)+10,105),MIN(D36:G36)+12,SMALL(D36:G36,{2,3}))</f>
        <v>82</v>
      </c>
      <c r="I36" s="215" t="str" cm="1">
        <f t="array" ref="I36">_xlfn.IFS(H36&lt;60,"F",H36&lt;70,"D",H36&lt;80,"C",H36&lt;90,"B",H36&gt;=90,"A")</f>
        <v>B</v>
      </c>
      <c r="N36" s="335" t="s">
        <v>45</v>
      </c>
      <c r="O36" s="207">
        <v>13000</v>
      </c>
      <c r="Q36" s="207" t="s">
        <v>45</v>
      </c>
      <c r="R36" s="336">
        <v>12000</v>
      </c>
    </row>
    <row r="37" spans="1:23" x14ac:dyDescent="0.35">
      <c r="A37" s="219" t="s">
        <v>221</v>
      </c>
      <c r="B37" s="220" t="s">
        <v>1866</v>
      </c>
      <c r="C37" s="213" t="str">
        <f t="shared" si="1"/>
        <v>ZRER</v>
      </c>
      <c r="D37" s="221">
        <v>93</v>
      </c>
      <c r="E37" s="221">
        <v>93</v>
      </c>
      <c r="F37" s="221">
        <v>74</v>
      </c>
      <c r="G37" s="221">
        <v>47</v>
      </c>
      <c r="H37" s="213" cm="1">
        <f t="array" ref="H37">AVERAGE(MIN(MAX(D37:G37)+10,105),MIN(D37:G37)+12,SMALL(D37:G37,{2,3}))</f>
        <v>82.25</v>
      </c>
      <c r="I37" s="215" t="str" cm="1">
        <f t="array" ref="I37">_xlfn.IFS(H37&lt;60,"F",H37&lt;70,"D",H37&lt;80,"C",H37&lt;90,"B",H37&gt;=90,"A")</f>
        <v>B</v>
      </c>
      <c r="N37" s="335" t="s">
        <v>1867</v>
      </c>
      <c r="O37" s="207">
        <v>6</v>
      </c>
      <c r="Q37" s="207" t="s">
        <v>1867</v>
      </c>
      <c r="R37" s="336">
        <v>7.6800069688437214</v>
      </c>
    </row>
    <row r="38" spans="1:23" x14ac:dyDescent="0.35">
      <c r="A38" s="219" t="s">
        <v>142</v>
      </c>
      <c r="B38" s="220" t="s">
        <v>1868</v>
      </c>
      <c r="C38" s="213" t="str">
        <f t="shared" si="1"/>
        <v>YLEZ</v>
      </c>
      <c r="D38" s="221">
        <v>71</v>
      </c>
      <c r="E38" s="221">
        <v>75</v>
      </c>
      <c r="F38" s="221">
        <v>84</v>
      </c>
      <c r="G38" s="221">
        <v>73</v>
      </c>
      <c r="H38" s="213" cm="1">
        <f t="array" ref="H38">AVERAGE(MIN(MAX(D38:G38)+10,105),MIN(D38:G38)+12,SMALL(D38:G38,{2,3}))</f>
        <v>81.25</v>
      </c>
      <c r="I38" s="215" t="str" cm="1">
        <f t="array" ref="I38">_xlfn.IFS(H38&lt;60,"F",H38&lt;70,"D",H38&lt;80,"C",H38&lt;90,"B",H38&gt;=90,"A")</f>
        <v>B</v>
      </c>
      <c r="N38" s="335" t="s">
        <v>1869</v>
      </c>
      <c r="O38" s="207">
        <v>452.30769091774528</v>
      </c>
      <c r="Q38" s="207" t="s">
        <v>1869</v>
      </c>
      <c r="R38" s="336">
        <v>500</v>
      </c>
    </row>
    <row r="39" spans="1:23" x14ac:dyDescent="0.35">
      <c r="A39" s="220" t="s">
        <v>256</v>
      </c>
      <c r="B39" s="220" t="s">
        <v>324</v>
      </c>
      <c r="C39" s="213" t="str">
        <f t="shared" si="1"/>
        <v>OHIZ</v>
      </c>
      <c r="D39" s="221">
        <v>78</v>
      </c>
      <c r="E39" s="221">
        <v>64</v>
      </c>
      <c r="F39" s="221">
        <v>86</v>
      </c>
      <c r="G39" s="221">
        <v>74</v>
      </c>
      <c r="H39" s="213" cm="1">
        <f t="array" ref="H39">AVERAGE(MIN(MAX(D39:G39)+10,105),MIN(D39:G39)+12,SMALL(D39:G39,{2,3}))</f>
        <v>81</v>
      </c>
      <c r="I39" s="215" t="str" cm="1">
        <f t="array" ref="I39">_xlfn.IFS(H39&lt;60,"F",H39&lt;70,"D",H39&lt;80,"C",H39&lt;90,"B",H39&gt;=90,"A")</f>
        <v>B</v>
      </c>
      <c r="N39" s="335" t="s">
        <v>1870</v>
      </c>
      <c r="O39" s="207">
        <f>SQRT((2*O36*O38)/O37)</f>
        <v>1399.9999978488916</v>
      </c>
      <c r="Q39" s="207" t="s">
        <v>1870</v>
      </c>
      <c r="R39" s="336">
        <f>SQRT((2*R36*R38)/R37)</f>
        <v>1249.9994328744322</v>
      </c>
    </row>
    <row r="40" spans="1:23" x14ac:dyDescent="0.35">
      <c r="A40" s="220" t="s">
        <v>250</v>
      </c>
      <c r="B40" s="220" t="s">
        <v>1871</v>
      </c>
      <c r="C40" s="213" t="str">
        <f t="shared" si="1"/>
        <v>YLER</v>
      </c>
      <c r="D40" s="221">
        <v>75</v>
      </c>
      <c r="E40" s="221">
        <v>81</v>
      </c>
      <c r="F40" s="221">
        <v>72</v>
      </c>
      <c r="G40" s="221">
        <v>73</v>
      </c>
      <c r="H40" s="213" cm="1">
        <f t="array" ref="H40">AVERAGE(MIN(MAX(D40:G40)+10,105),MIN(D40:G40)+12,SMALL(D40:G40,{2,3}))</f>
        <v>80.75</v>
      </c>
      <c r="I40" s="215" t="str" cm="1">
        <f t="array" ref="I40">_xlfn.IFS(H40&lt;60,"F",H40&lt;70,"D",H40&lt;80,"C",H40&lt;90,"B",H40&gt;=90,"A")</f>
        <v>B</v>
      </c>
      <c r="N40" s="335"/>
      <c r="R40" s="336"/>
    </row>
    <row r="41" spans="1:23" x14ac:dyDescent="0.35">
      <c r="A41" s="219" t="s">
        <v>300</v>
      </c>
      <c r="B41" s="220" t="s">
        <v>1872</v>
      </c>
      <c r="C41" s="213" t="str">
        <f t="shared" si="1"/>
        <v>DISA</v>
      </c>
      <c r="D41" s="221">
        <v>90</v>
      </c>
      <c r="E41" s="221">
        <v>23</v>
      </c>
      <c r="F41" s="221">
        <v>99</v>
      </c>
      <c r="G41" s="221">
        <v>98</v>
      </c>
      <c r="H41" s="213" cm="1">
        <f t="array" ref="H41">AVERAGE(MIN(MAX(D41:G41)+10,105),MIN(D41:G41)+12,SMALL(D41:G41,{2,3}))</f>
        <v>82</v>
      </c>
      <c r="I41" s="215" t="str" cm="1">
        <f t="array" ref="I41">_xlfn.IFS(H41&lt;60,"F",H41&lt;70,"D",H41&lt;80,"C",H41&lt;90,"B",H41&gt;=90,"A")</f>
        <v>B</v>
      </c>
      <c r="N41" s="335"/>
      <c r="R41" s="336"/>
    </row>
    <row r="42" spans="1:23" x14ac:dyDescent="0.35">
      <c r="A42" s="219" t="s">
        <v>268</v>
      </c>
      <c r="B42" s="220" t="s">
        <v>1873</v>
      </c>
      <c r="C42" s="213" t="str">
        <f t="shared" si="1"/>
        <v>AYAH</v>
      </c>
      <c r="D42" s="221">
        <v>83</v>
      </c>
      <c r="E42" s="221">
        <v>60</v>
      </c>
      <c r="F42" s="221">
        <v>78</v>
      </c>
      <c r="G42" s="221">
        <v>78</v>
      </c>
      <c r="H42" s="213" cm="1">
        <f t="array" ref="H42">AVERAGE(MIN(MAX(D42:G42)+10,105),MIN(D42:G42)+12,SMALL(D42:G42,{2,3}))</f>
        <v>80.25</v>
      </c>
      <c r="I42" s="215" t="str" cm="1">
        <f t="array" ref="I42">_xlfn.IFS(H42&lt;60,"F",H42&lt;70,"D",H42&lt;80,"C",H42&lt;90,"B",H42&gt;=90,"A")</f>
        <v>B</v>
      </c>
      <c r="N42" s="335" t="s">
        <v>1874</v>
      </c>
      <c r="O42" s="207">
        <f>VLOOKUP(N42,C2:I96,6,FALSE)</f>
        <v>87</v>
      </c>
      <c r="R42" s="336"/>
    </row>
    <row r="43" spans="1:23" x14ac:dyDescent="0.35">
      <c r="A43" s="219" t="s">
        <v>218</v>
      </c>
      <c r="B43" s="220" t="s">
        <v>1875</v>
      </c>
      <c r="C43" s="213" t="str">
        <f t="shared" si="1"/>
        <v>AKNG</v>
      </c>
      <c r="D43" s="221">
        <v>87</v>
      </c>
      <c r="E43" s="221">
        <v>82</v>
      </c>
      <c r="F43" s="221">
        <v>84</v>
      </c>
      <c r="G43" s="221">
        <v>46</v>
      </c>
      <c r="H43" s="213" cm="1">
        <f t="array" ref="H43">AVERAGE(MIN(MAX(D43:G43)+10,105),MIN(D43:G43)+12,SMALL(D43:G43,{2,3}))</f>
        <v>80.25</v>
      </c>
      <c r="I43" s="215" t="str" cm="1">
        <f t="array" ref="I43">_xlfn.IFS(H43&lt;60,"F",H43&lt;70,"D",H43&lt;80,"C",H43&lt;90,"B",H43&gt;=90,"A")</f>
        <v>B</v>
      </c>
      <c r="N43" s="335"/>
      <c r="R43" s="336">
        <v>79</v>
      </c>
      <c r="S43" s="207">
        <v>88</v>
      </c>
      <c r="T43" s="207">
        <v>86</v>
      </c>
      <c r="U43" s="207">
        <v>82</v>
      </c>
      <c r="V43" s="207">
        <v>92.499999999999957</v>
      </c>
      <c r="W43" s="207">
        <f>AVERAGE(R43:V43)</f>
        <v>85.499999999999986</v>
      </c>
    </row>
    <row r="44" spans="1:23" x14ac:dyDescent="0.35">
      <c r="A44" s="219" t="s">
        <v>259</v>
      </c>
      <c r="B44" s="220" t="s">
        <v>1876</v>
      </c>
      <c r="C44" s="213" t="str">
        <f t="shared" si="1"/>
        <v>ELER</v>
      </c>
      <c r="D44" s="221">
        <v>79</v>
      </c>
      <c r="E44" s="221">
        <v>68</v>
      </c>
      <c r="F44" s="221">
        <v>75</v>
      </c>
      <c r="G44" s="221">
        <v>76</v>
      </c>
      <c r="H44" s="213" cm="1">
        <f t="array" ref="H44">AVERAGE(MIN(MAX(D44:G44)+10,105),MIN(D44:G44)+12,SMALL(D44:G44,{2,3}))</f>
        <v>80</v>
      </c>
      <c r="I44" s="215" t="str" cm="1">
        <f t="array" ref="I44">_xlfn.IFS(H44&lt;60,"F",H44&lt;70,"D",H44&lt;80,"C",H44&lt;90,"B",H44&gt;=90,"A")</f>
        <v>B</v>
      </c>
      <c r="N44" s="335" t="s">
        <v>1877</v>
      </c>
      <c r="O44" s="207">
        <f>AVERAGEIF(C2:C96,"&lt;&gt;L*",H2:H96)</f>
        <v>77.486263736263737</v>
      </c>
      <c r="R44" s="336"/>
    </row>
    <row r="45" spans="1:23" x14ac:dyDescent="0.35">
      <c r="A45" s="220" t="s">
        <v>277</v>
      </c>
      <c r="B45" s="220" t="s">
        <v>1878</v>
      </c>
      <c r="C45" s="213" t="str">
        <f t="shared" si="1"/>
        <v>ENIK</v>
      </c>
      <c r="D45" s="221">
        <v>84</v>
      </c>
      <c r="E45" s="221">
        <v>82</v>
      </c>
      <c r="F45" s="221">
        <v>50</v>
      </c>
      <c r="G45" s="221">
        <v>82</v>
      </c>
      <c r="H45" s="213" cm="1">
        <f t="array" ref="H45">AVERAGE(MIN(MAX(D45:G45)+10,105),MIN(D45:G45)+12,SMALL(D45:G45,{2,3}))</f>
        <v>80</v>
      </c>
      <c r="I45" s="215" t="str" cm="1">
        <f t="array" ref="I45">_xlfn.IFS(H45&lt;60,"F",H45&lt;70,"D",H45&lt;80,"C",H45&lt;90,"B",H45&gt;=90,"A")</f>
        <v>B</v>
      </c>
      <c r="N45" s="335"/>
      <c r="R45" s="336"/>
    </row>
    <row r="46" spans="1:23" ht="16" thickBot="1" x14ac:dyDescent="0.4">
      <c r="A46" s="219" t="s">
        <v>148</v>
      </c>
      <c r="B46" s="220" t="s">
        <v>1879</v>
      </c>
      <c r="C46" s="213" t="str">
        <f t="shared" si="1"/>
        <v>AMIN</v>
      </c>
      <c r="D46" s="221">
        <v>89</v>
      </c>
      <c r="E46" s="221">
        <v>73</v>
      </c>
      <c r="F46" s="221">
        <v>48</v>
      </c>
      <c r="G46" s="221">
        <v>86</v>
      </c>
      <c r="H46" s="213" cm="1">
        <f t="array" ref="H46">AVERAGE(MIN(MAX(D46:G46)+10,105),MIN(D46:G46)+12,SMALL(D46:G46,{2,3}))</f>
        <v>79.5</v>
      </c>
      <c r="I46" s="215" t="str" cm="1">
        <f t="array" ref="I46">_xlfn.IFS(H46&lt;60,"F",H46&lt;70,"D",H46&lt;80,"C",H46&lt;90,"B",H46&gt;=90,"A")</f>
        <v>C</v>
      </c>
      <c r="N46" s="340" t="s">
        <v>1880</v>
      </c>
      <c r="O46" s="341">
        <f>AVERAGEIF(C2:C96,"?B??",H2:H96)</f>
        <v>65.75</v>
      </c>
      <c r="P46" s="341"/>
      <c r="Q46" s="341"/>
      <c r="R46" s="342"/>
    </row>
    <row r="47" spans="1:23" x14ac:dyDescent="0.35">
      <c r="A47" s="220" t="s">
        <v>31</v>
      </c>
      <c r="B47" s="220" t="s">
        <v>477</v>
      </c>
      <c r="C47" s="213" t="str">
        <f t="shared" si="1"/>
        <v>ALWE</v>
      </c>
      <c r="D47" s="221">
        <v>94</v>
      </c>
      <c r="E47" s="221">
        <v>89</v>
      </c>
      <c r="F47" s="221">
        <v>44</v>
      </c>
      <c r="G47" s="221">
        <v>72</v>
      </c>
      <c r="H47" s="213" cm="1">
        <f t="array" ref="H47">AVERAGE(MIN(MAX(D47:G47)+10,105),MIN(D47:G47)+12,SMALL(D47:G47,{2,3}))</f>
        <v>80.25</v>
      </c>
      <c r="I47" s="215" t="str" cm="1">
        <f t="array" ref="I47">_xlfn.IFS(H47&lt;60,"F",H47&lt;70,"D",H47&lt;80,"C",H47&lt;90,"B",H47&gt;=90,"A")</f>
        <v>B</v>
      </c>
    </row>
    <row r="48" spans="1:23" x14ac:dyDescent="0.35">
      <c r="A48" s="219" t="s">
        <v>134</v>
      </c>
      <c r="B48" s="220" t="s">
        <v>1881</v>
      </c>
      <c r="C48" s="213" t="str">
        <f t="shared" si="1"/>
        <v>NGIN</v>
      </c>
      <c r="D48" s="221">
        <v>60</v>
      </c>
      <c r="E48" s="221">
        <v>80</v>
      </c>
      <c r="F48" s="221">
        <v>89</v>
      </c>
      <c r="G48" s="221">
        <v>66</v>
      </c>
      <c r="H48" s="213" cm="1">
        <f t="array" ref="H48">AVERAGE(MIN(MAX(D48:G48)+10,105),MIN(D48:G48)+12,SMALL(D48:G48,{2,3}))</f>
        <v>79.25</v>
      </c>
      <c r="I48" s="215" t="str" cm="1">
        <f t="array" ref="I48">_xlfn.IFS(H48&lt;60,"F",H48&lt;70,"D",H48&lt;80,"C",H48&lt;90,"B",H48&gt;=90,"A")</f>
        <v>C</v>
      </c>
    </row>
    <row r="49" spans="1:9" x14ac:dyDescent="0.35">
      <c r="A49" s="219" t="s">
        <v>122</v>
      </c>
      <c r="B49" s="220" t="s">
        <v>1882</v>
      </c>
      <c r="C49" s="213" t="str">
        <f t="shared" si="1"/>
        <v>DDIA</v>
      </c>
      <c r="D49" s="221">
        <v>81</v>
      </c>
      <c r="E49" s="221">
        <v>87</v>
      </c>
      <c r="F49" s="221">
        <v>64</v>
      </c>
      <c r="G49" s="221">
        <v>63</v>
      </c>
      <c r="H49" s="213" cm="1">
        <f t="array" ref="H49">AVERAGE(MIN(MAX(D49:G49)+10,105),MIN(D49:G49)+12,SMALL(D49:G49,{2,3}))</f>
        <v>79.25</v>
      </c>
      <c r="I49" s="215" t="str" cm="1">
        <f t="array" ref="I49">_xlfn.IFS(H49&lt;60,"F",H49&lt;70,"D",H49&lt;80,"C",H49&lt;90,"B",H49&gt;=90,"A")</f>
        <v>C</v>
      </c>
    </row>
    <row r="50" spans="1:9" x14ac:dyDescent="0.35">
      <c r="A50" s="219" t="s">
        <v>75</v>
      </c>
      <c r="B50" s="220" t="s">
        <v>1843</v>
      </c>
      <c r="C50" s="213" t="str">
        <f t="shared" si="1"/>
        <v>MOGH</v>
      </c>
      <c r="D50" s="221">
        <v>87</v>
      </c>
      <c r="E50" s="221">
        <v>79</v>
      </c>
      <c r="F50" s="221">
        <v>56</v>
      </c>
      <c r="G50" s="221">
        <v>73</v>
      </c>
      <c r="H50" s="213" cm="1">
        <f t="array" ref="H50">AVERAGE(MIN(MAX(D50:G50)+10,105),MIN(D50:G50)+12,SMALL(D50:G50,{2,3}))</f>
        <v>79.25</v>
      </c>
      <c r="I50" s="215" t="str" cm="1">
        <f t="array" ref="I50">_xlfn.IFS(H50&lt;60,"F",H50&lt;70,"D",H50&lt;80,"C",H50&lt;90,"B",H50&gt;=90,"A")</f>
        <v>C</v>
      </c>
    </row>
    <row r="51" spans="1:9" x14ac:dyDescent="0.35">
      <c r="A51" s="219" t="s">
        <v>265</v>
      </c>
      <c r="B51" s="220" t="s">
        <v>266</v>
      </c>
      <c r="C51" s="213" t="str">
        <f t="shared" si="1"/>
        <v>ILAI</v>
      </c>
      <c r="D51" s="221">
        <v>83</v>
      </c>
      <c r="E51" s="221">
        <v>70</v>
      </c>
      <c r="F51" s="221">
        <v>64</v>
      </c>
      <c r="G51" s="221">
        <v>77</v>
      </c>
      <c r="H51" s="213" cm="1">
        <f t="array" ref="H51">AVERAGE(MIN(MAX(D51:G51)+10,105),MIN(D51:G51)+12,SMALL(D51:G51,{2,3}))</f>
        <v>79</v>
      </c>
      <c r="I51" s="215" t="str" cm="1">
        <f t="array" ref="I51">_xlfn.IFS(H51&lt;60,"F",H51&lt;70,"D",H51&lt;80,"C",H51&lt;90,"B",H51&gt;=90,"A")</f>
        <v>C</v>
      </c>
    </row>
    <row r="52" spans="1:9" x14ac:dyDescent="0.35">
      <c r="A52" s="220" t="s">
        <v>283</v>
      </c>
      <c r="B52" s="220" t="s">
        <v>1883</v>
      </c>
      <c r="C52" s="213" t="str">
        <f t="shared" si="1"/>
        <v>AKSM</v>
      </c>
      <c r="D52" s="221">
        <v>85</v>
      </c>
      <c r="E52" s="221">
        <v>69</v>
      </c>
      <c r="F52" s="221">
        <v>56</v>
      </c>
      <c r="G52" s="221">
        <v>83</v>
      </c>
      <c r="H52" s="213" cm="1">
        <f t="array" ref="H52">AVERAGE(MIN(MAX(D52:G52)+10,105),MIN(D52:G52)+12,SMALL(D52:G52,{2,3}))</f>
        <v>78.75</v>
      </c>
      <c r="I52" s="215" t="str" cm="1">
        <f t="array" ref="I52">_xlfn.IFS(H52&lt;60,"F",H52&lt;70,"D",H52&lt;80,"C",H52&lt;90,"B",H52&gt;=90,"A")</f>
        <v>C</v>
      </c>
    </row>
    <row r="53" spans="1:9" x14ac:dyDescent="0.35">
      <c r="A53" s="219" t="s">
        <v>153</v>
      </c>
      <c r="B53" s="220" t="s">
        <v>1884</v>
      </c>
      <c r="C53" s="213" t="str">
        <f t="shared" si="1"/>
        <v>REEY</v>
      </c>
      <c r="D53" s="221">
        <v>70</v>
      </c>
      <c r="E53" s="221">
        <v>63</v>
      </c>
      <c r="F53" s="221">
        <v>96</v>
      </c>
      <c r="G53" s="221">
        <v>68</v>
      </c>
      <c r="H53" s="213" cm="1">
        <f t="array" ref="H53">AVERAGE(MIN(MAX(D53:G53)+10,105),MIN(D53:G53)+12,SMALL(D53:G53,{2,3}))</f>
        <v>79.5</v>
      </c>
      <c r="I53" s="215" t="str" cm="1">
        <f t="array" ref="I53">_xlfn.IFS(H53&lt;60,"F",H53&lt;70,"D",H53&lt;80,"C",H53&lt;90,"B",H53&gt;=90,"A")</f>
        <v>C</v>
      </c>
    </row>
    <row r="54" spans="1:9" x14ac:dyDescent="0.35">
      <c r="A54" s="220" t="s">
        <v>286</v>
      </c>
      <c r="B54" s="220" t="s">
        <v>1885</v>
      </c>
      <c r="C54" s="213" t="str">
        <f t="shared" si="1"/>
        <v>USEK</v>
      </c>
      <c r="D54" s="221">
        <v>88</v>
      </c>
      <c r="E54" s="221">
        <v>74</v>
      </c>
      <c r="F54" s="221">
        <v>45</v>
      </c>
      <c r="G54" s="221">
        <v>86</v>
      </c>
      <c r="H54" s="213" cm="1">
        <f t="array" ref="H54">AVERAGE(MIN(MAX(D54:G54)+10,105),MIN(D54:G54)+12,SMALL(D54:G54,{2,3}))</f>
        <v>78.75</v>
      </c>
      <c r="I54" s="215" t="str" cm="1">
        <f t="array" ref="I54">_xlfn.IFS(H54&lt;60,"F",H54&lt;70,"D",H54&lt;80,"C",H54&lt;90,"B",H54&gt;=90,"A")</f>
        <v>C</v>
      </c>
    </row>
    <row r="55" spans="1:9" x14ac:dyDescent="0.35">
      <c r="A55" s="219" t="s">
        <v>247</v>
      </c>
      <c r="B55" s="220" t="s">
        <v>1886</v>
      </c>
      <c r="C55" s="213" t="str">
        <f t="shared" si="1"/>
        <v>ADRA</v>
      </c>
      <c r="D55" s="221">
        <v>74</v>
      </c>
      <c r="E55" s="221">
        <v>74</v>
      </c>
      <c r="F55" s="221">
        <v>71</v>
      </c>
      <c r="G55" s="221">
        <v>73</v>
      </c>
      <c r="H55" s="213" cm="1">
        <f t="array" ref="H55">AVERAGE(MIN(MAX(D55:G55)+10,105),MIN(D55:G55)+12,SMALL(D55:G55,{2,3}))</f>
        <v>78.5</v>
      </c>
      <c r="I55" s="215" t="str" cm="1">
        <f t="array" ref="I55">_xlfn.IFS(H55&lt;60,"F",H55&lt;70,"D",H55&lt;80,"C",H55&lt;90,"B",H55&gt;=90,"A")</f>
        <v>C</v>
      </c>
    </row>
    <row r="56" spans="1:9" x14ac:dyDescent="0.35">
      <c r="A56" s="219" t="s">
        <v>42</v>
      </c>
      <c r="B56" s="220" t="s">
        <v>1887</v>
      </c>
      <c r="C56" s="213" t="str">
        <f t="shared" si="1"/>
        <v>HAAN</v>
      </c>
      <c r="D56" s="221">
        <v>96</v>
      </c>
      <c r="E56" s="221">
        <v>82</v>
      </c>
      <c r="F56" s="221">
        <v>40</v>
      </c>
      <c r="G56" s="221">
        <v>78</v>
      </c>
      <c r="H56" s="213" cm="1">
        <f t="array" ref="H56">AVERAGE(MIN(MAX(D56:G56)+10,105),MIN(D56:G56)+12,SMALL(D56:G56,{2,3}))</f>
        <v>79.25</v>
      </c>
      <c r="I56" s="215" t="str" cm="1">
        <f t="array" ref="I56">_xlfn.IFS(H56&lt;60,"F",H56&lt;70,"D",H56&lt;80,"C",H56&lt;90,"B",H56&gt;=90,"A")</f>
        <v>C</v>
      </c>
    </row>
    <row r="57" spans="1:9" x14ac:dyDescent="0.35">
      <c r="A57" s="220" t="s">
        <v>274</v>
      </c>
      <c r="B57" s="220" t="s">
        <v>1888</v>
      </c>
      <c r="C57" s="213" t="str">
        <f t="shared" si="1"/>
        <v>ANSE</v>
      </c>
      <c r="D57" s="221">
        <v>84</v>
      </c>
      <c r="E57" s="221">
        <v>81</v>
      </c>
      <c r="F57" s="221">
        <v>45</v>
      </c>
      <c r="G57" s="221">
        <v>81</v>
      </c>
      <c r="H57" s="213" cm="1">
        <f t="array" ref="H57">AVERAGE(MIN(MAX(D57:G57)+10,105),MIN(D57:G57)+12,SMALL(D57:G57,{2,3}))</f>
        <v>78.25</v>
      </c>
      <c r="I57" s="215" t="str" cm="1">
        <f t="array" ref="I57">_xlfn.IFS(H57&lt;60,"F",H57&lt;70,"D",H57&lt;80,"C",H57&lt;90,"B",H57&gt;=90,"A")</f>
        <v>C</v>
      </c>
    </row>
    <row r="58" spans="1:9" x14ac:dyDescent="0.35">
      <c r="A58" s="220" t="s">
        <v>61</v>
      </c>
      <c r="B58" s="220" t="s">
        <v>62</v>
      </c>
      <c r="C58" s="213" t="str">
        <f t="shared" si="1"/>
        <v>DIAN</v>
      </c>
      <c r="D58" s="221">
        <v>89</v>
      </c>
      <c r="E58" s="221">
        <v>68</v>
      </c>
      <c r="F58" s="221">
        <v>45</v>
      </c>
      <c r="G58" s="221">
        <v>88</v>
      </c>
      <c r="H58" s="213" cm="1">
        <f t="array" ref="H58">AVERAGE(MIN(MAX(D58:G58)+10,105),MIN(D58:G58)+12,SMALL(D58:G58,{2,3}))</f>
        <v>78</v>
      </c>
      <c r="I58" s="215" t="str" cm="1">
        <f t="array" ref="I58">_xlfn.IFS(H58&lt;60,"F",H58&lt;70,"D",H58&lt;80,"C",H58&lt;90,"B",H58&gt;=90,"A")</f>
        <v>C</v>
      </c>
    </row>
    <row r="59" spans="1:9" x14ac:dyDescent="0.35">
      <c r="A59" s="220" t="s">
        <v>101</v>
      </c>
      <c r="B59" s="220" t="s">
        <v>1889</v>
      </c>
      <c r="C59" s="213" t="str">
        <f t="shared" si="1"/>
        <v>STHU</v>
      </c>
      <c r="D59" s="221">
        <v>87</v>
      </c>
      <c r="E59" s="221">
        <v>85</v>
      </c>
      <c r="F59" s="221">
        <v>45</v>
      </c>
      <c r="G59" s="221">
        <v>72</v>
      </c>
      <c r="H59" s="213" cm="1">
        <f t="array" ref="H59">AVERAGE(MIN(MAX(D59:G59)+10,105),MIN(D59:G59)+12,SMALL(D59:G59,{2,3}))</f>
        <v>77.75</v>
      </c>
      <c r="I59" s="215" t="str" cm="1">
        <f t="array" ref="I59">_xlfn.IFS(H59&lt;60,"F",H59&lt;70,"D",H59&lt;80,"C",H59&lt;90,"B",H59&gt;=90,"A")</f>
        <v>C</v>
      </c>
    </row>
    <row r="60" spans="1:9" x14ac:dyDescent="0.35">
      <c r="A60" s="219" t="s">
        <v>1890</v>
      </c>
      <c r="B60" s="220" t="s">
        <v>1891</v>
      </c>
      <c r="C60" s="213" t="str">
        <f t="shared" si="1"/>
        <v>ODGA</v>
      </c>
      <c r="D60" s="221">
        <v>96</v>
      </c>
      <c r="E60" s="221">
        <v>95</v>
      </c>
      <c r="F60" s="221">
        <v>67</v>
      </c>
      <c r="G60" s="221">
        <v>35</v>
      </c>
      <c r="H60" s="213" cm="1">
        <f t="array" ref="H60">AVERAGE(MIN(MAX(D60:G60)+10,105),MIN(D60:G60)+12,SMALL(D60:G60,{2,3}))</f>
        <v>78.5</v>
      </c>
      <c r="I60" s="215" t="str" cm="1">
        <f t="array" ref="I60">_xlfn.IFS(H60&lt;60,"F",H60&lt;70,"D",H60&lt;80,"C",H60&lt;90,"B",H60&gt;=90,"A")</f>
        <v>C</v>
      </c>
    </row>
    <row r="61" spans="1:9" x14ac:dyDescent="0.35">
      <c r="A61" s="219" t="s">
        <v>203</v>
      </c>
      <c r="B61" s="220" t="s">
        <v>1892</v>
      </c>
      <c r="C61" s="213" t="str">
        <f t="shared" si="1"/>
        <v>AITE</v>
      </c>
      <c r="D61" s="221">
        <v>64</v>
      </c>
      <c r="E61" s="221">
        <v>83</v>
      </c>
      <c r="F61" s="221">
        <v>67</v>
      </c>
      <c r="G61" s="221">
        <v>70</v>
      </c>
      <c r="H61" s="213" cm="1">
        <f t="array" ref="H61">AVERAGE(MIN(MAX(D61:G61)+10,105),MIN(D61:G61)+12,SMALL(D61:G61,{2,3}))</f>
        <v>76.5</v>
      </c>
      <c r="I61" s="215" t="str" cm="1">
        <f t="array" ref="I61">_xlfn.IFS(H61&lt;60,"F",H61&lt;70,"D",H61&lt;80,"C",H61&lt;90,"B",H61&gt;=90,"A")</f>
        <v>C</v>
      </c>
    </row>
    <row r="62" spans="1:9" x14ac:dyDescent="0.35">
      <c r="A62" s="219" t="s">
        <v>107</v>
      </c>
      <c r="B62" s="220" t="s">
        <v>1893</v>
      </c>
      <c r="C62" s="213" t="str">
        <f t="shared" si="1"/>
        <v>YANG</v>
      </c>
      <c r="D62" s="221">
        <v>90</v>
      </c>
      <c r="E62" s="221">
        <v>86</v>
      </c>
      <c r="F62" s="221">
        <v>41</v>
      </c>
      <c r="G62" s="221">
        <v>66</v>
      </c>
      <c r="H62" s="213" cm="1">
        <f t="array" ref="H62">AVERAGE(MIN(MAX(D62:G62)+10,105),MIN(D62:G62)+12,SMALL(D62:G62,{2,3}))</f>
        <v>76.25</v>
      </c>
      <c r="I62" s="215" t="str" cm="1">
        <f t="array" ref="I62">_xlfn.IFS(H62&lt;60,"F",H62&lt;70,"D",H62&lt;80,"C",H62&lt;90,"B",H62&gt;=90,"A")</f>
        <v>C</v>
      </c>
    </row>
    <row r="63" spans="1:9" x14ac:dyDescent="0.35">
      <c r="A63" s="219" t="s">
        <v>125</v>
      </c>
      <c r="B63" s="220" t="s">
        <v>1894</v>
      </c>
      <c r="C63" s="213" t="str">
        <f t="shared" si="1"/>
        <v>USES</v>
      </c>
      <c r="D63" s="221">
        <v>79</v>
      </c>
      <c r="E63" s="221">
        <v>92</v>
      </c>
      <c r="F63" s="221">
        <v>40</v>
      </c>
      <c r="G63" s="221">
        <v>72</v>
      </c>
      <c r="H63" s="213" cm="1">
        <f t="array" ref="H63">AVERAGE(MIN(MAX(D63:G63)+10,105),MIN(D63:G63)+12,SMALL(D63:G63,{2,3}))</f>
        <v>76.25</v>
      </c>
      <c r="I63" s="215" t="str" cm="1">
        <f t="array" ref="I63">_xlfn.IFS(H63&lt;60,"F",H63&lt;70,"D",H63&lt;80,"C",H63&lt;90,"B",H63&gt;=90,"A")</f>
        <v>C</v>
      </c>
    </row>
    <row r="64" spans="1:9" x14ac:dyDescent="0.35">
      <c r="A64" s="220" t="s">
        <v>65</v>
      </c>
      <c r="B64" s="220" t="s">
        <v>1895</v>
      </c>
      <c r="C64" s="213" t="str">
        <f t="shared" si="1"/>
        <v>AIAN</v>
      </c>
      <c r="D64" s="221">
        <v>95</v>
      </c>
      <c r="E64" s="221">
        <v>73</v>
      </c>
      <c r="F64" s="221">
        <v>51</v>
      </c>
      <c r="G64" s="221">
        <v>66</v>
      </c>
      <c r="H64" s="213" cm="1">
        <f t="array" ref="H64">AVERAGE(MIN(MAX(D64:G64)+10,105),MIN(D64:G64)+12,SMALL(D64:G64,{2,3}))</f>
        <v>76.75</v>
      </c>
      <c r="I64" s="215" t="str" cm="1">
        <f t="array" ref="I64">_xlfn.IFS(H64&lt;60,"F",H64&lt;70,"D",H64&lt;80,"C",H64&lt;90,"B",H64&gt;=90,"A")</f>
        <v>C</v>
      </c>
    </row>
    <row r="65" spans="1:9" x14ac:dyDescent="0.35">
      <c r="A65" s="219" t="s">
        <v>88</v>
      </c>
      <c r="B65" s="220" t="s">
        <v>1896</v>
      </c>
      <c r="C65" s="213" t="str">
        <f t="shared" si="1"/>
        <v>USNE</v>
      </c>
      <c r="D65" s="221">
        <v>89</v>
      </c>
      <c r="E65" s="221">
        <v>80</v>
      </c>
      <c r="F65" s="221">
        <v>49</v>
      </c>
      <c r="G65" s="221">
        <v>62</v>
      </c>
      <c r="H65" s="213" cm="1">
        <f t="array" ref="H65">AVERAGE(MIN(MAX(D65:G65)+10,105),MIN(D65:G65)+12,SMALL(D65:G65,{2,3}))</f>
        <v>75.5</v>
      </c>
      <c r="I65" s="215" t="str" cm="1">
        <f t="array" ref="I65">_xlfn.IFS(H65&lt;60,"F",H65&lt;70,"D",H65&lt;80,"C",H65&lt;90,"B",H65&gt;=90,"A")</f>
        <v>C</v>
      </c>
    </row>
    <row r="66" spans="1:9" x14ac:dyDescent="0.35">
      <c r="A66" s="219" t="s">
        <v>165</v>
      </c>
      <c r="B66" s="220" t="s">
        <v>1897</v>
      </c>
      <c r="C66" s="213" t="str">
        <f t="shared" si="1"/>
        <v>ARLE</v>
      </c>
      <c r="D66" s="221">
        <v>60</v>
      </c>
      <c r="E66" s="221">
        <v>64</v>
      </c>
      <c r="F66" s="221">
        <v>88</v>
      </c>
      <c r="G66" s="221">
        <v>67</v>
      </c>
      <c r="H66" s="213" cm="1">
        <f t="array" ref="H66">AVERAGE(MIN(MAX(D66:G66)+10,105),MIN(D66:G66)+12,SMALL(D66:G66,{2,3}))</f>
        <v>75.25</v>
      </c>
      <c r="I66" s="215" t="str" cm="1">
        <f t="array" ref="I66">_xlfn.IFS(H66&lt;60,"F",H66&lt;70,"D",H66&lt;80,"C",H66&lt;90,"B",H66&gt;=90,"A")</f>
        <v>C</v>
      </c>
    </row>
    <row r="67" spans="1:9" x14ac:dyDescent="0.35">
      <c r="A67" s="219" t="s">
        <v>233</v>
      </c>
      <c r="B67" s="220" t="s">
        <v>1898</v>
      </c>
      <c r="C67" s="213" t="str">
        <f t="shared" si="1"/>
        <v>EBER</v>
      </c>
      <c r="D67" s="221">
        <v>59</v>
      </c>
      <c r="E67" s="221">
        <v>83</v>
      </c>
      <c r="F67" s="221">
        <v>68</v>
      </c>
      <c r="G67" s="221">
        <v>69</v>
      </c>
      <c r="H67" s="213" cm="1">
        <f t="array" ref="H67">AVERAGE(MIN(MAX(D67:G67)+10,105),MIN(D67:G67)+12,SMALL(D67:G67,{2,3}))</f>
        <v>75.25</v>
      </c>
      <c r="I67" s="215" t="str" cm="1">
        <f t="array" ref="I67">_xlfn.IFS(H67&lt;60,"F",H67&lt;70,"D",H67&lt;80,"C",H67&lt;90,"B",H67&gt;=90,"A")</f>
        <v>C</v>
      </c>
    </row>
    <row r="68" spans="1:9" x14ac:dyDescent="0.35">
      <c r="A68" s="220" t="s">
        <v>131</v>
      </c>
      <c r="B68" s="220" t="s">
        <v>1899</v>
      </c>
      <c r="C68" s="213" t="str">
        <f t="shared" si="1"/>
        <v>ASEL</v>
      </c>
      <c r="D68" s="221">
        <v>74</v>
      </c>
      <c r="E68" s="221">
        <v>65</v>
      </c>
      <c r="F68" s="221">
        <v>65</v>
      </c>
      <c r="G68" s="221">
        <v>75</v>
      </c>
      <c r="H68" s="213" cm="1">
        <f t="array" ref="H68">AVERAGE(MIN(MAX(D68:G68)+10,105),MIN(D68:G68)+12,SMALL(D68:G68,{2,3}))</f>
        <v>75.25</v>
      </c>
      <c r="I68" s="215" t="str" cm="1">
        <f t="array" ref="I68">_xlfn.IFS(H68&lt;60,"F",H68&lt;70,"D",H68&lt;80,"C",H68&lt;90,"B",H68&gt;=90,"A")</f>
        <v>C</v>
      </c>
    </row>
    <row r="69" spans="1:9" x14ac:dyDescent="0.35">
      <c r="A69" s="219" t="s">
        <v>137</v>
      </c>
      <c r="B69" s="220" t="s">
        <v>1900</v>
      </c>
      <c r="C69" s="213" t="str">
        <f t="shared" ref="C69:C96" si="2">UPPER(TRIM(MID(B69,2,2))&amp;TRIM(RIGHT(A69,2)))</f>
        <v>EKEZ</v>
      </c>
      <c r="D69" s="221">
        <v>76</v>
      </c>
      <c r="E69" s="221">
        <v>88</v>
      </c>
      <c r="F69" s="221">
        <v>64</v>
      </c>
      <c r="G69" s="221">
        <v>48</v>
      </c>
      <c r="H69" s="213" cm="1">
        <f t="array" ref="H69">AVERAGE(MIN(MAX(D69:G69)+10,105),MIN(D69:G69)+12,SMALL(D69:G69,{2,3}))</f>
        <v>74.5</v>
      </c>
      <c r="I69" s="215" t="str" cm="1">
        <f t="array" ref="I69">_xlfn.IFS(H69&lt;60,"F",H69&lt;70,"D",H69&lt;80,"C",H69&lt;90,"B",H69&gt;=90,"A")</f>
        <v>C</v>
      </c>
    </row>
    <row r="70" spans="1:9" x14ac:dyDescent="0.35">
      <c r="A70" s="219" t="s">
        <v>145</v>
      </c>
      <c r="B70" s="220" t="s">
        <v>1901</v>
      </c>
      <c r="C70" s="213" t="str">
        <f t="shared" si="2"/>
        <v>EADS</v>
      </c>
      <c r="D70" s="221">
        <v>69</v>
      </c>
      <c r="E70" s="221">
        <v>79</v>
      </c>
      <c r="F70" s="221">
        <v>65</v>
      </c>
      <c r="G70" s="221">
        <v>62</v>
      </c>
      <c r="H70" s="213" cm="1">
        <f t="array" ref="H70">AVERAGE(MIN(MAX(D70:G70)+10,105),MIN(D70:G70)+12,SMALL(D70:G70,{2,3}))</f>
        <v>74.25</v>
      </c>
      <c r="I70" s="215" t="str" cm="1">
        <f t="array" ref="I70">_xlfn.IFS(H70&lt;60,"F",H70&lt;70,"D",H70&lt;80,"C",H70&lt;90,"B",H70&gt;=90,"A")</f>
        <v>C</v>
      </c>
    </row>
    <row r="71" spans="1:9" x14ac:dyDescent="0.35">
      <c r="A71" s="219" t="s">
        <v>238</v>
      </c>
      <c r="B71" s="220" t="s">
        <v>1902</v>
      </c>
      <c r="C71" s="213" t="str">
        <f t="shared" si="2"/>
        <v>REDE</v>
      </c>
      <c r="D71" s="221">
        <v>68</v>
      </c>
      <c r="E71" s="221">
        <v>77</v>
      </c>
      <c r="F71" s="221">
        <v>59</v>
      </c>
      <c r="G71" s="221">
        <v>70</v>
      </c>
      <c r="H71" s="213" cm="1">
        <f t="array" ref="H71">AVERAGE(MIN(MAX(D71:G71)+10,105),MIN(D71:G71)+12,SMALL(D71:G71,{2,3}))</f>
        <v>74</v>
      </c>
      <c r="I71" s="215" t="str" cm="1">
        <f t="array" ref="I71">_xlfn.IFS(H71&lt;60,"F",H71&lt;70,"D",H71&lt;80,"C",H71&lt;90,"B",H71&gt;=90,"A")</f>
        <v>C</v>
      </c>
    </row>
    <row r="72" spans="1:9" x14ac:dyDescent="0.35">
      <c r="A72" s="220" t="s">
        <v>162</v>
      </c>
      <c r="B72" s="220" t="s">
        <v>1903</v>
      </c>
      <c r="C72" s="213" t="str">
        <f t="shared" si="2"/>
        <v>HOER</v>
      </c>
      <c r="D72" s="221">
        <v>70</v>
      </c>
      <c r="E72" s="221">
        <v>53</v>
      </c>
      <c r="F72" s="221">
        <v>87</v>
      </c>
      <c r="G72" s="221">
        <v>61</v>
      </c>
      <c r="H72" s="213" cm="1">
        <f t="array" ref="H72">AVERAGE(MIN(MAX(D72:G72)+10,105),MIN(D72:G72)+12,SMALL(D72:G72,{2,3}))</f>
        <v>73.25</v>
      </c>
      <c r="I72" s="215" t="str" cm="1">
        <f t="array" ref="I72">_xlfn.IFS(H72&lt;60,"F",H72&lt;70,"D",H72&lt;80,"C",H72&lt;90,"B",H72&gt;=90,"A")</f>
        <v>C</v>
      </c>
    </row>
    <row r="73" spans="1:9" x14ac:dyDescent="0.35">
      <c r="A73" s="219" t="s">
        <v>110</v>
      </c>
      <c r="B73" s="220" t="s">
        <v>1904</v>
      </c>
      <c r="C73" s="213" t="str">
        <f t="shared" si="2"/>
        <v>AROW</v>
      </c>
      <c r="D73" s="221">
        <v>86</v>
      </c>
      <c r="E73" s="221">
        <v>86</v>
      </c>
      <c r="F73" s="221">
        <v>45</v>
      </c>
      <c r="G73" s="221">
        <v>54</v>
      </c>
      <c r="H73" s="213" cm="1">
        <f t="array" ref="H73">AVERAGE(MIN(MAX(D73:G73)+10,105),MIN(D73:G73)+12,SMALL(D73:G73,{2,3}))</f>
        <v>73.25</v>
      </c>
      <c r="I73" s="215" t="str" cm="1">
        <f t="array" ref="I73">_xlfn.IFS(H73&lt;60,"F",H73&lt;70,"D",H73&lt;80,"C",H73&lt;90,"B",H73&gt;=90,"A")</f>
        <v>C</v>
      </c>
    </row>
    <row r="74" spans="1:9" x14ac:dyDescent="0.35">
      <c r="A74" s="219" t="s">
        <v>241</v>
      </c>
      <c r="B74" s="220" t="s">
        <v>242</v>
      </c>
      <c r="C74" s="213" t="str">
        <f t="shared" si="2"/>
        <v>HMAO</v>
      </c>
      <c r="D74" s="221">
        <v>72</v>
      </c>
      <c r="E74" s="221">
        <v>84</v>
      </c>
      <c r="F74" s="221">
        <v>42</v>
      </c>
      <c r="G74" s="221">
        <v>70</v>
      </c>
      <c r="H74" s="213" cm="1">
        <f t="array" ref="H74">AVERAGE(MIN(MAX(D74:G74)+10,105),MIN(D74:G74)+12,SMALL(D74:G74,{2,3}))</f>
        <v>72.5</v>
      </c>
      <c r="I74" s="215" t="str" cm="1">
        <f t="array" ref="I74">_xlfn.IFS(H74&lt;60,"F",H74&lt;70,"D",H74&lt;80,"C",H74&lt;90,"B",H74&gt;=90,"A")</f>
        <v>C</v>
      </c>
    </row>
    <row r="75" spans="1:9" x14ac:dyDescent="0.35">
      <c r="A75" s="219" t="s">
        <v>159</v>
      </c>
      <c r="B75" s="220" t="s">
        <v>1905</v>
      </c>
      <c r="C75" s="213" t="str">
        <f t="shared" si="2"/>
        <v>EMON</v>
      </c>
      <c r="D75" s="221">
        <v>64</v>
      </c>
      <c r="E75" s="221">
        <v>69</v>
      </c>
      <c r="F75" s="221">
        <v>62</v>
      </c>
      <c r="G75" s="221">
        <v>73</v>
      </c>
      <c r="H75" s="213" cm="1">
        <f t="array" ref="H75">AVERAGE(MIN(MAX(D75:G75)+10,105),MIN(D75:G75)+12,SMALL(D75:G75,{2,3}))</f>
        <v>72.5</v>
      </c>
      <c r="I75" s="215" t="str" cm="1">
        <f t="array" ref="I75">_xlfn.IFS(H75&lt;60,"F",H75&lt;70,"D",H75&lt;80,"C",H75&lt;90,"B",H75&gt;=90,"A")</f>
        <v>C</v>
      </c>
    </row>
    <row r="76" spans="1:9" x14ac:dyDescent="0.35">
      <c r="A76" s="219" t="s">
        <v>128</v>
      </c>
      <c r="B76" s="220" t="s">
        <v>1906</v>
      </c>
      <c r="C76" s="213" t="str">
        <f t="shared" si="2"/>
        <v>RAYD</v>
      </c>
      <c r="D76" s="221">
        <v>76</v>
      </c>
      <c r="E76" s="221">
        <v>75</v>
      </c>
      <c r="F76" s="221">
        <v>51</v>
      </c>
      <c r="G76" s="221">
        <v>64</v>
      </c>
      <c r="H76" s="213" cm="1">
        <f t="array" ref="H76">AVERAGE(MIN(MAX(D76:G76)+10,105),MIN(D76:G76)+12,SMALL(D76:G76,{2,3}))</f>
        <v>72</v>
      </c>
      <c r="I76" s="215" t="str" cm="1">
        <f t="array" ref="I76">_xlfn.IFS(H76&lt;60,"F",H76&lt;70,"D",H76&lt;80,"C",H76&lt;90,"B",H76&gt;=90,"A")</f>
        <v>C</v>
      </c>
    </row>
    <row r="77" spans="1:9" x14ac:dyDescent="0.35">
      <c r="A77" s="219" t="s">
        <v>113</v>
      </c>
      <c r="B77" s="220" t="s">
        <v>1907</v>
      </c>
      <c r="C77" s="213" t="str">
        <f t="shared" si="2"/>
        <v>ANON</v>
      </c>
      <c r="D77" s="221">
        <v>76</v>
      </c>
      <c r="E77" s="221">
        <v>86</v>
      </c>
      <c r="F77" s="221">
        <v>46</v>
      </c>
      <c r="G77" s="221">
        <v>56</v>
      </c>
      <c r="H77" s="213" cm="1">
        <f t="array" ref="H77">AVERAGE(MIN(MAX(D77:G77)+10,105),MIN(D77:G77)+12,SMALL(D77:G77,{2,3}))</f>
        <v>71.5</v>
      </c>
      <c r="I77" s="215" t="str" cm="1">
        <f t="array" ref="I77">_xlfn.IFS(H77&lt;60,"F",H77&lt;70,"D",H77&lt;80,"C",H77&lt;90,"B",H77&gt;=90,"A")</f>
        <v>C</v>
      </c>
    </row>
    <row r="78" spans="1:9" x14ac:dyDescent="0.35">
      <c r="A78" s="219" t="s">
        <v>180</v>
      </c>
      <c r="B78" s="220" t="s">
        <v>1889</v>
      </c>
      <c r="C78" s="213" t="str">
        <f t="shared" si="2"/>
        <v>STER</v>
      </c>
      <c r="D78" s="221">
        <v>64</v>
      </c>
      <c r="E78" s="221">
        <v>57</v>
      </c>
      <c r="F78" s="221">
        <v>99</v>
      </c>
      <c r="G78" s="221">
        <v>47</v>
      </c>
      <c r="H78" s="213" cm="1">
        <f t="array" ref="H78">AVERAGE(MIN(MAX(D78:G78)+10,105),MIN(D78:G78)+12,SMALL(D78:G78,{2,3}))</f>
        <v>71.25</v>
      </c>
      <c r="I78" s="215" t="str" cm="1">
        <f t="array" ref="I78">_xlfn.IFS(H78&lt;60,"F",H78&lt;70,"D",H78&lt;80,"C",H78&lt;90,"B",H78&gt;=90,"A")</f>
        <v>C</v>
      </c>
    </row>
    <row r="79" spans="1:9" x14ac:dyDescent="0.35">
      <c r="A79" s="220" t="s">
        <v>150</v>
      </c>
      <c r="B79" s="220" t="s">
        <v>1908</v>
      </c>
      <c r="C79" s="213" t="str">
        <f t="shared" si="2"/>
        <v>ASCO</v>
      </c>
      <c r="D79" s="221">
        <v>70</v>
      </c>
      <c r="E79" s="221">
        <v>72</v>
      </c>
      <c r="F79" s="221">
        <v>66</v>
      </c>
      <c r="G79" s="221">
        <v>50</v>
      </c>
      <c r="H79" s="213" cm="1">
        <f t="array" ref="H79">AVERAGE(MIN(MAX(D79:G79)+10,105),MIN(D79:G79)+12,SMALL(D79:G79,{2,3}))</f>
        <v>70</v>
      </c>
      <c r="I79" s="215" t="str" cm="1">
        <f t="array" ref="I79">_xlfn.IFS(H79&lt;60,"F",H79&lt;70,"D",H79&lt;80,"C",H79&lt;90,"B",H79&gt;=90,"A")</f>
        <v>C</v>
      </c>
    </row>
    <row r="80" spans="1:9" x14ac:dyDescent="0.35">
      <c r="A80" s="219" t="s">
        <v>188</v>
      </c>
      <c r="B80" s="220" t="s">
        <v>1909</v>
      </c>
      <c r="C80" s="213" t="str">
        <f t="shared" si="2"/>
        <v>YKEN</v>
      </c>
      <c r="D80" s="221">
        <v>56</v>
      </c>
      <c r="E80" s="221">
        <v>47</v>
      </c>
      <c r="F80" s="221">
        <v>90</v>
      </c>
      <c r="G80" s="221">
        <v>45</v>
      </c>
      <c r="H80" s="213" cm="1">
        <f t="array" ref="H80">AVERAGE(MIN(MAX(D80:G80)+10,105),MIN(D80:G80)+12,SMALL(D80:G80,{2,3}))</f>
        <v>65</v>
      </c>
      <c r="I80" s="215" t="str" cm="1">
        <f t="array" ref="I80">_xlfn.IFS(H80&lt;60,"F",H80&lt;70,"D",H80&lt;80,"C",H80&lt;90,"B",H80&gt;=90,"A")</f>
        <v>D</v>
      </c>
    </row>
    <row r="81" spans="1:9" x14ac:dyDescent="0.35">
      <c r="A81" s="219" t="s">
        <v>230</v>
      </c>
      <c r="B81" s="220" t="s">
        <v>1910</v>
      </c>
      <c r="C81" s="213" t="str">
        <f t="shared" si="2"/>
        <v>BRTE</v>
      </c>
      <c r="D81" s="221">
        <v>26</v>
      </c>
      <c r="E81" s="221">
        <v>87</v>
      </c>
      <c r="F81" s="221">
        <v>56</v>
      </c>
      <c r="G81" s="221">
        <v>69</v>
      </c>
      <c r="H81" s="213" cm="1">
        <f t="array" ref="H81">AVERAGE(MIN(MAX(D81:G81)+10,105),MIN(D81:G81)+12,SMALL(D81:G81,{2,3}))</f>
        <v>65</v>
      </c>
      <c r="I81" s="215" t="str" cm="1">
        <f t="array" ref="I81">_xlfn.IFS(H81&lt;60,"F",H81&lt;70,"D",H81&lt;80,"C",H81&lt;90,"B",H81&gt;=90,"A")</f>
        <v>D</v>
      </c>
    </row>
    <row r="82" spans="1:9" x14ac:dyDescent="0.35">
      <c r="A82" s="219" t="s">
        <v>156</v>
      </c>
      <c r="B82" s="220" t="s">
        <v>1911</v>
      </c>
      <c r="C82" s="213" t="str">
        <f t="shared" si="2"/>
        <v>NDFF</v>
      </c>
      <c r="D82" s="221">
        <v>73</v>
      </c>
      <c r="E82" s="221">
        <v>53</v>
      </c>
      <c r="F82" s="221">
        <v>40</v>
      </c>
      <c r="G82" s="221">
        <v>68</v>
      </c>
      <c r="H82" s="213" cm="1">
        <f t="array" ref="H82">AVERAGE(MIN(MAX(D82:G82)+10,105),MIN(D82:G82)+12,SMALL(D82:G82,{2,3}))</f>
        <v>64</v>
      </c>
      <c r="I82" s="215" t="str" cm="1">
        <f t="array" ref="I82">_xlfn.IFS(H82&lt;60,"F",H82&lt;70,"D",H82&lt;80,"C",H82&lt;90,"B",H82&gt;=90,"A")</f>
        <v>D</v>
      </c>
    </row>
    <row r="83" spans="1:9" x14ac:dyDescent="0.35">
      <c r="A83" s="219" t="s">
        <v>168</v>
      </c>
      <c r="B83" s="220" t="s">
        <v>1912</v>
      </c>
      <c r="C83" s="213" t="str">
        <f t="shared" si="2"/>
        <v>AYNE</v>
      </c>
      <c r="D83" s="221">
        <v>52</v>
      </c>
      <c r="E83" s="221">
        <v>74</v>
      </c>
      <c r="F83" s="221">
        <v>81</v>
      </c>
      <c r="G83" s="221">
        <v>25</v>
      </c>
      <c r="H83" s="213" cm="1">
        <f t="array" ref="H83">AVERAGE(MIN(MAX(D83:G83)+10,105),MIN(D83:G83)+12,SMALL(D83:G83,{2,3}))</f>
        <v>63.5</v>
      </c>
      <c r="I83" s="215" t="str" cm="1">
        <f t="array" ref="I83">_xlfn.IFS(H83&lt;60,"F",H83&lt;70,"D",H83&lt;80,"C",H83&lt;90,"B",H83&gt;=90,"A")</f>
        <v>D</v>
      </c>
    </row>
    <row r="84" spans="1:9" x14ac:dyDescent="0.35">
      <c r="A84" s="219" t="s">
        <v>174</v>
      </c>
      <c r="B84" s="220" t="s">
        <v>175</v>
      </c>
      <c r="C84" s="213" t="str">
        <f t="shared" si="2"/>
        <v>AHMA</v>
      </c>
      <c r="D84" s="221">
        <v>56</v>
      </c>
      <c r="E84" s="221">
        <v>60</v>
      </c>
      <c r="F84" s="221">
        <v>59</v>
      </c>
      <c r="G84" s="221">
        <v>56</v>
      </c>
      <c r="H84" s="213" cm="1">
        <f t="array" ref="H84">AVERAGE(MIN(MAX(D84:G84)+10,105),MIN(D84:G84)+12,SMALL(D84:G84,{2,3}))</f>
        <v>63.25</v>
      </c>
      <c r="I84" s="215" t="str" cm="1">
        <f t="array" ref="I84">_xlfn.IFS(H84&lt;60,"F",H84&lt;70,"D",H84&lt;80,"C",H84&lt;90,"B",H84&gt;=90,"A")</f>
        <v>D</v>
      </c>
    </row>
    <row r="85" spans="1:9" x14ac:dyDescent="0.35">
      <c r="A85" s="220" t="s">
        <v>1913</v>
      </c>
      <c r="B85" s="220" t="s">
        <v>1849</v>
      </c>
      <c r="C85" s="213" t="str">
        <f t="shared" si="2"/>
        <v>IAAN</v>
      </c>
      <c r="D85" s="221">
        <v>56</v>
      </c>
      <c r="E85" s="221">
        <v>56</v>
      </c>
      <c r="F85" s="221">
        <v>46</v>
      </c>
      <c r="G85" s="221">
        <v>68</v>
      </c>
      <c r="H85" s="213" cm="1">
        <f t="array" ref="H85">AVERAGE(MIN(MAX(D85:G85)+10,105),MIN(D85:G85)+12,SMALL(D85:G85,{2,3}))</f>
        <v>62</v>
      </c>
      <c r="I85" s="215" t="str" cm="1">
        <f t="array" ref="I85">_xlfn.IFS(H85&lt;60,"F",H85&lt;70,"D",H85&lt;80,"C",H85&lt;90,"B",H85&gt;=90,"A")</f>
        <v>D</v>
      </c>
    </row>
    <row r="86" spans="1:9" x14ac:dyDescent="0.35">
      <c r="A86" s="220" t="s">
        <v>191</v>
      </c>
      <c r="B86" s="220" t="s">
        <v>1914</v>
      </c>
      <c r="C86" s="213" t="str">
        <f t="shared" si="2"/>
        <v>ANER</v>
      </c>
      <c r="D86" s="221">
        <v>53</v>
      </c>
      <c r="E86" s="221">
        <v>48</v>
      </c>
      <c r="F86" s="221">
        <v>85</v>
      </c>
      <c r="G86" s="221">
        <v>36</v>
      </c>
      <c r="H86" s="213" cm="1">
        <f t="array" ref="H86">AVERAGE(MIN(MAX(D86:G86)+10,105),MIN(D86:G86)+12,SMALL(D86:G86,{2,3}))</f>
        <v>61</v>
      </c>
      <c r="I86" s="215" t="str" cm="1">
        <f t="array" ref="I86">_xlfn.IFS(H86&lt;60,"F",H86&lt;70,"D",H86&lt;80,"C",H86&lt;90,"B",H86&gt;=90,"A")</f>
        <v>D</v>
      </c>
    </row>
    <row r="87" spans="1:9" x14ac:dyDescent="0.35">
      <c r="A87" s="219" t="s">
        <v>177</v>
      </c>
      <c r="B87" s="220" t="s">
        <v>1915</v>
      </c>
      <c r="C87" s="213" t="str">
        <f t="shared" si="2"/>
        <v>AREN</v>
      </c>
      <c r="D87" s="221">
        <v>59</v>
      </c>
      <c r="E87" s="221">
        <v>45</v>
      </c>
      <c r="F87" s="221">
        <v>46</v>
      </c>
      <c r="G87" s="221">
        <v>61</v>
      </c>
      <c r="H87" s="213" cm="1">
        <f t="array" ref="H87">AVERAGE(MIN(MAX(D87:G87)+10,105),MIN(D87:G87)+12,SMALL(D87:G87,{2,3}))</f>
        <v>58.25</v>
      </c>
      <c r="I87" s="215" t="str" cm="1">
        <f t="array" ref="I87">_xlfn.IFS(H87&lt;60,"F",H87&lt;70,"D",H87&lt;80,"C",H87&lt;90,"B",H87&gt;=90,"A")</f>
        <v>F</v>
      </c>
    </row>
    <row r="88" spans="1:9" x14ac:dyDescent="0.35">
      <c r="A88" s="219" t="s">
        <v>185</v>
      </c>
      <c r="B88" s="220" t="s">
        <v>1916</v>
      </c>
      <c r="C88" s="213" t="str">
        <f t="shared" si="2"/>
        <v>AYIN</v>
      </c>
      <c r="D88" s="221">
        <v>56</v>
      </c>
      <c r="E88" s="221">
        <v>53</v>
      </c>
      <c r="F88" s="221">
        <v>42</v>
      </c>
      <c r="G88" s="221">
        <v>54</v>
      </c>
      <c r="H88" s="213" cm="1">
        <f t="array" ref="H88">AVERAGE(MIN(MAX(D88:G88)+10,105),MIN(D88:G88)+12,SMALL(D88:G88,{2,3}))</f>
        <v>56.75</v>
      </c>
      <c r="I88" s="215" t="str" cm="1">
        <f t="array" ref="I88">_xlfn.IFS(H88&lt;60,"F",H88&lt;70,"D",H88&lt;80,"C",H88&lt;90,"B",H88&gt;=90,"A")</f>
        <v>F</v>
      </c>
    </row>
    <row r="89" spans="1:9" x14ac:dyDescent="0.35">
      <c r="A89" s="220" t="s">
        <v>197</v>
      </c>
      <c r="B89" s="220" t="s">
        <v>1917</v>
      </c>
      <c r="C89" s="213" t="str">
        <f t="shared" si="2"/>
        <v>ABAS</v>
      </c>
      <c r="D89" s="221">
        <v>47</v>
      </c>
      <c r="E89" s="221">
        <v>27</v>
      </c>
      <c r="F89" s="221">
        <v>98</v>
      </c>
      <c r="G89" s="221">
        <v>34</v>
      </c>
      <c r="H89" s="213" cm="1">
        <f t="array" ref="H89">AVERAGE(MIN(MAX(D89:G89)+10,105),MIN(D89:G89)+12,SMALL(D89:G89,{2,3}))</f>
        <v>56.25</v>
      </c>
      <c r="I89" s="215" t="str" cm="1">
        <f t="array" ref="I89">_xlfn.IFS(H89&lt;60,"F",H89&lt;70,"D",H89&lt;80,"C",H89&lt;90,"B",H89&gt;=90,"A")</f>
        <v>F</v>
      </c>
    </row>
    <row r="90" spans="1:9" x14ac:dyDescent="0.35">
      <c r="A90" s="220" t="s">
        <v>182</v>
      </c>
      <c r="B90" s="220" t="s">
        <v>1918</v>
      </c>
      <c r="C90" s="213" t="str">
        <f t="shared" si="2"/>
        <v>EXAL</v>
      </c>
      <c r="D90" s="221">
        <v>60</v>
      </c>
      <c r="E90" s="221">
        <v>47</v>
      </c>
      <c r="F90" s="221">
        <v>45</v>
      </c>
      <c r="G90" s="221">
        <v>45</v>
      </c>
      <c r="H90" s="213" cm="1">
        <f t="array" ref="H90">AVERAGE(MIN(MAX(D90:G90)+10,105),MIN(D90:G90)+12,SMALL(D90:G90,{2,3}))</f>
        <v>54.75</v>
      </c>
      <c r="I90" s="215" t="str" cm="1">
        <f t="array" ref="I90">_xlfn.IFS(H90&lt;60,"F",H90&lt;70,"D",H90&lt;80,"C",H90&lt;90,"B",H90&gt;=90,"A")</f>
        <v>F</v>
      </c>
    </row>
    <row r="91" spans="1:9" x14ac:dyDescent="0.35">
      <c r="A91" s="219" t="s">
        <v>203</v>
      </c>
      <c r="B91" s="220" t="s">
        <v>204</v>
      </c>
      <c r="C91" s="213" t="str">
        <f t="shared" si="2"/>
        <v>AJTE</v>
      </c>
      <c r="D91" s="221">
        <v>54</v>
      </c>
      <c r="E91" s="221">
        <v>29</v>
      </c>
      <c r="F91" s="221">
        <v>74</v>
      </c>
      <c r="G91" s="221">
        <v>32</v>
      </c>
      <c r="H91" s="213" cm="1">
        <f t="array" ref="H91">AVERAGE(MIN(MAX(D91:G91)+10,105),MIN(D91:G91)+12,SMALL(D91:G91,{2,3}))</f>
        <v>52.75</v>
      </c>
      <c r="I91" s="215" t="str" cm="1">
        <f t="array" ref="I91">_xlfn.IFS(H91&lt;60,"F",H91&lt;70,"D",H91&lt;80,"C",H91&lt;90,"B",H91&gt;=90,"A")</f>
        <v>F</v>
      </c>
    </row>
    <row r="92" spans="1:9" x14ac:dyDescent="0.35">
      <c r="A92" s="219" t="s">
        <v>200</v>
      </c>
      <c r="B92" s="220" t="s">
        <v>1919</v>
      </c>
      <c r="C92" s="213" t="str">
        <f t="shared" si="2"/>
        <v>LANA</v>
      </c>
      <c r="D92" s="221">
        <v>31</v>
      </c>
      <c r="E92" s="221">
        <v>33</v>
      </c>
      <c r="F92" s="221">
        <v>77</v>
      </c>
      <c r="G92" s="221">
        <v>46</v>
      </c>
      <c r="H92" s="213" cm="1">
        <f t="array" ref="H92">AVERAGE(MIN(MAX(D92:G92)+10,105),MIN(D92:G92)+12,SMALL(D92:G92,{2,3}))</f>
        <v>52.25</v>
      </c>
      <c r="I92" s="215" t="str" cm="1">
        <f t="array" ref="I92">_xlfn.IFS(H92&lt;60,"F",H92&lt;70,"D",H92&lt;80,"C",H92&lt;90,"B",H92&gt;=90,"A")</f>
        <v>F</v>
      </c>
    </row>
    <row r="93" spans="1:9" x14ac:dyDescent="0.35">
      <c r="A93" s="219" t="s">
        <v>194</v>
      </c>
      <c r="B93" s="220" t="s">
        <v>1920</v>
      </c>
      <c r="C93" s="213" t="str">
        <f t="shared" si="2"/>
        <v>LAMA</v>
      </c>
      <c r="D93" s="221">
        <v>39</v>
      </c>
      <c r="E93" s="221">
        <v>42</v>
      </c>
      <c r="F93" s="221">
        <v>46</v>
      </c>
      <c r="G93" s="221">
        <v>53</v>
      </c>
      <c r="H93" s="213" cm="1">
        <f t="array" ref="H93">AVERAGE(MIN(MAX(D93:G93)+10,105),MIN(D93:G93)+12,SMALL(D93:G93,{2,3}))</f>
        <v>50.5</v>
      </c>
      <c r="I93" s="215" t="str" cm="1">
        <f t="array" ref="I93">_xlfn.IFS(H93&lt;60,"F",H93&lt;70,"D",H93&lt;80,"C",H93&lt;90,"B",H93&gt;=90,"A")</f>
        <v>F</v>
      </c>
    </row>
    <row r="94" spans="1:9" x14ac:dyDescent="0.35">
      <c r="A94" s="219" t="s">
        <v>212</v>
      </c>
      <c r="B94" s="220" t="s">
        <v>1921</v>
      </c>
      <c r="C94" s="213" t="str">
        <f t="shared" si="2"/>
        <v>ASER</v>
      </c>
      <c r="D94" s="221">
        <v>46</v>
      </c>
      <c r="E94" s="221">
        <v>30</v>
      </c>
      <c r="F94" s="221">
        <v>98</v>
      </c>
      <c r="G94" s="221">
        <v>0</v>
      </c>
      <c r="H94" s="213" cm="1">
        <f t="array" ref="H94">AVERAGE(MIN(MAX(D94:G94)+10,105),MIN(D94:G94)+12,SMALL(D94:G94,{2,3}))</f>
        <v>48.25</v>
      </c>
      <c r="I94" s="215" t="str" cm="1">
        <f t="array" ref="I94">_xlfn.IFS(H94&lt;60,"F",H94&lt;70,"D",H94&lt;80,"C",H94&lt;90,"B",H94&gt;=90,"A")</f>
        <v>F</v>
      </c>
    </row>
    <row r="95" spans="1:9" x14ac:dyDescent="0.35">
      <c r="A95" s="219" t="s">
        <v>206</v>
      </c>
      <c r="B95" s="220" t="s">
        <v>1922</v>
      </c>
      <c r="C95" s="213" t="str">
        <f t="shared" si="2"/>
        <v>ESEY</v>
      </c>
      <c r="D95" s="221">
        <v>40</v>
      </c>
      <c r="E95" s="221">
        <v>32</v>
      </c>
      <c r="F95" s="221">
        <v>45</v>
      </c>
      <c r="G95" s="221">
        <v>37</v>
      </c>
      <c r="H95" s="213" cm="1">
        <f t="array" ref="H95">AVERAGE(MIN(MAX(D95:G95)+10,105),MIN(D95:G95)+12,SMALL(D95:G95,{2,3}))</f>
        <v>44</v>
      </c>
      <c r="I95" s="215" t="str" cm="1">
        <f t="array" ref="I95">_xlfn.IFS(H95&lt;60,"F",H95&lt;70,"D",H95&lt;80,"C",H95&lt;90,"B",H95&gt;=90,"A")</f>
        <v>F</v>
      </c>
    </row>
    <row r="96" spans="1:9" x14ac:dyDescent="0.35">
      <c r="A96" s="220" t="s">
        <v>209</v>
      </c>
      <c r="B96" s="220" t="s">
        <v>1923</v>
      </c>
      <c r="C96" s="213" t="str">
        <f t="shared" si="2"/>
        <v>RATT</v>
      </c>
      <c r="D96" s="221">
        <v>25</v>
      </c>
      <c r="E96" s="221">
        <v>29</v>
      </c>
      <c r="F96" s="221">
        <v>59</v>
      </c>
      <c r="G96" s="221">
        <v>27</v>
      </c>
      <c r="H96" s="213" cm="1">
        <f t="array" ref="H96">AVERAGE(MIN(MAX(D96:G96)+10,105),MIN(D96:G96)+12,SMALL(D96:G96,{2,3}))</f>
        <v>40.5</v>
      </c>
      <c r="I96" s="215" t="str" cm="1">
        <f t="array" ref="I96">_xlfn.IFS(H96&lt;60,"F",H96&lt;70,"D",H96&lt;80,"C",H96&lt;90,"B",H96&gt;=90,"A")</f>
        <v>F</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BB16E-55AB-4D80-8F6B-98817B4C685C}">
  <sheetPr codeName="Sheet17"/>
  <dimension ref="A1:N331"/>
  <sheetViews>
    <sheetView topLeftCell="F1" zoomScaleNormal="100" workbookViewId="0">
      <selection activeCell="Q14" sqref="Q14"/>
    </sheetView>
  </sheetViews>
  <sheetFormatPr defaultColWidth="8.6640625" defaultRowHeight="15.5" x14ac:dyDescent="0.35"/>
  <cols>
    <col min="1" max="1" width="18.1640625" style="229" customWidth="1"/>
    <col min="2" max="2" width="8.6640625" style="230"/>
    <col min="3" max="3" width="11.58203125" style="229" customWidth="1"/>
    <col min="4" max="4" width="10.6640625" style="229" bestFit="1" customWidth="1"/>
    <col min="5" max="5" width="11.1640625" style="229" bestFit="1" customWidth="1"/>
    <col min="6" max="6" width="9.9140625" style="229" bestFit="1" customWidth="1"/>
    <col min="7" max="7" width="9.5" style="229" customWidth="1"/>
    <col min="8" max="8" width="9.5" style="231" customWidth="1"/>
    <col min="9" max="9" width="9.1640625" style="229" bestFit="1" customWidth="1"/>
    <col min="10" max="10" width="5.1640625" style="229" customWidth="1"/>
    <col min="11" max="11" width="58.6640625" style="229" customWidth="1"/>
    <col min="12" max="12" width="16" style="229" bestFit="1" customWidth="1"/>
    <col min="13" max="13" width="10" style="229" bestFit="1" customWidth="1"/>
    <col min="14" max="14" width="16.08203125" style="229" bestFit="1" customWidth="1"/>
    <col min="15" max="15" width="14.58203125" style="229" customWidth="1"/>
    <col min="16" max="16" width="11.6640625" style="229" customWidth="1"/>
    <col min="17" max="17" width="20.9140625" style="229" bestFit="1" customWidth="1"/>
    <col min="18" max="18" width="5.9140625" style="229" customWidth="1"/>
    <col min="19" max="19" width="23.6640625" style="229" customWidth="1"/>
    <col min="20" max="16384" width="8.6640625" style="229"/>
  </cols>
  <sheetData>
    <row r="1" spans="1:13" ht="16" thickBot="1" x14ac:dyDescent="0.4"/>
    <row r="2" spans="1:13" x14ac:dyDescent="0.35">
      <c r="A2" s="232" t="s">
        <v>1924</v>
      </c>
      <c r="B2" s="233"/>
      <c r="C2" s="234"/>
      <c r="D2" s="234"/>
      <c r="E2" s="234"/>
      <c r="F2" s="234"/>
      <c r="G2" s="234"/>
      <c r="H2" s="235"/>
      <c r="I2" s="234"/>
      <c r="J2" s="236"/>
    </row>
    <row r="3" spans="1:13" x14ac:dyDescent="0.35">
      <c r="A3" s="237" t="s">
        <v>1925</v>
      </c>
      <c r="B3" s="238"/>
      <c r="C3" s="239"/>
      <c r="D3" s="239"/>
      <c r="E3" s="239"/>
      <c r="F3" s="239"/>
      <c r="G3" s="239"/>
      <c r="H3" s="240"/>
      <c r="I3" s="239"/>
      <c r="J3" s="241"/>
    </row>
    <row r="4" spans="1:13" x14ac:dyDescent="0.35">
      <c r="A4" s="237" t="s">
        <v>1926</v>
      </c>
      <c r="B4" s="238"/>
      <c r="C4" s="239"/>
      <c r="D4" s="239"/>
      <c r="E4" s="239"/>
      <c r="F4" s="239"/>
      <c r="G4" s="239"/>
      <c r="H4" s="240"/>
      <c r="I4" s="239"/>
      <c r="J4" s="241"/>
    </row>
    <row r="5" spans="1:13" x14ac:dyDescent="0.35">
      <c r="A5" s="237" t="s">
        <v>1927</v>
      </c>
      <c r="B5" s="238"/>
      <c r="C5" s="239"/>
      <c r="D5" s="239"/>
      <c r="E5" s="239"/>
      <c r="F5" s="239"/>
      <c r="G5" s="239"/>
      <c r="H5" s="240"/>
      <c r="I5" s="239"/>
      <c r="J5" s="241"/>
    </row>
    <row r="6" spans="1:13" x14ac:dyDescent="0.35">
      <c r="A6" s="237" t="s">
        <v>1928</v>
      </c>
      <c r="B6" s="238"/>
      <c r="C6" s="239"/>
      <c r="D6" s="239"/>
      <c r="E6" s="239"/>
      <c r="F6" s="239"/>
      <c r="G6" s="239"/>
      <c r="H6" s="240"/>
      <c r="I6" s="239"/>
      <c r="J6" s="241"/>
    </row>
    <row r="7" spans="1:13" ht="16" thickBot="1" x14ac:dyDescent="0.4">
      <c r="A7" s="242" t="s">
        <v>1929</v>
      </c>
      <c r="B7" s="243"/>
      <c r="C7" s="244"/>
      <c r="D7" s="244"/>
      <c r="E7" s="244"/>
      <c r="F7" s="244"/>
      <c r="G7" s="244"/>
      <c r="H7" s="245"/>
      <c r="I7" s="244"/>
      <c r="J7" s="246"/>
    </row>
    <row r="9" spans="1:13" ht="16" thickBot="1" x14ac:dyDescent="0.4">
      <c r="A9" s="247"/>
      <c r="B9" s="248"/>
      <c r="C9" s="247"/>
      <c r="D9" s="247"/>
      <c r="E9" s="249"/>
      <c r="F9" s="247"/>
    </row>
    <row r="10" spans="1:13" ht="31.5" thickBot="1" x14ac:dyDescent="0.4">
      <c r="A10" s="250" t="s">
        <v>1930</v>
      </c>
      <c r="B10" s="250" t="s">
        <v>1931</v>
      </c>
      <c r="C10" s="250" t="s">
        <v>419</v>
      </c>
      <c r="D10" s="250" t="s">
        <v>1932</v>
      </c>
      <c r="E10" s="250" t="s">
        <v>1933</v>
      </c>
      <c r="F10" s="250" t="s">
        <v>1934</v>
      </c>
      <c r="G10" s="251" t="s">
        <v>1935</v>
      </c>
      <c r="H10" s="252" t="s">
        <v>1936</v>
      </c>
      <c r="I10" s="251" t="s">
        <v>1937</v>
      </c>
      <c r="K10" s="253" t="s">
        <v>1938</v>
      </c>
      <c r="L10" s="254"/>
      <c r="M10" s="255"/>
    </row>
    <row r="11" spans="1:13" x14ac:dyDescent="0.35">
      <c r="A11" s="256" t="s">
        <v>1939</v>
      </c>
      <c r="B11" s="257">
        <v>20</v>
      </c>
      <c r="C11" s="256" t="s">
        <v>1940</v>
      </c>
      <c r="D11" s="258">
        <v>4330</v>
      </c>
      <c r="E11" s="259">
        <v>44556</v>
      </c>
      <c r="F11" s="259">
        <v>44599</v>
      </c>
      <c r="G11" s="260">
        <f>F11-E11</f>
        <v>43</v>
      </c>
      <c r="H11" s="261">
        <v>0.01</v>
      </c>
      <c r="I11" s="262">
        <v>43.300000000000004</v>
      </c>
      <c r="K11" s="263" t="s">
        <v>1941</v>
      </c>
      <c r="L11" s="264"/>
      <c r="M11" s="265"/>
    </row>
    <row r="12" spans="1:13" x14ac:dyDescent="0.35">
      <c r="A12" s="266" t="s">
        <v>1942</v>
      </c>
      <c r="B12" s="267">
        <v>8</v>
      </c>
      <c r="C12" s="266" t="s">
        <v>1943</v>
      </c>
      <c r="D12" s="268">
        <v>2330</v>
      </c>
      <c r="E12" s="269">
        <v>44536</v>
      </c>
      <c r="F12" s="269">
        <v>44599</v>
      </c>
      <c r="G12" s="270">
        <f>F12-E12</f>
        <v>63</v>
      </c>
      <c r="H12" s="271">
        <f>IF(G12&lt;=30,0,IF(G12&lt;60,1%,IF(G12&lt;80,2%,3%)))</f>
        <v>0.02</v>
      </c>
      <c r="I12" s="272">
        <f>H12*D12</f>
        <v>46.6</v>
      </c>
      <c r="K12" s="273" t="s">
        <v>1944</v>
      </c>
      <c r="L12" s="274"/>
      <c r="M12" s="275"/>
    </row>
    <row r="13" spans="1:13" x14ac:dyDescent="0.35">
      <c r="A13" s="266" t="s">
        <v>1945</v>
      </c>
      <c r="B13" s="267">
        <v>21</v>
      </c>
      <c r="C13" s="266" t="s">
        <v>1946</v>
      </c>
      <c r="D13" s="268">
        <v>9544</v>
      </c>
      <c r="E13" s="269">
        <v>44534</v>
      </c>
      <c r="F13" s="269">
        <v>44599</v>
      </c>
      <c r="G13" s="270">
        <f t="shared" ref="G13:G76" si="0">F13-E13</f>
        <v>65</v>
      </c>
      <c r="H13" s="271">
        <f t="shared" ref="H13:H76" si="1">IF(G13&lt;=30,0,IF(G13&lt;60,1%,IF(G13&lt;80,2%,3%)))</f>
        <v>0.02</v>
      </c>
      <c r="I13" s="272">
        <f t="shared" ref="I13:I76" si="2">H13*D13</f>
        <v>190.88</v>
      </c>
      <c r="K13" s="273" t="s">
        <v>1947</v>
      </c>
      <c r="L13" s="274"/>
      <c r="M13" s="275"/>
    </row>
    <row r="14" spans="1:13" x14ac:dyDescent="0.35">
      <c r="A14" s="266" t="s">
        <v>1948</v>
      </c>
      <c r="B14" s="267">
        <v>18</v>
      </c>
      <c r="C14" s="266" t="s">
        <v>1949</v>
      </c>
      <c r="D14" s="268">
        <v>7427</v>
      </c>
      <c r="E14" s="269">
        <v>44525</v>
      </c>
      <c r="F14" s="269">
        <v>44599</v>
      </c>
      <c r="G14" s="270">
        <f t="shared" si="0"/>
        <v>74</v>
      </c>
      <c r="H14" s="271">
        <f t="shared" si="1"/>
        <v>0.02</v>
      </c>
      <c r="I14" s="272">
        <f t="shared" si="2"/>
        <v>148.54</v>
      </c>
      <c r="K14" s="273" t="s">
        <v>1950</v>
      </c>
      <c r="L14" s="274"/>
      <c r="M14" s="275"/>
    </row>
    <row r="15" spans="1:13" ht="16" thickBot="1" x14ac:dyDescent="0.4">
      <c r="A15" s="266" t="s">
        <v>1951</v>
      </c>
      <c r="B15" s="267">
        <v>25</v>
      </c>
      <c r="C15" s="266" t="s">
        <v>1952</v>
      </c>
      <c r="D15" s="268">
        <v>8637</v>
      </c>
      <c r="E15" s="269">
        <v>44527</v>
      </c>
      <c r="F15" s="269">
        <v>44599</v>
      </c>
      <c r="G15" s="270">
        <f t="shared" si="0"/>
        <v>72</v>
      </c>
      <c r="H15" s="271">
        <f t="shared" si="1"/>
        <v>0.02</v>
      </c>
      <c r="I15" s="272">
        <f t="shared" si="2"/>
        <v>172.74</v>
      </c>
      <c r="K15" s="276" t="s">
        <v>1953</v>
      </c>
      <c r="L15" s="277"/>
      <c r="M15" s="278"/>
    </row>
    <row r="16" spans="1:13" x14ac:dyDescent="0.35">
      <c r="A16" s="266" t="s">
        <v>1954</v>
      </c>
      <c r="B16" s="267">
        <v>24</v>
      </c>
      <c r="C16" s="266" t="s">
        <v>1955</v>
      </c>
      <c r="D16" s="268">
        <v>7949</v>
      </c>
      <c r="E16" s="269">
        <v>44540</v>
      </c>
      <c r="F16" s="269">
        <v>44599</v>
      </c>
      <c r="G16" s="270">
        <f t="shared" si="0"/>
        <v>59</v>
      </c>
      <c r="H16" s="271">
        <f t="shared" si="1"/>
        <v>0.01</v>
      </c>
      <c r="I16" s="272">
        <f t="shared" si="2"/>
        <v>79.489999999999995</v>
      </c>
    </row>
    <row r="17" spans="1:14" x14ac:dyDescent="0.35">
      <c r="A17" s="266" t="s">
        <v>1942</v>
      </c>
      <c r="B17" s="267">
        <v>8</v>
      </c>
      <c r="C17" s="266" t="s">
        <v>1956</v>
      </c>
      <c r="D17" s="268">
        <v>5543</v>
      </c>
      <c r="E17" s="269">
        <v>44509</v>
      </c>
      <c r="F17" s="269">
        <v>44599</v>
      </c>
      <c r="G17" s="270">
        <f t="shared" si="0"/>
        <v>90</v>
      </c>
      <c r="H17" s="271">
        <f t="shared" si="1"/>
        <v>0.03</v>
      </c>
      <c r="I17" s="272">
        <f t="shared" si="2"/>
        <v>166.29</v>
      </c>
    </row>
    <row r="18" spans="1:14" x14ac:dyDescent="0.35">
      <c r="A18" s="266" t="s">
        <v>1957</v>
      </c>
      <c r="B18" s="267">
        <v>10</v>
      </c>
      <c r="C18" s="266" t="s">
        <v>1958</v>
      </c>
      <c r="D18" s="268">
        <v>7585</v>
      </c>
      <c r="E18" s="269">
        <v>44552</v>
      </c>
      <c r="F18" s="269">
        <v>44599</v>
      </c>
      <c r="G18" s="270">
        <f t="shared" si="0"/>
        <v>47</v>
      </c>
      <c r="H18" s="271">
        <f t="shared" si="1"/>
        <v>0.01</v>
      </c>
      <c r="I18" s="272">
        <f t="shared" si="2"/>
        <v>75.850000000000009</v>
      </c>
    </row>
    <row r="19" spans="1:14" x14ac:dyDescent="0.35">
      <c r="A19" s="266" t="s">
        <v>1945</v>
      </c>
      <c r="B19" s="267">
        <v>21</v>
      </c>
      <c r="C19" s="266" t="s">
        <v>1959</v>
      </c>
      <c r="D19" s="268">
        <v>2441</v>
      </c>
      <c r="E19" s="269">
        <v>44534</v>
      </c>
      <c r="F19" s="269">
        <v>44599</v>
      </c>
      <c r="G19" s="270">
        <f t="shared" si="0"/>
        <v>65</v>
      </c>
      <c r="H19" s="271">
        <f t="shared" si="1"/>
        <v>0.02</v>
      </c>
      <c r="I19" s="272">
        <f t="shared" si="2"/>
        <v>48.82</v>
      </c>
    </row>
    <row r="20" spans="1:14" ht="16" thickBot="1" x14ac:dyDescent="0.4">
      <c r="A20" s="266" t="s">
        <v>1960</v>
      </c>
      <c r="B20" s="267">
        <v>6</v>
      </c>
      <c r="C20" s="266" t="s">
        <v>1961</v>
      </c>
      <c r="D20" s="268">
        <v>1290</v>
      </c>
      <c r="E20" s="269">
        <v>44506</v>
      </c>
      <c r="F20" s="269">
        <v>44599</v>
      </c>
      <c r="G20" s="270">
        <f t="shared" si="0"/>
        <v>93</v>
      </c>
      <c r="H20" s="271">
        <f t="shared" si="1"/>
        <v>0.03</v>
      </c>
      <c r="I20" s="272">
        <f t="shared" si="2"/>
        <v>38.699999999999996</v>
      </c>
    </row>
    <row r="21" spans="1:14" x14ac:dyDescent="0.35">
      <c r="A21" s="266" t="s">
        <v>1962</v>
      </c>
      <c r="B21" s="267">
        <v>1</v>
      </c>
      <c r="C21" s="266" t="s">
        <v>1963</v>
      </c>
      <c r="D21" s="268">
        <v>1976</v>
      </c>
      <c r="E21" s="269">
        <v>44568</v>
      </c>
      <c r="F21" s="269">
        <v>44599</v>
      </c>
      <c r="G21" s="270">
        <f t="shared" si="0"/>
        <v>31</v>
      </c>
      <c r="H21" s="271">
        <f t="shared" si="1"/>
        <v>0.01</v>
      </c>
      <c r="I21" s="272">
        <f t="shared" si="2"/>
        <v>19.760000000000002</v>
      </c>
      <c r="K21" s="325" t="s">
        <v>1964</v>
      </c>
      <c r="L21" s="317">
        <f>_xlfn.XLOOKUP(K21,C11:C331,I11:I331)</f>
        <v>94.95</v>
      </c>
      <c r="M21" s="326" t="s">
        <v>1965</v>
      </c>
      <c r="N21" s="318">
        <f>_xlfn.XLOOKUP(M21,C11:C331,I11:I331)</f>
        <v>63.04</v>
      </c>
    </row>
    <row r="22" spans="1:14" x14ac:dyDescent="0.35">
      <c r="A22" s="266" t="s">
        <v>1966</v>
      </c>
      <c r="B22" s="267">
        <v>12</v>
      </c>
      <c r="C22" s="266" t="s">
        <v>1967</v>
      </c>
      <c r="D22" s="268">
        <v>3407</v>
      </c>
      <c r="E22" s="269">
        <v>44529</v>
      </c>
      <c r="F22" s="269">
        <v>44599</v>
      </c>
      <c r="G22" s="270">
        <f t="shared" si="0"/>
        <v>70</v>
      </c>
      <c r="H22" s="271">
        <f t="shared" si="1"/>
        <v>0.02</v>
      </c>
      <c r="I22" s="272">
        <f t="shared" si="2"/>
        <v>68.14</v>
      </c>
      <c r="K22" s="327" t="s">
        <v>1968</v>
      </c>
      <c r="L22" s="320">
        <f>_xlfn.XLOOKUP(K22,C11:C331,H11:H331)</f>
        <v>0</v>
      </c>
      <c r="M22" s="328" t="s">
        <v>1965</v>
      </c>
      <c r="N22" s="321">
        <f>_xlfn.XLOOKUP(M22,C11:C331,H11:H331)</f>
        <v>0.02</v>
      </c>
    </row>
    <row r="23" spans="1:14" x14ac:dyDescent="0.35">
      <c r="A23" s="266" t="s">
        <v>1969</v>
      </c>
      <c r="B23" s="267">
        <v>2</v>
      </c>
      <c r="C23" s="266" t="s">
        <v>1970</v>
      </c>
      <c r="D23" s="268">
        <v>4557</v>
      </c>
      <c r="E23" s="269">
        <v>44539</v>
      </c>
      <c r="F23" s="269">
        <v>44599</v>
      </c>
      <c r="G23" s="270">
        <f t="shared" si="0"/>
        <v>60</v>
      </c>
      <c r="H23" s="271">
        <f t="shared" si="1"/>
        <v>0.02</v>
      </c>
      <c r="I23" s="272">
        <f t="shared" si="2"/>
        <v>91.14</v>
      </c>
      <c r="K23" s="319" t="s">
        <v>1971</v>
      </c>
      <c r="L23" s="329">
        <f>SUM(I11:I331)</f>
        <v>28337.280000000021</v>
      </c>
      <c r="M23" s="320"/>
      <c r="N23" s="321"/>
    </row>
    <row r="24" spans="1:14" x14ac:dyDescent="0.35">
      <c r="A24" s="266" t="s">
        <v>1969</v>
      </c>
      <c r="B24" s="267">
        <v>2</v>
      </c>
      <c r="C24" s="266" t="s">
        <v>1972</v>
      </c>
      <c r="D24" s="268">
        <v>6058</v>
      </c>
      <c r="E24" s="269">
        <v>44571</v>
      </c>
      <c r="F24" s="269">
        <v>44599</v>
      </c>
      <c r="G24" s="270">
        <f t="shared" si="0"/>
        <v>28</v>
      </c>
      <c r="H24" s="271">
        <f t="shared" si="1"/>
        <v>0</v>
      </c>
      <c r="I24" s="272">
        <f t="shared" si="2"/>
        <v>0</v>
      </c>
      <c r="K24" s="319" t="s">
        <v>1973</v>
      </c>
      <c r="L24" s="320">
        <f>SUMIF(A11:A331,"JSW Steel",I11:I331)</f>
        <v>1929.09</v>
      </c>
      <c r="M24" s="320" t="s">
        <v>1974</v>
      </c>
      <c r="N24" s="321">
        <f>SUMIF(A11:A331,"SAIL",I11:I331)</f>
        <v>1434.1499999999999</v>
      </c>
    </row>
    <row r="25" spans="1:14" ht="16" thickBot="1" x14ac:dyDescent="0.4">
      <c r="A25" s="266" t="s">
        <v>1969</v>
      </c>
      <c r="B25" s="267">
        <v>2</v>
      </c>
      <c r="C25" s="266" t="s">
        <v>1975</v>
      </c>
      <c r="D25" s="268">
        <v>8016</v>
      </c>
      <c r="E25" s="269">
        <v>44533</v>
      </c>
      <c r="F25" s="269">
        <v>44599</v>
      </c>
      <c r="G25" s="270">
        <f t="shared" si="0"/>
        <v>66</v>
      </c>
      <c r="H25" s="271">
        <f t="shared" si="1"/>
        <v>0.02</v>
      </c>
      <c r="I25" s="272">
        <f t="shared" si="2"/>
        <v>160.32</v>
      </c>
      <c r="K25" s="322" t="s">
        <v>1976</v>
      </c>
      <c r="L25" s="323" cm="1">
        <f t="array" ref="L25">MAX(_xlfn._xlws.FILTER(G11:G331,A11:A331=K25))</f>
        <v>97</v>
      </c>
      <c r="M25" s="330" t="s">
        <v>1977</v>
      </c>
      <c r="N25" s="324">
        <f>COUNTIFS(A11:A331,M25,G11:G331,"&lt;30")</f>
        <v>4</v>
      </c>
    </row>
    <row r="26" spans="1:14" x14ac:dyDescent="0.35">
      <c r="A26" s="266" t="s">
        <v>1978</v>
      </c>
      <c r="B26" s="267">
        <v>15</v>
      </c>
      <c r="C26" s="266" t="s">
        <v>1968</v>
      </c>
      <c r="D26" s="268">
        <v>9672</v>
      </c>
      <c r="E26" s="269">
        <v>44580</v>
      </c>
      <c r="F26" s="269">
        <v>44599</v>
      </c>
      <c r="G26" s="270">
        <f t="shared" si="0"/>
        <v>19</v>
      </c>
      <c r="H26" s="271">
        <f t="shared" si="1"/>
        <v>0</v>
      </c>
      <c r="I26" s="272">
        <f t="shared" si="2"/>
        <v>0</v>
      </c>
    </row>
    <row r="27" spans="1:14" x14ac:dyDescent="0.35">
      <c r="A27" s="266" t="s">
        <v>1957</v>
      </c>
      <c r="B27" s="267">
        <v>10</v>
      </c>
      <c r="C27" s="266" t="s">
        <v>1979</v>
      </c>
      <c r="D27" s="268">
        <v>2984</v>
      </c>
      <c r="E27" s="269">
        <v>44505</v>
      </c>
      <c r="F27" s="269">
        <v>44599</v>
      </c>
      <c r="G27" s="270">
        <f t="shared" si="0"/>
        <v>94</v>
      </c>
      <c r="H27" s="271">
        <f t="shared" si="1"/>
        <v>0.03</v>
      </c>
      <c r="I27" s="272">
        <f t="shared" si="2"/>
        <v>89.52</v>
      </c>
    </row>
    <row r="28" spans="1:14" x14ac:dyDescent="0.35">
      <c r="A28" s="266" t="s">
        <v>1980</v>
      </c>
      <c r="B28" s="267">
        <v>7</v>
      </c>
      <c r="C28" s="266" t="s">
        <v>1981</v>
      </c>
      <c r="D28" s="268">
        <v>5283</v>
      </c>
      <c r="E28" s="269">
        <v>44553</v>
      </c>
      <c r="F28" s="269">
        <v>44599</v>
      </c>
      <c r="G28" s="270">
        <f t="shared" si="0"/>
        <v>46</v>
      </c>
      <c r="H28" s="271">
        <f t="shared" si="1"/>
        <v>0.01</v>
      </c>
      <c r="I28" s="272">
        <f t="shared" si="2"/>
        <v>52.83</v>
      </c>
    </row>
    <row r="29" spans="1:14" x14ac:dyDescent="0.35">
      <c r="A29" s="266" t="s">
        <v>1966</v>
      </c>
      <c r="B29" s="267">
        <v>12</v>
      </c>
      <c r="C29" s="266" t="s">
        <v>1982</v>
      </c>
      <c r="D29" s="268">
        <v>4104</v>
      </c>
      <c r="E29" s="269">
        <v>44566</v>
      </c>
      <c r="F29" s="269">
        <v>44599</v>
      </c>
      <c r="G29" s="270">
        <f t="shared" si="0"/>
        <v>33</v>
      </c>
      <c r="H29" s="271">
        <f t="shared" si="1"/>
        <v>0.01</v>
      </c>
      <c r="I29" s="272">
        <f t="shared" si="2"/>
        <v>41.04</v>
      </c>
    </row>
    <row r="30" spans="1:14" x14ac:dyDescent="0.35">
      <c r="A30" s="266" t="s">
        <v>1976</v>
      </c>
      <c r="B30" s="267">
        <v>3</v>
      </c>
      <c r="C30" s="266" t="s">
        <v>1983</v>
      </c>
      <c r="D30" s="268">
        <v>5223</v>
      </c>
      <c r="E30" s="269">
        <v>44541</v>
      </c>
      <c r="F30" s="269">
        <v>44599</v>
      </c>
      <c r="G30" s="270">
        <f t="shared" si="0"/>
        <v>58</v>
      </c>
      <c r="H30" s="271">
        <f t="shared" si="1"/>
        <v>0.01</v>
      </c>
      <c r="I30" s="272">
        <f t="shared" si="2"/>
        <v>52.230000000000004</v>
      </c>
    </row>
    <row r="31" spans="1:14" x14ac:dyDescent="0.35">
      <c r="A31" s="266" t="s">
        <v>1960</v>
      </c>
      <c r="B31" s="267">
        <v>6</v>
      </c>
      <c r="C31" s="266" t="s">
        <v>1984</v>
      </c>
      <c r="D31" s="268">
        <v>2170</v>
      </c>
      <c r="E31" s="269">
        <v>44510</v>
      </c>
      <c r="F31" s="269">
        <v>44599</v>
      </c>
      <c r="G31" s="270">
        <f t="shared" si="0"/>
        <v>89</v>
      </c>
      <c r="H31" s="271">
        <f t="shared" si="1"/>
        <v>0.03</v>
      </c>
      <c r="I31" s="272">
        <f t="shared" si="2"/>
        <v>65.099999999999994</v>
      </c>
    </row>
    <row r="32" spans="1:14" x14ac:dyDescent="0.35">
      <c r="A32" s="266" t="s">
        <v>1977</v>
      </c>
      <c r="B32" s="267">
        <v>22</v>
      </c>
      <c r="C32" s="266" t="s">
        <v>1985</v>
      </c>
      <c r="D32" s="268">
        <v>1684</v>
      </c>
      <c r="E32" s="269">
        <v>44571</v>
      </c>
      <c r="F32" s="269">
        <v>44599</v>
      </c>
      <c r="G32" s="270">
        <f t="shared" si="0"/>
        <v>28</v>
      </c>
      <c r="H32" s="271">
        <f t="shared" si="1"/>
        <v>0</v>
      </c>
      <c r="I32" s="272">
        <f t="shared" si="2"/>
        <v>0</v>
      </c>
    </row>
    <row r="33" spans="1:9" x14ac:dyDescent="0.35">
      <c r="A33" s="266" t="s">
        <v>1986</v>
      </c>
      <c r="B33" s="267">
        <v>16</v>
      </c>
      <c r="C33" s="266" t="s">
        <v>1987</v>
      </c>
      <c r="D33" s="268">
        <v>7865</v>
      </c>
      <c r="E33" s="269">
        <v>44494</v>
      </c>
      <c r="F33" s="269">
        <v>44599</v>
      </c>
      <c r="G33" s="270">
        <f t="shared" si="0"/>
        <v>105</v>
      </c>
      <c r="H33" s="271">
        <f t="shared" si="1"/>
        <v>0.03</v>
      </c>
      <c r="I33" s="272">
        <f t="shared" si="2"/>
        <v>235.95</v>
      </c>
    </row>
    <row r="34" spans="1:9" x14ac:dyDescent="0.35">
      <c r="A34" s="266" t="s">
        <v>1978</v>
      </c>
      <c r="B34" s="267">
        <v>15</v>
      </c>
      <c r="C34" s="266" t="s">
        <v>1988</v>
      </c>
      <c r="D34" s="268">
        <v>9881</v>
      </c>
      <c r="E34" s="269">
        <v>44538</v>
      </c>
      <c r="F34" s="269">
        <v>44599</v>
      </c>
      <c r="G34" s="270">
        <f t="shared" si="0"/>
        <v>61</v>
      </c>
      <c r="H34" s="271">
        <f t="shared" si="1"/>
        <v>0.02</v>
      </c>
      <c r="I34" s="272">
        <f t="shared" si="2"/>
        <v>197.62</v>
      </c>
    </row>
    <row r="35" spans="1:9" x14ac:dyDescent="0.35">
      <c r="A35" s="266" t="s">
        <v>1989</v>
      </c>
      <c r="B35" s="267">
        <v>14</v>
      </c>
      <c r="C35" s="266" t="s">
        <v>1990</v>
      </c>
      <c r="D35" s="268">
        <v>1040</v>
      </c>
      <c r="E35" s="269">
        <v>44515</v>
      </c>
      <c r="F35" s="269">
        <v>44599</v>
      </c>
      <c r="G35" s="270">
        <f t="shared" si="0"/>
        <v>84</v>
      </c>
      <c r="H35" s="271">
        <f t="shared" si="1"/>
        <v>0.03</v>
      </c>
      <c r="I35" s="272">
        <f t="shared" si="2"/>
        <v>31.2</v>
      </c>
    </row>
    <row r="36" spans="1:9" x14ac:dyDescent="0.35">
      <c r="A36" s="266" t="s">
        <v>1960</v>
      </c>
      <c r="B36" s="267">
        <v>6</v>
      </c>
      <c r="C36" s="266" t="s">
        <v>1991</v>
      </c>
      <c r="D36" s="268">
        <v>4567</v>
      </c>
      <c r="E36" s="269">
        <v>44512</v>
      </c>
      <c r="F36" s="269">
        <v>44599</v>
      </c>
      <c r="G36" s="270">
        <f t="shared" si="0"/>
        <v>87</v>
      </c>
      <c r="H36" s="271">
        <f t="shared" si="1"/>
        <v>0.03</v>
      </c>
      <c r="I36" s="272">
        <f t="shared" si="2"/>
        <v>137.01</v>
      </c>
    </row>
    <row r="37" spans="1:9" x14ac:dyDescent="0.35">
      <c r="A37" s="266" t="s">
        <v>1992</v>
      </c>
      <c r="B37" s="267">
        <v>19</v>
      </c>
      <c r="C37" s="266" t="s">
        <v>1993</v>
      </c>
      <c r="D37" s="268">
        <v>4516</v>
      </c>
      <c r="E37" s="269">
        <v>44544</v>
      </c>
      <c r="F37" s="269">
        <v>44599</v>
      </c>
      <c r="G37" s="270">
        <f t="shared" si="0"/>
        <v>55</v>
      </c>
      <c r="H37" s="271">
        <f t="shared" si="1"/>
        <v>0.01</v>
      </c>
      <c r="I37" s="272">
        <f t="shared" si="2"/>
        <v>45.160000000000004</v>
      </c>
    </row>
    <row r="38" spans="1:9" x14ac:dyDescent="0.35">
      <c r="A38" s="266" t="s">
        <v>1994</v>
      </c>
      <c r="B38" s="267">
        <v>13</v>
      </c>
      <c r="C38" s="266" t="s">
        <v>1995</v>
      </c>
      <c r="D38" s="268">
        <v>5240</v>
      </c>
      <c r="E38" s="269">
        <v>44536</v>
      </c>
      <c r="F38" s="269">
        <v>44599</v>
      </c>
      <c r="G38" s="270">
        <f t="shared" si="0"/>
        <v>63</v>
      </c>
      <c r="H38" s="271">
        <f t="shared" si="1"/>
        <v>0.02</v>
      </c>
      <c r="I38" s="272">
        <f t="shared" si="2"/>
        <v>104.8</v>
      </c>
    </row>
    <row r="39" spans="1:9" x14ac:dyDescent="0.35">
      <c r="A39" s="266" t="s">
        <v>1954</v>
      </c>
      <c r="B39" s="267">
        <v>24</v>
      </c>
      <c r="C39" s="266" t="s">
        <v>1996</v>
      </c>
      <c r="D39" s="268">
        <v>9138</v>
      </c>
      <c r="E39" s="269">
        <v>44507</v>
      </c>
      <c r="F39" s="269">
        <v>44599</v>
      </c>
      <c r="G39" s="270">
        <f t="shared" si="0"/>
        <v>92</v>
      </c>
      <c r="H39" s="271">
        <f t="shared" si="1"/>
        <v>0.03</v>
      </c>
      <c r="I39" s="272">
        <f t="shared" si="2"/>
        <v>274.14</v>
      </c>
    </row>
    <row r="40" spans="1:9" x14ac:dyDescent="0.35">
      <c r="A40" s="266" t="s">
        <v>1980</v>
      </c>
      <c r="B40" s="267">
        <v>7</v>
      </c>
      <c r="C40" s="266" t="s">
        <v>1997</v>
      </c>
      <c r="D40" s="268">
        <v>7737</v>
      </c>
      <c r="E40" s="269">
        <v>44546</v>
      </c>
      <c r="F40" s="269">
        <v>44599</v>
      </c>
      <c r="G40" s="270">
        <f t="shared" si="0"/>
        <v>53</v>
      </c>
      <c r="H40" s="271">
        <f t="shared" si="1"/>
        <v>0.01</v>
      </c>
      <c r="I40" s="272">
        <f t="shared" si="2"/>
        <v>77.37</v>
      </c>
    </row>
    <row r="41" spans="1:9" x14ac:dyDescent="0.35">
      <c r="A41" s="266" t="s">
        <v>1942</v>
      </c>
      <c r="B41" s="267">
        <v>8</v>
      </c>
      <c r="C41" s="266" t="s">
        <v>1998</v>
      </c>
      <c r="D41" s="268">
        <v>4137</v>
      </c>
      <c r="E41" s="269">
        <v>44526</v>
      </c>
      <c r="F41" s="269">
        <v>44599</v>
      </c>
      <c r="G41" s="270">
        <f t="shared" si="0"/>
        <v>73</v>
      </c>
      <c r="H41" s="271">
        <f t="shared" si="1"/>
        <v>0.02</v>
      </c>
      <c r="I41" s="272">
        <f t="shared" si="2"/>
        <v>82.74</v>
      </c>
    </row>
    <row r="42" spans="1:9" x14ac:dyDescent="0.35">
      <c r="A42" s="266" t="s">
        <v>1966</v>
      </c>
      <c r="B42" s="267">
        <v>12</v>
      </c>
      <c r="C42" s="266" t="s">
        <v>1999</v>
      </c>
      <c r="D42" s="268">
        <v>6256</v>
      </c>
      <c r="E42" s="269">
        <v>44524</v>
      </c>
      <c r="F42" s="269">
        <v>44599</v>
      </c>
      <c r="G42" s="270">
        <f t="shared" si="0"/>
        <v>75</v>
      </c>
      <c r="H42" s="271">
        <f t="shared" si="1"/>
        <v>0.02</v>
      </c>
      <c r="I42" s="272">
        <f t="shared" si="2"/>
        <v>125.12</v>
      </c>
    </row>
    <row r="43" spans="1:9" x14ac:dyDescent="0.35">
      <c r="A43" s="266" t="s">
        <v>2000</v>
      </c>
      <c r="B43" s="267">
        <v>23</v>
      </c>
      <c r="C43" s="266" t="s">
        <v>2001</v>
      </c>
      <c r="D43" s="268">
        <v>1182</v>
      </c>
      <c r="E43" s="269">
        <v>44575</v>
      </c>
      <c r="F43" s="269">
        <v>44599</v>
      </c>
      <c r="G43" s="270">
        <f t="shared" si="0"/>
        <v>24</v>
      </c>
      <c r="H43" s="271">
        <f t="shared" si="1"/>
        <v>0</v>
      </c>
      <c r="I43" s="272">
        <f t="shared" si="2"/>
        <v>0</v>
      </c>
    </row>
    <row r="44" spans="1:9" x14ac:dyDescent="0.35">
      <c r="A44" s="266" t="s">
        <v>1960</v>
      </c>
      <c r="B44" s="267">
        <v>6</v>
      </c>
      <c r="C44" s="266" t="s">
        <v>2002</v>
      </c>
      <c r="D44" s="268">
        <v>6549</v>
      </c>
      <c r="E44" s="269">
        <v>44554</v>
      </c>
      <c r="F44" s="269">
        <v>44599</v>
      </c>
      <c r="G44" s="270">
        <f t="shared" si="0"/>
        <v>45</v>
      </c>
      <c r="H44" s="271">
        <f t="shared" si="1"/>
        <v>0.01</v>
      </c>
      <c r="I44" s="272">
        <f t="shared" si="2"/>
        <v>65.489999999999995</v>
      </c>
    </row>
    <row r="45" spans="1:9" x14ac:dyDescent="0.35">
      <c r="A45" s="266" t="s">
        <v>1969</v>
      </c>
      <c r="B45" s="267">
        <v>2</v>
      </c>
      <c r="C45" s="266" t="s">
        <v>2003</v>
      </c>
      <c r="D45" s="268">
        <v>2291</v>
      </c>
      <c r="E45" s="269">
        <v>44560</v>
      </c>
      <c r="F45" s="269">
        <v>44599</v>
      </c>
      <c r="G45" s="270">
        <f t="shared" si="0"/>
        <v>39</v>
      </c>
      <c r="H45" s="271">
        <f t="shared" si="1"/>
        <v>0.01</v>
      </c>
      <c r="I45" s="272">
        <f t="shared" si="2"/>
        <v>22.91</v>
      </c>
    </row>
    <row r="46" spans="1:9" x14ac:dyDescent="0.35">
      <c r="A46" s="266" t="s">
        <v>2004</v>
      </c>
      <c r="B46" s="267">
        <v>11</v>
      </c>
      <c r="C46" s="266" t="s">
        <v>2005</v>
      </c>
      <c r="D46" s="268">
        <v>5353</v>
      </c>
      <c r="E46" s="269">
        <v>44523</v>
      </c>
      <c r="F46" s="269">
        <v>44599</v>
      </c>
      <c r="G46" s="270">
        <f t="shared" si="0"/>
        <v>76</v>
      </c>
      <c r="H46" s="271">
        <f t="shared" si="1"/>
        <v>0.02</v>
      </c>
      <c r="I46" s="272">
        <f t="shared" si="2"/>
        <v>107.06</v>
      </c>
    </row>
    <row r="47" spans="1:9" x14ac:dyDescent="0.35">
      <c r="A47" s="266" t="s">
        <v>1976</v>
      </c>
      <c r="B47" s="267">
        <v>3</v>
      </c>
      <c r="C47" s="266" t="s">
        <v>2006</v>
      </c>
      <c r="D47" s="268">
        <v>8964</v>
      </c>
      <c r="E47" s="269">
        <v>44541</v>
      </c>
      <c r="F47" s="269">
        <v>44599</v>
      </c>
      <c r="G47" s="270">
        <f t="shared" si="0"/>
        <v>58</v>
      </c>
      <c r="H47" s="271">
        <f t="shared" si="1"/>
        <v>0.01</v>
      </c>
      <c r="I47" s="272">
        <f t="shared" si="2"/>
        <v>89.64</v>
      </c>
    </row>
    <row r="48" spans="1:9" x14ac:dyDescent="0.35">
      <c r="A48" s="266" t="s">
        <v>2004</v>
      </c>
      <c r="B48" s="267">
        <v>11</v>
      </c>
      <c r="C48" s="266" t="s">
        <v>2007</v>
      </c>
      <c r="D48" s="268">
        <v>7505</v>
      </c>
      <c r="E48" s="269">
        <v>44534</v>
      </c>
      <c r="F48" s="269">
        <v>44599</v>
      </c>
      <c r="G48" s="270">
        <f t="shared" si="0"/>
        <v>65</v>
      </c>
      <c r="H48" s="271">
        <f t="shared" si="1"/>
        <v>0.02</v>
      </c>
      <c r="I48" s="272">
        <f t="shared" si="2"/>
        <v>150.1</v>
      </c>
    </row>
    <row r="49" spans="1:9" x14ac:dyDescent="0.35">
      <c r="A49" s="266" t="s">
        <v>1945</v>
      </c>
      <c r="B49" s="267">
        <v>21</v>
      </c>
      <c r="C49" s="266" t="s">
        <v>2008</v>
      </c>
      <c r="D49" s="268">
        <v>9763</v>
      </c>
      <c r="E49" s="269">
        <v>44562</v>
      </c>
      <c r="F49" s="269">
        <v>44599</v>
      </c>
      <c r="G49" s="270">
        <f t="shared" si="0"/>
        <v>37</v>
      </c>
      <c r="H49" s="271">
        <f t="shared" si="1"/>
        <v>0.01</v>
      </c>
      <c r="I49" s="272">
        <f t="shared" si="2"/>
        <v>97.63</v>
      </c>
    </row>
    <row r="50" spans="1:9" x14ac:dyDescent="0.35">
      <c r="A50" s="266" t="s">
        <v>2009</v>
      </c>
      <c r="B50" s="267">
        <v>9</v>
      </c>
      <c r="C50" s="266" t="s">
        <v>2010</v>
      </c>
      <c r="D50" s="268">
        <v>1238</v>
      </c>
      <c r="E50" s="269">
        <v>44523</v>
      </c>
      <c r="F50" s="269">
        <v>44599</v>
      </c>
      <c r="G50" s="270">
        <f t="shared" si="0"/>
        <v>76</v>
      </c>
      <c r="H50" s="271">
        <f t="shared" si="1"/>
        <v>0.02</v>
      </c>
      <c r="I50" s="272">
        <f t="shared" si="2"/>
        <v>24.76</v>
      </c>
    </row>
    <row r="51" spans="1:9" x14ac:dyDescent="0.35">
      <c r="A51" s="266" t="s">
        <v>1980</v>
      </c>
      <c r="B51" s="267">
        <v>7</v>
      </c>
      <c r="C51" s="266" t="s">
        <v>2011</v>
      </c>
      <c r="D51" s="268">
        <v>2011</v>
      </c>
      <c r="E51" s="269">
        <v>44523</v>
      </c>
      <c r="F51" s="269">
        <v>44599</v>
      </c>
      <c r="G51" s="270">
        <f t="shared" si="0"/>
        <v>76</v>
      </c>
      <c r="H51" s="271">
        <f t="shared" si="1"/>
        <v>0.02</v>
      </c>
      <c r="I51" s="272">
        <f t="shared" si="2"/>
        <v>40.22</v>
      </c>
    </row>
    <row r="52" spans="1:9" x14ac:dyDescent="0.35">
      <c r="A52" s="266" t="s">
        <v>1939</v>
      </c>
      <c r="B52" s="267">
        <v>20</v>
      </c>
      <c r="C52" s="266" t="s">
        <v>2012</v>
      </c>
      <c r="D52" s="268">
        <v>9566</v>
      </c>
      <c r="E52" s="269">
        <v>44529</v>
      </c>
      <c r="F52" s="269">
        <v>44599</v>
      </c>
      <c r="G52" s="270">
        <f t="shared" si="0"/>
        <v>70</v>
      </c>
      <c r="H52" s="271">
        <f t="shared" si="1"/>
        <v>0.02</v>
      </c>
      <c r="I52" s="272">
        <f t="shared" si="2"/>
        <v>191.32</v>
      </c>
    </row>
    <row r="53" spans="1:9" x14ac:dyDescent="0.35">
      <c r="A53" s="266" t="s">
        <v>1945</v>
      </c>
      <c r="B53" s="267">
        <v>21</v>
      </c>
      <c r="C53" s="266" t="s">
        <v>2013</v>
      </c>
      <c r="D53" s="268">
        <v>7751</v>
      </c>
      <c r="E53" s="269">
        <v>44510</v>
      </c>
      <c r="F53" s="269">
        <v>44599</v>
      </c>
      <c r="G53" s="270">
        <f t="shared" si="0"/>
        <v>89</v>
      </c>
      <c r="H53" s="271">
        <f t="shared" si="1"/>
        <v>0.03</v>
      </c>
      <c r="I53" s="272">
        <f t="shared" si="2"/>
        <v>232.53</v>
      </c>
    </row>
    <row r="54" spans="1:9" x14ac:dyDescent="0.35">
      <c r="A54" s="266" t="s">
        <v>1960</v>
      </c>
      <c r="B54" s="267">
        <v>6</v>
      </c>
      <c r="C54" s="266" t="s">
        <v>2014</v>
      </c>
      <c r="D54" s="268">
        <v>5126</v>
      </c>
      <c r="E54" s="269">
        <v>44573</v>
      </c>
      <c r="F54" s="269">
        <v>44599</v>
      </c>
      <c r="G54" s="270">
        <f t="shared" si="0"/>
        <v>26</v>
      </c>
      <c r="H54" s="271">
        <f t="shared" si="1"/>
        <v>0</v>
      </c>
      <c r="I54" s="272">
        <f t="shared" si="2"/>
        <v>0</v>
      </c>
    </row>
    <row r="55" spans="1:9" x14ac:dyDescent="0.35">
      <c r="A55" s="266" t="s">
        <v>2000</v>
      </c>
      <c r="B55" s="267">
        <v>23</v>
      </c>
      <c r="C55" s="266" t="s">
        <v>2015</v>
      </c>
      <c r="D55" s="268">
        <v>5201</v>
      </c>
      <c r="E55" s="269">
        <v>44570</v>
      </c>
      <c r="F55" s="269">
        <v>44599</v>
      </c>
      <c r="G55" s="270">
        <f t="shared" si="0"/>
        <v>29</v>
      </c>
      <c r="H55" s="271">
        <f t="shared" si="1"/>
        <v>0</v>
      </c>
      <c r="I55" s="272">
        <f t="shared" si="2"/>
        <v>0</v>
      </c>
    </row>
    <row r="56" spans="1:9" x14ac:dyDescent="0.35">
      <c r="A56" s="266" t="s">
        <v>1945</v>
      </c>
      <c r="B56" s="267">
        <v>21</v>
      </c>
      <c r="C56" s="266" t="s">
        <v>2016</v>
      </c>
      <c r="D56" s="268">
        <v>5226</v>
      </c>
      <c r="E56" s="269">
        <v>44562</v>
      </c>
      <c r="F56" s="269">
        <v>44599</v>
      </c>
      <c r="G56" s="270">
        <f t="shared" si="0"/>
        <v>37</v>
      </c>
      <c r="H56" s="271">
        <f t="shared" si="1"/>
        <v>0.01</v>
      </c>
      <c r="I56" s="272">
        <f t="shared" si="2"/>
        <v>52.26</v>
      </c>
    </row>
    <row r="57" spans="1:9" x14ac:dyDescent="0.35">
      <c r="A57" s="266" t="s">
        <v>1948</v>
      </c>
      <c r="B57" s="267">
        <v>18</v>
      </c>
      <c r="C57" s="266" t="s">
        <v>2017</v>
      </c>
      <c r="D57" s="268">
        <v>1051</v>
      </c>
      <c r="E57" s="269">
        <v>44537</v>
      </c>
      <c r="F57" s="269">
        <v>44599</v>
      </c>
      <c r="G57" s="270">
        <f t="shared" si="0"/>
        <v>62</v>
      </c>
      <c r="H57" s="271">
        <f t="shared" si="1"/>
        <v>0.02</v>
      </c>
      <c r="I57" s="272">
        <f t="shared" si="2"/>
        <v>21.02</v>
      </c>
    </row>
    <row r="58" spans="1:9" x14ac:dyDescent="0.35">
      <c r="A58" s="266" t="s">
        <v>2018</v>
      </c>
      <c r="B58" s="267">
        <v>4</v>
      </c>
      <c r="C58" s="266" t="s">
        <v>2019</v>
      </c>
      <c r="D58" s="268">
        <v>5842</v>
      </c>
      <c r="E58" s="269">
        <v>44578</v>
      </c>
      <c r="F58" s="269">
        <v>44599</v>
      </c>
      <c r="G58" s="270">
        <f t="shared" si="0"/>
        <v>21</v>
      </c>
      <c r="H58" s="271">
        <f t="shared" si="1"/>
        <v>0</v>
      </c>
      <c r="I58" s="272">
        <f t="shared" si="2"/>
        <v>0</v>
      </c>
    </row>
    <row r="59" spans="1:9" x14ac:dyDescent="0.35">
      <c r="A59" s="266" t="s">
        <v>2000</v>
      </c>
      <c r="B59" s="267">
        <v>23</v>
      </c>
      <c r="C59" s="266" t="s">
        <v>2020</v>
      </c>
      <c r="D59" s="268">
        <v>3415</v>
      </c>
      <c r="E59" s="269">
        <v>44547</v>
      </c>
      <c r="F59" s="269">
        <v>44599</v>
      </c>
      <c r="G59" s="270">
        <f t="shared" si="0"/>
        <v>52</v>
      </c>
      <c r="H59" s="271">
        <f t="shared" si="1"/>
        <v>0.01</v>
      </c>
      <c r="I59" s="272">
        <f t="shared" si="2"/>
        <v>34.15</v>
      </c>
    </row>
    <row r="60" spans="1:9" x14ac:dyDescent="0.35">
      <c r="A60" s="266" t="s">
        <v>1945</v>
      </c>
      <c r="B60" s="267">
        <v>21</v>
      </c>
      <c r="C60" s="266" t="s">
        <v>2021</v>
      </c>
      <c r="D60" s="268">
        <v>1543</v>
      </c>
      <c r="E60" s="269">
        <v>44512</v>
      </c>
      <c r="F60" s="269">
        <v>44599</v>
      </c>
      <c r="G60" s="270">
        <f t="shared" si="0"/>
        <v>87</v>
      </c>
      <c r="H60" s="271">
        <f t="shared" si="1"/>
        <v>0.03</v>
      </c>
      <c r="I60" s="272">
        <f t="shared" si="2"/>
        <v>46.29</v>
      </c>
    </row>
    <row r="61" spans="1:9" x14ac:dyDescent="0.35">
      <c r="A61" s="266" t="s">
        <v>1989</v>
      </c>
      <c r="B61" s="267">
        <v>14</v>
      </c>
      <c r="C61" s="266" t="s">
        <v>2022</v>
      </c>
      <c r="D61" s="268">
        <v>9879</v>
      </c>
      <c r="E61" s="269">
        <v>44566</v>
      </c>
      <c r="F61" s="269">
        <v>44599</v>
      </c>
      <c r="G61" s="270">
        <f t="shared" si="0"/>
        <v>33</v>
      </c>
      <c r="H61" s="271">
        <f t="shared" si="1"/>
        <v>0.01</v>
      </c>
      <c r="I61" s="272">
        <f t="shared" si="2"/>
        <v>98.79</v>
      </c>
    </row>
    <row r="62" spans="1:9" x14ac:dyDescent="0.35">
      <c r="A62" s="266" t="s">
        <v>1977</v>
      </c>
      <c r="B62" s="267">
        <v>19</v>
      </c>
      <c r="C62" s="266" t="s">
        <v>2023</v>
      </c>
      <c r="D62" s="268">
        <v>6048</v>
      </c>
      <c r="E62" s="269">
        <v>44579</v>
      </c>
      <c r="F62" s="269">
        <v>44599</v>
      </c>
      <c r="G62" s="270">
        <f t="shared" si="0"/>
        <v>20</v>
      </c>
      <c r="H62" s="271">
        <f t="shared" si="1"/>
        <v>0</v>
      </c>
      <c r="I62" s="272">
        <f t="shared" si="2"/>
        <v>0</v>
      </c>
    </row>
    <row r="63" spans="1:9" x14ac:dyDescent="0.35">
      <c r="A63" s="266" t="s">
        <v>1992</v>
      </c>
      <c r="B63" s="267">
        <v>19</v>
      </c>
      <c r="C63" s="266" t="s">
        <v>2024</v>
      </c>
      <c r="D63" s="268">
        <v>3848</v>
      </c>
      <c r="E63" s="269">
        <v>44506</v>
      </c>
      <c r="F63" s="269">
        <v>44599</v>
      </c>
      <c r="G63" s="270">
        <f t="shared" si="0"/>
        <v>93</v>
      </c>
      <c r="H63" s="271">
        <f t="shared" si="1"/>
        <v>0.03</v>
      </c>
      <c r="I63" s="272">
        <f t="shared" si="2"/>
        <v>115.44</v>
      </c>
    </row>
    <row r="64" spans="1:9" x14ac:dyDescent="0.35">
      <c r="A64" s="266" t="s">
        <v>1980</v>
      </c>
      <c r="B64" s="267">
        <v>7</v>
      </c>
      <c r="C64" s="266" t="s">
        <v>2025</v>
      </c>
      <c r="D64" s="268">
        <v>9985</v>
      </c>
      <c r="E64" s="269">
        <v>44472</v>
      </c>
      <c r="F64" s="269">
        <v>44599</v>
      </c>
      <c r="G64" s="270">
        <f t="shared" si="0"/>
        <v>127</v>
      </c>
      <c r="H64" s="271">
        <f t="shared" si="1"/>
        <v>0.03</v>
      </c>
      <c r="I64" s="272">
        <f t="shared" si="2"/>
        <v>299.55</v>
      </c>
    </row>
    <row r="65" spans="1:9" x14ac:dyDescent="0.35">
      <c r="A65" s="266" t="s">
        <v>2026</v>
      </c>
      <c r="B65" s="267">
        <v>5</v>
      </c>
      <c r="C65" s="266" t="s">
        <v>2027</v>
      </c>
      <c r="D65" s="268">
        <v>3050</v>
      </c>
      <c r="E65" s="269">
        <v>44564</v>
      </c>
      <c r="F65" s="269">
        <v>44599</v>
      </c>
      <c r="G65" s="270">
        <f t="shared" si="0"/>
        <v>35</v>
      </c>
      <c r="H65" s="271">
        <f t="shared" si="1"/>
        <v>0.01</v>
      </c>
      <c r="I65" s="272">
        <f t="shared" si="2"/>
        <v>30.5</v>
      </c>
    </row>
    <row r="66" spans="1:9" x14ac:dyDescent="0.35">
      <c r="A66" s="266" t="s">
        <v>2026</v>
      </c>
      <c r="B66" s="267">
        <v>5</v>
      </c>
      <c r="C66" s="266" t="s">
        <v>2028</v>
      </c>
      <c r="D66" s="268">
        <v>9681</v>
      </c>
      <c r="E66" s="269">
        <v>44528</v>
      </c>
      <c r="F66" s="269">
        <v>44599</v>
      </c>
      <c r="G66" s="270">
        <f t="shared" si="0"/>
        <v>71</v>
      </c>
      <c r="H66" s="271">
        <f t="shared" si="1"/>
        <v>0.02</v>
      </c>
      <c r="I66" s="272">
        <f t="shared" si="2"/>
        <v>193.62</v>
      </c>
    </row>
    <row r="67" spans="1:9" x14ac:dyDescent="0.35">
      <c r="A67" s="266" t="s">
        <v>1989</v>
      </c>
      <c r="B67" s="267">
        <v>14</v>
      </c>
      <c r="C67" s="266" t="s">
        <v>2029</v>
      </c>
      <c r="D67" s="268">
        <v>9916</v>
      </c>
      <c r="E67" s="269">
        <v>44570</v>
      </c>
      <c r="F67" s="269">
        <v>44599</v>
      </c>
      <c r="G67" s="270">
        <f t="shared" si="0"/>
        <v>29</v>
      </c>
      <c r="H67" s="271">
        <f t="shared" si="1"/>
        <v>0</v>
      </c>
      <c r="I67" s="272">
        <f t="shared" si="2"/>
        <v>0</v>
      </c>
    </row>
    <row r="68" spans="1:9" x14ac:dyDescent="0.35">
      <c r="A68" s="266" t="s">
        <v>2000</v>
      </c>
      <c r="B68" s="267">
        <v>23</v>
      </c>
      <c r="C68" s="266" t="s">
        <v>2030</v>
      </c>
      <c r="D68" s="268">
        <v>8362</v>
      </c>
      <c r="E68" s="269">
        <v>44532</v>
      </c>
      <c r="F68" s="269">
        <v>44599</v>
      </c>
      <c r="G68" s="270">
        <f t="shared" si="0"/>
        <v>67</v>
      </c>
      <c r="H68" s="271">
        <f t="shared" si="1"/>
        <v>0.02</v>
      </c>
      <c r="I68" s="272">
        <f t="shared" si="2"/>
        <v>167.24</v>
      </c>
    </row>
    <row r="69" spans="1:9" x14ac:dyDescent="0.35">
      <c r="A69" s="266" t="s">
        <v>1994</v>
      </c>
      <c r="B69" s="267">
        <v>13</v>
      </c>
      <c r="C69" s="266" t="s">
        <v>2031</v>
      </c>
      <c r="D69" s="268">
        <v>7721</v>
      </c>
      <c r="E69" s="269">
        <v>44522</v>
      </c>
      <c r="F69" s="269">
        <v>44599</v>
      </c>
      <c r="G69" s="270">
        <f t="shared" si="0"/>
        <v>77</v>
      </c>
      <c r="H69" s="271">
        <f t="shared" si="1"/>
        <v>0.02</v>
      </c>
      <c r="I69" s="272">
        <f t="shared" si="2"/>
        <v>154.42000000000002</v>
      </c>
    </row>
    <row r="70" spans="1:9" x14ac:dyDescent="0.35">
      <c r="A70" s="266" t="s">
        <v>1948</v>
      </c>
      <c r="B70" s="267">
        <v>18</v>
      </c>
      <c r="C70" s="266" t="s">
        <v>2032</v>
      </c>
      <c r="D70" s="268">
        <v>8931</v>
      </c>
      <c r="E70" s="269">
        <v>44518</v>
      </c>
      <c r="F70" s="269">
        <v>44599</v>
      </c>
      <c r="G70" s="270">
        <f t="shared" si="0"/>
        <v>81</v>
      </c>
      <c r="H70" s="271">
        <f t="shared" si="1"/>
        <v>0.03</v>
      </c>
      <c r="I70" s="272">
        <f t="shared" si="2"/>
        <v>267.93</v>
      </c>
    </row>
    <row r="71" spans="1:9" x14ac:dyDescent="0.35">
      <c r="A71" s="266" t="s">
        <v>2004</v>
      </c>
      <c r="B71" s="267">
        <v>11</v>
      </c>
      <c r="C71" s="266" t="s">
        <v>2033</v>
      </c>
      <c r="D71" s="268">
        <v>9917</v>
      </c>
      <c r="E71" s="269">
        <v>44557</v>
      </c>
      <c r="F71" s="269">
        <v>44599</v>
      </c>
      <c r="G71" s="270">
        <f t="shared" si="0"/>
        <v>42</v>
      </c>
      <c r="H71" s="271">
        <f t="shared" si="1"/>
        <v>0.01</v>
      </c>
      <c r="I71" s="272">
        <f t="shared" si="2"/>
        <v>99.17</v>
      </c>
    </row>
    <row r="72" spans="1:9" x14ac:dyDescent="0.35">
      <c r="A72" s="266" t="s">
        <v>1957</v>
      </c>
      <c r="B72" s="267">
        <v>10</v>
      </c>
      <c r="C72" s="266" t="s">
        <v>2034</v>
      </c>
      <c r="D72" s="268">
        <v>8157</v>
      </c>
      <c r="E72" s="269">
        <v>44570</v>
      </c>
      <c r="F72" s="269">
        <v>44599</v>
      </c>
      <c r="G72" s="270">
        <f t="shared" si="0"/>
        <v>29</v>
      </c>
      <c r="H72" s="271">
        <f t="shared" si="1"/>
        <v>0</v>
      </c>
      <c r="I72" s="272">
        <f t="shared" si="2"/>
        <v>0</v>
      </c>
    </row>
    <row r="73" spans="1:9" x14ac:dyDescent="0.35">
      <c r="A73" s="266" t="s">
        <v>1954</v>
      </c>
      <c r="B73" s="267">
        <v>24</v>
      </c>
      <c r="C73" s="266" t="s">
        <v>2035</v>
      </c>
      <c r="D73" s="268">
        <v>5500</v>
      </c>
      <c r="E73" s="269">
        <v>44564</v>
      </c>
      <c r="F73" s="269">
        <v>44599</v>
      </c>
      <c r="G73" s="270">
        <f t="shared" si="0"/>
        <v>35</v>
      </c>
      <c r="H73" s="271">
        <f t="shared" si="1"/>
        <v>0.01</v>
      </c>
      <c r="I73" s="272">
        <f t="shared" si="2"/>
        <v>55</v>
      </c>
    </row>
    <row r="74" spans="1:9" x14ac:dyDescent="0.35">
      <c r="A74" s="266" t="s">
        <v>1942</v>
      </c>
      <c r="B74" s="267">
        <v>8</v>
      </c>
      <c r="C74" s="266" t="s">
        <v>2036</v>
      </c>
      <c r="D74" s="268">
        <v>3117</v>
      </c>
      <c r="E74" s="269">
        <v>44578</v>
      </c>
      <c r="F74" s="269">
        <v>44599</v>
      </c>
      <c r="G74" s="270">
        <f t="shared" si="0"/>
        <v>21</v>
      </c>
      <c r="H74" s="271">
        <f t="shared" si="1"/>
        <v>0</v>
      </c>
      <c r="I74" s="272">
        <f t="shared" si="2"/>
        <v>0</v>
      </c>
    </row>
    <row r="75" spans="1:9" x14ac:dyDescent="0.35">
      <c r="A75" s="266" t="s">
        <v>1951</v>
      </c>
      <c r="B75" s="267">
        <v>25</v>
      </c>
      <c r="C75" s="266" t="s">
        <v>2037</v>
      </c>
      <c r="D75" s="268">
        <v>4826</v>
      </c>
      <c r="E75" s="269">
        <v>44514</v>
      </c>
      <c r="F75" s="269">
        <v>44599</v>
      </c>
      <c r="G75" s="270">
        <f t="shared" si="0"/>
        <v>85</v>
      </c>
      <c r="H75" s="271">
        <f t="shared" si="1"/>
        <v>0.03</v>
      </c>
      <c r="I75" s="272">
        <f t="shared" si="2"/>
        <v>144.78</v>
      </c>
    </row>
    <row r="76" spans="1:9" x14ac:dyDescent="0.35">
      <c r="A76" s="266" t="s">
        <v>1951</v>
      </c>
      <c r="B76" s="267">
        <v>25</v>
      </c>
      <c r="C76" s="266" t="s">
        <v>2038</v>
      </c>
      <c r="D76" s="268">
        <v>4834</v>
      </c>
      <c r="E76" s="269">
        <v>44559</v>
      </c>
      <c r="F76" s="269">
        <v>44599</v>
      </c>
      <c r="G76" s="270">
        <f t="shared" si="0"/>
        <v>40</v>
      </c>
      <c r="H76" s="271">
        <f t="shared" si="1"/>
        <v>0.01</v>
      </c>
      <c r="I76" s="272">
        <f t="shared" si="2"/>
        <v>48.34</v>
      </c>
    </row>
    <row r="77" spans="1:9" x14ac:dyDescent="0.35">
      <c r="A77" s="266" t="s">
        <v>1992</v>
      </c>
      <c r="B77" s="267">
        <v>19</v>
      </c>
      <c r="C77" s="266" t="s">
        <v>2039</v>
      </c>
      <c r="D77" s="268">
        <v>1799</v>
      </c>
      <c r="E77" s="269">
        <v>44516</v>
      </c>
      <c r="F77" s="269">
        <v>44599</v>
      </c>
      <c r="G77" s="270">
        <f t="shared" ref="G77:G140" si="3">F77-E77</f>
        <v>83</v>
      </c>
      <c r="H77" s="271">
        <f t="shared" ref="H77:H140" si="4">IF(G77&lt;=30,0,IF(G77&lt;60,1%,IF(G77&lt;80,2%,3%)))</f>
        <v>0.03</v>
      </c>
      <c r="I77" s="272">
        <f t="shared" ref="I77:I140" si="5">H77*D77</f>
        <v>53.97</v>
      </c>
    </row>
    <row r="78" spans="1:9" x14ac:dyDescent="0.35">
      <c r="A78" s="266" t="s">
        <v>1976</v>
      </c>
      <c r="B78" s="267">
        <v>3</v>
      </c>
      <c r="C78" s="266" t="s">
        <v>2040</v>
      </c>
      <c r="D78" s="268">
        <v>2366</v>
      </c>
      <c r="E78" s="269">
        <v>44531</v>
      </c>
      <c r="F78" s="269">
        <v>44599</v>
      </c>
      <c r="G78" s="270">
        <f t="shared" si="3"/>
        <v>68</v>
      </c>
      <c r="H78" s="271">
        <f t="shared" si="4"/>
        <v>0.02</v>
      </c>
      <c r="I78" s="272">
        <f t="shared" si="5"/>
        <v>47.32</v>
      </c>
    </row>
    <row r="79" spans="1:9" x14ac:dyDescent="0.35">
      <c r="A79" s="266" t="s">
        <v>1977</v>
      </c>
      <c r="B79" s="267">
        <v>22</v>
      </c>
      <c r="C79" s="266" t="s">
        <v>2041</v>
      </c>
      <c r="D79" s="268">
        <v>3695</v>
      </c>
      <c r="E79" s="269">
        <v>44565</v>
      </c>
      <c r="F79" s="269">
        <v>44599</v>
      </c>
      <c r="G79" s="270">
        <f t="shared" si="3"/>
        <v>34</v>
      </c>
      <c r="H79" s="271">
        <f t="shared" si="4"/>
        <v>0.01</v>
      </c>
      <c r="I79" s="272">
        <f t="shared" si="5"/>
        <v>36.950000000000003</v>
      </c>
    </row>
    <row r="80" spans="1:9" x14ac:dyDescent="0.35">
      <c r="A80" s="266" t="s">
        <v>1945</v>
      </c>
      <c r="B80" s="267">
        <v>21</v>
      </c>
      <c r="C80" s="266" t="s">
        <v>2042</v>
      </c>
      <c r="D80" s="268">
        <v>8551</v>
      </c>
      <c r="E80" s="269">
        <v>44519</v>
      </c>
      <c r="F80" s="269">
        <v>44599</v>
      </c>
      <c r="G80" s="270">
        <f t="shared" si="3"/>
        <v>80</v>
      </c>
      <c r="H80" s="271">
        <f t="shared" si="4"/>
        <v>0.03</v>
      </c>
      <c r="I80" s="272">
        <f t="shared" si="5"/>
        <v>256.52999999999997</v>
      </c>
    </row>
    <row r="81" spans="1:9" x14ac:dyDescent="0.35">
      <c r="A81" s="266" t="s">
        <v>1939</v>
      </c>
      <c r="B81" s="267">
        <v>20</v>
      </c>
      <c r="C81" s="266" t="s">
        <v>2043</v>
      </c>
      <c r="D81" s="268">
        <v>7049</v>
      </c>
      <c r="E81" s="269">
        <v>44511</v>
      </c>
      <c r="F81" s="269">
        <v>44599</v>
      </c>
      <c r="G81" s="270">
        <f t="shared" si="3"/>
        <v>88</v>
      </c>
      <c r="H81" s="271">
        <f t="shared" si="4"/>
        <v>0.03</v>
      </c>
      <c r="I81" s="272">
        <f t="shared" si="5"/>
        <v>211.47</v>
      </c>
    </row>
    <row r="82" spans="1:9" x14ac:dyDescent="0.35">
      <c r="A82" s="266" t="s">
        <v>1951</v>
      </c>
      <c r="B82" s="267">
        <v>25</v>
      </c>
      <c r="C82" s="266" t="s">
        <v>2044</v>
      </c>
      <c r="D82" s="268">
        <v>2954</v>
      </c>
      <c r="E82" s="269">
        <v>44503</v>
      </c>
      <c r="F82" s="269">
        <v>44599</v>
      </c>
      <c r="G82" s="270">
        <f t="shared" si="3"/>
        <v>96</v>
      </c>
      <c r="H82" s="271">
        <f t="shared" si="4"/>
        <v>0.03</v>
      </c>
      <c r="I82" s="272">
        <f t="shared" si="5"/>
        <v>88.61999999999999</v>
      </c>
    </row>
    <row r="83" spans="1:9" x14ac:dyDescent="0.35">
      <c r="A83" s="266" t="s">
        <v>2018</v>
      </c>
      <c r="B83" s="267">
        <v>4</v>
      </c>
      <c r="C83" s="266" t="s">
        <v>2045</v>
      </c>
      <c r="D83" s="268">
        <v>9115</v>
      </c>
      <c r="E83" s="269">
        <v>44517</v>
      </c>
      <c r="F83" s="269">
        <v>44599</v>
      </c>
      <c r="G83" s="270">
        <f t="shared" si="3"/>
        <v>82</v>
      </c>
      <c r="H83" s="271">
        <f t="shared" si="4"/>
        <v>0.03</v>
      </c>
      <c r="I83" s="272">
        <f t="shared" si="5"/>
        <v>273.45</v>
      </c>
    </row>
    <row r="84" spans="1:9" x14ac:dyDescent="0.35">
      <c r="A84" s="266" t="s">
        <v>1989</v>
      </c>
      <c r="B84" s="267">
        <v>14</v>
      </c>
      <c r="C84" s="266" t="s">
        <v>2046</v>
      </c>
      <c r="D84" s="268">
        <v>8890</v>
      </c>
      <c r="E84" s="269">
        <v>44519</v>
      </c>
      <c r="F84" s="269">
        <v>44599</v>
      </c>
      <c r="G84" s="270">
        <f t="shared" si="3"/>
        <v>80</v>
      </c>
      <c r="H84" s="271">
        <f t="shared" si="4"/>
        <v>0.03</v>
      </c>
      <c r="I84" s="272">
        <f t="shared" si="5"/>
        <v>266.7</v>
      </c>
    </row>
    <row r="85" spans="1:9" x14ac:dyDescent="0.35">
      <c r="A85" s="266" t="s">
        <v>1978</v>
      </c>
      <c r="B85" s="267">
        <v>15</v>
      </c>
      <c r="C85" s="266" t="s">
        <v>2047</v>
      </c>
      <c r="D85" s="268">
        <v>9728</v>
      </c>
      <c r="E85" s="269">
        <v>44503</v>
      </c>
      <c r="F85" s="269">
        <v>44599</v>
      </c>
      <c r="G85" s="270">
        <f t="shared" si="3"/>
        <v>96</v>
      </c>
      <c r="H85" s="271">
        <f t="shared" si="4"/>
        <v>0.03</v>
      </c>
      <c r="I85" s="272">
        <f t="shared" si="5"/>
        <v>291.83999999999997</v>
      </c>
    </row>
    <row r="86" spans="1:9" x14ac:dyDescent="0.35">
      <c r="A86" s="266" t="s">
        <v>1969</v>
      </c>
      <c r="B86" s="267">
        <v>2</v>
      </c>
      <c r="C86" s="266" t="s">
        <v>2048</v>
      </c>
      <c r="D86" s="268">
        <v>9859</v>
      </c>
      <c r="E86" s="269">
        <v>44573</v>
      </c>
      <c r="F86" s="269">
        <v>44599</v>
      </c>
      <c r="G86" s="270">
        <f t="shared" si="3"/>
        <v>26</v>
      </c>
      <c r="H86" s="271">
        <f t="shared" si="4"/>
        <v>0</v>
      </c>
      <c r="I86" s="272">
        <f t="shared" si="5"/>
        <v>0</v>
      </c>
    </row>
    <row r="87" spans="1:9" x14ac:dyDescent="0.35">
      <c r="A87" s="266" t="s">
        <v>1978</v>
      </c>
      <c r="B87" s="267">
        <v>15</v>
      </c>
      <c r="C87" s="266" t="s">
        <v>2049</v>
      </c>
      <c r="D87" s="268">
        <v>7832</v>
      </c>
      <c r="E87" s="269">
        <v>44545</v>
      </c>
      <c r="F87" s="269">
        <v>44599</v>
      </c>
      <c r="G87" s="270">
        <f t="shared" si="3"/>
        <v>54</v>
      </c>
      <c r="H87" s="271">
        <f t="shared" si="4"/>
        <v>0.01</v>
      </c>
      <c r="I87" s="272">
        <f t="shared" si="5"/>
        <v>78.320000000000007</v>
      </c>
    </row>
    <row r="88" spans="1:9" x14ac:dyDescent="0.35">
      <c r="A88" s="266" t="s">
        <v>2009</v>
      </c>
      <c r="B88" s="267">
        <v>9</v>
      </c>
      <c r="C88" s="266" t="s">
        <v>2050</v>
      </c>
      <c r="D88" s="268">
        <v>4839</v>
      </c>
      <c r="E88" s="269">
        <v>44543</v>
      </c>
      <c r="F88" s="269">
        <v>44599</v>
      </c>
      <c r="G88" s="270">
        <f t="shared" si="3"/>
        <v>56</v>
      </c>
      <c r="H88" s="271">
        <f t="shared" si="4"/>
        <v>0.01</v>
      </c>
      <c r="I88" s="272">
        <f t="shared" si="5"/>
        <v>48.39</v>
      </c>
    </row>
    <row r="89" spans="1:9" x14ac:dyDescent="0.35">
      <c r="A89" s="266" t="s">
        <v>1966</v>
      </c>
      <c r="B89" s="267">
        <v>12</v>
      </c>
      <c r="C89" s="266" t="s">
        <v>2051</v>
      </c>
      <c r="D89" s="268">
        <v>3198</v>
      </c>
      <c r="E89" s="269">
        <v>44525</v>
      </c>
      <c r="F89" s="269">
        <v>44599</v>
      </c>
      <c r="G89" s="270">
        <f t="shared" si="3"/>
        <v>74</v>
      </c>
      <c r="H89" s="271">
        <f t="shared" si="4"/>
        <v>0.02</v>
      </c>
      <c r="I89" s="272">
        <f t="shared" si="5"/>
        <v>63.96</v>
      </c>
    </row>
    <row r="90" spans="1:9" x14ac:dyDescent="0.35">
      <c r="A90" s="266" t="s">
        <v>1948</v>
      </c>
      <c r="B90" s="267">
        <v>18</v>
      </c>
      <c r="C90" s="266" t="s">
        <v>2052</v>
      </c>
      <c r="D90" s="268">
        <v>2354</v>
      </c>
      <c r="E90" s="269">
        <v>44532</v>
      </c>
      <c r="F90" s="269">
        <v>44599</v>
      </c>
      <c r="G90" s="270">
        <f t="shared" si="3"/>
        <v>67</v>
      </c>
      <c r="H90" s="271">
        <f t="shared" si="4"/>
        <v>0.02</v>
      </c>
      <c r="I90" s="272">
        <f t="shared" si="5"/>
        <v>47.08</v>
      </c>
    </row>
    <row r="91" spans="1:9" x14ac:dyDescent="0.35">
      <c r="A91" s="266" t="s">
        <v>1948</v>
      </c>
      <c r="B91" s="267">
        <v>18</v>
      </c>
      <c r="C91" s="266" t="s">
        <v>2053</v>
      </c>
      <c r="D91" s="268">
        <v>2002</v>
      </c>
      <c r="E91" s="269">
        <v>44575</v>
      </c>
      <c r="F91" s="269">
        <v>44599</v>
      </c>
      <c r="G91" s="270">
        <f t="shared" si="3"/>
        <v>24</v>
      </c>
      <c r="H91" s="271">
        <f t="shared" si="4"/>
        <v>0</v>
      </c>
      <c r="I91" s="272">
        <f t="shared" si="5"/>
        <v>0</v>
      </c>
    </row>
    <row r="92" spans="1:9" x14ac:dyDescent="0.35">
      <c r="A92" s="266" t="s">
        <v>2009</v>
      </c>
      <c r="B92" s="267">
        <v>9</v>
      </c>
      <c r="C92" s="266" t="s">
        <v>2054</v>
      </c>
      <c r="D92" s="268">
        <v>3844</v>
      </c>
      <c r="E92" s="269">
        <v>44539</v>
      </c>
      <c r="F92" s="269">
        <v>44599</v>
      </c>
      <c r="G92" s="270">
        <f t="shared" si="3"/>
        <v>60</v>
      </c>
      <c r="H92" s="271">
        <f t="shared" si="4"/>
        <v>0.02</v>
      </c>
      <c r="I92" s="272">
        <f t="shared" si="5"/>
        <v>76.88</v>
      </c>
    </row>
    <row r="93" spans="1:9" x14ac:dyDescent="0.35">
      <c r="A93" s="266" t="s">
        <v>1978</v>
      </c>
      <c r="B93" s="267">
        <v>15</v>
      </c>
      <c r="C93" s="266" t="s">
        <v>2055</v>
      </c>
      <c r="D93" s="268">
        <v>4616</v>
      </c>
      <c r="E93" s="269">
        <v>44544</v>
      </c>
      <c r="F93" s="269">
        <v>44599</v>
      </c>
      <c r="G93" s="270">
        <f t="shared" si="3"/>
        <v>55</v>
      </c>
      <c r="H93" s="271">
        <f t="shared" si="4"/>
        <v>0.01</v>
      </c>
      <c r="I93" s="272">
        <f t="shared" si="5"/>
        <v>46.160000000000004</v>
      </c>
    </row>
    <row r="94" spans="1:9" x14ac:dyDescent="0.35">
      <c r="A94" s="266" t="s">
        <v>2004</v>
      </c>
      <c r="B94" s="267">
        <v>11</v>
      </c>
      <c r="C94" s="266" t="s">
        <v>2056</v>
      </c>
      <c r="D94" s="268">
        <v>2906</v>
      </c>
      <c r="E94" s="269">
        <v>44526</v>
      </c>
      <c r="F94" s="269">
        <v>44599</v>
      </c>
      <c r="G94" s="270">
        <f t="shared" si="3"/>
        <v>73</v>
      </c>
      <c r="H94" s="271">
        <f t="shared" si="4"/>
        <v>0.02</v>
      </c>
      <c r="I94" s="272">
        <f t="shared" si="5"/>
        <v>58.120000000000005</v>
      </c>
    </row>
    <row r="95" spans="1:9" x14ac:dyDescent="0.35">
      <c r="A95" s="266" t="s">
        <v>2004</v>
      </c>
      <c r="B95" s="267">
        <v>11</v>
      </c>
      <c r="C95" s="266" t="s">
        <v>2057</v>
      </c>
      <c r="D95" s="268">
        <v>2703</v>
      </c>
      <c r="E95" s="269">
        <v>44536</v>
      </c>
      <c r="F95" s="269">
        <v>44599</v>
      </c>
      <c r="G95" s="270">
        <f t="shared" si="3"/>
        <v>63</v>
      </c>
      <c r="H95" s="271">
        <f t="shared" si="4"/>
        <v>0.02</v>
      </c>
      <c r="I95" s="272">
        <f t="shared" si="5"/>
        <v>54.06</v>
      </c>
    </row>
    <row r="96" spans="1:9" x14ac:dyDescent="0.35">
      <c r="A96" s="266" t="s">
        <v>1945</v>
      </c>
      <c r="B96" s="267">
        <v>21</v>
      </c>
      <c r="C96" s="266" t="s">
        <v>2058</v>
      </c>
      <c r="D96" s="268">
        <v>2636</v>
      </c>
      <c r="E96" s="269">
        <v>44520</v>
      </c>
      <c r="F96" s="269">
        <v>44599</v>
      </c>
      <c r="G96" s="270">
        <f t="shared" si="3"/>
        <v>79</v>
      </c>
      <c r="H96" s="271">
        <f t="shared" si="4"/>
        <v>0.02</v>
      </c>
      <c r="I96" s="272">
        <f t="shared" si="5"/>
        <v>52.72</v>
      </c>
    </row>
    <row r="97" spans="1:9" x14ac:dyDescent="0.35">
      <c r="A97" s="266" t="s">
        <v>1962</v>
      </c>
      <c r="B97" s="267">
        <v>1</v>
      </c>
      <c r="C97" s="266" t="s">
        <v>2059</v>
      </c>
      <c r="D97" s="268">
        <v>7109</v>
      </c>
      <c r="E97" s="269">
        <v>44531</v>
      </c>
      <c r="F97" s="269">
        <v>44599</v>
      </c>
      <c r="G97" s="270">
        <f t="shared" si="3"/>
        <v>68</v>
      </c>
      <c r="H97" s="271">
        <f t="shared" si="4"/>
        <v>0.02</v>
      </c>
      <c r="I97" s="272">
        <f t="shared" si="5"/>
        <v>142.18</v>
      </c>
    </row>
    <row r="98" spans="1:9" x14ac:dyDescent="0.35">
      <c r="A98" s="266" t="s">
        <v>1969</v>
      </c>
      <c r="B98" s="267">
        <v>2</v>
      </c>
      <c r="C98" s="266" t="s">
        <v>2060</v>
      </c>
      <c r="D98" s="268">
        <v>9090</v>
      </c>
      <c r="E98" s="269">
        <v>44569</v>
      </c>
      <c r="F98" s="269">
        <v>44599</v>
      </c>
      <c r="G98" s="270">
        <f t="shared" si="3"/>
        <v>30</v>
      </c>
      <c r="H98" s="271">
        <f t="shared" si="4"/>
        <v>0</v>
      </c>
      <c r="I98" s="272">
        <f t="shared" si="5"/>
        <v>0</v>
      </c>
    </row>
    <row r="99" spans="1:9" x14ac:dyDescent="0.35">
      <c r="A99" s="266" t="s">
        <v>2018</v>
      </c>
      <c r="B99" s="267">
        <v>4</v>
      </c>
      <c r="C99" s="266" t="s">
        <v>2061</v>
      </c>
      <c r="D99" s="268">
        <v>7861</v>
      </c>
      <c r="E99" s="269">
        <v>44577</v>
      </c>
      <c r="F99" s="269">
        <v>44599</v>
      </c>
      <c r="G99" s="270">
        <f t="shared" si="3"/>
        <v>22</v>
      </c>
      <c r="H99" s="271">
        <f t="shared" si="4"/>
        <v>0</v>
      </c>
      <c r="I99" s="272">
        <f t="shared" si="5"/>
        <v>0</v>
      </c>
    </row>
    <row r="100" spans="1:9" x14ac:dyDescent="0.35">
      <c r="A100" s="266" t="s">
        <v>1939</v>
      </c>
      <c r="B100" s="267">
        <v>20</v>
      </c>
      <c r="C100" s="266" t="s">
        <v>2062</v>
      </c>
      <c r="D100" s="268">
        <v>9938</v>
      </c>
      <c r="E100" s="269">
        <v>44555</v>
      </c>
      <c r="F100" s="269">
        <v>44599</v>
      </c>
      <c r="G100" s="270">
        <f t="shared" si="3"/>
        <v>44</v>
      </c>
      <c r="H100" s="271">
        <f t="shared" si="4"/>
        <v>0.01</v>
      </c>
      <c r="I100" s="272">
        <f t="shared" si="5"/>
        <v>99.38</v>
      </c>
    </row>
    <row r="101" spans="1:9" x14ac:dyDescent="0.35">
      <c r="A101" s="266" t="s">
        <v>1978</v>
      </c>
      <c r="B101" s="267">
        <v>15</v>
      </c>
      <c r="C101" s="266" t="s">
        <v>2063</v>
      </c>
      <c r="D101" s="268">
        <v>2971</v>
      </c>
      <c r="E101" s="269">
        <v>44527</v>
      </c>
      <c r="F101" s="269">
        <v>44599</v>
      </c>
      <c r="G101" s="270">
        <f t="shared" si="3"/>
        <v>72</v>
      </c>
      <c r="H101" s="271">
        <f t="shared" si="4"/>
        <v>0.02</v>
      </c>
      <c r="I101" s="272">
        <f t="shared" si="5"/>
        <v>59.42</v>
      </c>
    </row>
    <row r="102" spans="1:9" x14ac:dyDescent="0.35">
      <c r="A102" s="266" t="s">
        <v>1942</v>
      </c>
      <c r="B102" s="267">
        <v>8</v>
      </c>
      <c r="C102" s="266" t="s">
        <v>2064</v>
      </c>
      <c r="D102" s="268">
        <v>3504</v>
      </c>
      <c r="E102" s="269">
        <v>44557</v>
      </c>
      <c r="F102" s="269">
        <v>44599</v>
      </c>
      <c r="G102" s="270">
        <f t="shared" si="3"/>
        <v>42</v>
      </c>
      <c r="H102" s="271">
        <f t="shared" si="4"/>
        <v>0.01</v>
      </c>
      <c r="I102" s="272">
        <f t="shared" si="5"/>
        <v>35.04</v>
      </c>
    </row>
    <row r="103" spans="1:9" x14ac:dyDescent="0.35">
      <c r="A103" s="266" t="s">
        <v>1986</v>
      </c>
      <c r="B103" s="267">
        <v>16</v>
      </c>
      <c r="C103" s="266" t="s">
        <v>2065</v>
      </c>
      <c r="D103" s="268">
        <v>3196</v>
      </c>
      <c r="E103" s="269">
        <v>44552</v>
      </c>
      <c r="F103" s="269">
        <v>44599</v>
      </c>
      <c r="G103" s="270">
        <f t="shared" si="3"/>
        <v>47</v>
      </c>
      <c r="H103" s="271">
        <f t="shared" si="4"/>
        <v>0.01</v>
      </c>
      <c r="I103" s="272">
        <f t="shared" si="5"/>
        <v>31.96</v>
      </c>
    </row>
    <row r="104" spans="1:9" x14ac:dyDescent="0.35">
      <c r="A104" s="266" t="s">
        <v>2018</v>
      </c>
      <c r="B104" s="267">
        <v>4</v>
      </c>
      <c r="C104" s="266" t="s">
        <v>2066</v>
      </c>
      <c r="D104" s="268">
        <v>4586</v>
      </c>
      <c r="E104" s="269">
        <v>44531</v>
      </c>
      <c r="F104" s="269">
        <v>44599</v>
      </c>
      <c r="G104" s="270">
        <f t="shared" si="3"/>
        <v>68</v>
      </c>
      <c r="H104" s="271">
        <f t="shared" si="4"/>
        <v>0.02</v>
      </c>
      <c r="I104" s="272">
        <f t="shared" si="5"/>
        <v>91.72</v>
      </c>
    </row>
    <row r="105" spans="1:9" x14ac:dyDescent="0.35">
      <c r="A105" s="266" t="s">
        <v>1989</v>
      </c>
      <c r="B105" s="267">
        <v>14</v>
      </c>
      <c r="C105" s="266" t="s">
        <v>2067</v>
      </c>
      <c r="D105" s="268">
        <v>9713</v>
      </c>
      <c r="E105" s="269">
        <v>44503</v>
      </c>
      <c r="F105" s="269">
        <v>44599</v>
      </c>
      <c r="G105" s="270">
        <f t="shared" si="3"/>
        <v>96</v>
      </c>
      <c r="H105" s="271">
        <f t="shared" si="4"/>
        <v>0.03</v>
      </c>
      <c r="I105" s="272">
        <f t="shared" si="5"/>
        <v>291.39</v>
      </c>
    </row>
    <row r="106" spans="1:9" x14ac:dyDescent="0.35">
      <c r="A106" s="266" t="s">
        <v>2026</v>
      </c>
      <c r="B106" s="267">
        <v>5</v>
      </c>
      <c r="C106" s="266" t="s">
        <v>2068</v>
      </c>
      <c r="D106" s="268">
        <v>7970</v>
      </c>
      <c r="E106" s="269">
        <v>44547</v>
      </c>
      <c r="F106" s="269">
        <v>44599</v>
      </c>
      <c r="G106" s="270">
        <f t="shared" si="3"/>
        <v>52</v>
      </c>
      <c r="H106" s="271">
        <f t="shared" si="4"/>
        <v>0.01</v>
      </c>
      <c r="I106" s="272">
        <f t="shared" si="5"/>
        <v>79.7</v>
      </c>
    </row>
    <row r="107" spans="1:9" x14ac:dyDescent="0.35">
      <c r="A107" s="266" t="s">
        <v>1966</v>
      </c>
      <c r="B107" s="267">
        <v>12</v>
      </c>
      <c r="C107" s="266" t="s">
        <v>2069</v>
      </c>
      <c r="D107" s="268">
        <v>9303</v>
      </c>
      <c r="E107" s="269">
        <v>44564</v>
      </c>
      <c r="F107" s="269">
        <v>44599</v>
      </c>
      <c r="G107" s="270">
        <f t="shared" si="3"/>
        <v>35</v>
      </c>
      <c r="H107" s="271">
        <f t="shared" si="4"/>
        <v>0.01</v>
      </c>
      <c r="I107" s="272">
        <f t="shared" si="5"/>
        <v>93.03</v>
      </c>
    </row>
    <row r="108" spans="1:9" x14ac:dyDescent="0.35">
      <c r="A108" s="266" t="s">
        <v>1939</v>
      </c>
      <c r="B108" s="267">
        <v>20</v>
      </c>
      <c r="C108" s="266" t="s">
        <v>2070</v>
      </c>
      <c r="D108" s="268">
        <v>8604</v>
      </c>
      <c r="E108" s="269">
        <v>44579</v>
      </c>
      <c r="F108" s="269">
        <v>44599</v>
      </c>
      <c r="G108" s="270">
        <f t="shared" si="3"/>
        <v>20</v>
      </c>
      <c r="H108" s="271">
        <f t="shared" si="4"/>
        <v>0</v>
      </c>
      <c r="I108" s="272">
        <f t="shared" si="5"/>
        <v>0</v>
      </c>
    </row>
    <row r="109" spans="1:9" x14ac:dyDescent="0.35">
      <c r="A109" s="266" t="s">
        <v>1989</v>
      </c>
      <c r="B109" s="267">
        <v>14</v>
      </c>
      <c r="C109" s="266" t="s">
        <v>2071</v>
      </c>
      <c r="D109" s="268">
        <v>3956</v>
      </c>
      <c r="E109" s="269">
        <v>44513</v>
      </c>
      <c r="F109" s="269">
        <v>44599</v>
      </c>
      <c r="G109" s="270">
        <f t="shared" si="3"/>
        <v>86</v>
      </c>
      <c r="H109" s="271">
        <f t="shared" si="4"/>
        <v>0.03</v>
      </c>
      <c r="I109" s="272">
        <f t="shared" si="5"/>
        <v>118.67999999999999</v>
      </c>
    </row>
    <row r="110" spans="1:9" x14ac:dyDescent="0.35">
      <c r="A110" s="266" t="s">
        <v>1976</v>
      </c>
      <c r="B110" s="267">
        <v>3</v>
      </c>
      <c r="C110" s="266" t="s">
        <v>2072</v>
      </c>
      <c r="D110" s="268">
        <v>9490</v>
      </c>
      <c r="E110" s="269">
        <v>44511</v>
      </c>
      <c r="F110" s="269">
        <v>44599</v>
      </c>
      <c r="G110" s="270">
        <f t="shared" si="3"/>
        <v>88</v>
      </c>
      <c r="H110" s="271">
        <f t="shared" si="4"/>
        <v>0.03</v>
      </c>
      <c r="I110" s="272">
        <f t="shared" si="5"/>
        <v>284.7</v>
      </c>
    </row>
    <row r="111" spans="1:9" x14ac:dyDescent="0.35">
      <c r="A111" s="266" t="s">
        <v>1966</v>
      </c>
      <c r="B111" s="267">
        <v>12</v>
      </c>
      <c r="C111" s="266" t="s">
        <v>2073</v>
      </c>
      <c r="D111" s="268">
        <v>7716</v>
      </c>
      <c r="E111" s="269">
        <v>44580</v>
      </c>
      <c r="F111" s="269">
        <v>44599</v>
      </c>
      <c r="G111" s="270">
        <f t="shared" si="3"/>
        <v>19</v>
      </c>
      <c r="H111" s="271">
        <f t="shared" si="4"/>
        <v>0</v>
      </c>
      <c r="I111" s="272">
        <f t="shared" si="5"/>
        <v>0</v>
      </c>
    </row>
    <row r="112" spans="1:9" x14ac:dyDescent="0.35">
      <c r="A112" s="266" t="s">
        <v>1945</v>
      </c>
      <c r="B112" s="267">
        <v>21</v>
      </c>
      <c r="C112" s="266" t="s">
        <v>2074</v>
      </c>
      <c r="D112" s="268">
        <v>8653</v>
      </c>
      <c r="E112" s="269">
        <v>44545</v>
      </c>
      <c r="F112" s="269">
        <v>44599</v>
      </c>
      <c r="G112" s="270">
        <f t="shared" si="3"/>
        <v>54</v>
      </c>
      <c r="H112" s="271">
        <f t="shared" si="4"/>
        <v>0.01</v>
      </c>
      <c r="I112" s="272">
        <f t="shared" si="5"/>
        <v>86.53</v>
      </c>
    </row>
    <row r="113" spans="1:9" x14ac:dyDescent="0.35">
      <c r="A113" s="266" t="s">
        <v>1994</v>
      </c>
      <c r="B113" s="267">
        <v>13</v>
      </c>
      <c r="C113" s="266" t="s">
        <v>2075</v>
      </c>
      <c r="D113" s="268">
        <v>6450</v>
      </c>
      <c r="E113" s="269">
        <v>44542</v>
      </c>
      <c r="F113" s="269">
        <v>44599</v>
      </c>
      <c r="G113" s="270">
        <f t="shared" si="3"/>
        <v>57</v>
      </c>
      <c r="H113" s="271">
        <f t="shared" si="4"/>
        <v>0.01</v>
      </c>
      <c r="I113" s="272">
        <f t="shared" si="5"/>
        <v>64.5</v>
      </c>
    </row>
    <row r="114" spans="1:9" x14ac:dyDescent="0.35">
      <c r="A114" s="266" t="s">
        <v>1986</v>
      </c>
      <c r="B114" s="267">
        <v>16</v>
      </c>
      <c r="C114" s="266" t="s">
        <v>2076</v>
      </c>
      <c r="D114" s="268">
        <v>6842</v>
      </c>
      <c r="E114" s="269">
        <v>44550</v>
      </c>
      <c r="F114" s="269">
        <v>44599</v>
      </c>
      <c r="G114" s="270">
        <f t="shared" si="3"/>
        <v>49</v>
      </c>
      <c r="H114" s="271">
        <f t="shared" si="4"/>
        <v>0.01</v>
      </c>
      <c r="I114" s="272">
        <f t="shared" si="5"/>
        <v>68.42</v>
      </c>
    </row>
    <row r="115" spans="1:9" x14ac:dyDescent="0.35">
      <c r="A115" s="266" t="s">
        <v>2026</v>
      </c>
      <c r="B115" s="267">
        <v>5</v>
      </c>
      <c r="C115" s="266" t="s">
        <v>2077</v>
      </c>
      <c r="D115" s="268">
        <v>8077</v>
      </c>
      <c r="E115" s="269">
        <v>44550</v>
      </c>
      <c r="F115" s="269">
        <v>44599</v>
      </c>
      <c r="G115" s="270">
        <f t="shared" si="3"/>
        <v>49</v>
      </c>
      <c r="H115" s="271">
        <f t="shared" si="4"/>
        <v>0.01</v>
      </c>
      <c r="I115" s="272">
        <f t="shared" si="5"/>
        <v>80.77</v>
      </c>
    </row>
    <row r="116" spans="1:9" x14ac:dyDescent="0.35">
      <c r="A116" s="266" t="s">
        <v>1948</v>
      </c>
      <c r="B116" s="267">
        <v>18</v>
      </c>
      <c r="C116" s="266" t="s">
        <v>2078</v>
      </c>
      <c r="D116" s="268">
        <v>3087</v>
      </c>
      <c r="E116" s="269">
        <v>44523</v>
      </c>
      <c r="F116" s="269">
        <v>44599</v>
      </c>
      <c r="G116" s="270">
        <f t="shared" si="3"/>
        <v>76</v>
      </c>
      <c r="H116" s="271">
        <f t="shared" si="4"/>
        <v>0.02</v>
      </c>
      <c r="I116" s="272">
        <f t="shared" si="5"/>
        <v>61.74</v>
      </c>
    </row>
    <row r="117" spans="1:9" x14ac:dyDescent="0.35">
      <c r="A117" s="266" t="s">
        <v>1954</v>
      </c>
      <c r="B117" s="267">
        <v>24</v>
      </c>
      <c r="C117" s="266" t="s">
        <v>2079</v>
      </c>
      <c r="D117" s="268">
        <v>2671</v>
      </c>
      <c r="E117" s="269">
        <v>44545</v>
      </c>
      <c r="F117" s="269">
        <v>44599</v>
      </c>
      <c r="G117" s="270">
        <f t="shared" si="3"/>
        <v>54</v>
      </c>
      <c r="H117" s="271">
        <f t="shared" si="4"/>
        <v>0.01</v>
      </c>
      <c r="I117" s="272">
        <f t="shared" si="5"/>
        <v>26.71</v>
      </c>
    </row>
    <row r="118" spans="1:9" x14ac:dyDescent="0.35">
      <c r="A118" s="266" t="s">
        <v>1942</v>
      </c>
      <c r="B118" s="267">
        <v>8</v>
      </c>
      <c r="C118" s="266" t="s">
        <v>2080</v>
      </c>
      <c r="D118" s="268">
        <v>4058</v>
      </c>
      <c r="E118" s="269">
        <v>44511</v>
      </c>
      <c r="F118" s="269">
        <v>44599</v>
      </c>
      <c r="G118" s="270">
        <f t="shared" si="3"/>
        <v>88</v>
      </c>
      <c r="H118" s="271">
        <f t="shared" si="4"/>
        <v>0.03</v>
      </c>
      <c r="I118" s="272">
        <f t="shared" si="5"/>
        <v>121.74</v>
      </c>
    </row>
    <row r="119" spans="1:9" x14ac:dyDescent="0.35">
      <c r="A119" s="266" t="s">
        <v>2004</v>
      </c>
      <c r="B119" s="267">
        <v>11</v>
      </c>
      <c r="C119" s="266" t="s">
        <v>2081</v>
      </c>
      <c r="D119" s="268">
        <v>6410</v>
      </c>
      <c r="E119" s="269">
        <v>44572</v>
      </c>
      <c r="F119" s="269">
        <v>44599</v>
      </c>
      <c r="G119" s="270">
        <f t="shared" si="3"/>
        <v>27</v>
      </c>
      <c r="H119" s="271">
        <f t="shared" si="4"/>
        <v>0</v>
      </c>
      <c r="I119" s="272">
        <f t="shared" si="5"/>
        <v>0</v>
      </c>
    </row>
    <row r="120" spans="1:9" x14ac:dyDescent="0.35">
      <c r="A120" s="266" t="s">
        <v>1980</v>
      </c>
      <c r="B120" s="267">
        <v>7</v>
      </c>
      <c r="C120" s="266" t="s">
        <v>2082</v>
      </c>
      <c r="D120" s="268">
        <v>3741</v>
      </c>
      <c r="E120" s="269">
        <v>44514</v>
      </c>
      <c r="F120" s="269">
        <v>44599</v>
      </c>
      <c r="G120" s="270">
        <f t="shared" si="3"/>
        <v>85</v>
      </c>
      <c r="H120" s="271">
        <f t="shared" si="4"/>
        <v>0.03</v>
      </c>
      <c r="I120" s="272">
        <f t="shared" si="5"/>
        <v>112.22999999999999</v>
      </c>
    </row>
    <row r="121" spans="1:9" x14ac:dyDescent="0.35">
      <c r="A121" s="266" t="s">
        <v>1966</v>
      </c>
      <c r="B121" s="267">
        <v>12</v>
      </c>
      <c r="C121" s="266" t="s">
        <v>2083</v>
      </c>
      <c r="D121" s="268">
        <v>9132</v>
      </c>
      <c r="E121" s="269">
        <v>44575</v>
      </c>
      <c r="F121" s="269">
        <v>44599</v>
      </c>
      <c r="G121" s="270">
        <f t="shared" si="3"/>
        <v>24</v>
      </c>
      <c r="H121" s="271">
        <f t="shared" si="4"/>
        <v>0</v>
      </c>
      <c r="I121" s="272">
        <f t="shared" si="5"/>
        <v>0</v>
      </c>
    </row>
    <row r="122" spans="1:9" x14ac:dyDescent="0.35">
      <c r="A122" s="266" t="s">
        <v>1951</v>
      </c>
      <c r="B122" s="267">
        <v>25</v>
      </c>
      <c r="C122" s="266" t="s">
        <v>2084</v>
      </c>
      <c r="D122" s="268">
        <v>7390</v>
      </c>
      <c r="E122" s="269">
        <v>44563</v>
      </c>
      <c r="F122" s="269">
        <v>44599</v>
      </c>
      <c r="G122" s="270">
        <f t="shared" si="3"/>
        <v>36</v>
      </c>
      <c r="H122" s="271">
        <f t="shared" si="4"/>
        <v>0.01</v>
      </c>
      <c r="I122" s="272">
        <f t="shared" si="5"/>
        <v>73.900000000000006</v>
      </c>
    </row>
    <row r="123" spans="1:9" x14ac:dyDescent="0.35">
      <c r="A123" s="266" t="s">
        <v>1994</v>
      </c>
      <c r="B123" s="267">
        <v>13</v>
      </c>
      <c r="C123" s="266" t="s">
        <v>2085</v>
      </c>
      <c r="D123" s="268">
        <v>8814</v>
      </c>
      <c r="E123" s="269">
        <v>44512</v>
      </c>
      <c r="F123" s="269">
        <v>44599</v>
      </c>
      <c r="G123" s="270">
        <f t="shared" si="3"/>
        <v>87</v>
      </c>
      <c r="H123" s="271">
        <f t="shared" si="4"/>
        <v>0.03</v>
      </c>
      <c r="I123" s="272">
        <f t="shared" si="5"/>
        <v>264.42</v>
      </c>
    </row>
    <row r="124" spans="1:9" x14ac:dyDescent="0.35">
      <c r="A124" s="266" t="s">
        <v>1951</v>
      </c>
      <c r="B124" s="267">
        <v>25</v>
      </c>
      <c r="C124" s="266" t="s">
        <v>2086</v>
      </c>
      <c r="D124" s="268">
        <v>4679</v>
      </c>
      <c r="E124" s="269">
        <v>44578</v>
      </c>
      <c r="F124" s="269">
        <v>44599</v>
      </c>
      <c r="G124" s="270">
        <f t="shared" si="3"/>
        <v>21</v>
      </c>
      <c r="H124" s="271">
        <f t="shared" si="4"/>
        <v>0</v>
      </c>
      <c r="I124" s="272">
        <f t="shared" si="5"/>
        <v>0</v>
      </c>
    </row>
    <row r="125" spans="1:9" x14ac:dyDescent="0.35">
      <c r="A125" s="266" t="s">
        <v>1954</v>
      </c>
      <c r="B125" s="267">
        <v>24</v>
      </c>
      <c r="C125" s="266" t="s">
        <v>1964</v>
      </c>
      <c r="D125" s="268">
        <v>3165</v>
      </c>
      <c r="E125" s="269">
        <v>44503</v>
      </c>
      <c r="F125" s="269">
        <v>44599</v>
      </c>
      <c r="G125" s="270">
        <f t="shared" si="3"/>
        <v>96</v>
      </c>
      <c r="H125" s="271">
        <f t="shared" si="4"/>
        <v>0.03</v>
      </c>
      <c r="I125" s="272">
        <f t="shared" si="5"/>
        <v>94.95</v>
      </c>
    </row>
    <row r="126" spans="1:9" x14ac:dyDescent="0.35">
      <c r="A126" s="266" t="s">
        <v>1986</v>
      </c>
      <c r="B126" s="267">
        <v>16</v>
      </c>
      <c r="C126" s="266" t="s">
        <v>2087</v>
      </c>
      <c r="D126" s="268">
        <v>7121</v>
      </c>
      <c r="E126" s="269">
        <v>44578</v>
      </c>
      <c r="F126" s="269">
        <v>44599</v>
      </c>
      <c r="G126" s="270">
        <f t="shared" si="3"/>
        <v>21</v>
      </c>
      <c r="H126" s="271">
        <f t="shared" si="4"/>
        <v>0</v>
      </c>
      <c r="I126" s="272">
        <f t="shared" si="5"/>
        <v>0</v>
      </c>
    </row>
    <row r="127" spans="1:9" x14ac:dyDescent="0.35">
      <c r="A127" s="266" t="s">
        <v>1978</v>
      </c>
      <c r="B127" s="267">
        <v>15</v>
      </c>
      <c r="C127" s="266" t="s">
        <v>2088</v>
      </c>
      <c r="D127" s="268">
        <v>5584</v>
      </c>
      <c r="E127" s="269">
        <v>44556</v>
      </c>
      <c r="F127" s="269">
        <v>44599</v>
      </c>
      <c r="G127" s="270">
        <f t="shared" si="3"/>
        <v>43</v>
      </c>
      <c r="H127" s="271">
        <f t="shared" si="4"/>
        <v>0.01</v>
      </c>
      <c r="I127" s="272">
        <f t="shared" si="5"/>
        <v>55.84</v>
      </c>
    </row>
    <row r="128" spans="1:9" x14ac:dyDescent="0.35">
      <c r="A128" s="266" t="s">
        <v>1986</v>
      </c>
      <c r="B128" s="267">
        <v>16</v>
      </c>
      <c r="C128" s="266" t="s">
        <v>2089</v>
      </c>
      <c r="D128" s="268">
        <v>8792</v>
      </c>
      <c r="E128" s="269">
        <v>44501</v>
      </c>
      <c r="F128" s="269">
        <v>44599</v>
      </c>
      <c r="G128" s="270">
        <f t="shared" si="3"/>
        <v>98</v>
      </c>
      <c r="H128" s="271">
        <f t="shared" si="4"/>
        <v>0.03</v>
      </c>
      <c r="I128" s="272">
        <f t="shared" si="5"/>
        <v>263.76</v>
      </c>
    </row>
    <row r="129" spans="1:9" x14ac:dyDescent="0.35">
      <c r="A129" s="266" t="s">
        <v>1976</v>
      </c>
      <c r="B129" s="267">
        <v>3</v>
      </c>
      <c r="C129" s="266" t="s">
        <v>2090</v>
      </c>
      <c r="D129" s="268">
        <v>7851</v>
      </c>
      <c r="E129" s="269">
        <v>44502</v>
      </c>
      <c r="F129" s="269">
        <v>44599</v>
      </c>
      <c r="G129" s="270">
        <f t="shared" si="3"/>
        <v>97</v>
      </c>
      <c r="H129" s="271">
        <f t="shared" si="4"/>
        <v>0.03</v>
      </c>
      <c r="I129" s="272">
        <f t="shared" si="5"/>
        <v>235.53</v>
      </c>
    </row>
    <row r="130" spans="1:9" x14ac:dyDescent="0.35">
      <c r="A130" s="266" t="s">
        <v>1951</v>
      </c>
      <c r="B130" s="267">
        <v>25</v>
      </c>
      <c r="C130" s="266" t="s">
        <v>2091</v>
      </c>
      <c r="D130" s="268">
        <v>8855</v>
      </c>
      <c r="E130" s="269">
        <v>44553</v>
      </c>
      <c r="F130" s="269">
        <v>44599</v>
      </c>
      <c r="G130" s="270">
        <f t="shared" si="3"/>
        <v>46</v>
      </c>
      <c r="H130" s="271">
        <f t="shared" si="4"/>
        <v>0.01</v>
      </c>
      <c r="I130" s="272">
        <f t="shared" si="5"/>
        <v>88.55</v>
      </c>
    </row>
    <row r="131" spans="1:9" x14ac:dyDescent="0.35">
      <c r="A131" s="266" t="s">
        <v>1954</v>
      </c>
      <c r="B131" s="267">
        <v>24</v>
      </c>
      <c r="C131" s="266" t="s">
        <v>2092</v>
      </c>
      <c r="D131" s="268">
        <v>1303</v>
      </c>
      <c r="E131" s="269">
        <v>44540</v>
      </c>
      <c r="F131" s="269">
        <v>44599</v>
      </c>
      <c r="G131" s="270">
        <f t="shared" si="3"/>
        <v>59</v>
      </c>
      <c r="H131" s="271">
        <f t="shared" si="4"/>
        <v>0.01</v>
      </c>
      <c r="I131" s="272">
        <f t="shared" si="5"/>
        <v>13.030000000000001</v>
      </c>
    </row>
    <row r="132" spans="1:9" x14ac:dyDescent="0.35">
      <c r="A132" s="266" t="s">
        <v>1942</v>
      </c>
      <c r="B132" s="267">
        <v>8</v>
      </c>
      <c r="C132" s="266" t="s">
        <v>2093</v>
      </c>
      <c r="D132" s="268">
        <v>9349</v>
      </c>
      <c r="E132" s="269">
        <v>44569</v>
      </c>
      <c r="F132" s="269">
        <v>44599</v>
      </c>
      <c r="G132" s="270">
        <f t="shared" si="3"/>
        <v>30</v>
      </c>
      <c r="H132" s="271">
        <f t="shared" si="4"/>
        <v>0</v>
      </c>
      <c r="I132" s="272">
        <f t="shared" si="5"/>
        <v>0</v>
      </c>
    </row>
    <row r="133" spans="1:9" x14ac:dyDescent="0.35">
      <c r="A133" s="266" t="s">
        <v>1966</v>
      </c>
      <c r="B133" s="267">
        <v>12</v>
      </c>
      <c r="C133" s="266" t="s">
        <v>2094</v>
      </c>
      <c r="D133" s="268">
        <v>7503</v>
      </c>
      <c r="E133" s="269">
        <v>44550</v>
      </c>
      <c r="F133" s="269">
        <v>44599</v>
      </c>
      <c r="G133" s="270">
        <f t="shared" si="3"/>
        <v>49</v>
      </c>
      <c r="H133" s="271">
        <f t="shared" si="4"/>
        <v>0.01</v>
      </c>
      <c r="I133" s="272">
        <f t="shared" si="5"/>
        <v>75.03</v>
      </c>
    </row>
    <row r="134" spans="1:9" x14ac:dyDescent="0.35">
      <c r="A134" s="266" t="s">
        <v>1954</v>
      </c>
      <c r="B134" s="267">
        <v>24</v>
      </c>
      <c r="C134" s="266" t="s">
        <v>2095</v>
      </c>
      <c r="D134" s="268">
        <v>6809</v>
      </c>
      <c r="E134" s="269">
        <v>44541</v>
      </c>
      <c r="F134" s="269">
        <v>44599</v>
      </c>
      <c r="G134" s="270">
        <f t="shared" si="3"/>
        <v>58</v>
      </c>
      <c r="H134" s="271">
        <f t="shared" si="4"/>
        <v>0.01</v>
      </c>
      <c r="I134" s="272">
        <f t="shared" si="5"/>
        <v>68.09</v>
      </c>
    </row>
    <row r="135" spans="1:9" x14ac:dyDescent="0.35">
      <c r="A135" s="266" t="s">
        <v>1951</v>
      </c>
      <c r="B135" s="267">
        <v>25</v>
      </c>
      <c r="C135" s="266" t="s">
        <v>2096</v>
      </c>
      <c r="D135" s="268">
        <v>8422</v>
      </c>
      <c r="E135" s="269">
        <v>44567</v>
      </c>
      <c r="F135" s="269">
        <v>44599</v>
      </c>
      <c r="G135" s="270">
        <f t="shared" si="3"/>
        <v>32</v>
      </c>
      <c r="H135" s="271">
        <f t="shared" si="4"/>
        <v>0.01</v>
      </c>
      <c r="I135" s="272">
        <f t="shared" si="5"/>
        <v>84.22</v>
      </c>
    </row>
    <row r="136" spans="1:9" x14ac:dyDescent="0.35">
      <c r="A136" s="266" t="s">
        <v>1976</v>
      </c>
      <c r="B136" s="267">
        <v>3</v>
      </c>
      <c r="C136" s="266" t="s">
        <v>2097</v>
      </c>
      <c r="D136" s="268">
        <v>7082</v>
      </c>
      <c r="E136" s="269">
        <v>44528</v>
      </c>
      <c r="F136" s="269">
        <v>44599</v>
      </c>
      <c r="G136" s="270">
        <f t="shared" si="3"/>
        <v>71</v>
      </c>
      <c r="H136" s="271">
        <f t="shared" si="4"/>
        <v>0.02</v>
      </c>
      <c r="I136" s="272">
        <f t="shared" si="5"/>
        <v>141.64000000000001</v>
      </c>
    </row>
    <row r="137" spans="1:9" x14ac:dyDescent="0.35">
      <c r="A137" s="266" t="s">
        <v>1976</v>
      </c>
      <c r="B137" s="267">
        <v>3</v>
      </c>
      <c r="C137" s="266" t="s">
        <v>2098</v>
      </c>
      <c r="D137" s="268">
        <v>2775</v>
      </c>
      <c r="E137" s="269">
        <v>44533</v>
      </c>
      <c r="F137" s="269">
        <v>44599</v>
      </c>
      <c r="G137" s="270">
        <f t="shared" si="3"/>
        <v>66</v>
      </c>
      <c r="H137" s="271">
        <f t="shared" si="4"/>
        <v>0.02</v>
      </c>
      <c r="I137" s="272">
        <f t="shared" si="5"/>
        <v>55.5</v>
      </c>
    </row>
    <row r="138" spans="1:9" x14ac:dyDescent="0.35">
      <c r="A138" s="266" t="s">
        <v>1980</v>
      </c>
      <c r="B138" s="267">
        <v>7</v>
      </c>
      <c r="C138" s="266" t="s">
        <v>2099</v>
      </c>
      <c r="D138" s="268">
        <v>5382</v>
      </c>
      <c r="E138" s="269">
        <v>44541</v>
      </c>
      <c r="F138" s="269">
        <v>44599</v>
      </c>
      <c r="G138" s="270">
        <f t="shared" si="3"/>
        <v>58</v>
      </c>
      <c r="H138" s="271">
        <f t="shared" si="4"/>
        <v>0.01</v>
      </c>
      <c r="I138" s="272">
        <f t="shared" si="5"/>
        <v>53.82</v>
      </c>
    </row>
    <row r="139" spans="1:9" x14ac:dyDescent="0.35">
      <c r="A139" s="266" t="s">
        <v>1948</v>
      </c>
      <c r="B139" s="267">
        <v>18</v>
      </c>
      <c r="C139" s="266" t="s">
        <v>2100</v>
      </c>
      <c r="D139" s="268">
        <v>9478</v>
      </c>
      <c r="E139" s="269">
        <v>44542</v>
      </c>
      <c r="F139" s="269">
        <v>44599</v>
      </c>
      <c r="G139" s="270">
        <f t="shared" si="3"/>
        <v>57</v>
      </c>
      <c r="H139" s="271">
        <f t="shared" si="4"/>
        <v>0.01</v>
      </c>
      <c r="I139" s="272">
        <f t="shared" si="5"/>
        <v>94.78</v>
      </c>
    </row>
    <row r="140" spans="1:9" x14ac:dyDescent="0.35">
      <c r="A140" s="266" t="s">
        <v>1977</v>
      </c>
      <c r="B140" s="267">
        <v>22</v>
      </c>
      <c r="C140" s="266" t="s">
        <v>2101</v>
      </c>
      <c r="D140" s="268">
        <v>8146</v>
      </c>
      <c r="E140" s="269">
        <v>44575</v>
      </c>
      <c r="F140" s="269">
        <v>44599</v>
      </c>
      <c r="G140" s="270">
        <f t="shared" si="3"/>
        <v>24</v>
      </c>
      <c r="H140" s="271">
        <f t="shared" si="4"/>
        <v>0</v>
      </c>
      <c r="I140" s="272">
        <f t="shared" si="5"/>
        <v>0</v>
      </c>
    </row>
    <row r="141" spans="1:9" x14ac:dyDescent="0.35">
      <c r="A141" s="266" t="s">
        <v>1969</v>
      </c>
      <c r="B141" s="267">
        <v>2</v>
      </c>
      <c r="C141" s="266" t="s">
        <v>2102</v>
      </c>
      <c r="D141" s="268">
        <v>1876</v>
      </c>
      <c r="E141" s="269">
        <v>44543</v>
      </c>
      <c r="F141" s="269">
        <v>44599</v>
      </c>
      <c r="G141" s="270">
        <f t="shared" ref="G141:G204" si="6">F141-E141</f>
        <v>56</v>
      </c>
      <c r="H141" s="271">
        <f t="shared" ref="H141:H204" si="7">IF(G141&lt;=30,0,IF(G141&lt;60,1%,IF(G141&lt;80,2%,3%)))</f>
        <v>0.01</v>
      </c>
      <c r="I141" s="272">
        <f t="shared" ref="I141:I204" si="8">H141*D141</f>
        <v>18.760000000000002</v>
      </c>
    </row>
    <row r="142" spans="1:9" x14ac:dyDescent="0.35">
      <c r="A142" s="266" t="s">
        <v>1989</v>
      </c>
      <c r="B142" s="267">
        <v>14</v>
      </c>
      <c r="C142" s="266" t="s">
        <v>2103</v>
      </c>
      <c r="D142" s="268">
        <v>7635</v>
      </c>
      <c r="E142" s="269">
        <v>44557</v>
      </c>
      <c r="F142" s="269">
        <v>44599</v>
      </c>
      <c r="G142" s="270">
        <f t="shared" si="6"/>
        <v>42</v>
      </c>
      <c r="H142" s="271">
        <f t="shared" si="7"/>
        <v>0.01</v>
      </c>
      <c r="I142" s="272">
        <f t="shared" si="8"/>
        <v>76.350000000000009</v>
      </c>
    </row>
    <row r="143" spans="1:9" x14ac:dyDescent="0.35">
      <c r="A143" s="266" t="s">
        <v>1969</v>
      </c>
      <c r="B143" s="267">
        <v>2</v>
      </c>
      <c r="C143" s="266" t="s">
        <v>2104</v>
      </c>
      <c r="D143" s="268">
        <v>3878</v>
      </c>
      <c r="E143" s="269">
        <v>44535</v>
      </c>
      <c r="F143" s="269">
        <v>44599</v>
      </c>
      <c r="G143" s="270">
        <f t="shared" si="6"/>
        <v>64</v>
      </c>
      <c r="H143" s="271">
        <f t="shared" si="7"/>
        <v>0.02</v>
      </c>
      <c r="I143" s="272">
        <f t="shared" si="8"/>
        <v>77.56</v>
      </c>
    </row>
    <row r="144" spans="1:9" x14ac:dyDescent="0.35">
      <c r="A144" s="266" t="s">
        <v>1942</v>
      </c>
      <c r="B144" s="267">
        <v>8</v>
      </c>
      <c r="C144" s="266" t="s">
        <v>2105</v>
      </c>
      <c r="D144" s="268">
        <v>5308</v>
      </c>
      <c r="E144" s="269">
        <v>44549</v>
      </c>
      <c r="F144" s="269">
        <v>44599</v>
      </c>
      <c r="G144" s="270">
        <f t="shared" si="6"/>
        <v>50</v>
      </c>
      <c r="H144" s="271">
        <f t="shared" si="7"/>
        <v>0.01</v>
      </c>
      <c r="I144" s="272">
        <f t="shared" si="8"/>
        <v>53.08</v>
      </c>
    </row>
    <row r="145" spans="1:9" x14ac:dyDescent="0.35">
      <c r="A145" s="266" t="s">
        <v>1978</v>
      </c>
      <c r="B145" s="267">
        <v>15</v>
      </c>
      <c r="C145" s="266" t="s">
        <v>2106</v>
      </c>
      <c r="D145" s="268">
        <v>5403</v>
      </c>
      <c r="E145" s="269">
        <v>44543</v>
      </c>
      <c r="F145" s="269">
        <v>44599</v>
      </c>
      <c r="G145" s="270">
        <f t="shared" si="6"/>
        <v>56</v>
      </c>
      <c r="H145" s="271">
        <f t="shared" si="7"/>
        <v>0.01</v>
      </c>
      <c r="I145" s="272">
        <f t="shared" si="8"/>
        <v>54.03</v>
      </c>
    </row>
    <row r="146" spans="1:9" x14ac:dyDescent="0.35">
      <c r="A146" s="266" t="s">
        <v>2018</v>
      </c>
      <c r="B146" s="267">
        <v>4</v>
      </c>
      <c r="C146" s="266" t="s">
        <v>2107</v>
      </c>
      <c r="D146" s="268">
        <v>8025</v>
      </c>
      <c r="E146" s="269">
        <v>44545</v>
      </c>
      <c r="F146" s="269">
        <v>44599</v>
      </c>
      <c r="G146" s="270">
        <f t="shared" si="6"/>
        <v>54</v>
      </c>
      <c r="H146" s="271">
        <f t="shared" si="7"/>
        <v>0.01</v>
      </c>
      <c r="I146" s="272">
        <f t="shared" si="8"/>
        <v>80.25</v>
      </c>
    </row>
    <row r="147" spans="1:9" x14ac:dyDescent="0.35">
      <c r="A147" s="266" t="s">
        <v>1969</v>
      </c>
      <c r="B147" s="267">
        <v>2</v>
      </c>
      <c r="C147" s="266" t="s">
        <v>2108</v>
      </c>
      <c r="D147" s="268">
        <v>9171</v>
      </c>
      <c r="E147" s="269">
        <v>44580</v>
      </c>
      <c r="F147" s="269">
        <v>44599</v>
      </c>
      <c r="G147" s="270">
        <f t="shared" si="6"/>
        <v>19</v>
      </c>
      <c r="H147" s="271">
        <f t="shared" si="7"/>
        <v>0</v>
      </c>
      <c r="I147" s="272">
        <f t="shared" si="8"/>
        <v>0</v>
      </c>
    </row>
    <row r="148" spans="1:9" x14ac:dyDescent="0.35">
      <c r="A148" s="266" t="s">
        <v>1992</v>
      </c>
      <c r="B148" s="267">
        <v>19</v>
      </c>
      <c r="C148" s="266" t="s">
        <v>2109</v>
      </c>
      <c r="D148" s="268">
        <v>6969</v>
      </c>
      <c r="E148" s="269">
        <v>44554</v>
      </c>
      <c r="F148" s="269">
        <v>44599</v>
      </c>
      <c r="G148" s="270">
        <f t="shared" si="6"/>
        <v>45</v>
      </c>
      <c r="H148" s="271">
        <f t="shared" si="7"/>
        <v>0.01</v>
      </c>
      <c r="I148" s="272">
        <f t="shared" si="8"/>
        <v>69.69</v>
      </c>
    </row>
    <row r="149" spans="1:9" x14ac:dyDescent="0.35">
      <c r="A149" s="266" t="s">
        <v>2018</v>
      </c>
      <c r="B149" s="267">
        <v>4</v>
      </c>
      <c r="C149" s="266" t="s">
        <v>2110</v>
      </c>
      <c r="D149" s="268">
        <v>1577</v>
      </c>
      <c r="E149" s="269">
        <v>44529</v>
      </c>
      <c r="F149" s="269">
        <v>44599</v>
      </c>
      <c r="G149" s="270">
        <f t="shared" si="6"/>
        <v>70</v>
      </c>
      <c r="H149" s="271">
        <f t="shared" si="7"/>
        <v>0.02</v>
      </c>
      <c r="I149" s="272">
        <f t="shared" si="8"/>
        <v>31.54</v>
      </c>
    </row>
    <row r="150" spans="1:9" x14ac:dyDescent="0.35">
      <c r="A150" s="266" t="s">
        <v>1939</v>
      </c>
      <c r="B150" s="267">
        <v>20</v>
      </c>
      <c r="C150" s="266" t="s">
        <v>2111</v>
      </c>
      <c r="D150" s="268">
        <v>4726</v>
      </c>
      <c r="E150" s="269">
        <v>44570</v>
      </c>
      <c r="F150" s="269">
        <v>44599</v>
      </c>
      <c r="G150" s="270">
        <f t="shared" si="6"/>
        <v>29</v>
      </c>
      <c r="H150" s="271">
        <f t="shared" si="7"/>
        <v>0</v>
      </c>
      <c r="I150" s="272">
        <f t="shared" si="8"/>
        <v>0</v>
      </c>
    </row>
    <row r="151" spans="1:9" x14ac:dyDescent="0.35">
      <c r="A151" s="266" t="s">
        <v>1969</v>
      </c>
      <c r="B151" s="267">
        <v>2</v>
      </c>
      <c r="C151" s="266" t="s">
        <v>2112</v>
      </c>
      <c r="D151" s="268">
        <v>3724</v>
      </c>
      <c r="E151" s="269">
        <v>44574</v>
      </c>
      <c r="F151" s="269">
        <v>44599</v>
      </c>
      <c r="G151" s="270">
        <f t="shared" si="6"/>
        <v>25</v>
      </c>
      <c r="H151" s="271">
        <f t="shared" si="7"/>
        <v>0</v>
      </c>
      <c r="I151" s="272">
        <f t="shared" si="8"/>
        <v>0</v>
      </c>
    </row>
    <row r="152" spans="1:9" x14ac:dyDescent="0.35">
      <c r="A152" s="266" t="s">
        <v>1945</v>
      </c>
      <c r="B152" s="267">
        <v>21</v>
      </c>
      <c r="C152" s="266" t="s">
        <v>2113</v>
      </c>
      <c r="D152" s="268">
        <v>5055</v>
      </c>
      <c r="E152" s="269">
        <v>44539</v>
      </c>
      <c r="F152" s="269">
        <v>44599</v>
      </c>
      <c r="G152" s="270">
        <f t="shared" si="6"/>
        <v>60</v>
      </c>
      <c r="H152" s="271">
        <f t="shared" si="7"/>
        <v>0.02</v>
      </c>
      <c r="I152" s="272">
        <f t="shared" si="8"/>
        <v>101.10000000000001</v>
      </c>
    </row>
    <row r="153" spans="1:9" x14ac:dyDescent="0.35">
      <c r="A153" s="266" t="s">
        <v>1989</v>
      </c>
      <c r="B153" s="267">
        <v>14</v>
      </c>
      <c r="C153" s="266" t="s">
        <v>2114</v>
      </c>
      <c r="D153" s="268">
        <v>6370</v>
      </c>
      <c r="E153" s="269">
        <v>44518</v>
      </c>
      <c r="F153" s="269">
        <v>44599</v>
      </c>
      <c r="G153" s="270">
        <f t="shared" si="6"/>
        <v>81</v>
      </c>
      <c r="H153" s="271">
        <f t="shared" si="7"/>
        <v>0.03</v>
      </c>
      <c r="I153" s="272">
        <f t="shared" si="8"/>
        <v>191.1</v>
      </c>
    </row>
    <row r="154" spans="1:9" x14ac:dyDescent="0.35">
      <c r="A154" s="266" t="s">
        <v>1976</v>
      </c>
      <c r="B154" s="267">
        <v>3</v>
      </c>
      <c r="C154" s="266" t="s">
        <v>2115</v>
      </c>
      <c r="D154" s="268">
        <v>3413</v>
      </c>
      <c r="E154" s="269">
        <v>44532</v>
      </c>
      <c r="F154" s="269">
        <v>44599</v>
      </c>
      <c r="G154" s="270">
        <f t="shared" si="6"/>
        <v>67</v>
      </c>
      <c r="H154" s="271">
        <f t="shared" si="7"/>
        <v>0.02</v>
      </c>
      <c r="I154" s="272">
        <f t="shared" si="8"/>
        <v>68.260000000000005</v>
      </c>
    </row>
    <row r="155" spans="1:9" x14ac:dyDescent="0.35">
      <c r="A155" s="266" t="s">
        <v>1976</v>
      </c>
      <c r="B155" s="267">
        <v>3</v>
      </c>
      <c r="C155" s="266" t="s">
        <v>2116</v>
      </c>
      <c r="D155" s="268">
        <v>5066</v>
      </c>
      <c r="E155" s="269">
        <v>44540</v>
      </c>
      <c r="F155" s="269">
        <v>44599</v>
      </c>
      <c r="G155" s="270">
        <f t="shared" si="6"/>
        <v>59</v>
      </c>
      <c r="H155" s="271">
        <f t="shared" si="7"/>
        <v>0.01</v>
      </c>
      <c r="I155" s="272">
        <f t="shared" si="8"/>
        <v>50.660000000000004</v>
      </c>
    </row>
    <row r="156" spans="1:9" x14ac:dyDescent="0.35">
      <c r="A156" s="266" t="s">
        <v>1969</v>
      </c>
      <c r="B156" s="267">
        <v>2</v>
      </c>
      <c r="C156" s="266" t="s">
        <v>2117</v>
      </c>
      <c r="D156" s="268">
        <v>7372</v>
      </c>
      <c r="E156" s="269">
        <v>44516</v>
      </c>
      <c r="F156" s="269">
        <v>44599</v>
      </c>
      <c r="G156" s="270">
        <f t="shared" si="6"/>
        <v>83</v>
      </c>
      <c r="H156" s="271">
        <f t="shared" si="7"/>
        <v>0.03</v>
      </c>
      <c r="I156" s="272">
        <f t="shared" si="8"/>
        <v>221.16</v>
      </c>
    </row>
    <row r="157" spans="1:9" x14ac:dyDescent="0.35">
      <c r="A157" s="266" t="s">
        <v>1962</v>
      </c>
      <c r="B157" s="267">
        <v>1</v>
      </c>
      <c r="C157" s="266" t="s">
        <v>2118</v>
      </c>
      <c r="D157" s="268">
        <v>6314</v>
      </c>
      <c r="E157" s="269">
        <v>44534</v>
      </c>
      <c r="F157" s="269">
        <v>44599</v>
      </c>
      <c r="G157" s="270">
        <f t="shared" si="6"/>
        <v>65</v>
      </c>
      <c r="H157" s="271">
        <f t="shared" si="7"/>
        <v>0.02</v>
      </c>
      <c r="I157" s="272">
        <f t="shared" si="8"/>
        <v>126.28</v>
      </c>
    </row>
    <row r="158" spans="1:9" x14ac:dyDescent="0.35">
      <c r="A158" s="266" t="s">
        <v>1989</v>
      </c>
      <c r="B158" s="267">
        <v>14</v>
      </c>
      <c r="C158" s="266" t="s">
        <v>2119</v>
      </c>
      <c r="D158" s="268">
        <v>7244</v>
      </c>
      <c r="E158" s="269">
        <v>44555</v>
      </c>
      <c r="F158" s="269">
        <v>44599</v>
      </c>
      <c r="G158" s="270">
        <f t="shared" si="6"/>
        <v>44</v>
      </c>
      <c r="H158" s="271">
        <f t="shared" si="7"/>
        <v>0.01</v>
      </c>
      <c r="I158" s="272">
        <f t="shared" si="8"/>
        <v>72.44</v>
      </c>
    </row>
    <row r="159" spans="1:9" x14ac:dyDescent="0.35">
      <c r="A159" s="266" t="s">
        <v>2018</v>
      </c>
      <c r="B159" s="267">
        <v>4</v>
      </c>
      <c r="C159" s="266" t="s">
        <v>2120</v>
      </c>
      <c r="D159" s="268">
        <v>1090</v>
      </c>
      <c r="E159" s="269">
        <v>44535</v>
      </c>
      <c r="F159" s="269">
        <v>44599</v>
      </c>
      <c r="G159" s="270">
        <f t="shared" si="6"/>
        <v>64</v>
      </c>
      <c r="H159" s="271">
        <f t="shared" si="7"/>
        <v>0.02</v>
      </c>
      <c r="I159" s="272">
        <f t="shared" si="8"/>
        <v>21.8</v>
      </c>
    </row>
    <row r="160" spans="1:9" x14ac:dyDescent="0.35">
      <c r="A160" s="266" t="s">
        <v>1966</v>
      </c>
      <c r="B160" s="267">
        <v>12</v>
      </c>
      <c r="C160" s="266" t="s">
        <v>2121</v>
      </c>
      <c r="D160" s="268">
        <v>3618</v>
      </c>
      <c r="E160" s="269">
        <v>44522</v>
      </c>
      <c r="F160" s="269">
        <v>44599</v>
      </c>
      <c r="G160" s="270">
        <f t="shared" si="6"/>
        <v>77</v>
      </c>
      <c r="H160" s="271">
        <f t="shared" si="7"/>
        <v>0.02</v>
      </c>
      <c r="I160" s="272">
        <f t="shared" si="8"/>
        <v>72.36</v>
      </c>
    </row>
    <row r="161" spans="1:9" x14ac:dyDescent="0.35">
      <c r="A161" s="266" t="s">
        <v>1945</v>
      </c>
      <c r="B161" s="267">
        <v>21</v>
      </c>
      <c r="C161" s="266" t="s">
        <v>2122</v>
      </c>
      <c r="D161" s="268">
        <v>3630</v>
      </c>
      <c r="E161" s="269">
        <v>44511</v>
      </c>
      <c r="F161" s="269">
        <v>44599</v>
      </c>
      <c r="G161" s="270">
        <f t="shared" si="6"/>
        <v>88</v>
      </c>
      <c r="H161" s="271">
        <f t="shared" si="7"/>
        <v>0.03</v>
      </c>
      <c r="I161" s="272">
        <f t="shared" si="8"/>
        <v>108.89999999999999</v>
      </c>
    </row>
    <row r="162" spans="1:9" x14ac:dyDescent="0.35">
      <c r="A162" s="266" t="s">
        <v>2026</v>
      </c>
      <c r="B162" s="267">
        <v>5</v>
      </c>
      <c r="C162" s="266" t="s">
        <v>2123</v>
      </c>
      <c r="D162" s="268">
        <v>6448</v>
      </c>
      <c r="E162" s="269">
        <v>44515</v>
      </c>
      <c r="F162" s="269">
        <v>44599</v>
      </c>
      <c r="G162" s="270">
        <f t="shared" si="6"/>
        <v>84</v>
      </c>
      <c r="H162" s="271">
        <f t="shared" si="7"/>
        <v>0.03</v>
      </c>
      <c r="I162" s="272">
        <f t="shared" si="8"/>
        <v>193.44</v>
      </c>
    </row>
    <row r="163" spans="1:9" x14ac:dyDescent="0.35">
      <c r="A163" s="266" t="s">
        <v>1942</v>
      </c>
      <c r="B163" s="267">
        <v>8</v>
      </c>
      <c r="C163" s="266" t="s">
        <v>2124</v>
      </c>
      <c r="D163" s="268">
        <v>2548</v>
      </c>
      <c r="E163" s="269">
        <v>44539</v>
      </c>
      <c r="F163" s="269">
        <v>44599</v>
      </c>
      <c r="G163" s="270">
        <f t="shared" si="6"/>
        <v>60</v>
      </c>
      <c r="H163" s="271">
        <f t="shared" si="7"/>
        <v>0.02</v>
      </c>
      <c r="I163" s="272">
        <f t="shared" si="8"/>
        <v>50.96</v>
      </c>
    </row>
    <row r="164" spans="1:9" x14ac:dyDescent="0.35">
      <c r="A164" s="266" t="s">
        <v>1986</v>
      </c>
      <c r="B164" s="267">
        <v>16</v>
      </c>
      <c r="C164" s="266" t="s">
        <v>2125</v>
      </c>
      <c r="D164" s="268">
        <v>6729</v>
      </c>
      <c r="E164" s="269">
        <v>44511</v>
      </c>
      <c r="F164" s="269">
        <v>44599</v>
      </c>
      <c r="G164" s="270">
        <f t="shared" si="6"/>
        <v>88</v>
      </c>
      <c r="H164" s="271">
        <f t="shared" si="7"/>
        <v>0.03</v>
      </c>
      <c r="I164" s="272">
        <f t="shared" si="8"/>
        <v>201.87</v>
      </c>
    </row>
    <row r="165" spans="1:9" x14ac:dyDescent="0.35">
      <c r="A165" s="266" t="s">
        <v>1980</v>
      </c>
      <c r="B165" s="267">
        <v>7</v>
      </c>
      <c r="C165" s="266" t="s">
        <v>2126</v>
      </c>
      <c r="D165" s="268">
        <v>9944</v>
      </c>
      <c r="E165" s="269">
        <v>44502</v>
      </c>
      <c r="F165" s="269">
        <v>44599</v>
      </c>
      <c r="G165" s="270">
        <f t="shared" si="6"/>
        <v>97</v>
      </c>
      <c r="H165" s="271">
        <f t="shared" si="7"/>
        <v>0.03</v>
      </c>
      <c r="I165" s="272">
        <f t="shared" si="8"/>
        <v>298.32</v>
      </c>
    </row>
    <row r="166" spans="1:9" x14ac:dyDescent="0.35">
      <c r="A166" s="266" t="s">
        <v>2018</v>
      </c>
      <c r="B166" s="267">
        <v>4</v>
      </c>
      <c r="C166" s="266" t="s">
        <v>2127</v>
      </c>
      <c r="D166" s="268">
        <v>1538</v>
      </c>
      <c r="E166" s="269">
        <v>44577</v>
      </c>
      <c r="F166" s="269">
        <v>44599</v>
      </c>
      <c r="G166" s="270">
        <f t="shared" si="6"/>
        <v>22</v>
      </c>
      <c r="H166" s="271">
        <f t="shared" si="7"/>
        <v>0</v>
      </c>
      <c r="I166" s="272">
        <f t="shared" si="8"/>
        <v>0</v>
      </c>
    </row>
    <row r="167" spans="1:9" x14ac:dyDescent="0.35">
      <c r="A167" s="266" t="s">
        <v>1942</v>
      </c>
      <c r="B167" s="267">
        <v>8</v>
      </c>
      <c r="C167" s="266" t="s">
        <v>2128</v>
      </c>
      <c r="D167" s="268">
        <v>6660</v>
      </c>
      <c r="E167" s="269">
        <v>44502</v>
      </c>
      <c r="F167" s="269">
        <v>44599</v>
      </c>
      <c r="G167" s="270">
        <f t="shared" si="6"/>
        <v>97</v>
      </c>
      <c r="H167" s="271">
        <f t="shared" si="7"/>
        <v>0.03</v>
      </c>
      <c r="I167" s="272">
        <f t="shared" si="8"/>
        <v>199.79999999999998</v>
      </c>
    </row>
    <row r="168" spans="1:9" x14ac:dyDescent="0.35">
      <c r="A168" s="266" t="s">
        <v>1951</v>
      </c>
      <c r="B168" s="267">
        <v>25</v>
      </c>
      <c r="C168" s="266" t="s">
        <v>2129</v>
      </c>
      <c r="D168" s="268">
        <v>6594</v>
      </c>
      <c r="E168" s="269">
        <v>44563</v>
      </c>
      <c r="F168" s="269">
        <v>44599</v>
      </c>
      <c r="G168" s="270">
        <f t="shared" si="6"/>
        <v>36</v>
      </c>
      <c r="H168" s="271">
        <f t="shared" si="7"/>
        <v>0.01</v>
      </c>
      <c r="I168" s="272">
        <f t="shared" si="8"/>
        <v>65.94</v>
      </c>
    </row>
    <row r="169" spans="1:9" x14ac:dyDescent="0.35">
      <c r="A169" s="266" t="s">
        <v>2004</v>
      </c>
      <c r="B169" s="267">
        <v>11</v>
      </c>
      <c r="C169" s="266" t="s">
        <v>2130</v>
      </c>
      <c r="D169" s="268">
        <v>4718</v>
      </c>
      <c r="E169" s="269">
        <v>44550</v>
      </c>
      <c r="F169" s="269">
        <v>44599</v>
      </c>
      <c r="G169" s="270">
        <f t="shared" si="6"/>
        <v>49</v>
      </c>
      <c r="H169" s="271">
        <f t="shared" si="7"/>
        <v>0.01</v>
      </c>
      <c r="I169" s="272">
        <f t="shared" si="8"/>
        <v>47.18</v>
      </c>
    </row>
    <row r="170" spans="1:9" x14ac:dyDescent="0.35">
      <c r="A170" s="266" t="s">
        <v>1951</v>
      </c>
      <c r="B170" s="267">
        <v>25</v>
      </c>
      <c r="C170" s="266" t="s">
        <v>2131</v>
      </c>
      <c r="D170" s="268">
        <v>3358</v>
      </c>
      <c r="E170" s="269">
        <v>44526</v>
      </c>
      <c r="F170" s="269">
        <v>44599</v>
      </c>
      <c r="G170" s="270">
        <f t="shared" si="6"/>
        <v>73</v>
      </c>
      <c r="H170" s="271">
        <f t="shared" si="7"/>
        <v>0.02</v>
      </c>
      <c r="I170" s="272">
        <f t="shared" si="8"/>
        <v>67.16</v>
      </c>
    </row>
    <row r="171" spans="1:9" x14ac:dyDescent="0.35">
      <c r="A171" s="266" t="s">
        <v>1960</v>
      </c>
      <c r="B171" s="267">
        <v>6</v>
      </c>
      <c r="C171" s="266" t="s">
        <v>2132</v>
      </c>
      <c r="D171" s="268">
        <v>3880</v>
      </c>
      <c r="E171" s="269">
        <v>44576</v>
      </c>
      <c r="F171" s="269">
        <v>44599</v>
      </c>
      <c r="G171" s="270">
        <f t="shared" si="6"/>
        <v>23</v>
      </c>
      <c r="H171" s="271">
        <f t="shared" si="7"/>
        <v>0</v>
      </c>
      <c r="I171" s="272">
        <f t="shared" si="8"/>
        <v>0</v>
      </c>
    </row>
    <row r="172" spans="1:9" x14ac:dyDescent="0.35">
      <c r="A172" s="266" t="s">
        <v>1954</v>
      </c>
      <c r="B172" s="267">
        <v>24</v>
      </c>
      <c r="C172" s="266" t="s">
        <v>2133</v>
      </c>
      <c r="D172" s="268">
        <v>4306</v>
      </c>
      <c r="E172" s="269">
        <v>44558</v>
      </c>
      <c r="F172" s="269">
        <v>44599</v>
      </c>
      <c r="G172" s="270">
        <f t="shared" si="6"/>
        <v>41</v>
      </c>
      <c r="H172" s="271">
        <f t="shared" si="7"/>
        <v>0.01</v>
      </c>
      <c r="I172" s="272">
        <f t="shared" si="8"/>
        <v>43.06</v>
      </c>
    </row>
    <row r="173" spans="1:9" x14ac:dyDescent="0.35">
      <c r="A173" s="266" t="s">
        <v>1957</v>
      </c>
      <c r="B173" s="267">
        <v>10</v>
      </c>
      <c r="C173" s="266" t="s">
        <v>2134</v>
      </c>
      <c r="D173" s="268">
        <v>7846</v>
      </c>
      <c r="E173" s="269">
        <v>44525</v>
      </c>
      <c r="F173" s="269">
        <v>44599</v>
      </c>
      <c r="G173" s="270">
        <f t="shared" si="6"/>
        <v>74</v>
      </c>
      <c r="H173" s="271">
        <f t="shared" si="7"/>
        <v>0.02</v>
      </c>
      <c r="I173" s="272">
        <f t="shared" si="8"/>
        <v>156.92000000000002</v>
      </c>
    </row>
    <row r="174" spans="1:9" x14ac:dyDescent="0.35">
      <c r="A174" s="266" t="s">
        <v>2004</v>
      </c>
      <c r="B174" s="267">
        <v>11</v>
      </c>
      <c r="C174" s="266" t="s">
        <v>2135</v>
      </c>
      <c r="D174" s="268">
        <v>1760</v>
      </c>
      <c r="E174" s="269">
        <v>44571</v>
      </c>
      <c r="F174" s="269">
        <v>44599</v>
      </c>
      <c r="G174" s="270">
        <f t="shared" si="6"/>
        <v>28</v>
      </c>
      <c r="H174" s="271">
        <f t="shared" si="7"/>
        <v>0</v>
      </c>
      <c r="I174" s="272">
        <f t="shared" si="8"/>
        <v>0</v>
      </c>
    </row>
    <row r="175" spans="1:9" x14ac:dyDescent="0.35">
      <c r="A175" s="266" t="s">
        <v>1954</v>
      </c>
      <c r="B175" s="267">
        <v>24</v>
      </c>
      <c r="C175" s="266" t="s">
        <v>2136</v>
      </c>
      <c r="D175" s="268">
        <v>5788</v>
      </c>
      <c r="E175" s="269">
        <v>44579</v>
      </c>
      <c r="F175" s="269">
        <v>44599</v>
      </c>
      <c r="G175" s="270">
        <f t="shared" si="6"/>
        <v>20</v>
      </c>
      <c r="H175" s="271">
        <f t="shared" si="7"/>
        <v>0</v>
      </c>
      <c r="I175" s="272">
        <f t="shared" si="8"/>
        <v>0</v>
      </c>
    </row>
    <row r="176" spans="1:9" x14ac:dyDescent="0.35">
      <c r="A176" s="266" t="s">
        <v>1978</v>
      </c>
      <c r="B176" s="267">
        <v>15</v>
      </c>
      <c r="C176" s="266" t="s">
        <v>2137</v>
      </c>
      <c r="D176" s="268">
        <v>6948</v>
      </c>
      <c r="E176" s="269">
        <v>44533</v>
      </c>
      <c r="F176" s="269">
        <v>44599</v>
      </c>
      <c r="G176" s="270">
        <f t="shared" si="6"/>
        <v>66</v>
      </c>
      <c r="H176" s="271">
        <f t="shared" si="7"/>
        <v>0.02</v>
      </c>
      <c r="I176" s="272">
        <f t="shared" si="8"/>
        <v>138.96</v>
      </c>
    </row>
    <row r="177" spans="1:9" x14ac:dyDescent="0.35">
      <c r="A177" s="266" t="s">
        <v>1951</v>
      </c>
      <c r="B177" s="267">
        <v>25</v>
      </c>
      <c r="C177" s="266" t="s">
        <v>2138</v>
      </c>
      <c r="D177" s="268">
        <v>5638</v>
      </c>
      <c r="E177" s="269">
        <v>44512</v>
      </c>
      <c r="F177" s="269">
        <v>44599</v>
      </c>
      <c r="G177" s="270">
        <f t="shared" si="6"/>
        <v>87</v>
      </c>
      <c r="H177" s="271">
        <f t="shared" si="7"/>
        <v>0.03</v>
      </c>
      <c r="I177" s="272">
        <f t="shared" si="8"/>
        <v>169.14</v>
      </c>
    </row>
    <row r="178" spans="1:9" x14ac:dyDescent="0.35">
      <c r="A178" s="266" t="s">
        <v>1966</v>
      </c>
      <c r="B178" s="267">
        <v>12</v>
      </c>
      <c r="C178" s="266" t="s">
        <v>2139</v>
      </c>
      <c r="D178" s="268">
        <v>3483</v>
      </c>
      <c r="E178" s="269">
        <v>44541</v>
      </c>
      <c r="F178" s="269">
        <v>44599</v>
      </c>
      <c r="G178" s="270">
        <f t="shared" si="6"/>
        <v>58</v>
      </c>
      <c r="H178" s="271">
        <f t="shared" si="7"/>
        <v>0.01</v>
      </c>
      <c r="I178" s="272">
        <f t="shared" si="8"/>
        <v>34.83</v>
      </c>
    </row>
    <row r="179" spans="1:9" x14ac:dyDescent="0.35">
      <c r="A179" s="266" t="s">
        <v>1939</v>
      </c>
      <c r="B179" s="267">
        <v>20</v>
      </c>
      <c r="C179" s="266" t="s">
        <v>2140</v>
      </c>
      <c r="D179" s="268">
        <v>4408</v>
      </c>
      <c r="E179" s="269">
        <v>44578</v>
      </c>
      <c r="F179" s="269">
        <v>44599</v>
      </c>
      <c r="G179" s="270">
        <f t="shared" si="6"/>
        <v>21</v>
      </c>
      <c r="H179" s="271">
        <f t="shared" si="7"/>
        <v>0</v>
      </c>
      <c r="I179" s="272">
        <f t="shared" si="8"/>
        <v>0</v>
      </c>
    </row>
    <row r="180" spans="1:9" x14ac:dyDescent="0.35">
      <c r="A180" s="266" t="s">
        <v>2141</v>
      </c>
      <c r="B180" s="267">
        <v>17</v>
      </c>
      <c r="C180" s="266" t="s">
        <v>2142</v>
      </c>
      <c r="D180" s="268">
        <v>6375</v>
      </c>
      <c r="E180" s="269">
        <v>44507</v>
      </c>
      <c r="F180" s="269">
        <v>44599</v>
      </c>
      <c r="G180" s="270">
        <f t="shared" si="6"/>
        <v>92</v>
      </c>
      <c r="H180" s="271">
        <f t="shared" si="7"/>
        <v>0.03</v>
      </c>
      <c r="I180" s="272">
        <f t="shared" si="8"/>
        <v>191.25</v>
      </c>
    </row>
    <row r="181" spans="1:9" x14ac:dyDescent="0.35">
      <c r="A181" s="266" t="s">
        <v>2018</v>
      </c>
      <c r="B181" s="267">
        <v>4</v>
      </c>
      <c r="C181" s="266" t="s">
        <v>2143</v>
      </c>
      <c r="D181" s="268">
        <v>4069</v>
      </c>
      <c r="E181" s="269">
        <v>44570</v>
      </c>
      <c r="F181" s="269">
        <v>44599</v>
      </c>
      <c r="G181" s="270">
        <f t="shared" si="6"/>
        <v>29</v>
      </c>
      <c r="H181" s="271">
        <f t="shared" si="7"/>
        <v>0</v>
      </c>
      <c r="I181" s="272">
        <f t="shared" si="8"/>
        <v>0</v>
      </c>
    </row>
    <row r="182" spans="1:9" x14ac:dyDescent="0.35">
      <c r="A182" s="266" t="s">
        <v>1962</v>
      </c>
      <c r="B182" s="267">
        <v>1</v>
      </c>
      <c r="C182" s="266" t="s">
        <v>2144</v>
      </c>
      <c r="D182" s="268">
        <v>8240</v>
      </c>
      <c r="E182" s="269">
        <v>44517</v>
      </c>
      <c r="F182" s="269">
        <v>44599</v>
      </c>
      <c r="G182" s="270">
        <f t="shared" si="6"/>
        <v>82</v>
      </c>
      <c r="H182" s="271">
        <f t="shared" si="7"/>
        <v>0.03</v>
      </c>
      <c r="I182" s="272">
        <f t="shared" si="8"/>
        <v>247.2</v>
      </c>
    </row>
    <row r="183" spans="1:9" x14ac:dyDescent="0.35">
      <c r="A183" s="266" t="s">
        <v>1960</v>
      </c>
      <c r="B183" s="267">
        <v>6</v>
      </c>
      <c r="C183" s="266" t="s">
        <v>2145</v>
      </c>
      <c r="D183" s="268">
        <v>6983</v>
      </c>
      <c r="E183" s="269">
        <v>44573</v>
      </c>
      <c r="F183" s="269">
        <v>44599</v>
      </c>
      <c r="G183" s="270">
        <f t="shared" si="6"/>
        <v>26</v>
      </c>
      <c r="H183" s="271">
        <f t="shared" si="7"/>
        <v>0</v>
      </c>
      <c r="I183" s="272">
        <f t="shared" si="8"/>
        <v>0</v>
      </c>
    </row>
    <row r="184" spans="1:9" x14ac:dyDescent="0.35">
      <c r="A184" s="266" t="s">
        <v>1960</v>
      </c>
      <c r="B184" s="267">
        <v>6</v>
      </c>
      <c r="C184" s="266" t="s">
        <v>2146</v>
      </c>
      <c r="D184" s="268">
        <v>6930</v>
      </c>
      <c r="E184" s="269">
        <v>44562</v>
      </c>
      <c r="F184" s="269">
        <v>44599</v>
      </c>
      <c r="G184" s="270">
        <f t="shared" si="6"/>
        <v>37</v>
      </c>
      <c r="H184" s="271">
        <f t="shared" si="7"/>
        <v>0.01</v>
      </c>
      <c r="I184" s="272">
        <f t="shared" si="8"/>
        <v>69.3</v>
      </c>
    </row>
    <row r="185" spans="1:9" x14ac:dyDescent="0.35">
      <c r="A185" s="266" t="s">
        <v>1977</v>
      </c>
      <c r="B185" s="267">
        <v>22</v>
      </c>
      <c r="C185" s="266" t="s">
        <v>2147</v>
      </c>
      <c r="D185" s="268">
        <v>8556</v>
      </c>
      <c r="E185" s="269">
        <v>44516</v>
      </c>
      <c r="F185" s="269">
        <v>44599</v>
      </c>
      <c r="G185" s="270">
        <f t="shared" si="6"/>
        <v>83</v>
      </c>
      <c r="H185" s="271">
        <f t="shared" si="7"/>
        <v>0.03</v>
      </c>
      <c r="I185" s="272">
        <f t="shared" si="8"/>
        <v>256.68</v>
      </c>
    </row>
    <row r="186" spans="1:9" x14ac:dyDescent="0.35">
      <c r="A186" s="266" t="s">
        <v>2141</v>
      </c>
      <c r="B186" s="267">
        <v>17</v>
      </c>
      <c r="C186" s="266" t="s">
        <v>2148</v>
      </c>
      <c r="D186" s="268">
        <v>8773</v>
      </c>
      <c r="E186" s="269">
        <v>44543</v>
      </c>
      <c r="F186" s="269">
        <v>44599</v>
      </c>
      <c r="G186" s="270">
        <f t="shared" si="6"/>
        <v>56</v>
      </c>
      <c r="H186" s="271">
        <f t="shared" si="7"/>
        <v>0.01</v>
      </c>
      <c r="I186" s="272">
        <f t="shared" si="8"/>
        <v>87.73</v>
      </c>
    </row>
    <row r="187" spans="1:9" x14ac:dyDescent="0.35">
      <c r="A187" s="266" t="s">
        <v>1986</v>
      </c>
      <c r="B187" s="267">
        <v>16</v>
      </c>
      <c r="C187" s="266" t="s">
        <v>2149</v>
      </c>
      <c r="D187" s="268">
        <v>5691</v>
      </c>
      <c r="E187" s="269">
        <v>44573</v>
      </c>
      <c r="F187" s="269">
        <v>44599</v>
      </c>
      <c r="G187" s="270">
        <f t="shared" si="6"/>
        <v>26</v>
      </c>
      <c r="H187" s="271">
        <f t="shared" si="7"/>
        <v>0</v>
      </c>
      <c r="I187" s="272">
        <f t="shared" si="8"/>
        <v>0</v>
      </c>
    </row>
    <row r="188" spans="1:9" x14ac:dyDescent="0.35">
      <c r="A188" s="266" t="s">
        <v>2000</v>
      </c>
      <c r="B188" s="267">
        <v>23</v>
      </c>
      <c r="C188" s="266" t="s">
        <v>2150</v>
      </c>
      <c r="D188" s="268">
        <v>9077</v>
      </c>
      <c r="E188" s="269">
        <v>44565</v>
      </c>
      <c r="F188" s="269">
        <v>44599</v>
      </c>
      <c r="G188" s="270">
        <f t="shared" si="6"/>
        <v>34</v>
      </c>
      <c r="H188" s="271">
        <f t="shared" si="7"/>
        <v>0.01</v>
      </c>
      <c r="I188" s="272">
        <f t="shared" si="8"/>
        <v>90.77</v>
      </c>
    </row>
    <row r="189" spans="1:9" x14ac:dyDescent="0.35">
      <c r="A189" s="266" t="s">
        <v>1962</v>
      </c>
      <c r="B189" s="267">
        <v>1</v>
      </c>
      <c r="C189" s="266" t="s">
        <v>2151</v>
      </c>
      <c r="D189" s="268">
        <v>3075</v>
      </c>
      <c r="E189" s="269">
        <v>44505</v>
      </c>
      <c r="F189" s="269">
        <v>44599</v>
      </c>
      <c r="G189" s="270">
        <f t="shared" si="6"/>
        <v>94</v>
      </c>
      <c r="H189" s="271">
        <f t="shared" si="7"/>
        <v>0.03</v>
      </c>
      <c r="I189" s="272">
        <f t="shared" si="8"/>
        <v>92.25</v>
      </c>
    </row>
    <row r="190" spans="1:9" x14ac:dyDescent="0.35">
      <c r="A190" s="266" t="s">
        <v>1951</v>
      </c>
      <c r="B190" s="267">
        <v>25</v>
      </c>
      <c r="C190" s="266" t="s">
        <v>2152</v>
      </c>
      <c r="D190" s="268">
        <v>2462</v>
      </c>
      <c r="E190" s="269">
        <v>44554</v>
      </c>
      <c r="F190" s="269">
        <v>44599</v>
      </c>
      <c r="G190" s="270">
        <f t="shared" si="6"/>
        <v>45</v>
      </c>
      <c r="H190" s="271">
        <f t="shared" si="7"/>
        <v>0.01</v>
      </c>
      <c r="I190" s="272">
        <f t="shared" si="8"/>
        <v>24.62</v>
      </c>
    </row>
    <row r="191" spans="1:9" x14ac:dyDescent="0.35">
      <c r="A191" s="266" t="s">
        <v>2018</v>
      </c>
      <c r="B191" s="267">
        <v>4</v>
      </c>
      <c r="C191" s="266" t="s">
        <v>2153</v>
      </c>
      <c r="D191" s="268">
        <v>7303</v>
      </c>
      <c r="E191" s="269">
        <v>44532</v>
      </c>
      <c r="F191" s="269">
        <v>44599</v>
      </c>
      <c r="G191" s="270">
        <f t="shared" si="6"/>
        <v>67</v>
      </c>
      <c r="H191" s="271">
        <f t="shared" si="7"/>
        <v>0.02</v>
      </c>
      <c r="I191" s="272">
        <f t="shared" si="8"/>
        <v>146.06</v>
      </c>
    </row>
    <row r="192" spans="1:9" x14ac:dyDescent="0.35">
      <c r="A192" s="266" t="s">
        <v>2141</v>
      </c>
      <c r="B192" s="267">
        <v>17</v>
      </c>
      <c r="C192" s="266" t="s">
        <v>2154</v>
      </c>
      <c r="D192" s="268">
        <v>9234</v>
      </c>
      <c r="E192" s="269">
        <v>44561</v>
      </c>
      <c r="F192" s="269">
        <v>44599</v>
      </c>
      <c r="G192" s="270">
        <f t="shared" si="6"/>
        <v>38</v>
      </c>
      <c r="H192" s="271">
        <f t="shared" si="7"/>
        <v>0.01</v>
      </c>
      <c r="I192" s="272">
        <f t="shared" si="8"/>
        <v>92.34</v>
      </c>
    </row>
    <row r="193" spans="1:9" x14ac:dyDescent="0.35">
      <c r="A193" s="266" t="s">
        <v>2026</v>
      </c>
      <c r="B193" s="267">
        <v>5</v>
      </c>
      <c r="C193" s="266" t="s">
        <v>2155</v>
      </c>
      <c r="D193" s="268">
        <v>7030</v>
      </c>
      <c r="E193" s="269">
        <v>44576</v>
      </c>
      <c r="F193" s="269">
        <v>44599</v>
      </c>
      <c r="G193" s="270">
        <f t="shared" si="6"/>
        <v>23</v>
      </c>
      <c r="H193" s="271">
        <f t="shared" si="7"/>
        <v>0</v>
      </c>
      <c r="I193" s="272">
        <f t="shared" si="8"/>
        <v>0</v>
      </c>
    </row>
    <row r="194" spans="1:9" x14ac:dyDescent="0.35">
      <c r="A194" s="266" t="s">
        <v>1989</v>
      </c>
      <c r="B194" s="267">
        <v>14</v>
      </c>
      <c r="C194" s="266" t="s">
        <v>2156</v>
      </c>
      <c r="D194" s="268">
        <v>3146</v>
      </c>
      <c r="E194" s="269">
        <v>44562</v>
      </c>
      <c r="F194" s="269">
        <v>44599</v>
      </c>
      <c r="G194" s="270">
        <f t="shared" si="6"/>
        <v>37</v>
      </c>
      <c r="H194" s="271">
        <f t="shared" si="7"/>
        <v>0.01</v>
      </c>
      <c r="I194" s="272">
        <f t="shared" si="8"/>
        <v>31.46</v>
      </c>
    </row>
    <row r="195" spans="1:9" x14ac:dyDescent="0.35">
      <c r="A195" s="266" t="s">
        <v>1980</v>
      </c>
      <c r="B195" s="267">
        <v>7</v>
      </c>
      <c r="C195" s="266" t="s">
        <v>2157</v>
      </c>
      <c r="D195" s="268">
        <v>7758</v>
      </c>
      <c r="E195" s="269">
        <v>44512</v>
      </c>
      <c r="F195" s="269">
        <v>44599</v>
      </c>
      <c r="G195" s="270">
        <f t="shared" si="6"/>
        <v>87</v>
      </c>
      <c r="H195" s="271">
        <f t="shared" si="7"/>
        <v>0.03</v>
      </c>
      <c r="I195" s="272">
        <f t="shared" si="8"/>
        <v>232.73999999999998</v>
      </c>
    </row>
    <row r="196" spans="1:9" x14ac:dyDescent="0.35">
      <c r="A196" s="266" t="s">
        <v>2009</v>
      </c>
      <c r="B196" s="267">
        <v>9</v>
      </c>
      <c r="C196" s="266" t="s">
        <v>2158</v>
      </c>
      <c r="D196" s="268">
        <v>9093</v>
      </c>
      <c r="E196" s="269">
        <v>44537</v>
      </c>
      <c r="F196" s="269">
        <v>44599</v>
      </c>
      <c r="G196" s="270">
        <f t="shared" si="6"/>
        <v>62</v>
      </c>
      <c r="H196" s="271">
        <f t="shared" si="7"/>
        <v>0.02</v>
      </c>
      <c r="I196" s="272">
        <f t="shared" si="8"/>
        <v>181.86</v>
      </c>
    </row>
    <row r="197" spans="1:9" x14ac:dyDescent="0.35">
      <c r="A197" s="266" t="s">
        <v>1977</v>
      </c>
      <c r="B197" s="267">
        <v>22</v>
      </c>
      <c r="C197" s="266" t="s">
        <v>2159</v>
      </c>
      <c r="D197" s="268">
        <v>4892</v>
      </c>
      <c r="E197" s="269">
        <v>44539</v>
      </c>
      <c r="F197" s="269">
        <v>44599</v>
      </c>
      <c r="G197" s="270">
        <f t="shared" si="6"/>
        <v>60</v>
      </c>
      <c r="H197" s="271">
        <f t="shared" si="7"/>
        <v>0.02</v>
      </c>
      <c r="I197" s="272">
        <f t="shared" si="8"/>
        <v>97.84</v>
      </c>
    </row>
    <row r="198" spans="1:9" x14ac:dyDescent="0.35">
      <c r="A198" s="266" t="s">
        <v>2026</v>
      </c>
      <c r="B198" s="267">
        <v>5</v>
      </c>
      <c r="C198" s="266" t="s">
        <v>2160</v>
      </c>
      <c r="D198" s="268">
        <v>4350</v>
      </c>
      <c r="E198" s="269">
        <v>44523</v>
      </c>
      <c r="F198" s="269">
        <v>44599</v>
      </c>
      <c r="G198" s="270">
        <f t="shared" si="6"/>
        <v>76</v>
      </c>
      <c r="H198" s="271">
        <f t="shared" si="7"/>
        <v>0.02</v>
      </c>
      <c r="I198" s="272">
        <f t="shared" si="8"/>
        <v>87</v>
      </c>
    </row>
    <row r="199" spans="1:9" x14ac:dyDescent="0.35">
      <c r="A199" s="266" t="s">
        <v>2004</v>
      </c>
      <c r="B199" s="267">
        <v>11</v>
      </c>
      <c r="C199" s="266" t="s">
        <v>2161</v>
      </c>
      <c r="D199" s="268">
        <v>8676</v>
      </c>
      <c r="E199" s="269">
        <v>44538</v>
      </c>
      <c r="F199" s="269">
        <v>44599</v>
      </c>
      <c r="G199" s="270">
        <f t="shared" si="6"/>
        <v>61</v>
      </c>
      <c r="H199" s="271">
        <f t="shared" si="7"/>
        <v>0.02</v>
      </c>
      <c r="I199" s="272">
        <f t="shared" si="8"/>
        <v>173.52</v>
      </c>
    </row>
    <row r="200" spans="1:9" x14ac:dyDescent="0.35">
      <c r="A200" s="266" t="s">
        <v>1992</v>
      </c>
      <c r="B200" s="267">
        <v>19</v>
      </c>
      <c r="C200" s="266" t="s">
        <v>2162</v>
      </c>
      <c r="D200" s="268">
        <v>8827</v>
      </c>
      <c r="E200" s="269">
        <v>44555</v>
      </c>
      <c r="F200" s="269">
        <v>44599</v>
      </c>
      <c r="G200" s="270">
        <f t="shared" si="6"/>
        <v>44</v>
      </c>
      <c r="H200" s="271">
        <f t="shared" si="7"/>
        <v>0.01</v>
      </c>
      <c r="I200" s="272">
        <f t="shared" si="8"/>
        <v>88.27</v>
      </c>
    </row>
    <row r="201" spans="1:9" x14ac:dyDescent="0.35">
      <c r="A201" s="266" t="s">
        <v>1939</v>
      </c>
      <c r="B201" s="267">
        <v>20</v>
      </c>
      <c r="C201" s="266" t="s">
        <v>2163</v>
      </c>
      <c r="D201" s="268">
        <v>2642</v>
      </c>
      <c r="E201" s="269">
        <v>44510</v>
      </c>
      <c r="F201" s="269">
        <v>44599</v>
      </c>
      <c r="G201" s="270">
        <f t="shared" si="6"/>
        <v>89</v>
      </c>
      <c r="H201" s="271">
        <f t="shared" si="7"/>
        <v>0.03</v>
      </c>
      <c r="I201" s="272">
        <f t="shared" si="8"/>
        <v>79.259999999999991</v>
      </c>
    </row>
    <row r="202" spans="1:9" x14ac:dyDescent="0.35">
      <c r="A202" s="266" t="s">
        <v>2026</v>
      </c>
      <c r="B202" s="267">
        <v>5</v>
      </c>
      <c r="C202" s="266" t="s">
        <v>2164</v>
      </c>
      <c r="D202" s="268">
        <v>8003</v>
      </c>
      <c r="E202" s="269">
        <v>44568</v>
      </c>
      <c r="F202" s="269">
        <v>44599</v>
      </c>
      <c r="G202" s="270">
        <f t="shared" si="6"/>
        <v>31</v>
      </c>
      <c r="H202" s="271">
        <f t="shared" si="7"/>
        <v>0.01</v>
      </c>
      <c r="I202" s="272">
        <f t="shared" si="8"/>
        <v>80.03</v>
      </c>
    </row>
    <row r="203" spans="1:9" x14ac:dyDescent="0.35">
      <c r="A203" s="266" t="s">
        <v>1992</v>
      </c>
      <c r="B203" s="267">
        <v>19</v>
      </c>
      <c r="C203" s="266" t="s">
        <v>2165</v>
      </c>
      <c r="D203" s="268">
        <v>8827</v>
      </c>
      <c r="E203" s="269">
        <v>44502</v>
      </c>
      <c r="F203" s="269">
        <v>44599</v>
      </c>
      <c r="G203" s="270">
        <f t="shared" si="6"/>
        <v>97</v>
      </c>
      <c r="H203" s="271">
        <f t="shared" si="7"/>
        <v>0.03</v>
      </c>
      <c r="I203" s="272">
        <f t="shared" si="8"/>
        <v>264.81</v>
      </c>
    </row>
    <row r="204" spans="1:9" x14ac:dyDescent="0.35">
      <c r="A204" s="266" t="s">
        <v>2004</v>
      </c>
      <c r="B204" s="267">
        <v>11</v>
      </c>
      <c r="C204" s="266" t="s">
        <v>2166</v>
      </c>
      <c r="D204" s="268">
        <v>3958</v>
      </c>
      <c r="E204" s="269">
        <v>44512</v>
      </c>
      <c r="F204" s="269">
        <v>44599</v>
      </c>
      <c r="G204" s="270">
        <f t="shared" si="6"/>
        <v>87</v>
      </c>
      <c r="H204" s="271">
        <f t="shared" si="7"/>
        <v>0.03</v>
      </c>
      <c r="I204" s="272">
        <f t="shared" si="8"/>
        <v>118.74</v>
      </c>
    </row>
    <row r="205" spans="1:9" x14ac:dyDescent="0.35">
      <c r="A205" s="266" t="s">
        <v>1994</v>
      </c>
      <c r="B205" s="267">
        <v>13</v>
      </c>
      <c r="C205" s="266" t="s">
        <v>2167</v>
      </c>
      <c r="D205" s="268">
        <v>3030</v>
      </c>
      <c r="E205" s="269">
        <v>44510</v>
      </c>
      <c r="F205" s="269">
        <v>44599</v>
      </c>
      <c r="G205" s="270">
        <f t="shared" ref="G205:G268" si="9">F205-E205</f>
        <v>89</v>
      </c>
      <c r="H205" s="271">
        <f t="shared" ref="H205:H268" si="10">IF(G205&lt;=30,0,IF(G205&lt;60,1%,IF(G205&lt;80,2%,3%)))</f>
        <v>0.03</v>
      </c>
      <c r="I205" s="272">
        <f t="shared" ref="I205:I268" si="11">H205*D205</f>
        <v>90.899999999999991</v>
      </c>
    </row>
    <row r="206" spans="1:9" x14ac:dyDescent="0.35">
      <c r="A206" s="266" t="s">
        <v>2141</v>
      </c>
      <c r="B206" s="267">
        <v>17</v>
      </c>
      <c r="C206" s="266" t="s">
        <v>2168</v>
      </c>
      <c r="D206" s="268">
        <v>1129</v>
      </c>
      <c r="E206" s="269">
        <v>44504</v>
      </c>
      <c r="F206" s="269">
        <v>44599</v>
      </c>
      <c r="G206" s="270">
        <f t="shared" si="9"/>
        <v>95</v>
      </c>
      <c r="H206" s="271">
        <f t="shared" si="10"/>
        <v>0.03</v>
      </c>
      <c r="I206" s="272">
        <f t="shared" si="11"/>
        <v>33.869999999999997</v>
      </c>
    </row>
    <row r="207" spans="1:9" x14ac:dyDescent="0.35">
      <c r="A207" s="266" t="s">
        <v>1945</v>
      </c>
      <c r="B207" s="267">
        <v>21</v>
      </c>
      <c r="C207" s="266" t="s">
        <v>2169</v>
      </c>
      <c r="D207" s="268">
        <v>4603</v>
      </c>
      <c r="E207" s="269">
        <v>44557</v>
      </c>
      <c r="F207" s="269">
        <v>44599</v>
      </c>
      <c r="G207" s="270">
        <f t="shared" si="9"/>
        <v>42</v>
      </c>
      <c r="H207" s="271">
        <f t="shared" si="10"/>
        <v>0.01</v>
      </c>
      <c r="I207" s="272">
        <f t="shared" si="11"/>
        <v>46.03</v>
      </c>
    </row>
    <row r="208" spans="1:9" x14ac:dyDescent="0.35">
      <c r="A208" s="266" t="s">
        <v>1980</v>
      </c>
      <c r="B208" s="267">
        <v>7</v>
      </c>
      <c r="C208" s="266" t="s">
        <v>2170</v>
      </c>
      <c r="D208" s="268">
        <v>2529</v>
      </c>
      <c r="E208" s="269">
        <v>44526</v>
      </c>
      <c r="F208" s="269">
        <v>44599</v>
      </c>
      <c r="G208" s="270">
        <f t="shared" si="9"/>
        <v>73</v>
      </c>
      <c r="H208" s="271">
        <f t="shared" si="10"/>
        <v>0.02</v>
      </c>
      <c r="I208" s="272">
        <f t="shared" si="11"/>
        <v>50.58</v>
      </c>
    </row>
    <row r="209" spans="1:9" x14ac:dyDescent="0.35">
      <c r="A209" s="266" t="s">
        <v>1960</v>
      </c>
      <c r="B209" s="267">
        <v>6</v>
      </c>
      <c r="C209" s="266" t="s">
        <v>2171</v>
      </c>
      <c r="D209" s="268">
        <v>6879</v>
      </c>
      <c r="E209" s="269">
        <v>44566</v>
      </c>
      <c r="F209" s="269">
        <v>44599</v>
      </c>
      <c r="G209" s="270">
        <f t="shared" si="9"/>
        <v>33</v>
      </c>
      <c r="H209" s="271">
        <f t="shared" si="10"/>
        <v>0.01</v>
      </c>
      <c r="I209" s="272">
        <f t="shared" si="11"/>
        <v>68.790000000000006</v>
      </c>
    </row>
    <row r="210" spans="1:9" x14ac:dyDescent="0.35">
      <c r="A210" s="266" t="s">
        <v>2000</v>
      </c>
      <c r="B210" s="267">
        <v>23</v>
      </c>
      <c r="C210" s="266" t="s">
        <v>2172</v>
      </c>
      <c r="D210" s="268">
        <v>5731</v>
      </c>
      <c r="E210" s="269">
        <v>44508</v>
      </c>
      <c r="F210" s="269">
        <v>44599</v>
      </c>
      <c r="G210" s="270">
        <f t="shared" si="9"/>
        <v>91</v>
      </c>
      <c r="H210" s="271">
        <f t="shared" si="10"/>
        <v>0.03</v>
      </c>
      <c r="I210" s="272">
        <f t="shared" si="11"/>
        <v>171.93</v>
      </c>
    </row>
    <row r="211" spans="1:9" x14ac:dyDescent="0.35">
      <c r="A211" s="266" t="s">
        <v>1942</v>
      </c>
      <c r="B211" s="267">
        <v>8</v>
      </c>
      <c r="C211" s="266" t="s">
        <v>2173</v>
      </c>
      <c r="D211" s="268">
        <v>5445</v>
      </c>
      <c r="E211" s="269">
        <v>44566</v>
      </c>
      <c r="F211" s="269">
        <v>44599</v>
      </c>
      <c r="G211" s="270">
        <f t="shared" si="9"/>
        <v>33</v>
      </c>
      <c r="H211" s="271">
        <f t="shared" si="10"/>
        <v>0.01</v>
      </c>
      <c r="I211" s="272">
        <f t="shared" si="11"/>
        <v>54.45</v>
      </c>
    </row>
    <row r="212" spans="1:9" x14ac:dyDescent="0.35">
      <c r="A212" s="266" t="s">
        <v>1980</v>
      </c>
      <c r="B212" s="267">
        <v>7</v>
      </c>
      <c r="C212" s="266" t="s">
        <v>2174</v>
      </c>
      <c r="D212" s="268">
        <v>3129</v>
      </c>
      <c r="E212" s="269">
        <v>44538</v>
      </c>
      <c r="F212" s="269">
        <v>44599</v>
      </c>
      <c r="G212" s="270">
        <f t="shared" si="9"/>
        <v>61</v>
      </c>
      <c r="H212" s="271">
        <f t="shared" si="10"/>
        <v>0.02</v>
      </c>
      <c r="I212" s="272">
        <f t="shared" si="11"/>
        <v>62.58</v>
      </c>
    </row>
    <row r="213" spans="1:9" x14ac:dyDescent="0.35">
      <c r="A213" s="266" t="s">
        <v>1966</v>
      </c>
      <c r="B213" s="267">
        <v>12</v>
      </c>
      <c r="C213" s="266" t="s">
        <v>2175</v>
      </c>
      <c r="D213" s="268">
        <v>6712</v>
      </c>
      <c r="E213" s="269">
        <v>44523</v>
      </c>
      <c r="F213" s="269">
        <v>44599</v>
      </c>
      <c r="G213" s="270">
        <f t="shared" si="9"/>
        <v>76</v>
      </c>
      <c r="H213" s="271">
        <f t="shared" si="10"/>
        <v>0.02</v>
      </c>
      <c r="I213" s="272">
        <f t="shared" si="11"/>
        <v>134.24</v>
      </c>
    </row>
    <row r="214" spans="1:9" x14ac:dyDescent="0.35">
      <c r="A214" s="266" t="s">
        <v>1976</v>
      </c>
      <c r="B214" s="267">
        <v>3</v>
      </c>
      <c r="C214" s="266" t="s">
        <v>2176</v>
      </c>
      <c r="D214" s="268">
        <v>5353</v>
      </c>
      <c r="E214" s="269">
        <v>44572</v>
      </c>
      <c r="F214" s="269">
        <v>44599</v>
      </c>
      <c r="G214" s="270">
        <f t="shared" si="9"/>
        <v>27</v>
      </c>
      <c r="H214" s="271">
        <f t="shared" si="10"/>
        <v>0</v>
      </c>
      <c r="I214" s="272">
        <f t="shared" si="11"/>
        <v>0</v>
      </c>
    </row>
    <row r="215" spans="1:9" x14ac:dyDescent="0.35">
      <c r="A215" s="266" t="s">
        <v>2000</v>
      </c>
      <c r="B215" s="267">
        <v>23</v>
      </c>
      <c r="C215" s="266" t="s">
        <v>2177</v>
      </c>
      <c r="D215" s="268">
        <v>6503</v>
      </c>
      <c r="E215" s="269">
        <v>44522</v>
      </c>
      <c r="F215" s="269">
        <v>44599</v>
      </c>
      <c r="G215" s="270">
        <f t="shared" si="9"/>
        <v>77</v>
      </c>
      <c r="H215" s="271">
        <f t="shared" si="10"/>
        <v>0.02</v>
      </c>
      <c r="I215" s="272">
        <f t="shared" si="11"/>
        <v>130.06</v>
      </c>
    </row>
    <row r="216" spans="1:9" x14ac:dyDescent="0.35">
      <c r="A216" s="266" t="s">
        <v>1989</v>
      </c>
      <c r="B216" s="267">
        <v>14</v>
      </c>
      <c r="C216" s="266" t="s">
        <v>2178</v>
      </c>
      <c r="D216" s="268">
        <v>7928</v>
      </c>
      <c r="E216" s="269">
        <v>44566</v>
      </c>
      <c r="F216" s="269">
        <v>44599</v>
      </c>
      <c r="G216" s="270">
        <f t="shared" si="9"/>
        <v>33</v>
      </c>
      <c r="H216" s="271">
        <f t="shared" si="10"/>
        <v>0.01</v>
      </c>
      <c r="I216" s="272">
        <f t="shared" si="11"/>
        <v>79.28</v>
      </c>
    </row>
    <row r="217" spans="1:9" x14ac:dyDescent="0.35">
      <c r="A217" s="266" t="s">
        <v>1960</v>
      </c>
      <c r="B217" s="267">
        <v>6</v>
      </c>
      <c r="C217" s="266" t="s">
        <v>2179</v>
      </c>
      <c r="D217" s="268">
        <v>2493</v>
      </c>
      <c r="E217" s="269">
        <v>44515</v>
      </c>
      <c r="F217" s="269">
        <v>44599</v>
      </c>
      <c r="G217" s="270">
        <f t="shared" si="9"/>
        <v>84</v>
      </c>
      <c r="H217" s="271">
        <f t="shared" si="10"/>
        <v>0.03</v>
      </c>
      <c r="I217" s="272">
        <f t="shared" si="11"/>
        <v>74.789999999999992</v>
      </c>
    </row>
    <row r="218" spans="1:9" x14ac:dyDescent="0.35">
      <c r="A218" s="266" t="s">
        <v>1980</v>
      </c>
      <c r="B218" s="267">
        <v>7</v>
      </c>
      <c r="C218" s="266" t="s">
        <v>2180</v>
      </c>
      <c r="D218" s="268">
        <v>8634</v>
      </c>
      <c r="E218" s="269">
        <v>44569</v>
      </c>
      <c r="F218" s="269">
        <v>44599</v>
      </c>
      <c r="G218" s="270">
        <f t="shared" si="9"/>
        <v>30</v>
      </c>
      <c r="H218" s="271">
        <f t="shared" si="10"/>
        <v>0</v>
      </c>
      <c r="I218" s="272">
        <f t="shared" si="11"/>
        <v>0</v>
      </c>
    </row>
    <row r="219" spans="1:9" x14ac:dyDescent="0.35">
      <c r="A219" s="266" t="s">
        <v>1951</v>
      </c>
      <c r="B219" s="267">
        <v>25</v>
      </c>
      <c r="C219" s="266" t="s">
        <v>2181</v>
      </c>
      <c r="D219" s="268">
        <v>9974</v>
      </c>
      <c r="E219" s="269">
        <v>44564</v>
      </c>
      <c r="F219" s="269">
        <v>44599</v>
      </c>
      <c r="G219" s="270">
        <f t="shared" si="9"/>
        <v>35</v>
      </c>
      <c r="H219" s="271">
        <f t="shared" si="10"/>
        <v>0.01</v>
      </c>
      <c r="I219" s="272">
        <f t="shared" si="11"/>
        <v>99.740000000000009</v>
      </c>
    </row>
    <row r="220" spans="1:9" x14ac:dyDescent="0.35">
      <c r="A220" s="266" t="s">
        <v>1977</v>
      </c>
      <c r="B220" s="267">
        <v>22</v>
      </c>
      <c r="C220" s="266" t="s">
        <v>2182</v>
      </c>
      <c r="D220" s="268">
        <v>9996</v>
      </c>
      <c r="E220" s="269">
        <v>44524</v>
      </c>
      <c r="F220" s="269">
        <v>44599</v>
      </c>
      <c r="G220" s="270">
        <f t="shared" si="9"/>
        <v>75</v>
      </c>
      <c r="H220" s="271">
        <f t="shared" si="10"/>
        <v>0.02</v>
      </c>
      <c r="I220" s="272">
        <f t="shared" si="11"/>
        <v>199.92000000000002</v>
      </c>
    </row>
    <row r="221" spans="1:9" x14ac:dyDescent="0.35">
      <c r="A221" s="266" t="s">
        <v>2004</v>
      </c>
      <c r="B221" s="267">
        <v>11</v>
      </c>
      <c r="C221" s="266" t="s">
        <v>2183</v>
      </c>
      <c r="D221" s="268">
        <v>1070</v>
      </c>
      <c r="E221" s="269">
        <v>44524</v>
      </c>
      <c r="F221" s="269">
        <v>44599</v>
      </c>
      <c r="G221" s="270">
        <f t="shared" si="9"/>
        <v>75</v>
      </c>
      <c r="H221" s="271">
        <f t="shared" si="10"/>
        <v>0.02</v>
      </c>
      <c r="I221" s="272">
        <f t="shared" si="11"/>
        <v>21.400000000000002</v>
      </c>
    </row>
    <row r="222" spans="1:9" x14ac:dyDescent="0.35">
      <c r="A222" s="266" t="s">
        <v>1939</v>
      </c>
      <c r="B222" s="267">
        <v>20</v>
      </c>
      <c r="C222" s="266" t="s">
        <v>2184</v>
      </c>
      <c r="D222" s="268">
        <v>5009</v>
      </c>
      <c r="E222" s="269">
        <v>44560</v>
      </c>
      <c r="F222" s="269">
        <v>44599</v>
      </c>
      <c r="G222" s="270">
        <f t="shared" si="9"/>
        <v>39</v>
      </c>
      <c r="H222" s="271">
        <f t="shared" si="10"/>
        <v>0.01</v>
      </c>
      <c r="I222" s="272">
        <f t="shared" si="11"/>
        <v>50.09</v>
      </c>
    </row>
    <row r="223" spans="1:9" x14ac:dyDescent="0.35">
      <c r="A223" s="266" t="s">
        <v>1986</v>
      </c>
      <c r="B223" s="267">
        <v>16</v>
      </c>
      <c r="C223" s="266" t="s">
        <v>2185</v>
      </c>
      <c r="D223" s="268">
        <v>2255</v>
      </c>
      <c r="E223" s="269">
        <v>44539</v>
      </c>
      <c r="F223" s="269">
        <v>44599</v>
      </c>
      <c r="G223" s="270">
        <f t="shared" si="9"/>
        <v>60</v>
      </c>
      <c r="H223" s="271">
        <f t="shared" si="10"/>
        <v>0.02</v>
      </c>
      <c r="I223" s="272">
        <f t="shared" si="11"/>
        <v>45.1</v>
      </c>
    </row>
    <row r="224" spans="1:9" x14ac:dyDescent="0.35">
      <c r="A224" s="266" t="s">
        <v>1969</v>
      </c>
      <c r="B224" s="267">
        <v>2</v>
      </c>
      <c r="C224" s="266" t="s">
        <v>2186</v>
      </c>
      <c r="D224" s="268">
        <v>9840</v>
      </c>
      <c r="E224" s="269">
        <v>44512</v>
      </c>
      <c r="F224" s="269">
        <v>44599</v>
      </c>
      <c r="G224" s="270">
        <f t="shared" si="9"/>
        <v>87</v>
      </c>
      <c r="H224" s="271">
        <f t="shared" si="10"/>
        <v>0.03</v>
      </c>
      <c r="I224" s="272">
        <f t="shared" si="11"/>
        <v>295.2</v>
      </c>
    </row>
    <row r="225" spans="1:9" x14ac:dyDescent="0.35">
      <c r="A225" s="266" t="s">
        <v>1942</v>
      </c>
      <c r="B225" s="267">
        <v>8</v>
      </c>
      <c r="C225" s="266" t="s">
        <v>2187</v>
      </c>
      <c r="D225" s="268">
        <v>5237</v>
      </c>
      <c r="E225" s="269">
        <v>44502</v>
      </c>
      <c r="F225" s="269">
        <v>44599</v>
      </c>
      <c r="G225" s="270">
        <f t="shared" si="9"/>
        <v>97</v>
      </c>
      <c r="H225" s="271">
        <f t="shared" si="10"/>
        <v>0.03</v>
      </c>
      <c r="I225" s="272">
        <f t="shared" si="11"/>
        <v>157.10999999999999</v>
      </c>
    </row>
    <row r="226" spans="1:9" x14ac:dyDescent="0.35">
      <c r="A226" s="266" t="s">
        <v>1978</v>
      </c>
      <c r="B226" s="267">
        <v>15</v>
      </c>
      <c r="C226" s="266" t="s">
        <v>2188</v>
      </c>
      <c r="D226" s="268">
        <v>6286</v>
      </c>
      <c r="E226" s="269">
        <v>44576</v>
      </c>
      <c r="F226" s="269">
        <v>44599</v>
      </c>
      <c r="G226" s="270">
        <f t="shared" si="9"/>
        <v>23</v>
      </c>
      <c r="H226" s="271">
        <f t="shared" si="10"/>
        <v>0</v>
      </c>
      <c r="I226" s="272">
        <f t="shared" si="11"/>
        <v>0</v>
      </c>
    </row>
    <row r="227" spans="1:9" x14ac:dyDescent="0.35">
      <c r="A227" s="266" t="s">
        <v>1948</v>
      </c>
      <c r="B227" s="267">
        <v>18</v>
      </c>
      <c r="C227" s="266" t="s">
        <v>2189</v>
      </c>
      <c r="D227" s="268">
        <v>6275</v>
      </c>
      <c r="E227" s="269">
        <v>44558</v>
      </c>
      <c r="F227" s="269">
        <v>44599</v>
      </c>
      <c r="G227" s="270">
        <f t="shared" si="9"/>
        <v>41</v>
      </c>
      <c r="H227" s="271">
        <f t="shared" si="10"/>
        <v>0.01</v>
      </c>
      <c r="I227" s="272">
        <f t="shared" si="11"/>
        <v>62.75</v>
      </c>
    </row>
    <row r="228" spans="1:9" x14ac:dyDescent="0.35">
      <c r="A228" s="266" t="s">
        <v>1962</v>
      </c>
      <c r="B228" s="267">
        <v>1</v>
      </c>
      <c r="C228" s="266" t="s">
        <v>2190</v>
      </c>
      <c r="D228" s="268">
        <v>9101</v>
      </c>
      <c r="E228" s="269">
        <v>44528</v>
      </c>
      <c r="F228" s="269">
        <v>44599</v>
      </c>
      <c r="G228" s="270">
        <f t="shared" si="9"/>
        <v>71</v>
      </c>
      <c r="H228" s="271">
        <f t="shared" si="10"/>
        <v>0.02</v>
      </c>
      <c r="I228" s="272">
        <f t="shared" si="11"/>
        <v>182.02</v>
      </c>
    </row>
    <row r="229" spans="1:9" x14ac:dyDescent="0.35">
      <c r="A229" s="266" t="s">
        <v>1966</v>
      </c>
      <c r="B229" s="267">
        <v>12</v>
      </c>
      <c r="C229" s="266" t="s">
        <v>2191</v>
      </c>
      <c r="D229" s="268">
        <v>7019</v>
      </c>
      <c r="E229" s="269">
        <v>44506</v>
      </c>
      <c r="F229" s="269">
        <v>44599</v>
      </c>
      <c r="G229" s="270">
        <f t="shared" si="9"/>
        <v>93</v>
      </c>
      <c r="H229" s="271">
        <f t="shared" si="10"/>
        <v>0.03</v>
      </c>
      <c r="I229" s="272">
        <f t="shared" si="11"/>
        <v>210.57</v>
      </c>
    </row>
    <row r="230" spans="1:9" x14ac:dyDescent="0.35">
      <c r="A230" s="266" t="s">
        <v>1986</v>
      </c>
      <c r="B230" s="267">
        <v>16</v>
      </c>
      <c r="C230" s="266" t="s">
        <v>2192</v>
      </c>
      <c r="D230" s="268">
        <v>5348</v>
      </c>
      <c r="E230" s="269">
        <v>44504</v>
      </c>
      <c r="F230" s="269">
        <v>44599</v>
      </c>
      <c r="G230" s="270">
        <f t="shared" si="9"/>
        <v>95</v>
      </c>
      <c r="H230" s="271">
        <f t="shared" si="10"/>
        <v>0.03</v>
      </c>
      <c r="I230" s="272">
        <f t="shared" si="11"/>
        <v>160.44</v>
      </c>
    </row>
    <row r="231" spans="1:9" x14ac:dyDescent="0.35">
      <c r="A231" s="266" t="s">
        <v>1986</v>
      </c>
      <c r="B231" s="267">
        <v>16</v>
      </c>
      <c r="C231" s="266" t="s">
        <v>2193</v>
      </c>
      <c r="D231" s="268">
        <v>9860</v>
      </c>
      <c r="E231" s="269">
        <v>44514</v>
      </c>
      <c r="F231" s="269">
        <v>44599</v>
      </c>
      <c r="G231" s="270">
        <f t="shared" si="9"/>
        <v>85</v>
      </c>
      <c r="H231" s="271">
        <f t="shared" si="10"/>
        <v>0.03</v>
      </c>
      <c r="I231" s="272">
        <f t="shared" si="11"/>
        <v>295.8</v>
      </c>
    </row>
    <row r="232" spans="1:9" x14ac:dyDescent="0.35">
      <c r="A232" s="266" t="s">
        <v>1962</v>
      </c>
      <c r="B232" s="267">
        <v>1</v>
      </c>
      <c r="C232" s="266" t="s">
        <v>2194</v>
      </c>
      <c r="D232" s="268">
        <v>6232</v>
      </c>
      <c r="E232" s="269">
        <v>44580</v>
      </c>
      <c r="F232" s="269">
        <v>44599</v>
      </c>
      <c r="G232" s="270">
        <f t="shared" si="9"/>
        <v>19</v>
      </c>
      <c r="H232" s="271">
        <f t="shared" si="10"/>
        <v>0</v>
      </c>
      <c r="I232" s="272">
        <f t="shared" si="11"/>
        <v>0</v>
      </c>
    </row>
    <row r="233" spans="1:9" x14ac:dyDescent="0.35">
      <c r="A233" s="266" t="s">
        <v>1939</v>
      </c>
      <c r="B233" s="267">
        <v>20</v>
      </c>
      <c r="C233" s="266" t="s">
        <v>2195</v>
      </c>
      <c r="D233" s="268">
        <v>9998</v>
      </c>
      <c r="E233" s="269">
        <v>44558</v>
      </c>
      <c r="F233" s="269">
        <v>44599</v>
      </c>
      <c r="G233" s="270">
        <f t="shared" si="9"/>
        <v>41</v>
      </c>
      <c r="H233" s="271">
        <f t="shared" si="10"/>
        <v>0.01</v>
      </c>
      <c r="I233" s="272">
        <f t="shared" si="11"/>
        <v>99.98</v>
      </c>
    </row>
    <row r="234" spans="1:9" x14ac:dyDescent="0.35">
      <c r="A234" s="266" t="s">
        <v>1994</v>
      </c>
      <c r="B234" s="267">
        <v>13</v>
      </c>
      <c r="C234" s="266" t="s">
        <v>2196</v>
      </c>
      <c r="D234" s="268">
        <v>8263</v>
      </c>
      <c r="E234" s="269">
        <v>44546</v>
      </c>
      <c r="F234" s="269">
        <v>44599</v>
      </c>
      <c r="G234" s="270">
        <f t="shared" si="9"/>
        <v>53</v>
      </c>
      <c r="H234" s="271">
        <f t="shared" si="10"/>
        <v>0.01</v>
      </c>
      <c r="I234" s="272">
        <f t="shared" si="11"/>
        <v>82.63</v>
      </c>
    </row>
    <row r="235" spans="1:9" x14ac:dyDescent="0.35">
      <c r="A235" s="266" t="s">
        <v>1992</v>
      </c>
      <c r="B235" s="267">
        <v>19</v>
      </c>
      <c r="C235" s="266" t="s">
        <v>2197</v>
      </c>
      <c r="D235" s="268">
        <v>5169</v>
      </c>
      <c r="E235" s="269">
        <v>44572</v>
      </c>
      <c r="F235" s="269">
        <v>44599</v>
      </c>
      <c r="G235" s="270">
        <f t="shared" si="9"/>
        <v>27</v>
      </c>
      <c r="H235" s="271">
        <f t="shared" si="10"/>
        <v>0</v>
      </c>
      <c r="I235" s="272">
        <f t="shared" si="11"/>
        <v>0</v>
      </c>
    </row>
    <row r="236" spans="1:9" x14ac:dyDescent="0.35">
      <c r="A236" s="266" t="s">
        <v>2026</v>
      </c>
      <c r="B236" s="267">
        <v>5</v>
      </c>
      <c r="C236" s="266" t="s">
        <v>2198</v>
      </c>
      <c r="D236" s="268">
        <v>3173</v>
      </c>
      <c r="E236" s="269">
        <v>44536</v>
      </c>
      <c r="F236" s="269">
        <v>44599</v>
      </c>
      <c r="G236" s="270">
        <f t="shared" si="9"/>
        <v>63</v>
      </c>
      <c r="H236" s="271">
        <f t="shared" si="10"/>
        <v>0.02</v>
      </c>
      <c r="I236" s="272">
        <f t="shared" si="11"/>
        <v>63.46</v>
      </c>
    </row>
    <row r="237" spans="1:9" x14ac:dyDescent="0.35">
      <c r="A237" s="266" t="s">
        <v>1939</v>
      </c>
      <c r="B237" s="267">
        <v>20</v>
      </c>
      <c r="C237" s="266" t="s">
        <v>2199</v>
      </c>
      <c r="D237" s="268">
        <v>8182</v>
      </c>
      <c r="E237" s="269">
        <v>44553</v>
      </c>
      <c r="F237" s="269">
        <v>44599</v>
      </c>
      <c r="G237" s="270">
        <f t="shared" si="9"/>
        <v>46</v>
      </c>
      <c r="H237" s="271">
        <f t="shared" si="10"/>
        <v>0.01</v>
      </c>
      <c r="I237" s="272">
        <f t="shared" si="11"/>
        <v>81.820000000000007</v>
      </c>
    </row>
    <row r="238" spans="1:9" x14ac:dyDescent="0.35">
      <c r="A238" s="266" t="s">
        <v>1980</v>
      </c>
      <c r="B238" s="267">
        <v>7</v>
      </c>
      <c r="C238" s="266" t="s">
        <v>2200</v>
      </c>
      <c r="D238" s="268">
        <v>3337</v>
      </c>
      <c r="E238" s="269">
        <v>44523</v>
      </c>
      <c r="F238" s="269">
        <v>44599</v>
      </c>
      <c r="G238" s="270">
        <f t="shared" si="9"/>
        <v>76</v>
      </c>
      <c r="H238" s="271">
        <f t="shared" si="10"/>
        <v>0.02</v>
      </c>
      <c r="I238" s="272">
        <f t="shared" si="11"/>
        <v>66.739999999999995</v>
      </c>
    </row>
    <row r="239" spans="1:9" x14ac:dyDescent="0.35">
      <c r="A239" s="266" t="s">
        <v>1939</v>
      </c>
      <c r="B239" s="267">
        <v>20</v>
      </c>
      <c r="C239" s="266" t="s">
        <v>2201</v>
      </c>
      <c r="D239" s="268">
        <v>8306</v>
      </c>
      <c r="E239" s="269">
        <v>44558</v>
      </c>
      <c r="F239" s="269">
        <v>44599</v>
      </c>
      <c r="G239" s="270">
        <f t="shared" si="9"/>
        <v>41</v>
      </c>
      <c r="H239" s="271">
        <f t="shared" si="10"/>
        <v>0.01</v>
      </c>
      <c r="I239" s="272">
        <f t="shared" si="11"/>
        <v>83.06</v>
      </c>
    </row>
    <row r="240" spans="1:9" x14ac:dyDescent="0.35">
      <c r="A240" s="266" t="s">
        <v>1942</v>
      </c>
      <c r="B240" s="267">
        <v>8</v>
      </c>
      <c r="C240" s="266" t="s">
        <v>2202</v>
      </c>
      <c r="D240" s="268">
        <v>2093</v>
      </c>
      <c r="E240" s="269">
        <v>44550</v>
      </c>
      <c r="F240" s="269">
        <v>44599</v>
      </c>
      <c r="G240" s="270">
        <f t="shared" si="9"/>
        <v>49</v>
      </c>
      <c r="H240" s="271">
        <f t="shared" si="10"/>
        <v>0.01</v>
      </c>
      <c r="I240" s="272">
        <f t="shared" si="11"/>
        <v>20.93</v>
      </c>
    </row>
    <row r="241" spans="1:9" x14ac:dyDescent="0.35">
      <c r="A241" s="266" t="s">
        <v>1977</v>
      </c>
      <c r="B241" s="267">
        <v>22</v>
      </c>
      <c r="C241" s="266" t="s">
        <v>2203</v>
      </c>
      <c r="D241" s="268">
        <v>2323</v>
      </c>
      <c r="E241" s="269">
        <v>44522</v>
      </c>
      <c r="F241" s="269">
        <v>44599</v>
      </c>
      <c r="G241" s="270">
        <f t="shared" si="9"/>
        <v>77</v>
      </c>
      <c r="H241" s="271">
        <f t="shared" si="10"/>
        <v>0.02</v>
      </c>
      <c r="I241" s="272">
        <f t="shared" si="11"/>
        <v>46.46</v>
      </c>
    </row>
    <row r="242" spans="1:9" x14ac:dyDescent="0.35">
      <c r="A242" s="266" t="s">
        <v>1980</v>
      </c>
      <c r="B242" s="267">
        <v>7</v>
      </c>
      <c r="C242" s="266" t="s">
        <v>2204</v>
      </c>
      <c r="D242" s="268">
        <v>2013</v>
      </c>
      <c r="E242" s="269">
        <v>44518</v>
      </c>
      <c r="F242" s="269">
        <v>44599</v>
      </c>
      <c r="G242" s="270">
        <f t="shared" si="9"/>
        <v>81</v>
      </c>
      <c r="H242" s="271">
        <f t="shared" si="10"/>
        <v>0.03</v>
      </c>
      <c r="I242" s="272">
        <f t="shared" si="11"/>
        <v>60.39</v>
      </c>
    </row>
    <row r="243" spans="1:9" x14ac:dyDescent="0.35">
      <c r="A243" s="266" t="s">
        <v>2000</v>
      </c>
      <c r="B243" s="267">
        <v>23</v>
      </c>
      <c r="C243" s="266" t="s">
        <v>2205</v>
      </c>
      <c r="D243" s="268">
        <v>3891</v>
      </c>
      <c r="E243" s="269">
        <v>44544</v>
      </c>
      <c r="F243" s="269">
        <v>44599</v>
      </c>
      <c r="G243" s="270">
        <f t="shared" si="9"/>
        <v>55</v>
      </c>
      <c r="H243" s="271">
        <f t="shared" si="10"/>
        <v>0.01</v>
      </c>
      <c r="I243" s="272">
        <f t="shared" si="11"/>
        <v>38.910000000000004</v>
      </c>
    </row>
    <row r="244" spans="1:9" x14ac:dyDescent="0.35">
      <c r="A244" s="266" t="s">
        <v>1960</v>
      </c>
      <c r="B244" s="267">
        <v>6</v>
      </c>
      <c r="C244" s="266" t="s">
        <v>2206</v>
      </c>
      <c r="D244" s="268">
        <v>5579</v>
      </c>
      <c r="E244" s="269">
        <v>44572</v>
      </c>
      <c r="F244" s="269">
        <v>44599</v>
      </c>
      <c r="G244" s="270">
        <f t="shared" si="9"/>
        <v>27</v>
      </c>
      <c r="H244" s="271">
        <f t="shared" si="10"/>
        <v>0</v>
      </c>
      <c r="I244" s="272">
        <f t="shared" si="11"/>
        <v>0</v>
      </c>
    </row>
    <row r="245" spans="1:9" x14ac:dyDescent="0.35">
      <c r="A245" s="266" t="s">
        <v>2004</v>
      </c>
      <c r="B245" s="267">
        <v>11</v>
      </c>
      <c r="C245" s="266" t="s">
        <v>2207</v>
      </c>
      <c r="D245" s="268">
        <v>2112</v>
      </c>
      <c r="E245" s="269">
        <v>44517</v>
      </c>
      <c r="F245" s="269">
        <v>44599</v>
      </c>
      <c r="G245" s="270">
        <f t="shared" si="9"/>
        <v>82</v>
      </c>
      <c r="H245" s="271">
        <f t="shared" si="10"/>
        <v>0.03</v>
      </c>
      <c r="I245" s="272">
        <f t="shared" si="11"/>
        <v>63.36</v>
      </c>
    </row>
    <row r="246" spans="1:9" x14ac:dyDescent="0.35">
      <c r="A246" s="266" t="s">
        <v>1957</v>
      </c>
      <c r="B246" s="267">
        <v>10</v>
      </c>
      <c r="C246" s="266" t="s">
        <v>2208</v>
      </c>
      <c r="D246" s="268">
        <v>3175</v>
      </c>
      <c r="E246" s="269">
        <v>44542</v>
      </c>
      <c r="F246" s="269">
        <v>44599</v>
      </c>
      <c r="G246" s="270">
        <f t="shared" si="9"/>
        <v>57</v>
      </c>
      <c r="H246" s="271">
        <f t="shared" si="10"/>
        <v>0.01</v>
      </c>
      <c r="I246" s="272">
        <f t="shared" si="11"/>
        <v>31.75</v>
      </c>
    </row>
    <row r="247" spans="1:9" x14ac:dyDescent="0.35">
      <c r="A247" s="266" t="s">
        <v>2000</v>
      </c>
      <c r="B247" s="267">
        <v>23</v>
      </c>
      <c r="C247" s="266" t="s">
        <v>2209</v>
      </c>
      <c r="D247" s="268">
        <v>9318</v>
      </c>
      <c r="E247" s="269">
        <v>44555</v>
      </c>
      <c r="F247" s="269">
        <v>44599</v>
      </c>
      <c r="G247" s="270">
        <f t="shared" si="9"/>
        <v>44</v>
      </c>
      <c r="H247" s="271">
        <f t="shared" si="10"/>
        <v>0.01</v>
      </c>
      <c r="I247" s="272">
        <f t="shared" si="11"/>
        <v>93.18</v>
      </c>
    </row>
    <row r="248" spans="1:9" x14ac:dyDescent="0.35">
      <c r="A248" s="266" t="s">
        <v>2004</v>
      </c>
      <c r="B248" s="267">
        <v>11</v>
      </c>
      <c r="C248" s="266" t="s">
        <v>2210</v>
      </c>
      <c r="D248" s="268">
        <v>6141</v>
      </c>
      <c r="E248" s="269">
        <v>44533</v>
      </c>
      <c r="F248" s="269">
        <v>44599</v>
      </c>
      <c r="G248" s="270">
        <f t="shared" si="9"/>
        <v>66</v>
      </c>
      <c r="H248" s="271">
        <f t="shared" si="10"/>
        <v>0.02</v>
      </c>
      <c r="I248" s="272">
        <f t="shared" si="11"/>
        <v>122.82000000000001</v>
      </c>
    </row>
    <row r="249" spans="1:9" x14ac:dyDescent="0.35">
      <c r="A249" s="266" t="s">
        <v>1966</v>
      </c>
      <c r="B249" s="267">
        <v>12</v>
      </c>
      <c r="C249" s="266" t="s">
        <v>2211</v>
      </c>
      <c r="D249" s="268">
        <v>2009</v>
      </c>
      <c r="E249" s="269">
        <v>44506</v>
      </c>
      <c r="F249" s="269">
        <v>44599</v>
      </c>
      <c r="G249" s="270">
        <f t="shared" si="9"/>
        <v>93</v>
      </c>
      <c r="H249" s="271">
        <f t="shared" si="10"/>
        <v>0.03</v>
      </c>
      <c r="I249" s="272">
        <f t="shared" si="11"/>
        <v>60.269999999999996</v>
      </c>
    </row>
    <row r="250" spans="1:9" x14ac:dyDescent="0.35">
      <c r="A250" s="266" t="s">
        <v>1945</v>
      </c>
      <c r="B250" s="267">
        <v>21</v>
      </c>
      <c r="C250" s="266" t="s">
        <v>2212</v>
      </c>
      <c r="D250" s="268">
        <v>8337</v>
      </c>
      <c r="E250" s="269">
        <v>44514</v>
      </c>
      <c r="F250" s="269">
        <v>44599</v>
      </c>
      <c r="G250" s="270">
        <f t="shared" si="9"/>
        <v>85</v>
      </c>
      <c r="H250" s="271">
        <f t="shared" si="10"/>
        <v>0.03</v>
      </c>
      <c r="I250" s="272">
        <f t="shared" si="11"/>
        <v>250.10999999999999</v>
      </c>
    </row>
    <row r="251" spans="1:9" x14ac:dyDescent="0.35">
      <c r="A251" s="266" t="s">
        <v>1948</v>
      </c>
      <c r="B251" s="267">
        <v>18</v>
      </c>
      <c r="C251" s="266" t="s">
        <v>2213</v>
      </c>
      <c r="D251" s="268">
        <v>1429</v>
      </c>
      <c r="E251" s="269">
        <v>44513</v>
      </c>
      <c r="F251" s="269">
        <v>44599</v>
      </c>
      <c r="G251" s="270">
        <f t="shared" si="9"/>
        <v>86</v>
      </c>
      <c r="H251" s="271">
        <f t="shared" si="10"/>
        <v>0.03</v>
      </c>
      <c r="I251" s="272">
        <f t="shared" si="11"/>
        <v>42.87</v>
      </c>
    </row>
    <row r="252" spans="1:9" x14ac:dyDescent="0.35">
      <c r="A252" s="266" t="s">
        <v>1977</v>
      </c>
      <c r="B252" s="267">
        <v>6</v>
      </c>
      <c r="C252" s="266" t="s">
        <v>2214</v>
      </c>
      <c r="D252" s="268">
        <v>1233</v>
      </c>
      <c r="E252" s="269">
        <v>44572</v>
      </c>
      <c r="F252" s="269">
        <v>44599</v>
      </c>
      <c r="G252" s="270">
        <f t="shared" si="9"/>
        <v>27</v>
      </c>
      <c r="H252" s="271">
        <f t="shared" si="10"/>
        <v>0</v>
      </c>
      <c r="I252" s="272">
        <f t="shared" si="11"/>
        <v>0</v>
      </c>
    </row>
    <row r="253" spans="1:9" x14ac:dyDescent="0.35">
      <c r="A253" s="266" t="s">
        <v>2000</v>
      </c>
      <c r="B253" s="267">
        <v>23</v>
      </c>
      <c r="C253" s="266" t="s">
        <v>2215</v>
      </c>
      <c r="D253" s="268">
        <v>7250</v>
      </c>
      <c r="E253" s="269">
        <v>44534</v>
      </c>
      <c r="F253" s="269">
        <v>44599</v>
      </c>
      <c r="G253" s="270">
        <f t="shared" si="9"/>
        <v>65</v>
      </c>
      <c r="H253" s="271">
        <f t="shared" si="10"/>
        <v>0.02</v>
      </c>
      <c r="I253" s="272">
        <f t="shared" si="11"/>
        <v>145</v>
      </c>
    </row>
    <row r="254" spans="1:9" x14ac:dyDescent="0.35">
      <c r="A254" s="266" t="s">
        <v>1989</v>
      </c>
      <c r="B254" s="267">
        <v>14</v>
      </c>
      <c r="C254" s="266" t="s">
        <v>2216</v>
      </c>
      <c r="D254" s="268">
        <v>4545</v>
      </c>
      <c r="E254" s="269">
        <v>44578</v>
      </c>
      <c r="F254" s="269">
        <v>44599</v>
      </c>
      <c r="G254" s="270">
        <f t="shared" si="9"/>
        <v>21</v>
      </c>
      <c r="H254" s="271">
        <f t="shared" si="10"/>
        <v>0</v>
      </c>
      <c r="I254" s="272">
        <f t="shared" si="11"/>
        <v>0</v>
      </c>
    </row>
    <row r="255" spans="1:9" x14ac:dyDescent="0.35">
      <c r="A255" s="266" t="s">
        <v>1942</v>
      </c>
      <c r="B255" s="267">
        <v>8</v>
      </c>
      <c r="C255" s="266" t="s">
        <v>2217</v>
      </c>
      <c r="D255" s="268">
        <v>4846</v>
      </c>
      <c r="E255" s="269">
        <v>44548</v>
      </c>
      <c r="F255" s="269">
        <v>44599</v>
      </c>
      <c r="G255" s="270">
        <f t="shared" si="9"/>
        <v>51</v>
      </c>
      <c r="H255" s="271">
        <f t="shared" si="10"/>
        <v>0.01</v>
      </c>
      <c r="I255" s="272">
        <f t="shared" si="11"/>
        <v>48.46</v>
      </c>
    </row>
    <row r="256" spans="1:9" x14ac:dyDescent="0.35">
      <c r="A256" s="266" t="s">
        <v>1954</v>
      </c>
      <c r="B256" s="267">
        <v>24</v>
      </c>
      <c r="C256" s="266" t="s">
        <v>2218</v>
      </c>
      <c r="D256" s="268">
        <v>3115</v>
      </c>
      <c r="E256" s="269">
        <v>44527</v>
      </c>
      <c r="F256" s="269">
        <v>44599</v>
      </c>
      <c r="G256" s="270">
        <f t="shared" si="9"/>
        <v>72</v>
      </c>
      <c r="H256" s="271">
        <f t="shared" si="10"/>
        <v>0.02</v>
      </c>
      <c r="I256" s="272">
        <f t="shared" si="11"/>
        <v>62.300000000000004</v>
      </c>
    </row>
    <row r="257" spans="1:9" x14ac:dyDescent="0.35">
      <c r="A257" s="266" t="s">
        <v>1969</v>
      </c>
      <c r="B257" s="267">
        <v>2</v>
      </c>
      <c r="C257" s="266" t="s">
        <v>2219</v>
      </c>
      <c r="D257" s="268">
        <v>3303</v>
      </c>
      <c r="E257" s="269">
        <v>44507</v>
      </c>
      <c r="F257" s="269">
        <v>44599</v>
      </c>
      <c r="G257" s="270">
        <f t="shared" si="9"/>
        <v>92</v>
      </c>
      <c r="H257" s="271">
        <f t="shared" si="10"/>
        <v>0.03</v>
      </c>
      <c r="I257" s="272">
        <f t="shared" si="11"/>
        <v>99.09</v>
      </c>
    </row>
    <row r="258" spans="1:9" x14ac:dyDescent="0.35">
      <c r="A258" s="266" t="s">
        <v>1966</v>
      </c>
      <c r="B258" s="267">
        <v>12</v>
      </c>
      <c r="C258" s="266" t="s">
        <v>2220</v>
      </c>
      <c r="D258" s="268">
        <v>7242</v>
      </c>
      <c r="E258" s="269">
        <v>44552</v>
      </c>
      <c r="F258" s="269">
        <v>44599</v>
      </c>
      <c r="G258" s="270">
        <f t="shared" si="9"/>
        <v>47</v>
      </c>
      <c r="H258" s="271">
        <f t="shared" si="10"/>
        <v>0.01</v>
      </c>
      <c r="I258" s="272">
        <f t="shared" si="11"/>
        <v>72.42</v>
      </c>
    </row>
    <row r="259" spans="1:9" x14ac:dyDescent="0.35">
      <c r="A259" s="266" t="s">
        <v>1978</v>
      </c>
      <c r="B259" s="267">
        <v>15</v>
      </c>
      <c r="C259" s="266" t="s">
        <v>2221</v>
      </c>
      <c r="D259" s="268">
        <v>7169</v>
      </c>
      <c r="E259" s="269">
        <v>44575</v>
      </c>
      <c r="F259" s="269">
        <v>44599</v>
      </c>
      <c r="G259" s="270">
        <f t="shared" si="9"/>
        <v>24</v>
      </c>
      <c r="H259" s="271">
        <f t="shared" si="10"/>
        <v>0</v>
      </c>
      <c r="I259" s="272">
        <f t="shared" si="11"/>
        <v>0</v>
      </c>
    </row>
    <row r="260" spans="1:9" x14ac:dyDescent="0.35">
      <c r="A260" s="266" t="s">
        <v>1978</v>
      </c>
      <c r="B260" s="267">
        <v>15</v>
      </c>
      <c r="C260" s="266" t="s">
        <v>2222</v>
      </c>
      <c r="D260" s="268">
        <v>8350</v>
      </c>
      <c r="E260" s="269">
        <v>44563</v>
      </c>
      <c r="F260" s="269">
        <v>44599</v>
      </c>
      <c r="G260" s="270">
        <f t="shared" si="9"/>
        <v>36</v>
      </c>
      <c r="H260" s="271">
        <f t="shared" si="10"/>
        <v>0.01</v>
      </c>
      <c r="I260" s="272">
        <f t="shared" si="11"/>
        <v>83.5</v>
      </c>
    </row>
    <row r="261" spans="1:9" x14ac:dyDescent="0.35">
      <c r="A261" s="266" t="s">
        <v>2009</v>
      </c>
      <c r="B261" s="267">
        <v>9</v>
      </c>
      <c r="C261" s="266" t="s">
        <v>2223</v>
      </c>
      <c r="D261" s="268">
        <v>7028</v>
      </c>
      <c r="E261" s="269">
        <v>44508</v>
      </c>
      <c r="F261" s="269">
        <v>44599</v>
      </c>
      <c r="G261" s="270">
        <f t="shared" si="9"/>
        <v>91</v>
      </c>
      <c r="H261" s="271">
        <f t="shared" si="10"/>
        <v>0.03</v>
      </c>
      <c r="I261" s="272">
        <f t="shared" si="11"/>
        <v>210.84</v>
      </c>
    </row>
    <row r="262" spans="1:9" x14ac:dyDescent="0.35">
      <c r="A262" s="266" t="s">
        <v>1942</v>
      </c>
      <c r="B262" s="267">
        <v>8</v>
      </c>
      <c r="C262" s="266" t="s">
        <v>2224</v>
      </c>
      <c r="D262" s="268">
        <v>6414</v>
      </c>
      <c r="E262" s="269">
        <v>44578</v>
      </c>
      <c r="F262" s="269">
        <v>44599</v>
      </c>
      <c r="G262" s="270">
        <f t="shared" si="9"/>
        <v>21</v>
      </c>
      <c r="H262" s="271">
        <f t="shared" si="10"/>
        <v>0</v>
      </c>
      <c r="I262" s="272">
        <f t="shared" si="11"/>
        <v>0</v>
      </c>
    </row>
    <row r="263" spans="1:9" x14ac:dyDescent="0.35">
      <c r="A263" s="266" t="s">
        <v>1966</v>
      </c>
      <c r="B263" s="267">
        <v>12</v>
      </c>
      <c r="C263" s="266" t="s">
        <v>2225</v>
      </c>
      <c r="D263" s="268">
        <v>8134</v>
      </c>
      <c r="E263" s="269">
        <v>44518</v>
      </c>
      <c r="F263" s="269">
        <v>44599</v>
      </c>
      <c r="G263" s="270">
        <f t="shared" si="9"/>
        <v>81</v>
      </c>
      <c r="H263" s="271">
        <f t="shared" si="10"/>
        <v>0.03</v>
      </c>
      <c r="I263" s="272">
        <f t="shared" si="11"/>
        <v>244.01999999999998</v>
      </c>
    </row>
    <row r="264" spans="1:9" x14ac:dyDescent="0.35">
      <c r="A264" s="266" t="s">
        <v>1945</v>
      </c>
      <c r="B264" s="267">
        <v>21</v>
      </c>
      <c r="C264" s="266" t="s">
        <v>2226</v>
      </c>
      <c r="D264" s="268">
        <v>6667</v>
      </c>
      <c r="E264" s="269">
        <v>44579</v>
      </c>
      <c r="F264" s="269">
        <v>44599</v>
      </c>
      <c r="G264" s="270">
        <f t="shared" si="9"/>
        <v>20</v>
      </c>
      <c r="H264" s="271">
        <f t="shared" si="10"/>
        <v>0</v>
      </c>
      <c r="I264" s="272">
        <f t="shared" si="11"/>
        <v>0</v>
      </c>
    </row>
    <row r="265" spans="1:9" x14ac:dyDescent="0.35">
      <c r="A265" s="266" t="s">
        <v>2000</v>
      </c>
      <c r="B265" s="267">
        <v>23</v>
      </c>
      <c r="C265" s="266" t="s">
        <v>2227</v>
      </c>
      <c r="D265" s="268">
        <v>6901</v>
      </c>
      <c r="E265" s="269">
        <v>44562</v>
      </c>
      <c r="F265" s="269">
        <v>44599</v>
      </c>
      <c r="G265" s="270">
        <f t="shared" si="9"/>
        <v>37</v>
      </c>
      <c r="H265" s="271">
        <f t="shared" si="10"/>
        <v>0.01</v>
      </c>
      <c r="I265" s="272">
        <f t="shared" si="11"/>
        <v>69.010000000000005</v>
      </c>
    </row>
    <row r="266" spans="1:9" x14ac:dyDescent="0.35">
      <c r="A266" s="266" t="s">
        <v>1948</v>
      </c>
      <c r="B266" s="267">
        <v>18</v>
      </c>
      <c r="C266" s="266" t="s">
        <v>2228</v>
      </c>
      <c r="D266" s="268">
        <v>2299</v>
      </c>
      <c r="E266" s="269">
        <v>44538</v>
      </c>
      <c r="F266" s="269">
        <v>44599</v>
      </c>
      <c r="G266" s="270">
        <f t="shared" si="9"/>
        <v>61</v>
      </c>
      <c r="H266" s="271">
        <f t="shared" si="10"/>
        <v>0.02</v>
      </c>
      <c r="I266" s="272">
        <f t="shared" si="11"/>
        <v>45.980000000000004</v>
      </c>
    </row>
    <row r="267" spans="1:9" x14ac:dyDescent="0.35">
      <c r="A267" s="266" t="s">
        <v>1969</v>
      </c>
      <c r="B267" s="267">
        <v>2</v>
      </c>
      <c r="C267" s="266" t="s">
        <v>2229</v>
      </c>
      <c r="D267" s="268">
        <v>5473</v>
      </c>
      <c r="E267" s="269">
        <v>44566</v>
      </c>
      <c r="F267" s="269">
        <v>44599</v>
      </c>
      <c r="G267" s="270">
        <f t="shared" si="9"/>
        <v>33</v>
      </c>
      <c r="H267" s="271">
        <f t="shared" si="10"/>
        <v>0.01</v>
      </c>
      <c r="I267" s="272">
        <f t="shared" si="11"/>
        <v>54.730000000000004</v>
      </c>
    </row>
    <row r="268" spans="1:9" x14ac:dyDescent="0.35">
      <c r="A268" s="266" t="s">
        <v>2004</v>
      </c>
      <c r="B268" s="267">
        <v>11</v>
      </c>
      <c r="C268" s="266" t="s">
        <v>2230</v>
      </c>
      <c r="D268" s="268">
        <v>2607</v>
      </c>
      <c r="E268" s="269">
        <v>44545</v>
      </c>
      <c r="F268" s="269">
        <v>44599</v>
      </c>
      <c r="G268" s="270">
        <f t="shared" si="9"/>
        <v>54</v>
      </c>
      <c r="H268" s="271">
        <f t="shared" si="10"/>
        <v>0.01</v>
      </c>
      <c r="I268" s="272">
        <f t="shared" si="11"/>
        <v>26.07</v>
      </c>
    </row>
    <row r="269" spans="1:9" x14ac:dyDescent="0.35">
      <c r="A269" s="266" t="s">
        <v>1951</v>
      </c>
      <c r="B269" s="267">
        <v>25</v>
      </c>
      <c r="C269" s="266" t="s">
        <v>2231</v>
      </c>
      <c r="D269" s="268">
        <v>9004</v>
      </c>
      <c r="E269" s="269">
        <v>44538</v>
      </c>
      <c r="F269" s="269">
        <v>44599</v>
      </c>
      <c r="G269" s="270">
        <f t="shared" ref="G269:G331" si="12">F269-E269</f>
        <v>61</v>
      </c>
      <c r="H269" s="271">
        <f t="shared" ref="H269:H331" si="13">IF(G269&lt;=30,0,IF(G269&lt;60,1%,IF(G269&lt;80,2%,3%)))</f>
        <v>0.02</v>
      </c>
      <c r="I269" s="272">
        <f t="shared" ref="I269:I331" si="14">H269*D269</f>
        <v>180.08</v>
      </c>
    </row>
    <row r="270" spans="1:9" x14ac:dyDescent="0.35">
      <c r="A270" s="266" t="s">
        <v>1989</v>
      </c>
      <c r="B270" s="267">
        <v>14</v>
      </c>
      <c r="C270" s="266" t="s">
        <v>2232</v>
      </c>
      <c r="D270" s="268">
        <v>4656</v>
      </c>
      <c r="E270" s="269">
        <v>44516</v>
      </c>
      <c r="F270" s="269">
        <v>44599</v>
      </c>
      <c r="G270" s="270">
        <f t="shared" si="12"/>
        <v>83</v>
      </c>
      <c r="H270" s="271">
        <f t="shared" si="13"/>
        <v>0.03</v>
      </c>
      <c r="I270" s="272">
        <f t="shared" si="14"/>
        <v>139.68</v>
      </c>
    </row>
    <row r="271" spans="1:9" x14ac:dyDescent="0.35">
      <c r="A271" s="266" t="s">
        <v>1948</v>
      </c>
      <c r="B271" s="267">
        <v>18</v>
      </c>
      <c r="C271" s="266" t="s">
        <v>2233</v>
      </c>
      <c r="D271" s="268">
        <v>1564</v>
      </c>
      <c r="E271" s="269">
        <v>44575</v>
      </c>
      <c r="F271" s="269">
        <v>44599</v>
      </c>
      <c r="G271" s="270">
        <f t="shared" si="12"/>
        <v>24</v>
      </c>
      <c r="H271" s="271">
        <f t="shared" si="13"/>
        <v>0</v>
      </c>
      <c r="I271" s="272">
        <f t="shared" si="14"/>
        <v>0</v>
      </c>
    </row>
    <row r="272" spans="1:9" x14ac:dyDescent="0.35">
      <c r="A272" s="266" t="s">
        <v>1986</v>
      </c>
      <c r="B272" s="267">
        <v>16</v>
      </c>
      <c r="C272" s="266" t="s">
        <v>2234</v>
      </c>
      <c r="D272" s="268">
        <v>1703</v>
      </c>
      <c r="E272" s="269">
        <v>44529</v>
      </c>
      <c r="F272" s="269">
        <v>44599</v>
      </c>
      <c r="G272" s="270">
        <f t="shared" si="12"/>
        <v>70</v>
      </c>
      <c r="H272" s="271">
        <f t="shared" si="13"/>
        <v>0.02</v>
      </c>
      <c r="I272" s="272">
        <f t="shared" si="14"/>
        <v>34.06</v>
      </c>
    </row>
    <row r="273" spans="1:9" x14ac:dyDescent="0.35">
      <c r="A273" s="266" t="s">
        <v>2018</v>
      </c>
      <c r="B273" s="267">
        <v>4</v>
      </c>
      <c r="C273" s="266" t="s">
        <v>2235</v>
      </c>
      <c r="D273" s="268">
        <v>3498</v>
      </c>
      <c r="E273" s="269">
        <v>44535</v>
      </c>
      <c r="F273" s="269">
        <v>44599</v>
      </c>
      <c r="G273" s="270">
        <f t="shared" si="12"/>
        <v>64</v>
      </c>
      <c r="H273" s="271">
        <f t="shared" si="13"/>
        <v>0.02</v>
      </c>
      <c r="I273" s="272">
        <f t="shared" si="14"/>
        <v>69.960000000000008</v>
      </c>
    </row>
    <row r="274" spans="1:9" x14ac:dyDescent="0.35">
      <c r="A274" s="266" t="s">
        <v>1954</v>
      </c>
      <c r="B274" s="267">
        <v>24</v>
      </c>
      <c r="C274" s="266" t="s">
        <v>2236</v>
      </c>
      <c r="D274" s="268">
        <v>6723</v>
      </c>
      <c r="E274" s="269">
        <v>44513</v>
      </c>
      <c r="F274" s="269">
        <v>44599</v>
      </c>
      <c r="G274" s="270">
        <f t="shared" si="12"/>
        <v>86</v>
      </c>
      <c r="H274" s="271">
        <f t="shared" si="13"/>
        <v>0.03</v>
      </c>
      <c r="I274" s="272">
        <f t="shared" si="14"/>
        <v>201.69</v>
      </c>
    </row>
    <row r="275" spans="1:9" x14ac:dyDescent="0.35">
      <c r="A275" s="266" t="s">
        <v>1994</v>
      </c>
      <c r="B275" s="267">
        <v>13</v>
      </c>
      <c r="C275" s="266" t="s">
        <v>2237</v>
      </c>
      <c r="D275" s="268">
        <v>3043</v>
      </c>
      <c r="E275" s="269">
        <v>44546</v>
      </c>
      <c r="F275" s="269">
        <v>44599</v>
      </c>
      <c r="G275" s="270">
        <f t="shared" si="12"/>
        <v>53</v>
      </c>
      <c r="H275" s="271">
        <f t="shared" si="13"/>
        <v>0.01</v>
      </c>
      <c r="I275" s="272">
        <f t="shared" si="14"/>
        <v>30.43</v>
      </c>
    </row>
    <row r="276" spans="1:9" x14ac:dyDescent="0.35">
      <c r="A276" s="266" t="s">
        <v>2141</v>
      </c>
      <c r="B276" s="267">
        <v>17</v>
      </c>
      <c r="C276" s="266" t="s">
        <v>2238</v>
      </c>
      <c r="D276" s="268">
        <v>2428</v>
      </c>
      <c r="E276" s="269">
        <v>44531</v>
      </c>
      <c r="F276" s="269">
        <v>44599</v>
      </c>
      <c r="G276" s="270">
        <f t="shared" si="12"/>
        <v>68</v>
      </c>
      <c r="H276" s="271">
        <f t="shared" si="13"/>
        <v>0.02</v>
      </c>
      <c r="I276" s="272">
        <f t="shared" si="14"/>
        <v>48.56</v>
      </c>
    </row>
    <row r="277" spans="1:9" x14ac:dyDescent="0.35">
      <c r="A277" s="266" t="s">
        <v>2026</v>
      </c>
      <c r="B277" s="267">
        <v>5</v>
      </c>
      <c r="C277" s="266" t="s">
        <v>2239</v>
      </c>
      <c r="D277" s="268">
        <v>5955</v>
      </c>
      <c r="E277" s="269">
        <v>44513</v>
      </c>
      <c r="F277" s="269">
        <v>44599</v>
      </c>
      <c r="G277" s="270">
        <f t="shared" si="12"/>
        <v>86</v>
      </c>
      <c r="H277" s="271">
        <f t="shared" si="13"/>
        <v>0.03</v>
      </c>
      <c r="I277" s="272">
        <f t="shared" si="14"/>
        <v>178.65</v>
      </c>
    </row>
    <row r="278" spans="1:9" x14ac:dyDescent="0.35">
      <c r="A278" s="266" t="s">
        <v>1986</v>
      </c>
      <c r="B278" s="267">
        <v>16</v>
      </c>
      <c r="C278" s="266" t="s">
        <v>2240</v>
      </c>
      <c r="D278" s="268">
        <v>4363</v>
      </c>
      <c r="E278" s="269">
        <v>44575</v>
      </c>
      <c r="F278" s="269">
        <v>44599</v>
      </c>
      <c r="G278" s="270">
        <f t="shared" si="12"/>
        <v>24</v>
      </c>
      <c r="H278" s="271">
        <f t="shared" si="13"/>
        <v>0</v>
      </c>
      <c r="I278" s="272">
        <f t="shared" si="14"/>
        <v>0</v>
      </c>
    </row>
    <row r="279" spans="1:9" x14ac:dyDescent="0.35">
      <c r="A279" s="266" t="s">
        <v>1945</v>
      </c>
      <c r="B279" s="267">
        <v>21</v>
      </c>
      <c r="C279" s="266" t="s">
        <v>2241</v>
      </c>
      <c r="D279" s="268">
        <v>7694</v>
      </c>
      <c r="E279" s="269">
        <v>44555</v>
      </c>
      <c r="F279" s="269">
        <v>44599</v>
      </c>
      <c r="G279" s="270">
        <f t="shared" si="12"/>
        <v>44</v>
      </c>
      <c r="H279" s="271">
        <f t="shared" si="13"/>
        <v>0.01</v>
      </c>
      <c r="I279" s="272">
        <f t="shared" si="14"/>
        <v>76.94</v>
      </c>
    </row>
    <row r="280" spans="1:9" x14ac:dyDescent="0.35">
      <c r="A280" s="266" t="s">
        <v>2026</v>
      </c>
      <c r="B280" s="267">
        <v>5</v>
      </c>
      <c r="C280" s="266" t="s">
        <v>2242</v>
      </c>
      <c r="D280" s="268">
        <v>8856</v>
      </c>
      <c r="E280" s="269">
        <v>44564</v>
      </c>
      <c r="F280" s="269">
        <v>44599</v>
      </c>
      <c r="G280" s="270">
        <f t="shared" si="12"/>
        <v>35</v>
      </c>
      <c r="H280" s="271">
        <f t="shared" si="13"/>
        <v>0.01</v>
      </c>
      <c r="I280" s="272">
        <f t="shared" si="14"/>
        <v>88.56</v>
      </c>
    </row>
    <row r="281" spans="1:9" x14ac:dyDescent="0.35">
      <c r="A281" s="266" t="s">
        <v>1954</v>
      </c>
      <c r="B281" s="267">
        <v>24</v>
      </c>
      <c r="C281" s="266" t="s">
        <v>2243</v>
      </c>
      <c r="D281" s="268">
        <v>8065</v>
      </c>
      <c r="E281" s="269">
        <v>44503</v>
      </c>
      <c r="F281" s="269">
        <v>44599</v>
      </c>
      <c r="G281" s="270">
        <f t="shared" si="12"/>
        <v>96</v>
      </c>
      <c r="H281" s="271">
        <f t="shared" si="13"/>
        <v>0.03</v>
      </c>
      <c r="I281" s="272">
        <f t="shared" si="14"/>
        <v>241.95</v>
      </c>
    </row>
    <row r="282" spans="1:9" x14ac:dyDescent="0.35">
      <c r="A282" s="266" t="s">
        <v>1939</v>
      </c>
      <c r="B282" s="267">
        <v>20</v>
      </c>
      <c r="C282" s="266" t="s">
        <v>2244</v>
      </c>
      <c r="D282" s="268">
        <v>8409</v>
      </c>
      <c r="E282" s="269">
        <v>44531</v>
      </c>
      <c r="F282" s="269">
        <v>44599</v>
      </c>
      <c r="G282" s="270">
        <f t="shared" si="12"/>
        <v>68</v>
      </c>
      <c r="H282" s="271">
        <f t="shared" si="13"/>
        <v>0.02</v>
      </c>
      <c r="I282" s="272">
        <f t="shared" si="14"/>
        <v>168.18</v>
      </c>
    </row>
    <row r="283" spans="1:9" x14ac:dyDescent="0.35">
      <c r="A283" s="266" t="s">
        <v>1945</v>
      </c>
      <c r="B283" s="267">
        <v>21</v>
      </c>
      <c r="C283" s="266" t="s">
        <v>2245</v>
      </c>
      <c r="D283" s="268">
        <v>9394</v>
      </c>
      <c r="E283" s="269">
        <v>44502</v>
      </c>
      <c r="F283" s="269">
        <v>44599</v>
      </c>
      <c r="G283" s="270">
        <f t="shared" si="12"/>
        <v>97</v>
      </c>
      <c r="H283" s="271">
        <f t="shared" si="13"/>
        <v>0.03</v>
      </c>
      <c r="I283" s="272">
        <f t="shared" si="14"/>
        <v>281.82</v>
      </c>
    </row>
    <row r="284" spans="1:9" x14ac:dyDescent="0.35">
      <c r="A284" s="266" t="s">
        <v>1994</v>
      </c>
      <c r="B284" s="267">
        <v>13</v>
      </c>
      <c r="C284" s="266" t="s">
        <v>2246</v>
      </c>
      <c r="D284" s="268">
        <v>3838</v>
      </c>
      <c r="E284" s="269">
        <v>44552</v>
      </c>
      <c r="F284" s="269">
        <v>44599</v>
      </c>
      <c r="G284" s="270">
        <f t="shared" si="12"/>
        <v>47</v>
      </c>
      <c r="H284" s="271">
        <f t="shared" si="13"/>
        <v>0.01</v>
      </c>
      <c r="I284" s="272">
        <f t="shared" si="14"/>
        <v>38.380000000000003</v>
      </c>
    </row>
    <row r="285" spans="1:9" x14ac:dyDescent="0.35">
      <c r="A285" s="266" t="s">
        <v>1992</v>
      </c>
      <c r="B285" s="267">
        <v>19</v>
      </c>
      <c r="C285" s="266" t="s">
        <v>2247</v>
      </c>
      <c r="D285" s="268">
        <v>4995</v>
      </c>
      <c r="E285" s="269">
        <v>44540</v>
      </c>
      <c r="F285" s="269">
        <v>44599</v>
      </c>
      <c r="G285" s="270">
        <f t="shared" si="12"/>
        <v>59</v>
      </c>
      <c r="H285" s="271">
        <f t="shared" si="13"/>
        <v>0.01</v>
      </c>
      <c r="I285" s="272">
        <f t="shared" si="14"/>
        <v>49.95</v>
      </c>
    </row>
    <row r="286" spans="1:9" x14ac:dyDescent="0.35">
      <c r="A286" s="266" t="s">
        <v>1978</v>
      </c>
      <c r="B286" s="267">
        <v>15</v>
      </c>
      <c r="C286" s="266" t="s">
        <v>2248</v>
      </c>
      <c r="D286" s="268">
        <v>8565</v>
      </c>
      <c r="E286" s="269">
        <v>44533</v>
      </c>
      <c r="F286" s="269">
        <v>44599</v>
      </c>
      <c r="G286" s="270">
        <f t="shared" si="12"/>
        <v>66</v>
      </c>
      <c r="H286" s="271">
        <f t="shared" si="13"/>
        <v>0.02</v>
      </c>
      <c r="I286" s="272">
        <f t="shared" si="14"/>
        <v>171.3</v>
      </c>
    </row>
    <row r="287" spans="1:9" x14ac:dyDescent="0.35">
      <c r="A287" s="266" t="s">
        <v>1957</v>
      </c>
      <c r="B287" s="267">
        <v>10</v>
      </c>
      <c r="C287" s="266" t="s">
        <v>2249</v>
      </c>
      <c r="D287" s="268">
        <v>9056</v>
      </c>
      <c r="E287" s="269">
        <v>44519</v>
      </c>
      <c r="F287" s="269">
        <v>44599</v>
      </c>
      <c r="G287" s="270">
        <f t="shared" si="12"/>
        <v>80</v>
      </c>
      <c r="H287" s="271">
        <f t="shared" si="13"/>
        <v>0.03</v>
      </c>
      <c r="I287" s="272">
        <f t="shared" si="14"/>
        <v>271.68</v>
      </c>
    </row>
    <row r="288" spans="1:9" x14ac:dyDescent="0.35">
      <c r="A288" s="266" t="s">
        <v>1942</v>
      </c>
      <c r="B288" s="267">
        <v>8</v>
      </c>
      <c r="C288" s="266" t="s">
        <v>2250</v>
      </c>
      <c r="D288" s="268">
        <v>7620</v>
      </c>
      <c r="E288" s="269">
        <v>44570</v>
      </c>
      <c r="F288" s="269">
        <v>44599</v>
      </c>
      <c r="G288" s="270">
        <f t="shared" si="12"/>
        <v>29</v>
      </c>
      <c r="H288" s="271">
        <f t="shared" si="13"/>
        <v>0</v>
      </c>
      <c r="I288" s="272">
        <f t="shared" si="14"/>
        <v>0</v>
      </c>
    </row>
    <row r="289" spans="1:9" x14ac:dyDescent="0.35">
      <c r="A289" s="266" t="s">
        <v>1942</v>
      </c>
      <c r="B289" s="267">
        <v>8</v>
      </c>
      <c r="C289" s="266" t="s">
        <v>2251</v>
      </c>
      <c r="D289" s="268">
        <v>2302</v>
      </c>
      <c r="E289" s="269">
        <v>44501</v>
      </c>
      <c r="F289" s="269">
        <v>44599</v>
      </c>
      <c r="G289" s="270">
        <f t="shared" si="12"/>
        <v>98</v>
      </c>
      <c r="H289" s="271">
        <f t="shared" si="13"/>
        <v>0.03</v>
      </c>
      <c r="I289" s="272">
        <f t="shared" si="14"/>
        <v>69.06</v>
      </c>
    </row>
    <row r="290" spans="1:9" x14ac:dyDescent="0.35">
      <c r="A290" s="266" t="s">
        <v>1992</v>
      </c>
      <c r="B290" s="267">
        <v>19</v>
      </c>
      <c r="C290" s="266" t="s">
        <v>2252</v>
      </c>
      <c r="D290" s="268">
        <v>1195</v>
      </c>
      <c r="E290" s="269">
        <v>44541</v>
      </c>
      <c r="F290" s="269">
        <v>44599</v>
      </c>
      <c r="G290" s="270">
        <f t="shared" si="12"/>
        <v>58</v>
      </c>
      <c r="H290" s="271">
        <f t="shared" si="13"/>
        <v>0.01</v>
      </c>
      <c r="I290" s="272">
        <f t="shared" si="14"/>
        <v>11.950000000000001</v>
      </c>
    </row>
    <row r="291" spans="1:9" x14ac:dyDescent="0.35">
      <c r="A291" s="266" t="s">
        <v>2009</v>
      </c>
      <c r="B291" s="267">
        <v>9</v>
      </c>
      <c r="C291" s="266" t="s">
        <v>2253</v>
      </c>
      <c r="D291" s="268">
        <v>8677</v>
      </c>
      <c r="E291" s="269">
        <v>44515</v>
      </c>
      <c r="F291" s="269">
        <v>44599</v>
      </c>
      <c r="G291" s="270">
        <f t="shared" si="12"/>
        <v>84</v>
      </c>
      <c r="H291" s="271">
        <f t="shared" si="13"/>
        <v>0.03</v>
      </c>
      <c r="I291" s="272">
        <f t="shared" si="14"/>
        <v>260.31</v>
      </c>
    </row>
    <row r="292" spans="1:9" x14ac:dyDescent="0.35">
      <c r="A292" s="266" t="s">
        <v>1942</v>
      </c>
      <c r="B292" s="267">
        <v>8</v>
      </c>
      <c r="C292" s="266" t="s">
        <v>2254</v>
      </c>
      <c r="D292" s="268">
        <v>3385</v>
      </c>
      <c r="E292" s="269">
        <v>44531</v>
      </c>
      <c r="F292" s="269">
        <v>44599</v>
      </c>
      <c r="G292" s="270">
        <f t="shared" si="12"/>
        <v>68</v>
      </c>
      <c r="H292" s="271">
        <f t="shared" si="13"/>
        <v>0.02</v>
      </c>
      <c r="I292" s="272">
        <f t="shared" si="14"/>
        <v>67.7</v>
      </c>
    </row>
    <row r="293" spans="1:9" x14ac:dyDescent="0.35">
      <c r="A293" s="266" t="s">
        <v>1969</v>
      </c>
      <c r="B293" s="267">
        <v>2</v>
      </c>
      <c r="C293" s="266" t="s">
        <v>2255</v>
      </c>
      <c r="D293" s="268">
        <v>2881</v>
      </c>
      <c r="E293" s="269">
        <v>44540</v>
      </c>
      <c r="F293" s="269">
        <v>44599</v>
      </c>
      <c r="G293" s="270">
        <f t="shared" si="12"/>
        <v>59</v>
      </c>
      <c r="H293" s="271">
        <f t="shared" si="13"/>
        <v>0.01</v>
      </c>
      <c r="I293" s="272">
        <f t="shared" si="14"/>
        <v>28.810000000000002</v>
      </c>
    </row>
    <row r="294" spans="1:9" x14ac:dyDescent="0.35">
      <c r="A294" s="266" t="s">
        <v>1948</v>
      </c>
      <c r="B294" s="267">
        <v>18</v>
      </c>
      <c r="C294" s="266" t="s">
        <v>2256</v>
      </c>
      <c r="D294" s="268">
        <v>4492</v>
      </c>
      <c r="E294" s="269">
        <v>44534</v>
      </c>
      <c r="F294" s="269">
        <v>44599</v>
      </c>
      <c r="G294" s="270">
        <f t="shared" si="12"/>
        <v>65</v>
      </c>
      <c r="H294" s="271">
        <f t="shared" si="13"/>
        <v>0.02</v>
      </c>
      <c r="I294" s="272">
        <f t="shared" si="14"/>
        <v>89.84</v>
      </c>
    </row>
    <row r="295" spans="1:9" x14ac:dyDescent="0.35">
      <c r="A295" s="266" t="s">
        <v>1942</v>
      </c>
      <c r="B295" s="267">
        <v>8</v>
      </c>
      <c r="C295" s="266" t="s">
        <v>2257</v>
      </c>
      <c r="D295" s="268">
        <v>2006</v>
      </c>
      <c r="E295" s="269">
        <v>44575</v>
      </c>
      <c r="F295" s="269">
        <v>44599</v>
      </c>
      <c r="G295" s="270">
        <f t="shared" si="12"/>
        <v>24</v>
      </c>
      <c r="H295" s="271">
        <f t="shared" si="13"/>
        <v>0</v>
      </c>
      <c r="I295" s="272">
        <f t="shared" si="14"/>
        <v>0</v>
      </c>
    </row>
    <row r="296" spans="1:9" x14ac:dyDescent="0.35">
      <c r="A296" s="266" t="s">
        <v>1942</v>
      </c>
      <c r="B296" s="267">
        <v>8</v>
      </c>
      <c r="C296" s="266" t="s">
        <v>2258</v>
      </c>
      <c r="D296" s="268">
        <v>7736</v>
      </c>
      <c r="E296" s="269">
        <v>44551</v>
      </c>
      <c r="F296" s="269">
        <v>44599</v>
      </c>
      <c r="G296" s="270">
        <f t="shared" si="12"/>
        <v>48</v>
      </c>
      <c r="H296" s="271">
        <f t="shared" si="13"/>
        <v>0.01</v>
      </c>
      <c r="I296" s="272">
        <f t="shared" si="14"/>
        <v>77.36</v>
      </c>
    </row>
    <row r="297" spans="1:9" x14ac:dyDescent="0.35">
      <c r="A297" s="266" t="s">
        <v>2026</v>
      </c>
      <c r="B297" s="267">
        <v>5</v>
      </c>
      <c r="C297" s="266" t="s">
        <v>2259</v>
      </c>
      <c r="D297" s="268">
        <v>9731</v>
      </c>
      <c r="E297" s="269">
        <v>44557</v>
      </c>
      <c r="F297" s="269">
        <v>44599</v>
      </c>
      <c r="G297" s="270">
        <f t="shared" si="12"/>
        <v>42</v>
      </c>
      <c r="H297" s="271">
        <f t="shared" si="13"/>
        <v>0.01</v>
      </c>
      <c r="I297" s="272">
        <f t="shared" si="14"/>
        <v>97.31</v>
      </c>
    </row>
    <row r="298" spans="1:9" x14ac:dyDescent="0.35">
      <c r="A298" s="266" t="s">
        <v>1957</v>
      </c>
      <c r="B298" s="267">
        <v>10</v>
      </c>
      <c r="C298" s="266" t="s">
        <v>2260</v>
      </c>
      <c r="D298" s="268">
        <v>5362</v>
      </c>
      <c r="E298" s="269">
        <v>44521</v>
      </c>
      <c r="F298" s="269">
        <v>44599</v>
      </c>
      <c r="G298" s="270">
        <f t="shared" si="12"/>
        <v>78</v>
      </c>
      <c r="H298" s="271">
        <f t="shared" si="13"/>
        <v>0.02</v>
      </c>
      <c r="I298" s="272">
        <f t="shared" si="14"/>
        <v>107.24000000000001</v>
      </c>
    </row>
    <row r="299" spans="1:9" x14ac:dyDescent="0.35">
      <c r="A299" s="266" t="s">
        <v>1977</v>
      </c>
      <c r="B299" s="267">
        <v>22</v>
      </c>
      <c r="C299" s="266" t="s">
        <v>2261</v>
      </c>
      <c r="D299" s="268">
        <v>7192</v>
      </c>
      <c r="E299" s="269">
        <v>44552</v>
      </c>
      <c r="F299" s="269">
        <v>44599</v>
      </c>
      <c r="G299" s="270">
        <f t="shared" si="12"/>
        <v>47</v>
      </c>
      <c r="H299" s="271">
        <f t="shared" si="13"/>
        <v>0.01</v>
      </c>
      <c r="I299" s="272">
        <f t="shared" si="14"/>
        <v>71.92</v>
      </c>
    </row>
    <row r="300" spans="1:9" x14ac:dyDescent="0.35">
      <c r="A300" s="266" t="s">
        <v>1994</v>
      </c>
      <c r="B300" s="267">
        <v>13</v>
      </c>
      <c r="C300" s="266" t="s">
        <v>2262</v>
      </c>
      <c r="D300" s="268">
        <v>9488</v>
      </c>
      <c r="E300" s="269">
        <v>44525</v>
      </c>
      <c r="F300" s="269">
        <v>44599</v>
      </c>
      <c r="G300" s="270">
        <f t="shared" si="12"/>
        <v>74</v>
      </c>
      <c r="H300" s="271">
        <f t="shared" si="13"/>
        <v>0.02</v>
      </c>
      <c r="I300" s="272">
        <f t="shared" si="14"/>
        <v>189.76</v>
      </c>
    </row>
    <row r="301" spans="1:9" x14ac:dyDescent="0.35">
      <c r="A301" s="266" t="s">
        <v>1960</v>
      </c>
      <c r="B301" s="267">
        <v>6</v>
      </c>
      <c r="C301" s="266" t="s">
        <v>2263</v>
      </c>
      <c r="D301" s="268">
        <v>5592</v>
      </c>
      <c r="E301" s="269">
        <v>44580</v>
      </c>
      <c r="F301" s="269">
        <v>44599</v>
      </c>
      <c r="G301" s="270">
        <f t="shared" si="12"/>
        <v>19</v>
      </c>
      <c r="H301" s="271">
        <f t="shared" si="13"/>
        <v>0</v>
      </c>
      <c r="I301" s="272">
        <f t="shared" si="14"/>
        <v>0</v>
      </c>
    </row>
    <row r="302" spans="1:9" x14ac:dyDescent="0.35">
      <c r="A302" s="266" t="s">
        <v>1942</v>
      </c>
      <c r="B302" s="267">
        <v>8</v>
      </c>
      <c r="C302" s="266" t="s">
        <v>2264</v>
      </c>
      <c r="D302" s="268">
        <v>7415</v>
      </c>
      <c r="E302" s="269">
        <v>44575</v>
      </c>
      <c r="F302" s="269">
        <v>44599</v>
      </c>
      <c r="G302" s="270">
        <f t="shared" si="12"/>
        <v>24</v>
      </c>
      <c r="H302" s="271">
        <f t="shared" si="13"/>
        <v>0</v>
      </c>
      <c r="I302" s="272">
        <f t="shared" si="14"/>
        <v>0</v>
      </c>
    </row>
    <row r="303" spans="1:9" x14ac:dyDescent="0.35">
      <c r="A303" s="266" t="s">
        <v>1966</v>
      </c>
      <c r="B303" s="267">
        <v>12</v>
      </c>
      <c r="C303" s="266" t="s">
        <v>2265</v>
      </c>
      <c r="D303" s="268">
        <v>6447</v>
      </c>
      <c r="E303" s="269">
        <v>44533</v>
      </c>
      <c r="F303" s="269">
        <v>44599</v>
      </c>
      <c r="G303" s="270">
        <f t="shared" si="12"/>
        <v>66</v>
      </c>
      <c r="H303" s="271">
        <f t="shared" si="13"/>
        <v>0.02</v>
      </c>
      <c r="I303" s="272">
        <f t="shared" si="14"/>
        <v>128.94</v>
      </c>
    </row>
    <row r="304" spans="1:9" x14ac:dyDescent="0.35">
      <c r="A304" s="266" t="s">
        <v>1986</v>
      </c>
      <c r="B304" s="267">
        <v>16</v>
      </c>
      <c r="C304" s="266" t="s">
        <v>2266</v>
      </c>
      <c r="D304" s="268">
        <v>9232</v>
      </c>
      <c r="E304" s="269">
        <v>44514</v>
      </c>
      <c r="F304" s="269">
        <v>44599</v>
      </c>
      <c r="G304" s="270">
        <f t="shared" si="12"/>
        <v>85</v>
      </c>
      <c r="H304" s="271">
        <f t="shared" si="13"/>
        <v>0.03</v>
      </c>
      <c r="I304" s="272">
        <f t="shared" si="14"/>
        <v>276.95999999999998</v>
      </c>
    </row>
    <row r="305" spans="1:9" x14ac:dyDescent="0.35">
      <c r="A305" s="266" t="s">
        <v>2000</v>
      </c>
      <c r="B305" s="267">
        <v>23</v>
      </c>
      <c r="C305" s="266" t="s">
        <v>2267</v>
      </c>
      <c r="D305" s="268">
        <v>2044</v>
      </c>
      <c r="E305" s="269">
        <v>44576</v>
      </c>
      <c r="F305" s="269">
        <v>44599</v>
      </c>
      <c r="G305" s="270">
        <f t="shared" si="12"/>
        <v>23</v>
      </c>
      <c r="H305" s="271">
        <f t="shared" si="13"/>
        <v>0</v>
      </c>
      <c r="I305" s="272">
        <f t="shared" si="14"/>
        <v>0</v>
      </c>
    </row>
    <row r="306" spans="1:9" x14ac:dyDescent="0.35">
      <c r="A306" s="266" t="s">
        <v>1978</v>
      </c>
      <c r="B306" s="267">
        <v>15</v>
      </c>
      <c r="C306" s="266" t="s">
        <v>2268</v>
      </c>
      <c r="D306" s="268">
        <v>5950</v>
      </c>
      <c r="E306" s="269">
        <v>44515</v>
      </c>
      <c r="F306" s="269">
        <v>44599</v>
      </c>
      <c r="G306" s="270">
        <f t="shared" si="12"/>
        <v>84</v>
      </c>
      <c r="H306" s="271">
        <f t="shared" si="13"/>
        <v>0.03</v>
      </c>
      <c r="I306" s="272">
        <f t="shared" si="14"/>
        <v>178.5</v>
      </c>
    </row>
    <row r="307" spans="1:9" x14ac:dyDescent="0.35">
      <c r="A307" s="266" t="s">
        <v>2141</v>
      </c>
      <c r="B307" s="267">
        <v>17</v>
      </c>
      <c r="C307" s="266" t="s">
        <v>2269</v>
      </c>
      <c r="D307" s="268">
        <v>1321</v>
      </c>
      <c r="E307" s="269">
        <v>44544</v>
      </c>
      <c r="F307" s="269">
        <v>44599</v>
      </c>
      <c r="G307" s="270">
        <f t="shared" si="12"/>
        <v>55</v>
      </c>
      <c r="H307" s="271">
        <f t="shared" si="13"/>
        <v>0.01</v>
      </c>
      <c r="I307" s="272">
        <f t="shared" si="14"/>
        <v>13.21</v>
      </c>
    </row>
    <row r="308" spans="1:9" x14ac:dyDescent="0.35">
      <c r="A308" s="266" t="s">
        <v>1976</v>
      </c>
      <c r="B308" s="267">
        <v>3</v>
      </c>
      <c r="C308" s="266" t="s">
        <v>2270</v>
      </c>
      <c r="D308" s="268">
        <v>7463</v>
      </c>
      <c r="E308" s="269">
        <v>44569</v>
      </c>
      <c r="F308" s="269">
        <v>44599</v>
      </c>
      <c r="G308" s="270">
        <f t="shared" si="12"/>
        <v>30</v>
      </c>
      <c r="H308" s="271">
        <f t="shared" si="13"/>
        <v>0</v>
      </c>
      <c r="I308" s="272">
        <f t="shared" si="14"/>
        <v>0</v>
      </c>
    </row>
    <row r="309" spans="1:9" x14ac:dyDescent="0.35">
      <c r="A309" s="266" t="s">
        <v>1942</v>
      </c>
      <c r="B309" s="267">
        <v>8</v>
      </c>
      <c r="C309" s="266" t="s">
        <v>1965</v>
      </c>
      <c r="D309" s="268">
        <v>3152</v>
      </c>
      <c r="E309" s="269">
        <v>44520</v>
      </c>
      <c r="F309" s="269">
        <v>44599</v>
      </c>
      <c r="G309" s="270">
        <f t="shared" si="12"/>
        <v>79</v>
      </c>
      <c r="H309" s="271">
        <f t="shared" si="13"/>
        <v>0.02</v>
      </c>
      <c r="I309" s="272">
        <f t="shared" si="14"/>
        <v>63.04</v>
      </c>
    </row>
    <row r="310" spans="1:9" x14ac:dyDescent="0.35">
      <c r="A310" s="266" t="s">
        <v>1976</v>
      </c>
      <c r="B310" s="267">
        <v>3</v>
      </c>
      <c r="C310" s="266" t="s">
        <v>2271</v>
      </c>
      <c r="D310" s="268">
        <v>9280</v>
      </c>
      <c r="E310" s="269">
        <v>44549</v>
      </c>
      <c r="F310" s="269">
        <v>44599</v>
      </c>
      <c r="G310" s="270">
        <f t="shared" si="12"/>
        <v>50</v>
      </c>
      <c r="H310" s="271">
        <f t="shared" si="13"/>
        <v>0.01</v>
      </c>
      <c r="I310" s="272">
        <f t="shared" si="14"/>
        <v>92.8</v>
      </c>
    </row>
    <row r="311" spans="1:9" x14ac:dyDescent="0.35">
      <c r="A311" s="266" t="s">
        <v>2018</v>
      </c>
      <c r="B311" s="267">
        <v>4</v>
      </c>
      <c r="C311" s="266" t="s">
        <v>2272</v>
      </c>
      <c r="D311" s="268">
        <v>3865</v>
      </c>
      <c r="E311" s="269">
        <v>44557</v>
      </c>
      <c r="F311" s="269">
        <v>44599</v>
      </c>
      <c r="G311" s="270">
        <f t="shared" si="12"/>
        <v>42</v>
      </c>
      <c r="H311" s="271">
        <f t="shared" si="13"/>
        <v>0.01</v>
      </c>
      <c r="I311" s="272">
        <f t="shared" si="14"/>
        <v>38.65</v>
      </c>
    </row>
    <row r="312" spans="1:9" x14ac:dyDescent="0.35">
      <c r="A312" s="266" t="s">
        <v>1962</v>
      </c>
      <c r="B312" s="267">
        <v>1</v>
      </c>
      <c r="C312" s="266" t="s">
        <v>2273</v>
      </c>
      <c r="D312" s="268">
        <v>4751</v>
      </c>
      <c r="E312" s="269">
        <v>44530</v>
      </c>
      <c r="F312" s="269">
        <v>44599</v>
      </c>
      <c r="G312" s="270">
        <f t="shared" si="12"/>
        <v>69</v>
      </c>
      <c r="H312" s="271">
        <f t="shared" si="13"/>
        <v>0.02</v>
      </c>
      <c r="I312" s="272">
        <f t="shared" si="14"/>
        <v>95.02</v>
      </c>
    </row>
    <row r="313" spans="1:9" x14ac:dyDescent="0.35">
      <c r="A313" s="266" t="s">
        <v>1977</v>
      </c>
      <c r="B313" s="267">
        <v>22</v>
      </c>
      <c r="C313" s="266" t="s">
        <v>2274</v>
      </c>
      <c r="D313" s="268">
        <v>3094</v>
      </c>
      <c r="E313" s="269">
        <v>44514</v>
      </c>
      <c r="F313" s="269">
        <v>44599</v>
      </c>
      <c r="G313" s="270">
        <f t="shared" si="12"/>
        <v>85</v>
      </c>
      <c r="H313" s="271">
        <f t="shared" si="13"/>
        <v>0.03</v>
      </c>
      <c r="I313" s="272">
        <f t="shared" si="14"/>
        <v>92.82</v>
      </c>
    </row>
    <row r="314" spans="1:9" x14ac:dyDescent="0.35">
      <c r="A314" s="266" t="s">
        <v>2000</v>
      </c>
      <c r="B314" s="267">
        <v>23</v>
      </c>
      <c r="C314" s="266" t="s">
        <v>2275</v>
      </c>
      <c r="D314" s="268">
        <v>6445</v>
      </c>
      <c r="E314" s="269">
        <v>44508</v>
      </c>
      <c r="F314" s="269">
        <v>44599</v>
      </c>
      <c r="G314" s="270">
        <f t="shared" si="12"/>
        <v>91</v>
      </c>
      <c r="H314" s="271">
        <f t="shared" si="13"/>
        <v>0.03</v>
      </c>
      <c r="I314" s="272">
        <f t="shared" si="14"/>
        <v>193.35</v>
      </c>
    </row>
    <row r="315" spans="1:9" x14ac:dyDescent="0.35">
      <c r="A315" s="266" t="s">
        <v>1989</v>
      </c>
      <c r="B315" s="267">
        <v>14</v>
      </c>
      <c r="C315" s="266" t="s">
        <v>2276</v>
      </c>
      <c r="D315" s="268">
        <v>1081</v>
      </c>
      <c r="E315" s="269">
        <v>44509</v>
      </c>
      <c r="F315" s="269">
        <v>44599</v>
      </c>
      <c r="G315" s="270">
        <f t="shared" si="12"/>
        <v>90</v>
      </c>
      <c r="H315" s="271">
        <f t="shared" si="13"/>
        <v>0.03</v>
      </c>
      <c r="I315" s="272">
        <f t="shared" si="14"/>
        <v>32.43</v>
      </c>
    </row>
    <row r="316" spans="1:9" x14ac:dyDescent="0.35">
      <c r="A316" s="266" t="s">
        <v>2004</v>
      </c>
      <c r="B316" s="267">
        <v>11</v>
      </c>
      <c r="C316" s="266" t="s">
        <v>2277</v>
      </c>
      <c r="D316" s="268">
        <v>1927</v>
      </c>
      <c r="E316" s="269">
        <v>44505</v>
      </c>
      <c r="F316" s="269">
        <v>44599</v>
      </c>
      <c r="G316" s="270">
        <f t="shared" si="12"/>
        <v>94</v>
      </c>
      <c r="H316" s="271">
        <f t="shared" si="13"/>
        <v>0.03</v>
      </c>
      <c r="I316" s="272">
        <f t="shared" si="14"/>
        <v>57.809999999999995</v>
      </c>
    </row>
    <row r="317" spans="1:9" x14ac:dyDescent="0.35">
      <c r="A317" s="266" t="s">
        <v>1980</v>
      </c>
      <c r="B317" s="267">
        <v>7</v>
      </c>
      <c r="C317" s="266" t="s">
        <v>2278</v>
      </c>
      <c r="D317" s="268">
        <v>1168</v>
      </c>
      <c r="E317" s="269">
        <v>44529</v>
      </c>
      <c r="F317" s="269">
        <v>44599</v>
      </c>
      <c r="G317" s="270">
        <f t="shared" si="12"/>
        <v>70</v>
      </c>
      <c r="H317" s="271">
        <f t="shared" si="13"/>
        <v>0.02</v>
      </c>
      <c r="I317" s="272">
        <f t="shared" si="14"/>
        <v>23.36</v>
      </c>
    </row>
    <row r="318" spans="1:9" x14ac:dyDescent="0.35">
      <c r="A318" s="266" t="s">
        <v>1960</v>
      </c>
      <c r="B318" s="267">
        <v>6</v>
      </c>
      <c r="C318" s="266" t="s">
        <v>2279</v>
      </c>
      <c r="D318" s="268">
        <v>8403</v>
      </c>
      <c r="E318" s="269">
        <v>44564</v>
      </c>
      <c r="F318" s="269">
        <v>44599</v>
      </c>
      <c r="G318" s="270">
        <f t="shared" si="12"/>
        <v>35</v>
      </c>
      <c r="H318" s="271">
        <f t="shared" si="13"/>
        <v>0.01</v>
      </c>
      <c r="I318" s="272">
        <f t="shared" si="14"/>
        <v>84.03</v>
      </c>
    </row>
    <row r="319" spans="1:9" x14ac:dyDescent="0.35">
      <c r="A319" s="266" t="s">
        <v>1976</v>
      </c>
      <c r="B319" s="267">
        <v>3</v>
      </c>
      <c r="C319" s="266" t="s">
        <v>2280</v>
      </c>
      <c r="D319" s="268">
        <v>5387</v>
      </c>
      <c r="E319" s="269">
        <v>44528</v>
      </c>
      <c r="F319" s="269">
        <v>44599</v>
      </c>
      <c r="G319" s="270">
        <f t="shared" si="12"/>
        <v>71</v>
      </c>
      <c r="H319" s="271">
        <f t="shared" si="13"/>
        <v>0.02</v>
      </c>
      <c r="I319" s="272">
        <f t="shared" si="14"/>
        <v>107.74000000000001</v>
      </c>
    </row>
    <row r="320" spans="1:9" x14ac:dyDescent="0.35">
      <c r="A320" s="266" t="s">
        <v>2009</v>
      </c>
      <c r="B320" s="267">
        <v>9</v>
      </c>
      <c r="C320" s="266" t="s">
        <v>2281</v>
      </c>
      <c r="D320" s="268">
        <v>5455</v>
      </c>
      <c r="E320" s="269">
        <v>44552</v>
      </c>
      <c r="F320" s="269">
        <v>44599</v>
      </c>
      <c r="G320" s="270">
        <f t="shared" si="12"/>
        <v>47</v>
      </c>
      <c r="H320" s="271">
        <f t="shared" si="13"/>
        <v>0.01</v>
      </c>
      <c r="I320" s="272">
        <f t="shared" si="14"/>
        <v>54.550000000000004</v>
      </c>
    </row>
    <row r="321" spans="1:9" x14ac:dyDescent="0.35">
      <c r="A321" s="266" t="s">
        <v>1939</v>
      </c>
      <c r="B321" s="267">
        <v>20</v>
      </c>
      <c r="C321" s="266" t="s">
        <v>2282</v>
      </c>
      <c r="D321" s="268">
        <v>1636</v>
      </c>
      <c r="E321" s="269">
        <v>44580</v>
      </c>
      <c r="F321" s="269">
        <v>44599</v>
      </c>
      <c r="G321" s="270">
        <f t="shared" si="12"/>
        <v>19</v>
      </c>
      <c r="H321" s="271">
        <f t="shared" si="13"/>
        <v>0</v>
      </c>
      <c r="I321" s="272">
        <f t="shared" si="14"/>
        <v>0</v>
      </c>
    </row>
    <row r="322" spans="1:9" x14ac:dyDescent="0.35">
      <c r="A322" s="266" t="s">
        <v>2000</v>
      </c>
      <c r="B322" s="267">
        <v>23</v>
      </c>
      <c r="C322" s="266" t="s">
        <v>2283</v>
      </c>
      <c r="D322" s="268">
        <v>1961</v>
      </c>
      <c r="E322" s="269">
        <v>44534</v>
      </c>
      <c r="F322" s="269">
        <v>44599</v>
      </c>
      <c r="G322" s="270">
        <f t="shared" si="12"/>
        <v>65</v>
      </c>
      <c r="H322" s="271">
        <f t="shared" si="13"/>
        <v>0.02</v>
      </c>
      <c r="I322" s="272">
        <f t="shared" si="14"/>
        <v>39.22</v>
      </c>
    </row>
    <row r="323" spans="1:9" x14ac:dyDescent="0.35">
      <c r="A323" s="266" t="s">
        <v>2009</v>
      </c>
      <c r="B323" s="267">
        <v>9</v>
      </c>
      <c r="C323" s="266" t="s">
        <v>2284</v>
      </c>
      <c r="D323" s="268">
        <v>4125</v>
      </c>
      <c r="E323" s="269">
        <v>44537</v>
      </c>
      <c r="F323" s="269">
        <v>44599</v>
      </c>
      <c r="G323" s="270">
        <f t="shared" si="12"/>
        <v>62</v>
      </c>
      <c r="H323" s="271">
        <f t="shared" si="13"/>
        <v>0.02</v>
      </c>
      <c r="I323" s="272">
        <f t="shared" si="14"/>
        <v>82.5</v>
      </c>
    </row>
    <row r="324" spans="1:9" x14ac:dyDescent="0.35">
      <c r="A324" s="266" t="s">
        <v>1966</v>
      </c>
      <c r="B324" s="267">
        <v>12</v>
      </c>
      <c r="C324" s="266" t="s">
        <v>2285</v>
      </c>
      <c r="D324" s="268">
        <v>1440</v>
      </c>
      <c r="E324" s="269">
        <v>44540</v>
      </c>
      <c r="F324" s="269">
        <v>44599</v>
      </c>
      <c r="G324" s="270">
        <f t="shared" si="12"/>
        <v>59</v>
      </c>
      <c r="H324" s="271">
        <f t="shared" si="13"/>
        <v>0.01</v>
      </c>
      <c r="I324" s="272">
        <f t="shared" si="14"/>
        <v>14.4</v>
      </c>
    </row>
    <row r="325" spans="1:9" x14ac:dyDescent="0.35">
      <c r="A325" s="266" t="s">
        <v>1969</v>
      </c>
      <c r="B325" s="267">
        <v>2</v>
      </c>
      <c r="C325" s="266" t="s">
        <v>2286</v>
      </c>
      <c r="D325" s="268">
        <v>3334</v>
      </c>
      <c r="E325" s="269">
        <v>44580</v>
      </c>
      <c r="F325" s="269">
        <v>44599</v>
      </c>
      <c r="G325" s="270">
        <f t="shared" si="12"/>
        <v>19</v>
      </c>
      <c r="H325" s="271">
        <f t="shared" si="13"/>
        <v>0</v>
      </c>
      <c r="I325" s="272">
        <f t="shared" si="14"/>
        <v>0</v>
      </c>
    </row>
    <row r="326" spans="1:9" x14ac:dyDescent="0.35">
      <c r="A326" s="266" t="s">
        <v>1969</v>
      </c>
      <c r="B326" s="267">
        <v>2</v>
      </c>
      <c r="C326" s="266" t="s">
        <v>2287</v>
      </c>
      <c r="D326" s="268">
        <v>2185</v>
      </c>
      <c r="E326" s="269">
        <v>44513</v>
      </c>
      <c r="F326" s="269">
        <v>44599</v>
      </c>
      <c r="G326" s="270">
        <f t="shared" si="12"/>
        <v>86</v>
      </c>
      <c r="H326" s="271">
        <f t="shared" si="13"/>
        <v>0.03</v>
      </c>
      <c r="I326" s="272">
        <f t="shared" si="14"/>
        <v>65.55</v>
      </c>
    </row>
    <row r="327" spans="1:9" x14ac:dyDescent="0.35">
      <c r="A327" s="266" t="s">
        <v>2004</v>
      </c>
      <c r="B327" s="267">
        <v>11</v>
      </c>
      <c r="C327" s="266" t="s">
        <v>2288</v>
      </c>
      <c r="D327" s="268">
        <v>2194</v>
      </c>
      <c r="E327" s="269">
        <v>44504</v>
      </c>
      <c r="F327" s="269">
        <v>44599</v>
      </c>
      <c r="G327" s="270">
        <f t="shared" si="12"/>
        <v>95</v>
      </c>
      <c r="H327" s="271">
        <f t="shared" si="13"/>
        <v>0.03</v>
      </c>
      <c r="I327" s="272">
        <f t="shared" si="14"/>
        <v>65.819999999999993</v>
      </c>
    </row>
    <row r="328" spans="1:9" x14ac:dyDescent="0.35">
      <c r="A328" s="266" t="s">
        <v>2009</v>
      </c>
      <c r="B328" s="267">
        <v>9</v>
      </c>
      <c r="C328" s="266" t="s">
        <v>2289</v>
      </c>
      <c r="D328" s="268">
        <v>9325</v>
      </c>
      <c r="E328" s="269">
        <v>44538</v>
      </c>
      <c r="F328" s="269">
        <v>44599</v>
      </c>
      <c r="G328" s="270">
        <f t="shared" si="12"/>
        <v>61</v>
      </c>
      <c r="H328" s="271">
        <f t="shared" si="13"/>
        <v>0.02</v>
      </c>
      <c r="I328" s="272">
        <f t="shared" si="14"/>
        <v>186.5</v>
      </c>
    </row>
    <row r="329" spans="1:9" x14ac:dyDescent="0.35">
      <c r="A329" s="266" t="s">
        <v>2004</v>
      </c>
      <c r="B329" s="267">
        <v>11</v>
      </c>
      <c r="C329" s="266" t="s">
        <v>2290</v>
      </c>
      <c r="D329" s="268">
        <v>9393</v>
      </c>
      <c r="E329" s="269">
        <v>44540</v>
      </c>
      <c r="F329" s="269">
        <v>44599</v>
      </c>
      <c r="G329" s="270">
        <f t="shared" si="12"/>
        <v>59</v>
      </c>
      <c r="H329" s="271">
        <f t="shared" si="13"/>
        <v>0.01</v>
      </c>
      <c r="I329" s="272">
        <f t="shared" si="14"/>
        <v>93.93</v>
      </c>
    </row>
    <row r="330" spans="1:9" x14ac:dyDescent="0.35">
      <c r="A330" s="266" t="s">
        <v>1954</v>
      </c>
      <c r="B330" s="267">
        <v>24</v>
      </c>
      <c r="C330" s="266" t="s">
        <v>2291</v>
      </c>
      <c r="D330" s="268">
        <v>1463</v>
      </c>
      <c r="E330" s="269">
        <v>44521</v>
      </c>
      <c r="F330" s="269">
        <v>44599</v>
      </c>
      <c r="G330" s="270">
        <f t="shared" si="12"/>
        <v>78</v>
      </c>
      <c r="H330" s="271">
        <f t="shared" si="13"/>
        <v>0.02</v>
      </c>
      <c r="I330" s="272">
        <f t="shared" si="14"/>
        <v>29.26</v>
      </c>
    </row>
    <row r="331" spans="1:9" x14ac:dyDescent="0.35">
      <c r="A331" s="266" t="s">
        <v>2000</v>
      </c>
      <c r="B331" s="267">
        <v>23</v>
      </c>
      <c r="C331" s="266" t="s">
        <v>2292</v>
      </c>
      <c r="D331" s="268">
        <v>8711</v>
      </c>
      <c r="E331" s="269">
        <v>44503</v>
      </c>
      <c r="F331" s="269">
        <v>44599</v>
      </c>
      <c r="G331" s="270">
        <f t="shared" si="12"/>
        <v>96</v>
      </c>
      <c r="H331" s="271">
        <f t="shared" si="13"/>
        <v>0.03</v>
      </c>
      <c r="I331" s="272">
        <f t="shared" si="14"/>
        <v>261.33</v>
      </c>
    </row>
  </sheetData>
  <sheetProtection algorithmName="SHA-512" hashValue="3YseciDQjIPxBb7g03mylFJl934rr5zfpLFaTuI4xoRdWV1GpyXyIjt1M48rjRb/n/VjCOSMwJXwP2CcMFQ3Lw==" saltValue="k5zfgJ712GMZk+1uKRywnA==" spinCount="100000" sheet="1" formatCells="0" formatColumns="0" formatRows="0"/>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43C24-F242-493B-A4F3-6C7D8D7EC730}">
  <sheetPr codeName="Sheet18"/>
  <dimension ref="A1:X248"/>
  <sheetViews>
    <sheetView topLeftCell="G7" zoomScaleNormal="100" workbookViewId="0">
      <selection activeCell="Z19" sqref="Z19"/>
    </sheetView>
  </sheetViews>
  <sheetFormatPr defaultColWidth="7.58203125" defaultRowHeight="15.5" x14ac:dyDescent="0.35"/>
  <cols>
    <col min="1" max="1" width="10.1640625" style="229" customWidth="1"/>
    <col min="2" max="2" width="7.58203125" style="229"/>
    <col min="3" max="3" width="12.6640625" style="229" customWidth="1"/>
    <col min="4" max="13" width="7.58203125" style="229"/>
    <col min="14" max="14" width="10.6640625" style="229" customWidth="1"/>
    <col min="15" max="15" width="7.1640625" style="229" customWidth="1"/>
    <col min="16" max="16" width="11.4140625" style="229" customWidth="1"/>
    <col min="17" max="17" width="10.5" style="229" customWidth="1"/>
    <col min="18" max="18" width="7.58203125" style="229"/>
    <col min="19" max="19" width="28.08203125" style="229" bestFit="1" customWidth="1"/>
    <col min="20" max="21" width="7.58203125" style="229"/>
    <col min="22" max="22" width="13.1640625" style="229" bestFit="1" customWidth="1"/>
    <col min="23" max="24" width="7.58203125" style="229"/>
    <col min="25" max="26" width="12.6640625" style="229" bestFit="1" customWidth="1"/>
    <col min="27" max="16384" width="7.58203125" style="229"/>
  </cols>
  <sheetData>
    <row r="1" spans="1:24" ht="16" thickBot="1" x14ac:dyDescent="0.4"/>
    <row r="2" spans="1:24" x14ac:dyDescent="0.35">
      <c r="A2" s="279" t="s">
        <v>2293</v>
      </c>
      <c r="B2" s="280"/>
      <c r="C2" s="280"/>
      <c r="D2" s="280"/>
      <c r="E2" s="280"/>
      <c r="F2" s="280"/>
      <c r="G2" s="280"/>
      <c r="H2" s="280"/>
      <c r="I2" s="280"/>
      <c r="J2" s="280"/>
      <c r="K2" s="280"/>
      <c r="L2" s="280"/>
      <c r="M2" s="280"/>
      <c r="N2" s="280"/>
      <c r="O2" s="281"/>
    </row>
    <row r="3" spans="1:24" x14ac:dyDescent="0.35">
      <c r="A3" s="282" t="s">
        <v>2294</v>
      </c>
      <c r="B3" s="283"/>
      <c r="C3" s="283"/>
      <c r="D3" s="283"/>
      <c r="E3" s="283"/>
      <c r="F3" s="283"/>
      <c r="G3" s="283"/>
      <c r="H3" s="283"/>
      <c r="I3" s="283"/>
      <c r="J3" s="283"/>
      <c r="K3" s="283"/>
      <c r="L3" s="283"/>
      <c r="M3" s="283"/>
      <c r="N3" s="283"/>
      <c r="O3" s="284"/>
    </row>
    <row r="4" spans="1:24" ht="16" thickBot="1" x14ac:dyDescent="0.4">
      <c r="A4" s="285" t="s">
        <v>2295</v>
      </c>
      <c r="B4" s="286"/>
      <c r="C4" s="286"/>
      <c r="D4" s="286"/>
      <c r="E4" s="286"/>
      <c r="F4" s="286"/>
      <c r="G4" s="286"/>
      <c r="H4" s="286"/>
      <c r="I4" s="286"/>
      <c r="J4" s="286"/>
      <c r="K4" s="286"/>
      <c r="L4" s="286"/>
      <c r="M4" s="286"/>
      <c r="N4" s="286"/>
      <c r="O4" s="287"/>
    </row>
    <row r="6" spans="1:24" ht="16" thickBot="1" x14ac:dyDescent="0.4"/>
    <row r="7" spans="1:24" ht="16" thickBot="1" x14ac:dyDescent="0.4">
      <c r="A7" s="416" t="s">
        <v>2296</v>
      </c>
      <c r="B7" s="418" t="s">
        <v>2297</v>
      </c>
      <c r="C7" s="418" t="s">
        <v>2298</v>
      </c>
      <c r="D7" s="288" t="s">
        <v>3</v>
      </c>
      <c r="E7" s="288" t="s">
        <v>4</v>
      </c>
      <c r="F7" s="288" t="s">
        <v>5</v>
      </c>
      <c r="G7" s="288" t="s">
        <v>6</v>
      </c>
      <c r="H7" s="289" t="s">
        <v>2299</v>
      </c>
      <c r="I7" s="289" t="s">
        <v>2300</v>
      </c>
      <c r="J7" s="290" t="s">
        <v>2301</v>
      </c>
      <c r="K7" s="290" t="s">
        <v>2302</v>
      </c>
      <c r="L7" s="290" t="s">
        <v>2303</v>
      </c>
      <c r="M7" s="290" t="s">
        <v>2304</v>
      </c>
      <c r="N7" s="420" t="s">
        <v>2305</v>
      </c>
      <c r="O7" s="422" t="s">
        <v>8</v>
      </c>
      <c r="Q7" s="424" t="s">
        <v>2306</v>
      </c>
      <c r="R7" s="425"/>
    </row>
    <row r="8" spans="1:24" ht="21.5" thickBot="1" x14ac:dyDescent="0.55000000000000004">
      <c r="A8" s="417"/>
      <c r="B8" s="419"/>
      <c r="C8" s="419"/>
      <c r="D8" s="291">
        <v>100</v>
      </c>
      <c r="E8" s="291">
        <v>100</v>
      </c>
      <c r="F8" s="291">
        <v>100</v>
      </c>
      <c r="G8" s="291">
        <v>100</v>
      </c>
      <c r="H8" s="292">
        <v>25</v>
      </c>
      <c r="I8" s="292">
        <v>25</v>
      </c>
      <c r="J8" s="293">
        <v>25</v>
      </c>
      <c r="K8" s="293">
        <v>25</v>
      </c>
      <c r="L8" s="293">
        <v>25</v>
      </c>
      <c r="M8" s="293">
        <v>25</v>
      </c>
      <c r="N8" s="421"/>
      <c r="O8" s="423"/>
      <c r="Q8" s="294" t="s">
        <v>2307</v>
      </c>
      <c r="R8" s="295">
        <v>0.75</v>
      </c>
      <c r="S8" s="296"/>
      <c r="T8" s="247"/>
      <c r="U8" s="247"/>
      <c r="V8" s="247"/>
      <c r="W8" s="297"/>
    </row>
    <row r="9" spans="1:24" x14ac:dyDescent="0.35">
      <c r="A9" s="298" t="s">
        <v>2308</v>
      </c>
      <c r="B9" s="298" t="s">
        <v>2309</v>
      </c>
      <c r="C9" s="298" t="s">
        <v>2310</v>
      </c>
      <c r="D9" s="299">
        <v>94</v>
      </c>
      <c r="E9" s="299">
        <v>99</v>
      </c>
      <c r="F9" s="299">
        <v>79</v>
      </c>
      <c r="G9" s="299">
        <v>97</v>
      </c>
      <c r="H9" s="300">
        <v>20</v>
      </c>
      <c r="I9" s="300">
        <v>24</v>
      </c>
      <c r="J9" s="301">
        <v>22</v>
      </c>
      <c r="K9" s="301">
        <v>23</v>
      </c>
      <c r="L9" s="301">
        <v>23</v>
      </c>
      <c r="M9" s="301">
        <v>19</v>
      </c>
      <c r="N9" s="302">
        <f>0.75*(SUM(D9:G9)-MIN(D9:G9))/3+0.1*2*SUM(H9:I9)+0.15*SUM(J9:M9)</f>
        <v>94.35</v>
      </c>
      <c r="O9" s="302" t="s">
        <v>57</v>
      </c>
      <c r="Q9" s="303" t="s">
        <v>2311</v>
      </c>
      <c r="R9" s="304">
        <v>0.1</v>
      </c>
      <c r="S9" s="247"/>
      <c r="T9" s="247"/>
      <c r="U9" s="247"/>
      <c r="V9" s="247"/>
    </row>
    <row r="10" spans="1:24" ht="16" thickBot="1" x14ac:dyDescent="0.4">
      <c r="A10" s="305" t="s">
        <v>1893</v>
      </c>
      <c r="B10" s="305" t="s">
        <v>2312</v>
      </c>
      <c r="C10" s="305" t="s">
        <v>2313</v>
      </c>
      <c r="D10" s="306">
        <v>98</v>
      </c>
      <c r="E10" s="306">
        <v>82</v>
      </c>
      <c r="F10" s="306">
        <v>92</v>
      </c>
      <c r="G10" s="306">
        <v>95</v>
      </c>
      <c r="H10" s="307">
        <v>22</v>
      </c>
      <c r="I10" s="307">
        <v>19</v>
      </c>
      <c r="J10" s="308">
        <v>23</v>
      </c>
      <c r="K10" s="308">
        <v>22</v>
      </c>
      <c r="L10" s="308">
        <v>23</v>
      </c>
      <c r="M10" s="308">
        <v>22</v>
      </c>
      <c r="N10" s="309">
        <f>SUM(AVERAGE(LARGE(D10:G10,1),LARGE(D10:G10,2),LARGE(D10:G10,3))/100*75,AVERAGE(H10:I10)/25*10,AVERAGE(J10:M10)/25*15)</f>
        <v>92.95</v>
      </c>
      <c r="O10" s="309" t="str">
        <f>IF(N10&gt;=90,"A",IF(N10&gt;=83,"B",IF(N10&gt;=73,"C",IF(N10&gt;=65,"D","F"))))</f>
        <v>A</v>
      </c>
      <c r="Q10" s="310" t="s">
        <v>2314</v>
      </c>
      <c r="R10" s="311">
        <v>0.15</v>
      </c>
      <c r="T10" s="229">
        <f>AVERAGE(LARGE(D9:G9,1),LARGE(D9:G9,2),LARGE(D9:G9,3))</f>
        <v>96.666666666666671</v>
      </c>
      <c r="U10" s="229">
        <v>100</v>
      </c>
      <c r="V10" s="229">
        <f>T10/U10</f>
        <v>0.96666666666666667</v>
      </c>
      <c r="W10" s="229">
        <f>V10*75</f>
        <v>72.5</v>
      </c>
      <c r="X10" s="229">
        <f>T10/100*75</f>
        <v>72.5</v>
      </c>
    </row>
    <row r="11" spans="1:24" ht="16" thickBot="1" x14ac:dyDescent="0.4">
      <c r="A11" s="305" t="s">
        <v>2315</v>
      </c>
      <c r="B11" s="305" t="s">
        <v>2316</v>
      </c>
      <c r="C11" s="305" t="s">
        <v>2310</v>
      </c>
      <c r="D11" s="306">
        <v>95</v>
      </c>
      <c r="E11" s="306">
        <v>75</v>
      </c>
      <c r="F11" s="306">
        <v>73</v>
      </c>
      <c r="G11" s="306">
        <v>95</v>
      </c>
      <c r="H11" s="307">
        <v>23</v>
      </c>
      <c r="I11" s="307">
        <v>16</v>
      </c>
      <c r="J11" s="308">
        <v>25</v>
      </c>
      <c r="K11" s="308">
        <v>19</v>
      </c>
      <c r="L11" s="308">
        <v>24</v>
      </c>
      <c r="M11" s="308">
        <v>24</v>
      </c>
      <c r="N11" s="309">
        <f t="shared" ref="N11:N74" si="0">SUM(AVERAGE(LARGE(D11:G11,1),LARGE(D11:G11,2),LARGE(D11:G11,3))/100*75,AVERAGE(H11:I11)/25*10,AVERAGE(J11:M11)/25*15)</f>
        <v>87.85</v>
      </c>
      <c r="O11" s="309" t="str">
        <f t="shared" ref="O11:O74" si="1">IF(N11&gt;=90,"A",IF(N11&gt;=83,"B",IF(N11&gt;=73,"C",IF(N11&gt;=65,"D","F"))))</f>
        <v>B</v>
      </c>
      <c r="T11" s="229">
        <f>AVERAGE(H9:I9)</f>
        <v>22</v>
      </c>
      <c r="U11" s="229">
        <v>25</v>
      </c>
      <c r="V11" s="229">
        <f>T11/U11</f>
        <v>0.88</v>
      </c>
      <c r="W11" s="229">
        <f>V11*10</f>
        <v>8.8000000000000007</v>
      </c>
    </row>
    <row r="12" spans="1:24" x14ac:dyDescent="0.35">
      <c r="A12" s="305" t="s">
        <v>2317</v>
      </c>
      <c r="B12" s="305" t="s">
        <v>2309</v>
      </c>
      <c r="C12" s="305" t="s">
        <v>2313</v>
      </c>
      <c r="D12" s="306">
        <v>94</v>
      </c>
      <c r="E12" s="306">
        <v>87</v>
      </c>
      <c r="F12" s="306">
        <v>82</v>
      </c>
      <c r="G12" s="306">
        <v>83</v>
      </c>
      <c r="H12" s="307">
        <v>22</v>
      </c>
      <c r="I12" s="307">
        <v>24</v>
      </c>
      <c r="J12" s="308">
        <v>25</v>
      </c>
      <c r="K12" s="308">
        <v>20</v>
      </c>
      <c r="L12" s="308">
        <v>22</v>
      </c>
      <c r="M12" s="308">
        <v>24</v>
      </c>
      <c r="N12" s="309">
        <f t="shared" si="0"/>
        <v>88.850000000000009</v>
      </c>
      <c r="O12" s="309" t="str">
        <f t="shared" si="1"/>
        <v>B</v>
      </c>
      <c r="Q12" s="414" t="s">
        <v>2318</v>
      </c>
      <c r="R12" s="415"/>
      <c r="T12" s="229">
        <f>AVERAGE(J9:M9)</f>
        <v>21.75</v>
      </c>
      <c r="U12" s="229">
        <v>25</v>
      </c>
      <c r="V12" s="229">
        <f>T12/U12</f>
        <v>0.87</v>
      </c>
      <c r="W12" s="229">
        <f>V12*15</f>
        <v>13.05</v>
      </c>
      <c r="X12" s="247"/>
    </row>
    <row r="13" spans="1:24" x14ac:dyDescent="0.35">
      <c r="A13" s="305" t="s">
        <v>2319</v>
      </c>
      <c r="B13" s="305" t="s">
        <v>2309</v>
      </c>
      <c r="C13" s="305" t="s">
        <v>2310</v>
      </c>
      <c r="D13" s="306">
        <v>84</v>
      </c>
      <c r="E13" s="306">
        <v>86</v>
      </c>
      <c r="F13" s="306">
        <v>78</v>
      </c>
      <c r="G13" s="306">
        <v>87</v>
      </c>
      <c r="H13" s="307">
        <v>21</v>
      </c>
      <c r="I13" s="307">
        <v>15</v>
      </c>
      <c r="J13" s="308">
        <v>25</v>
      </c>
      <c r="K13" s="308">
        <v>23</v>
      </c>
      <c r="L13" s="308">
        <v>24</v>
      </c>
      <c r="M13" s="308">
        <v>23</v>
      </c>
      <c r="N13" s="309">
        <f t="shared" si="0"/>
        <v>85.7</v>
      </c>
      <c r="O13" s="309" t="str">
        <f t="shared" si="1"/>
        <v>B</v>
      </c>
      <c r="Q13" s="312" t="s">
        <v>2320</v>
      </c>
      <c r="R13" s="313" t="s">
        <v>41</v>
      </c>
      <c r="W13" s="229">
        <f>SUM(W10:W12)</f>
        <v>94.35</v>
      </c>
    </row>
    <row r="14" spans="1:24" x14ac:dyDescent="0.35">
      <c r="A14" s="305" t="s">
        <v>2321</v>
      </c>
      <c r="B14" s="305" t="s">
        <v>2316</v>
      </c>
      <c r="C14" s="305" t="s">
        <v>2310</v>
      </c>
      <c r="D14" s="306">
        <v>91</v>
      </c>
      <c r="E14" s="306">
        <v>92</v>
      </c>
      <c r="F14" s="306">
        <v>91</v>
      </c>
      <c r="G14" s="306">
        <v>94</v>
      </c>
      <c r="H14" s="307">
        <v>25</v>
      </c>
      <c r="I14" s="307">
        <v>22</v>
      </c>
      <c r="J14" s="308">
        <v>22</v>
      </c>
      <c r="K14" s="308">
        <v>21</v>
      </c>
      <c r="L14" s="308">
        <v>22</v>
      </c>
      <c r="M14" s="308">
        <v>24</v>
      </c>
      <c r="N14" s="309">
        <f t="shared" si="0"/>
        <v>92</v>
      </c>
      <c r="O14" s="309" t="str">
        <f t="shared" si="1"/>
        <v>A</v>
      </c>
      <c r="Q14" s="312" t="s">
        <v>2322</v>
      </c>
      <c r="R14" s="313" t="s">
        <v>45</v>
      </c>
    </row>
    <row r="15" spans="1:24" x14ac:dyDescent="0.35">
      <c r="A15" s="305" t="s">
        <v>2323</v>
      </c>
      <c r="B15" s="305" t="s">
        <v>2316</v>
      </c>
      <c r="C15" s="305" t="s">
        <v>2310</v>
      </c>
      <c r="D15" s="306">
        <v>96</v>
      </c>
      <c r="E15" s="306">
        <v>72</v>
      </c>
      <c r="F15" s="306">
        <v>84</v>
      </c>
      <c r="G15" s="306">
        <v>89</v>
      </c>
      <c r="H15" s="307">
        <v>25</v>
      </c>
      <c r="I15" s="307">
        <v>25</v>
      </c>
      <c r="J15" s="308">
        <v>25</v>
      </c>
      <c r="K15" s="308">
        <v>19</v>
      </c>
      <c r="L15" s="308">
        <v>23</v>
      </c>
      <c r="M15" s="308">
        <v>25</v>
      </c>
      <c r="N15" s="309">
        <f t="shared" si="0"/>
        <v>91.05</v>
      </c>
      <c r="O15" s="309" t="str">
        <f t="shared" si="1"/>
        <v>A</v>
      </c>
      <c r="Q15" s="312" t="s">
        <v>2324</v>
      </c>
      <c r="R15" s="313" t="s">
        <v>49</v>
      </c>
    </row>
    <row r="16" spans="1:24" x14ac:dyDescent="0.35">
      <c r="A16" s="305" t="s">
        <v>2325</v>
      </c>
      <c r="B16" s="305" t="s">
        <v>2316</v>
      </c>
      <c r="C16" s="305" t="s">
        <v>2313</v>
      </c>
      <c r="D16" s="306">
        <v>100</v>
      </c>
      <c r="E16" s="306">
        <v>77</v>
      </c>
      <c r="F16" s="306">
        <v>67</v>
      </c>
      <c r="G16" s="306">
        <v>85</v>
      </c>
      <c r="H16" s="307">
        <v>25</v>
      </c>
      <c r="I16" s="307">
        <v>20</v>
      </c>
      <c r="J16" s="308">
        <v>22</v>
      </c>
      <c r="K16" s="308">
        <v>18</v>
      </c>
      <c r="L16" s="308">
        <v>24</v>
      </c>
      <c r="M16" s="308">
        <v>23</v>
      </c>
      <c r="N16" s="309">
        <f t="shared" si="0"/>
        <v>87.55</v>
      </c>
      <c r="O16" s="309" t="str">
        <f t="shared" si="1"/>
        <v>B</v>
      </c>
      <c r="Q16" s="312" t="s">
        <v>2326</v>
      </c>
      <c r="R16" s="313" t="s">
        <v>53</v>
      </c>
    </row>
    <row r="17" spans="1:23" ht="16" thickBot="1" x14ac:dyDescent="0.4">
      <c r="A17" s="305" t="s">
        <v>2327</v>
      </c>
      <c r="B17" s="305" t="s">
        <v>2309</v>
      </c>
      <c r="C17" s="305" t="s">
        <v>2310</v>
      </c>
      <c r="D17" s="306">
        <v>93</v>
      </c>
      <c r="E17" s="306">
        <v>83</v>
      </c>
      <c r="F17" s="306">
        <v>76</v>
      </c>
      <c r="G17" s="306">
        <v>85</v>
      </c>
      <c r="H17" s="307">
        <v>20</v>
      </c>
      <c r="I17" s="307">
        <v>19</v>
      </c>
      <c r="J17" s="308">
        <v>24</v>
      </c>
      <c r="K17" s="308">
        <v>23</v>
      </c>
      <c r="L17" s="308">
        <v>24</v>
      </c>
      <c r="M17" s="308">
        <v>21</v>
      </c>
      <c r="N17" s="309">
        <f t="shared" si="0"/>
        <v>86.85</v>
      </c>
      <c r="O17" s="309" t="str">
        <f t="shared" si="1"/>
        <v>B</v>
      </c>
      <c r="Q17" s="314" t="s">
        <v>2328</v>
      </c>
      <c r="R17" s="315" t="s">
        <v>57</v>
      </c>
    </row>
    <row r="18" spans="1:23" ht="16" thickBot="1" x14ac:dyDescent="0.4">
      <c r="A18" s="305" t="s">
        <v>2329</v>
      </c>
      <c r="B18" s="305" t="s">
        <v>2316</v>
      </c>
      <c r="C18" s="305" t="s">
        <v>2310</v>
      </c>
      <c r="D18" s="306">
        <v>78</v>
      </c>
      <c r="E18" s="306">
        <v>84</v>
      </c>
      <c r="F18" s="306">
        <v>65</v>
      </c>
      <c r="G18" s="306">
        <v>81</v>
      </c>
      <c r="H18" s="307">
        <v>21</v>
      </c>
      <c r="I18" s="307">
        <v>22</v>
      </c>
      <c r="J18" s="308">
        <v>23</v>
      </c>
      <c r="K18" s="308">
        <v>19</v>
      </c>
      <c r="L18" s="308">
        <v>23</v>
      </c>
      <c r="M18" s="308">
        <v>21</v>
      </c>
      <c r="N18" s="309">
        <f t="shared" si="0"/>
        <v>82.250000000000014</v>
      </c>
      <c r="O18" s="309" t="str">
        <f t="shared" si="1"/>
        <v>C</v>
      </c>
    </row>
    <row r="19" spans="1:23" x14ac:dyDescent="0.35">
      <c r="A19" s="305" t="s">
        <v>2330</v>
      </c>
      <c r="B19" s="305" t="s">
        <v>2316</v>
      </c>
      <c r="C19" s="305" t="s">
        <v>2310</v>
      </c>
      <c r="D19" s="306">
        <v>89</v>
      </c>
      <c r="E19" s="306">
        <v>70</v>
      </c>
      <c r="F19" s="306">
        <v>93</v>
      </c>
      <c r="G19" s="306">
        <v>83</v>
      </c>
      <c r="H19" s="307">
        <v>22</v>
      </c>
      <c r="I19" s="307">
        <v>21</v>
      </c>
      <c r="J19" s="308">
        <v>24</v>
      </c>
      <c r="K19" s="308">
        <v>20</v>
      </c>
      <c r="L19" s="308">
        <v>23</v>
      </c>
      <c r="M19" s="308">
        <v>24</v>
      </c>
      <c r="N19" s="309">
        <f t="shared" si="0"/>
        <v>88.5</v>
      </c>
      <c r="O19" s="309" t="str">
        <f t="shared" si="1"/>
        <v>B</v>
      </c>
      <c r="S19" s="316" t="s">
        <v>2331</v>
      </c>
      <c r="T19" s="317">
        <f>AVERAGE(N9:N248)</f>
        <v>83.896250000000009</v>
      </c>
      <c r="U19" s="317"/>
      <c r="V19" s="317"/>
      <c r="W19" s="318"/>
    </row>
    <row r="20" spans="1:23" x14ac:dyDescent="0.35">
      <c r="A20" s="305" t="s">
        <v>2332</v>
      </c>
      <c r="B20" s="305" t="s">
        <v>2309</v>
      </c>
      <c r="C20" s="305" t="s">
        <v>2313</v>
      </c>
      <c r="D20" s="306">
        <v>89</v>
      </c>
      <c r="E20" s="306">
        <v>75</v>
      </c>
      <c r="F20" s="306">
        <v>86</v>
      </c>
      <c r="G20" s="306">
        <v>80</v>
      </c>
      <c r="H20" s="307">
        <v>21</v>
      </c>
      <c r="I20" s="307">
        <v>22</v>
      </c>
      <c r="J20" s="308">
        <v>25</v>
      </c>
      <c r="K20" s="308">
        <v>18</v>
      </c>
      <c r="L20" s="308">
        <v>25</v>
      </c>
      <c r="M20" s="308">
        <v>24</v>
      </c>
      <c r="N20" s="309">
        <f t="shared" si="0"/>
        <v>86.149999999999991</v>
      </c>
      <c r="O20" s="309" t="str">
        <f t="shared" si="1"/>
        <v>B</v>
      </c>
      <c r="S20" s="319" t="s">
        <v>2333</v>
      </c>
      <c r="T20" s="320">
        <f>AVERAGEIF(B9:B248,B21,N9:N248)</f>
        <v>85.429333333333332</v>
      </c>
      <c r="U20" s="320"/>
      <c r="V20" s="320"/>
      <c r="W20" s="321"/>
    </row>
    <row r="21" spans="1:23" x14ac:dyDescent="0.35">
      <c r="A21" s="305" t="s">
        <v>2334</v>
      </c>
      <c r="B21" s="305" t="s">
        <v>2312</v>
      </c>
      <c r="C21" s="305" t="s">
        <v>2313</v>
      </c>
      <c r="D21" s="306">
        <v>89</v>
      </c>
      <c r="E21" s="306">
        <v>80</v>
      </c>
      <c r="F21" s="306">
        <v>64</v>
      </c>
      <c r="G21" s="306">
        <v>95</v>
      </c>
      <c r="H21" s="307">
        <v>20</v>
      </c>
      <c r="I21" s="307">
        <v>17</v>
      </c>
      <c r="J21" s="308">
        <v>22</v>
      </c>
      <c r="K21" s="308">
        <v>19</v>
      </c>
      <c r="L21" s="308">
        <v>25</v>
      </c>
      <c r="M21" s="308">
        <v>22</v>
      </c>
      <c r="N21" s="309">
        <f t="shared" si="0"/>
        <v>86.600000000000009</v>
      </c>
      <c r="O21" s="309" t="str">
        <f t="shared" si="1"/>
        <v>B</v>
      </c>
      <c r="S21" s="319" t="s">
        <v>2335</v>
      </c>
      <c r="T21" s="320" cm="1">
        <f t="array" ref="T21">MAX(_xlfn._xlws.FILTER(N9:N248,C9:C248=C21))</f>
        <v>96.65</v>
      </c>
      <c r="U21" s="320"/>
      <c r="V21" s="320" t="s">
        <v>2336</v>
      </c>
      <c r="W21" s="321" cm="1">
        <f t="array" ref="W21">MAX(_xlfn._xlws.FILTER(N9:N248,C9:C248=C19))</f>
        <v>96.45</v>
      </c>
    </row>
    <row r="22" spans="1:23" x14ac:dyDescent="0.35">
      <c r="A22" s="305" t="s">
        <v>2337</v>
      </c>
      <c r="B22" s="305" t="s">
        <v>2309</v>
      </c>
      <c r="C22" s="305" t="s">
        <v>2310</v>
      </c>
      <c r="D22" s="306">
        <v>82</v>
      </c>
      <c r="E22" s="306">
        <v>73</v>
      </c>
      <c r="F22" s="306">
        <v>79</v>
      </c>
      <c r="G22" s="306">
        <v>97</v>
      </c>
      <c r="H22" s="307">
        <v>21</v>
      </c>
      <c r="I22" s="307">
        <v>20</v>
      </c>
      <c r="J22" s="308">
        <v>23</v>
      </c>
      <c r="K22" s="308">
        <v>24</v>
      </c>
      <c r="L22" s="308">
        <v>22</v>
      </c>
      <c r="M22" s="308">
        <v>23</v>
      </c>
      <c r="N22" s="309">
        <f t="shared" si="0"/>
        <v>86.5</v>
      </c>
      <c r="O22" s="309" t="str">
        <f t="shared" si="1"/>
        <v>B</v>
      </c>
      <c r="S22" s="319" t="s">
        <v>2338</v>
      </c>
      <c r="T22" s="320">
        <f>COUNTIFS(C9:C248,C22,B9:B248,B24)/COUNTIF(C9:C248,C22)</f>
        <v>0.35294117647058826</v>
      </c>
      <c r="U22" s="320"/>
      <c r="V22" s="320">
        <f>COUNTIFS(C9:C248,C20,B9:B248,B21,O9:O248,O234)/COUNTIFS(B9:B248,B21,O9:O248,O234)</f>
        <v>0.5</v>
      </c>
      <c r="W22" s="321"/>
    </row>
    <row r="23" spans="1:23" x14ac:dyDescent="0.35">
      <c r="A23" s="305" t="s">
        <v>2339</v>
      </c>
      <c r="B23" s="305" t="s">
        <v>2316</v>
      </c>
      <c r="C23" s="305" t="s">
        <v>2313</v>
      </c>
      <c r="D23" s="306">
        <v>98</v>
      </c>
      <c r="E23" s="306">
        <v>81</v>
      </c>
      <c r="F23" s="306">
        <v>79</v>
      </c>
      <c r="G23" s="306">
        <v>98</v>
      </c>
      <c r="H23" s="307">
        <v>25</v>
      </c>
      <c r="I23" s="307">
        <v>15</v>
      </c>
      <c r="J23" s="308">
        <v>23</v>
      </c>
      <c r="K23" s="308">
        <v>18</v>
      </c>
      <c r="L23" s="308">
        <v>22</v>
      </c>
      <c r="M23" s="308">
        <v>21</v>
      </c>
      <c r="N23" s="309">
        <f t="shared" si="0"/>
        <v>89.85</v>
      </c>
      <c r="O23" s="309" t="str">
        <f t="shared" si="1"/>
        <v>B</v>
      </c>
      <c r="S23" s="319" t="s">
        <v>2340</v>
      </c>
      <c r="T23" s="320">
        <f>AVERAGEIFS(N9:N248,C9:C248,C24,B9:B248,B23,O9:O248,O26)</f>
        <v>79.983333333333334</v>
      </c>
      <c r="U23" s="320"/>
      <c r="V23" s="320">
        <f>AVERAGEIFS(N9:N248,C9:C248,C23,B9:B248,B22,O9:O248,O26)</f>
        <v>80.825000000000003</v>
      </c>
      <c r="W23" s="321"/>
    </row>
    <row r="24" spans="1:23" ht="16" thickBot="1" x14ac:dyDescent="0.4">
      <c r="A24" s="305" t="s">
        <v>2341</v>
      </c>
      <c r="B24" s="305" t="s">
        <v>2316</v>
      </c>
      <c r="C24" s="305" t="s">
        <v>2310</v>
      </c>
      <c r="D24" s="306">
        <v>99</v>
      </c>
      <c r="E24" s="306">
        <v>89</v>
      </c>
      <c r="F24" s="306">
        <v>99</v>
      </c>
      <c r="G24" s="306">
        <v>82</v>
      </c>
      <c r="H24" s="307">
        <v>24</v>
      </c>
      <c r="I24" s="307">
        <v>20</v>
      </c>
      <c r="J24" s="308">
        <v>25</v>
      </c>
      <c r="K24" s="308">
        <v>25</v>
      </c>
      <c r="L24" s="308">
        <v>23</v>
      </c>
      <c r="M24" s="308">
        <v>22</v>
      </c>
      <c r="N24" s="309">
        <f t="shared" si="0"/>
        <v>94.8</v>
      </c>
      <c r="O24" s="309" t="str">
        <f t="shared" si="1"/>
        <v>A</v>
      </c>
      <c r="S24" s="322" t="s">
        <v>2342</v>
      </c>
      <c r="T24" s="323">
        <f>COUNTIFS(C9:C248,C24,B9:B248,B24,O9:O248,O26,D9:D248,"&gt;=80")</f>
        <v>4</v>
      </c>
      <c r="U24" s="323"/>
      <c r="V24" s="323">
        <f>COUNTIFS(C9:C248,C24,B9:B248,B24,O9:O248,O26,D9:D248,"&gt;=80")</f>
        <v>4</v>
      </c>
      <c r="W24" s="324"/>
    </row>
    <row r="25" spans="1:23" x14ac:dyDescent="0.35">
      <c r="A25" s="305" t="s">
        <v>2343</v>
      </c>
      <c r="B25" s="305" t="s">
        <v>2316</v>
      </c>
      <c r="C25" s="305" t="s">
        <v>2310</v>
      </c>
      <c r="D25" s="306">
        <v>81</v>
      </c>
      <c r="E25" s="306">
        <v>88</v>
      </c>
      <c r="F25" s="306">
        <v>92</v>
      </c>
      <c r="G25" s="306">
        <v>89</v>
      </c>
      <c r="H25" s="307">
        <v>21</v>
      </c>
      <c r="I25" s="307">
        <v>20</v>
      </c>
      <c r="J25" s="308">
        <v>23</v>
      </c>
      <c r="K25" s="308">
        <v>21</v>
      </c>
      <c r="L25" s="308">
        <v>22</v>
      </c>
      <c r="M25" s="308">
        <v>25</v>
      </c>
      <c r="N25" s="309">
        <f t="shared" si="0"/>
        <v>89.100000000000009</v>
      </c>
      <c r="O25" s="309" t="str">
        <f t="shared" si="1"/>
        <v>B</v>
      </c>
    </row>
    <row r="26" spans="1:23" x14ac:dyDescent="0.35">
      <c r="A26" s="305" t="s">
        <v>2344</v>
      </c>
      <c r="B26" s="305" t="s">
        <v>2316</v>
      </c>
      <c r="C26" s="305" t="s">
        <v>2310</v>
      </c>
      <c r="D26" s="306">
        <v>85</v>
      </c>
      <c r="E26" s="306">
        <v>84</v>
      </c>
      <c r="F26" s="306">
        <v>66</v>
      </c>
      <c r="G26" s="306">
        <v>66</v>
      </c>
      <c r="H26" s="307">
        <v>23</v>
      </c>
      <c r="I26" s="307">
        <v>22</v>
      </c>
      <c r="J26" s="308">
        <v>22</v>
      </c>
      <c r="K26" s="308">
        <v>21</v>
      </c>
      <c r="L26" s="308">
        <v>23</v>
      </c>
      <c r="M26" s="308">
        <v>24</v>
      </c>
      <c r="N26" s="309">
        <f t="shared" si="0"/>
        <v>81.25</v>
      </c>
      <c r="O26" s="309" t="str">
        <f t="shared" si="1"/>
        <v>C</v>
      </c>
    </row>
    <row r="27" spans="1:23" x14ac:dyDescent="0.35">
      <c r="A27" s="305" t="s">
        <v>2345</v>
      </c>
      <c r="B27" s="305" t="s">
        <v>2316</v>
      </c>
      <c r="C27" s="305" t="s">
        <v>2310</v>
      </c>
      <c r="D27" s="306">
        <v>83</v>
      </c>
      <c r="E27" s="306">
        <v>68</v>
      </c>
      <c r="F27" s="306">
        <v>83</v>
      </c>
      <c r="G27" s="306">
        <v>67</v>
      </c>
      <c r="H27" s="307">
        <v>21</v>
      </c>
      <c r="I27" s="307">
        <v>20</v>
      </c>
      <c r="J27" s="308">
        <v>25</v>
      </c>
      <c r="K27" s="308">
        <v>22</v>
      </c>
      <c r="L27" s="308">
        <v>24</v>
      </c>
      <c r="M27" s="308">
        <v>22</v>
      </c>
      <c r="N27" s="309">
        <f t="shared" si="0"/>
        <v>80.650000000000006</v>
      </c>
      <c r="O27" s="309" t="str">
        <f t="shared" si="1"/>
        <v>C</v>
      </c>
    </row>
    <row r="28" spans="1:23" x14ac:dyDescent="0.35">
      <c r="A28" s="305" t="s">
        <v>2346</v>
      </c>
      <c r="B28" s="305" t="s">
        <v>2309</v>
      </c>
      <c r="C28" s="305" t="s">
        <v>2310</v>
      </c>
      <c r="D28" s="306">
        <v>62</v>
      </c>
      <c r="E28" s="306">
        <v>95</v>
      </c>
      <c r="F28" s="306">
        <v>83</v>
      </c>
      <c r="G28" s="306">
        <v>65</v>
      </c>
      <c r="H28" s="307">
        <v>20</v>
      </c>
      <c r="I28" s="307">
        <v>23</v>
      </c>
      <c r="J28" s="308">
        <v>22</v>
      </c>
      <c r="K28" s="308">
        <v>22</v>
      </c>
      <c r="L28" s="308">
        <v>22</v>
      </c>
      <c r="M28" s="308">
        <v>20</v>
      </c>
      <c r="N28" s="309">
        <f t="shared" si="0"/>
        <v>82.250000000000014</v>
      </c>
      <c r="O28" s="309" t="str">
        <f t="shared" si="1"/>
        <v>C</v>
      </c>
    </row>
    <row r="29" spans="1:23" x14ac:dyDescent="0.35">
      <c r="A29" s="305" t="s">
        <v>1900</v>
      </c>
      <c r="B29" s="305" t="s">
        <v>2309</v>
      </c>
      <c r="C29" s="305" t="s">
        <v>2313</v>
      </c>
      <c r="D29" s="306">
        <v>66</v>
      </c>
      <c r="E29" s="306">
        <v>90</v>
      </c>
      <c r="F29" s="306">
        <v>81</v>
      </c>
      <c r="G29" s="306">
        <v>60</v>
      </c>
      <c r="H29" s="307">
        <v>20</v>
      </c>
      <c r="I29" s="307">
        <v>25</v>
      </c>
      <c r="J29" s="308">
        <v>22</v>
      </c>
      <c r="K29" s="308">
        <v>23</v>
      </c>
      <c r="L29" s="308">
        <v>24</v>
      </c>
      <c r="M29" s="308">
        <v>25</v>
      </c>
      <c r="N29" s="309">
        <f t="shared" si="0"/>
        <v>82.35</v>
      </c>
      <c r="O29" s="309" t="str">
        <f t="shared" si="1"/>
        <v>C</v>
      </c>
    </row>
    <row r="30" spans="1:23" x14ac:dyDescent="0.35">
      <c r="A30" s="305" t="s">
        <v>2347</v>
      </c>
      <c r="B30" s="305" t="s">
        <v>2312</v>
      </c>
      <c r="C30" s="305" t="s">
        <v>2310</v>
      </c>
      <c r="D30" s="306">
        <v>60</v>
      </c>
      <c r="E30" s="306">
        <v>86</v>
      </c>
      <c r="F30" s="306">
        <v>98</v>
      </c>
      <c r="G30" s="306">
        <v>65</v>
      </c>
      <c r="H30" s="307">
        <v>25</v>
      </c>
      <c r="I30" s="307">
        <v>23</v>
      </c>
      <c r="J30" s="308">
        <v>23</v>
      </c>
      <c r="K30" s="308">
        <v>24</v>
      </c>
      <c r="L30" s="308">
        <v>25</v>
      </c>
      <c r="M30" s="308">
        <v>18</v>
      </c>
      <c r="N30" s="309">
        <f t="shared" si="0"/>
        <v>85.35</v>
      </c>
      <c r="O30" s="309" t="str">
        <f t="shared" si="1"/>
        <v>B</v>
      </c>
    </row>
    <row r="31" spans="1:23" x14ac:dyDescent="0.35">
      <c r="A31" s="305" t="s">
        <v>2348</v>
      </c>
      <c r="B31" s="305" t="s">
        <v>2316</v>
      </c>
      <c r="C31" s="305" t="s">
        <v>2310</v>
      </c>
      <c r="D31" s="306">
        <v>62</v>
      </c>
      <c r="E31" s="306">
        <v>83</v>
      </c>
      <c r="F31" s="306">
        <v>64</v>
      </c>
      <c r="G31" s="306">
        <v>68</v>
      </c>
      <c r="H31" s="307">
        <v>25</v>
      </c>
      <c r="I31" s="307">
        <v>17</v>
      </c>
      <c r="J31" s="308">
        <v>23</v>
      </c>
      <c r="K31" s="308">
        <v>18</v>
      </c>
      <c r="L31" s="308">
        <v>25</v>
      </c>
      <c r="M31" s="308">
        <v>18</v>
      </c>
      <c r="N31" s="309">
        <f t="shared" si="0"/>
        <v>74.75</v>
      </c>
      <c r="O31" s="309" t="str">
        <f t="shared" si="1"/>
        <v>C</v>
      </c>
    </row>
    <row r="32" spans="1:23" x14ac:dyDescent="0.35">
      <c r="A32" s="305" t="s">
        <v>2349</v>
      </c>
      <c r="B32" s="305" t="s">
        <v>2309</v>
      </c>
      <c r="C32" s="305" t="s">
        <v>2310</v>
      </c>
      <c r="D32" s="306">
        <v>64</v>
      </c>
      <c r="E32" s="306">
        <v>98</v>
      </c>
      <c r="F32" s="306">
        <v>69</v>
      </c>
      <c r="G32" s="306">
        <v>69</v>
      </c>
      <c r="H32" s="307">
        <v>25</v>
      </c>
      <c r="I32" s="307">
        <v>16</v>
      </c>
      <c r="J32" s="308">
        <v>24</v>
      </c>
      <c r="K32" s="308">
        <v>20</v>
      </c>
      <c r="L32" s="308">
        <v>23</v>
      </c>
      <c r="M32" s="308">
        <v>20</v>
      </c>
      <c r="N32" s="309">
        <f t="shared" si="0"/>
        <v>80.25</v>
      </c>
      <c r="O32" s="309" t="str">
        <f t="shared" si="1"/>
        <v>C</v>
      </c>
    </row>
    <row r="33" spans="1:15" x14ac:dyDescent="0.35">
      <c r="A33" s="305" t="s">
        <v>1828</v>
      </c>
      <c r="B33" s="305" t="s">
        <v>2309</v>
      </c>
      <c r="C33" s="305" t="s">
        <v>2310</v>
      </c>
      <c r="D33" s="306">
        <v>60</v>
      </c>
      <c r="E33" s="306">
        <v>73</v>
      </c>
      <c r="F33" s="306">
        <v>96</v>
      </c>
      <c r="G33" s="306">
        <v>65</v>
      </c>
      <c r="H33" s="307">
        <v>22</v>
      </c>
      <c r="I33" s="307">
        <v>17</v>
      </c>
      <c r="J33" s="308">
        <v>25</v>
      </c>
      <c r="K33" s="308">
        <v>20</v>
      </c>
      <c r="L33" s="308">
        <v>24</v>
      </c>
      <c r="M33" s="308">
        <v>24</v>
      </c>
      <c r="N33" s="309">
        <f t="shared" si="0"/>
        <v>80.25</v>
      </c>
      <c r="O33" s="309" t="str">
        <f t="shared" si="1"/>
        <v>C</v>
      </c>
    </row>
    <row r="34" spans="1:15" x14ac:dyDescent="0.35">
      <c r="A34" s="305" t="s">
        <v>2350</v>
      </c>
      <c r="B34" s="305" t="s">
        <v>2312</v>
      </c>
      <c r="C34" s="305" t="s">
        <v>2310</v>
      </c>
      <c r="D34" s="306">
        <v>61</v>
      </c>
      <c r="E34" s="306">
        <v>100</v>
      </c>
      <c r="F34" s="306">
        <v>97</v>
      </c>
      <c r="G34" s="306">
        <v>69</v>
      </c>
      <c r="H34" s="307">
        <v>20</v>
      </c>
      <c r="I34" s="307">
        <v>15</v>
      </c>
      <c r="J34" s="308">
        <v>22</v>
      </c>
      <c r="K34" s="308">
        <v>23</v>
      </c>
      <c r="L34" s="308">
        <v>24</v>
      </c>
      <c r="M34" s="308">
        <v>18</v>
      </c>
      <c r="N34" s="309">
        <f t="shared" si="0"/>
        <v>86.55</v>
      </c>
      <c r="O34" s="309" t="str">
        <f t="shared" si="1"/>
        <v>B</v>
      </c>
    </row>
    <row r="35" spans="1:15" x14ac:dyDescent="0.35">
      <c r="A35" s="305" t="s">
        <v>2351</v>
      </c>
      <c r="B35" s="305" t="s">
        <v>2309</v>
      </c>
      <c r="C35" s="305" t="s">
        <v>2313</v>
      </c>
      <c r="D35" s="306">
        <v>70</v>
      </c>
      <c r="E35" s="306">
        <v>86</v>
      </c>
      <c r="F35" s="306">
        <v>74</v>
      </c>
      <c r="G35" s="306">
        <v>63</v>
      </c>
      <c r="H35" s="307">
        <v>25</v>
      </c>
      <c r="I35" s="307">
        <v>16</v>
      </c>
      <c r="J35" s="308">
        <v>24</v>
      </c>
      <c r="K35" s="308">
        <v>20</v>
      </c>
      <c r="L35" s="308">
        <v>23</v>
      </c>
      <c r="M35" s="308">
        <v>22</v>
      </c>
      <c r="N35" s="309">
        <f t="shared" si="0"/>
        <v>79.05</v>
      </c>
      <c r="O35" s="309" t="str">
        <f t="shared" si="1"/>
        <v>C</v>
      </c>
    </row>
    <row r="36" spans="1:15" x14ac:dyDescent="0.35">
      <c r="A36" s="305" t="s">
        <v>2352</v>
      </c>
      <c r="B36" s="305" t="s">
        <v>2309</v>
      </c>
      <c r="C36" s="305" t="s">
        <v>2313</v>
      </c>
      <c r="D36" s="306">
        <v>61</v>
      </c>
      <c r="E36" s="306">
        <v>85</v>
      </c>
      <c r="F36" s="306">
        <v>74</v>
      </c>
      <c r="G36" s="306">
        <v>67</v>
      </c>
      <c r="H36" s="307">
        <v>25</v>
      </c>
      <c r="I36" s="307">
        <v>20</v>
      </c>
      <c r="J36" s="308">
        <v>25</v>
      </c>
      <c r="K36" s="308">
        <v>24</v>
      </c>
      <c r="L36" s="308">
        <v>25</v>
      </c>
      <c r="M36" s="308">
        <v>20</v>
      </c>
      <c r="N36" s="309">
        <f t="shared" si="0"/>
        <v>79.599999999999994</v>
      </c>
      <c r="O36" s="309" t="str">
        <f t="shared" si="1"/>
        <v>C</v>
      </c>
    </row>
    <row r="37" spans="1:15" x14ac:dyDescent="0.35">
      <c r="A37" s="305" t="s">
        <v>2353</v>
      </c>
      <c r="B37" s="305" t="s">
        <v>2312</v>
      </c>
      <c r="C37" s="305" t="s">
        <v>2310</v>
      </c>
      <c r="D37" s="306">
        <v>63</v>
      </c>
      <c r="E37" s="306">
        <v>88</v>
      </c>
      <c r="F37" s="306">
        <v>86</v>
      </c>
      <c r="G37" s="306">
        <v>67</v>
      </c>
      <c r="H37" s="307">
        <v>21</v>
      </c>
      <c r="I37" s="307">
        <v>22</v>
      </c>
      <c r="J37" s="308">
        <v>25</v>
      </c>
      <c r="K37" s="308">
        <v>18</v>
      </c>
      <c r="L37" s="308">
        <v>23</v>
      </c>
      <c r="M37" s="308">
        <v>18</v>
      </c>
      <c r="N37" s="309">
        <f t="shared" si="0"/>
        <v>81.449999999999989</v>
      </c>
      <c r="O37" s="309" t="str">
        <f t="shared" si="1"/>
        <v>C</v>
      </c>
    </row>
    <row r="38" spans="1:15" x14ac:dyDescent="0.35">
      <c r="A38" s="305" t="s">
        <v>2354</v>
      </c>
      <c r="B38" s="305" t="s">
        <v>2316</v>
      </c>
      <c r="C38" s="305" t="s">
        <v>2310</v>
      </c>
      <c r="D38" s="306">
        <v>70</v>
      </c>
      <c r="E38" s="306">
        <v>70</v>
      </c>
      <c r="F38" s="306">
        <v>63</v>
      </c>
      <c r="G38" s="306">
        <v>60</v>
      </c>
      <c r="H38" s="307">
        <v>21</v>
      </c>
      <c r="I38" s="307">
        <v>15</v>
      </c>
      <c r="J38" s="308">
        <v>22</v>
      </c>
      <c r="K38" s="308">
        <v>21</v>
      </c>
      <c r="L38" s="308">
        <v>25</v>
      </c>
      <c r="M38" s="308">
        <v>19</v>
      </c>
      <c r="N38" s="309">
        <f t="shared" si="0"/>
        <v>71</v>
      </c>
      <c r="O38" s="309" t="str">
        <f t="shared" si="1"/>
        <v>D</v>
      </c>
    </row>
    <row r="39" spans="1:15" x14ac:dyDescent="0.35">
      <c r="A39" s="305" t="s">
        <v>2355</v>
      </c>
      <c r="B39" s="305" t="s">
        <v>2312</v>
      </c>
      <c r="C39" s="305" t="s">
        <v>2313</v>
      </c>
      <c r="D39" s="306">
        <v>62</v>
      </c>
      <c r="E39" s="306">
        <v>87</v>
      </c>
      <c r="F39" s="306">
        <v>92</v>
      </c>
      <c r="G39" s="306">
        <v>69</v>
      </c>
      <c r="H39" s="307">
        <v>23</v>
      </c>
      <c r="I39" s="307">
        <v>24</v>
      </c>
      <c r="J39" s="308">
        <v>22</v>
      </c>
      <c r="K39" s="308">
        <v>19</v>
      </c>
      <c r="L39" s="308">
        <v>23</v>
      </c>
      <c r="M39" s="308">
        <v>19</v>
      </c>
      <c r="N39" s="309">
        <f t="shared" si="0"/>
        <v>83.850000000000009</v>
      </c>
      <c r="O39" s="309" t="str">
        <f t="shared" si="1"/>
        <v>B</v>
      </c>
    </row>
    <row r="40" spans="1:15" x14ac:dyDescent="0.35">
      <c r="A40" s="305" t="s">
        <v>2356</v>
      </c>
      <c r="B40" s="305" t="s">
        <v>2309</v>
      </c>
      <c r="C40" s="305" t="s">
        <v>2313</v>
      </c>
      <c r="D40" s="306">
        <v>81</v>
      </c>
      <c r="E40" s="306">
        <v>74</v>
      </c>
      <c r="F40" s="306">
        <v>85</v>
      </c>
      <c r="G40" s="306">
        <v>95</v>
      </c>
      <c r="H40" s="307">
        <v>23</v>
      </c>
      <c r="I40" s="307">
        <v>20</v>
      </c>
      <c r="J40" s="308">
        <v>23</v>
      </c>
      <c r="K40" s="308">
        <v>19</v>
      </c>
      <c r="L40" s="308">
        <v>25</v>
      </c>
      <c r="M40" s="308">
        <v>24</v>
      </c>
      <c r="N40" s="309">
        <f t="shared" si="0"/>
        <v>87.5</v>
      </c>
      <c r="O40" s="309" t="str">
        <f t="shared" si="1"/>
        <v>B</v>
      </c>
    </row>
    <row r="41" spans="1:15" x14ac:dyDescent="0.35">
      <c r="A41" s="305" t="s">
        <v>2357</v>
      </c>
      <c r="B41" s="305" t="s">
        <v>2312</v>
      </c>
      <c r="C41" s="305" t="s">
        <v>2310</v>
      </c>
      <c r="D41" s="306">
        <v>86</v>
      </c>
      <c r="E41" s="306">
        <v>98</v>
      </c>
      <c r="F41" s="306">
        <v>97</v>
      </c>
      <c r="G41" s="306">
        <v>99</v>
      </c>
      <c r="H41" s="307">
        <v>24</v>
      </c>
      <c r="I41" s="307">
        <v>19</v>
      </c>
      <c r="J41" s="308">
        <v>23</v>
      </c>
      <c r="K41" s="308">
        <v>24</v>
      </c>
      <c r="L41" s="308">
        <v>25</v>
      </c>
      <c r="M41" s="308">
        <v>22</v>
      </c>
      <c r="N41" s="309">
        <f t="shared" si="0"/>
        <v>96.199999999999989</v>
      </c>
      <c r="O41" s="309" t="str">
        <f t="shared" si="1"/>
        <v>A</v>
      </c>
    </row>
    <row r="42" spans="1:15" x14ac:dyDescent="0.35">
      <c r="A42" s="305" t="s">
        <v>2358</v>
      </c>
      <c r="B42" s="305" t="s">
        <v>2316</v>
      </c>
      <c r="C42" s="305" t="s">
        <v>2313</v>
      </c>
      <c r="D42" s="306">
        <v>89</v>
      </c>
      <c r="E42" s="306">
        <v>97</v>
      </c>
      <c r="F42" s="306">
        <v>95</v>
      </c>
      <c r="G42" s="306">
        <v>83</v>
      </c>
      <c r="H42" s="307">
        <v>23</v>
      </c>
      <c r="I42" s="307">
        <v>19</v>
      </c>
      <c r="J42" s="308">
        <v>24</v>
      </c>
      <c r="K42" s="308">
        <v>25</v>
      </c>
      <c r="L42" s="308">
        <v>22</v>
      </c>
      <c r="M42" s="308">
        <v>23</v>
      </c>
      <c r="N42" s="309">
        <f t="shared" si="0"/>
        <v>92.75</v>
      </c>
      <c r="O42" s="309" t="str">
        <f t="shared" si="1"/>
        <v>A</v>
      </c>
    </row>
    <row r="43" spans="1:15" x14ac:dyDescent="0.35">
      <c r="A43" s="305" t="s">
        <v>2359</v>
      </c>
      <c r="B43" s="305" t="s">
        <v>2309</v>
      </c>
      <c r="C43" s="305" t="s">
        <v>2313</v>
      </c>
      <c r="D43" s="306">
        <v>81</v>
      </c>
      <c r="E43" s="306">
        <v>89</v>
      </c>
      <c r="F43" s="306">
        <v>80</v>
      </c>
      <c r="G43" s="306">
        <v>87</v>
      </c>
      <c r="H43" s="307">
        <v>21</v>
      </c>
      <c r="I43" s="307">
        <v>15</v>
      </c>
      <c r="J43" s="308">
        <v>23</v>
      </c>
      <c r="K43" s="308">
        <v>21</v>
      </c>
      <c r="L43" s="308">
        <v>25</v>
      </c>
      <c r="M43" s="308">
        <v>23</v>
      </c>
      <c r="N43" s="309">
        <f t="shared" si="0"/>
        <v>85.25</v>
      </c>
      <c r="O43" s="309" t="str">
        <f t="shared" si="1"/>
        <v>B</v>
      </c>
    </row>
    <row r="44" spans="1:15" x14ac:dyDescent="0.35">
      <c r="A44" s="305" t="s">
        <v>2360</v>
      </c>
      <c r="B44" s="305" t="s">
        <v>2316</v>
      </c>
      <c r="C44" s="305" t="s">
        <v>2310</v>
      </c>
      <c r="D44" s="306">
        <v>85</v>
      </c>
      <c r="E44" s="306">
        <v>89</v>
      </c>
      <c r="F44" s="306">
        <v>94</v>
      </c>
      <c r="G44" s="306">
        <v>92</v>
      </c>
      <c r="H44" s="307">
        <v>22</v>
      </c>
      <c r="I44" s="307">
        <v>21</v>
      </c>
      <c r="J44" s="308">
        <v>24</v>
      </c>
      <c r="K44" s="308">
        <v>24</v>
      </c>
      <c r="L44" s="308">
        <v>22</v>
      </c>
      <c r="M44" s="308">
        <v>20</v>
      </c>
      <c r="N44" s="309">
        <f t="shared" si="0"/>
        <v>90.85</v>
      </c>
      <c r="O44" s="309" t="str">
        <f t="shared" si="1"/>
        <v>A</v>
      </c>
    </row>
    <row r="45" spans="1:15" x14ac:dyDescent="0.35">
      <c r="A45" s="305" t="s">
        <v>1843</v>
      </c>
      <c r="B45" s="305" t="s">
        <v>2316</v>
      </c>
      <c r="C45" s="305" t="s">
        <v>2310</v>
      </c>
      <c r="D45" s="306">
        <v>81</v>
      </c>
      <c r="E45" s="306">
        <v>74</v>
      </c>
      <c r="F45" s="306">
        <v>97</v>
      </c>
      <c r="G45" s="306">
        <v>85</v>
      </c>
      <c r="H45" s="307">
        <v>22</v>
      </c>
      <c r="I45" s="307">
        <v>18</v>
      </c>
      <c r="J45" s="308">
        <v>24</v>
      </c>
      <c r="K45" s="308">
        <v>20</v>
      </c>
      <c r="L45" s="308">
        <v>22</v>
      </c>
      <c r="M45" s="308">
        <v>21</v>
      </c>
      <c r="N45" s="309">
        <f t="shared" si="0"/>
        <v>86.8</v>
      </c>
      <c r="O45" s="309" t="str">
        <f t="shared" si="1"/>
        <v>B</v>
      </c>
    </row>
    <row r="46" spans="1:15" x14ac:dyDescent="0.35">
      <c r="A46" s="305" t="s">
        <v>2361</v>
      </c>
      <c r="B46" s="305" t="s">
        <v>2309</v>
      </c>
      <c r="C46" s="305" t="s">
        <v>2313</v>
      </c>
      <c r="D46" s="306">
        <v>87</v>
      </c>
      <c r="E46" s="306">
        <v>78</v>
      </c>
      <c r="F46" s="306">
        <v>92</v>
      </c>
      <c r="G46" s="306">
        <v>91</v>
      </c>
      <c r="H46" s="307">
        <v>22</v>
      </c>
      <c r="I46" s="307">
        <v>24</v>
      </c>
      <c r="J46" s="308">
        <v>22</v>
      </c>
      <c r="K46" s="308">
        <v>22</v>
      </c>
      <c r="L46" s="308">
        <v>25</v>
      </c>
      <c r="M46" s="308">
        <v>19</v>
      </c>
      <c r="N46" s="309">
        <f t="shared" si="0"/>
        <v>89.9</v>
      </c>
      <c r="O46" s="309" t="str">
        <f t="shared" si="1"/>
        <v>B</v>
      </c>
    </row>
    <row r="47" spans="1:15" x14ac:dyDescent="0.35">
      <c r="A47" s="305" t="s">
        <v>2362</v>
      </c>
      <c r="B47" s="305" t="s">
        <v>2309</v>
      </c>
      <c r="C47" s="305" t="s">
        <v>2310</v>
      </c>
      <c r="D47" s="306">
        <v>88</v>
      </c>
      <c r="E47" s="306">
        <v>76</v>
      </c>
      <c r="F47" s="306">
        <v>90</v>
      </c>
      <c r="G47" s="306">
        <v>97</v>
      </c>
      <c r="H47" s="307">
        <v>24</v>
      </c>
      <c r="I47" s="307">
        <v>17</v>
      </c>
      <c r="J47" s="308">
        <v>22</v>
      </c>
      <c r="K47" s="308">
        <v>22</v>
      </c>
      <c r="L47" s="308">
        <v>25</v>
      </c>
      <c r="M47" s="308">
        <v>18</v>
      </c>
      <c r="N47" s="309">
        <f t="shared" si="0"/>
        <v>90</v>
      </c>
      <c r="O47" s="309" t="str">
        <f t="shared" si="1"/>
        <v>A</v>
      </c>
    </row>
    <row r="48" spans="1:15" x14ac:dyDescent="0.35">
      <c r="A48" s="305" t="s">
        <v>2363</v>
      </c>
      <c r="B48" s="305" t="s">
        <v>2316</v>
      </c>
      <c r="C48" s="305" t="s">
        <v>2310</v>
      </c>
      <c r="D48" s="306">
        <v>96</v>
      </c>
      <c r="E48" s="306">
        <v>98</v>
      </c>
      <c r="F48" s="306">
        <v>64</v>
      </c>
      <c r="G48" s="306">
        <v>95</v>
      </c>
      <c r="H48" s="307">
        <v>21</v>
      </c>
      <c r="I48" s="307">
        <v>17</v>
      </c>
      <c r="J48" s="308">
        <v>24</v>
      </c>
      <c r="K48" s="308">
        <v>19</v>
      </c>
      <c r="L48" s="308">
        <v>23</v>
      </c>
      <c r="M48" s="308">
        <v>22</v>
      </c>
      <c r="N48" s="309">
        <f t="shared" si="0"/>
        <v>93.05</v>
      </c>
      <c r="O48" s="309" t="str">
        <f t="shared" si="1"/>
        <v>A</v>
      </c>
    </row>
    <row r="49" spans="1:15" x14ac:dyDescent="0.35">
      <c r="A49" s="305" t="s">
        <v>2364</v>
      </c>
      <c r="B49" s="305" t="s">
        <v>2309</v>
      </c>
      <c r="C49" s="305" t="s">
        <v>2310</v>
      </c>
      <c r="D49" s="306">
        <v>82</v>
      </c>
      <c r="E49" s="306">
        <v>72</v>
      </c>
      <c r="F49" s="306">
        <v>62</v>
      </c>
      <c r="G49" s="306">
        <v>98</v>
      </c>
      <c r="H49" s="307">
        <v>22</v>
      </c>
      <c r="I49" s="307">
        <v>20</v>
      </c>
      <c r="J49" s="308">
        <v>25</v>
      </c>
      <c r="K49" s="308">
        <v>24</v>
      </c>
      <c r="L49" s="308">
        <v>23</v>
      </c>
      <c r="M49" s="308">
        <v>18</v>
      </c>
      <c r="N49" s="309">
        <f t="shared" si="0"/>
        <v>84.9</v>
      </c>
      <c r="O49" s="309" t="str">
        <f t="shared" si="1"/>
        <v>B</v>
      </c>
    </row>
    <row r="50" spans="1:15" x14ac:dyDescent="0.35">
      <c r="A50" s="305" t="s">
        <v>2365</v>
      </c>
      <c r="B50" s="305" t="s">
        <v>2316</v>
      </c>
      <c r="C50" s="305" t="s">
        <v>2310</v>
      </c>
      <c r="D50" s="306">
        <v>97</v>
      </c>
      <c r="E50" s="306">
        <v>70</v>
      </c>
      <c r="F50" s="306">
        <v>66</v>
      </c>
      <c r="G50" s="306">
        <v>91</v>
      </c>
      <c r="H50" s="307">
        <v>21</v>
      </c>
      <c r="I50" s="307">
        <v>25</v>
      </c>
      <c r="J50" s="308">
        <v>22</v>
      </c>
      <c r="K50" s="308">
        <v>20</v>
      </c>
      <c r="L50" s="308">
        <v>23</v>
      </c>
      <c r="M50" s="308">
        <v>23</v>
      </c>
      <c r="N50" s="309">
        <f t="shared" si="0"/>
        <v>86.9</v>
      </c>
      <c r="O50" s="309" t="str">
        <f t="shared" si="1"/>
        <v>B</v>
      </c>
    </row>
    <row r="51" spans="1:15" x14ac:dyDescent="0.35">
      <c r="A51" s="305" t="s">
        <v>2366</v>
      </c>
      <c r="B51" s="305" t="s">
        <v>2316</v>
      </c>
      <c r="C51" s="305" t="s">
        <v>2310</v>
      </c>
      <c r="D51" s="306">
        <v>80</v>
      </c>
      <c r="E51" s="306">
        <v>88</v>
      </c>
      <c r="F51" s="306">
        <v>76</v>
      </c>
      <c r="G51" s="306">
        <v>91</v>
      </c>
      <c r="H51" s="307">
        <v>23</v>
      </c>
      <c r="I51" s="307">
        <v>18</v>
      </c>
      <c r="J51" s="308">
        <v>25</v>
      </c>
      <c r="K51" s="308">
        <v>19</v>
      </c>
      <c r="L51" s="308">
        <v>24</v>
      </c>
      <c r="M51" s="308">
        <v>19</v>
      </c>
      <c r="N51" s="309">
        <f t="shared" si="0"/>
        <v>86</v>
      </c>
      <c r="O51" s="309" t="str">
        <f t="shared" si="1"/>
        <v>B</v>
      </c>
    </row>
    <row r="52" spans="1:15" x14ac:dyDescent="0.35">
      <c r="A52" s="305" t="s">
        <v>2367</v>
      </c>
      <c r="B52" s="305" t="s">
        <v>2312</v>
      </c>
      <c r="C52" s="305" t="s">
        <v>2310</v>
      </c>
      <c r="D52" s="306">
        <v>91</v>
      </c>
      <c r="E52" s="306">
        <v>100</v>
      </c>
      <c r="F52" s="306">
        <v>78</v>
      </c>
      <c r="G52" s="306">
        <v>91</v>
      </c>
      <c r="H52" s="307">
        <v>22</v>
      </c>
      <c r="I52" s="307">
        <v>19</v>
      </c>
      <c r="J52" s="308">
        <v>25</v>
      </c>
      <c r="K52" s="308">
        <v>22</v>
      </c>
      <c r="L52" s="308">
        <v>23</v>
      </c>
      <c r="M52" s="308">
        <v>18</v>
      </c>
      <c r="N52" s="309">
        <f t="shared" si="0"/>
        <v>91.9</v>
      </c>
      <c r="O52" s="309" t="str">
        <f t="shared" si="1"/>
        <v>A</v>
      </c>
    </row>
    <row r="53" spans="1:15" x14ac:dyDescent="0.35">
      <c r="A53" s="305" t="s">
        <v>2368</v>
      </c>
      <c r="B53" s="305" t="s">
        <v>2309</v>
      </c>
      <c r="C53" s="305" t="s">
        <v>2310</v>
      </c>
      <c r="D53" s="306">
        <v>87</v>
      </c>
      <c r="E53" s="306">
        <v>95</v>
      </c>
      <c r="F53" s="306">
        <v>88</v>
      </c>
      <c r="G53" s="306">
        <v>84</v>
      </c>
      <c r="H53" s="307">
        <v>20</v>
      </c>
      <c r="I53" s="307">
        <v>18</v>
      </c>
      <c r="J53" s="308">
        <v>23</v>
      </c>
      <c r="K53" s="308">
        <v>23</v>
      </c>
      <c r="L53" s="308">
        <v>22</v>
      </c>
      <c r="M53" s="308">
        <v>21</v>
      </c>
      <c r="N53" s="309">
        <f t="shared" si="0"/>
        <v>88.449999999999989</v>
      </c>
      <c r="O53" s="309" t="str">
        <f t="shared" si="1"/>
        <v>B</v>
      </c>
    </row>
    <row r="54" spans="1:15" x14ac:dyDescent="0.35">
      <c r="A54" s="305" t="s">
        <v>2369</v>
      </c>
      <c r="B54" s="305" t="s">
        <v>2312</v>
      </c>
      <c r="C54" s="305" t="s">
        <v>2310</v>
      </c>
      <c r="D54" s="306">
        <v>84</v>
      </c>
      <c r="E54" s="306">
        <v>73</v>
      </c>
      <c r="F54" s="306">
        <v>71</v>
      </c>
      <c r="G54" s="306">
        <v>83</v>
      </c>
      <c r="H54" s="307">
        <v>22</v>
      </c>
      <c r="I54" s="307">
        <v>21</v>
      </c>
      <c r="J54" s="308">
        <v>23</v>
      </c>
      <c r="K54" s="308">
        <v>19</v>
      </c>
      <c r="L54" s="308">
        <v>24</v>
      </c>
      <c r="M54" s="308">
        <v>19</v>
      </c>
      <c r="N54" s="309">
        <f t="shared" si="0"/>
        <v>81.349999999999994</v>
      </c>
      <c r="O54" s="309" t="str">
        <f t="shared" si="1"/>
        <v>C</v>
      </c>
    </row>
    <row r="55" spans="1:15" x14ac:dyDescent="0.35">
      <c r="A55" s="305" t="s">
        <v>2370</v>
      </c>
      <c r="B55" s="305" t="s">
        <v>2312</v>
      </c>
      <c r="C55" s="305" t="s">
        <v>2310</v>
      </c>
      <c r="D55" s="306">
        <v>90</v>
      </c>
      <c r="E55" s="306">
        <v>99</v>
      </c>
      <c r="F55" s="306">
        <v>92</v>
      </c>
      <c r="G55" s="306">
        <v>88</v>
      </c>
      <c r="H55" s="307">
        <v>24</v>
      </c>
      <c r="I55" s="307">
        <v>17</v>
      </c>
      <c r="J55" s="308">
        <v>22</v>
      </c>
      <c r="K55" s="308">
        <v>20</v>
      </c>
      <c r="L55" s="308">
        <v>22</v>
      </c>
      <c r="M55" s="308">
        <v>24</v>
      </c>
      <c r="N55" s="309">
        <f t="shared" si="0"/>
        <v>91.65</v>
      </c>
      <c r="O55" s="309" t="str">
        <f t="shared" si="1"/>
        <v>A</v>
      </c>
    </row>
    <row r="56" spans="1:15" x14ac:dyDescent="0.35">
      <c r="A56" s="305" t="s">
        <v>2371</v>
      </c>
      <c r="B56" s="305" t="s">
        <v>2309</v>
      </c>
      <c r="C56" s="305" t="s">
        <v>2313</v>
      </c>
      <c r="D56" s="306">
        <v>86</v>
      </c>
      <c r="E56" s="306">
        <v>91</v>
      </c>
      <c r="F56" s="306">
        <v>97</v>
      </c>
      <c r="G56" s="306">
        <v>99</v>
      </c>
      <c r="H56" s="307">
        <v>23</v>
      </c>
      <c r="I56" s="307">
        <v>25</v>
      </c>
      <c r="J56" s="308">
        <v>23</v>
      </c>
      <c r="K56" s="308">
        <v>20</v>
      </c>
      <c r="L56" s="308">
        <v>22</v>
      </c>
      <c r="M56" s="308">
        <v>21</v>
      </c>
      <c r="N56" s="309">
        <f t="shared" si="0"/>
        <v>94.25</v>
      </c>
      <c r="O56" s="309" t="str">
        <f t="shared" si="1"/>
        <v>A</v>
      </c>
    </row>
    <row r="57" spans="1:15" x14ac:dyDescent="0.35">
      <c r="A57" s="305" t="s">
        <v>2372</v>
      </c>
      <c r="B57" s="305" t="s">
        <v>2309</v>
      </c>
      <c r="C57" s="305" t="s">
        <v>2310</v>
      </c>
      <c r="D57" s="306">
        <v>81</v>
      </c>
      <c r="E57" s="306">
        <v>97</v>
      </c>
      <c r="F57" s="306">
        <v>79</v>
      </c>
      <c r="G57" s="306">
        <v>97</v>
      </c>
      <c r="H57" s="307">
        <v>23</v>
      </c>
      <c r="I57" s="307">
        <v>20</v>
      </c>
      <c r="J57" s="308">
        <v>22</v>
      </c>
      <c r="K57" s="308">
        <v>18</v>
      </c>
      <c r="L57" s="308">
        <v>24</v>
      </c>
      <c r="M57" s="308">
        <v>19</v>
      </c>
      <c r="N57" s="309">
        <f t="shared" si="0"/>
        <v>89.8</v>
      </c>
      <c r="O57" s="309" t="str">
        <f t="shared" si="1"/>
        <v>B</v>
      </c>
    </row>
    <row r="58" spans="1:15" x14ac:dyDescent="0.35">
      <c r="A58" s="305" t="s">
        <v>2373</v>
      </c>
      <c r="B58" s="305" t="s">
        <v>2316</v>
      </c>
      <c r="C58" s="305" t="s">
        <v>2313</v>
      </c>
      <c r="D58" s="306">
        <v>81</v>
      </c>
      <c r="E58" s="306">
        <v>89</v>
      </c>
      <c r="F58" s="306">
        <v>81</v>
      </c>
      <c r="G58" s="306">
        <v>86</v>
      </c>
      <c r="H58" s="307">
        <v>22</v>
      </c>
      <c r="I58" s="307">
        <v>24</v>
      </c>
      <c r="J58" s="308">
        <v>23</v>
      </c>
      <c r="K58" s="308">
        <v>24</v>
      </c>
      <c r="L58" s="308">
        <v>22</v>
      </c>
      <c r="M58" s="308">
        <v>21</v>
      </c>
      <c r="N58" s="309">
        <f t="shared" si="0"/>
        <v>86.699999999999989</v>
      </c>
      <c r="O58" s="309" t="str">
        <f t="shared" si="1"/>
        <v>B</v>
      </c>
    </row>
    <row r="59" spans="1:15" x14ac:dyDescent="0.35">
      <c r="A59" s="305" t="s">
        <v>2374</v>
      </c>
      <c r="B59" s="305" t="s">
        <v>2316</v>
      </c>
      <c r="C59" s="305" t="s">
        <v>2313</v>
      </c>
      <c r="D59" s="306">
        <v>97</v>
      </c>
      <c r="E59" s="306">
        <v>94</v>
      </c>
      <c r="F59" s="306">
        <v>61</v>
      </c>
      <c r="G59" s="306">
        <v>83</v>
      </c>
      <c r="H59" s="307">
        <v>25</v>
      </c>
      <c r="I59" s="307">
        <v>17</v>
      </c>
      <c r="J59" s="308">
        <v>22</v>
      </c>
      <c r="K59" s="308">
        <v>18</v>
      </c>
      <c r="L59" s="308">
        <v>23</v>
      </c>
      <c r="M59" s="308">
        <v>25</v>
      </c>
      <c r="N59" s="309">
        <f t="shared" si="0"/>
        <v>90.100000000000009</v>
      </c>
      <c r="O59" s="309" t="str">
        <f t="shared" si="1"/>
        <v>A</v>
      </c>
    </row>
    <row r="60" spans="1:15" x14ac:dyDescent="0.35">
      <c r="A60" s="305" t="s">
        <v>2375</v>
      </c>
      <c r="B60" s="305" t="s">
        <v>2316</v>
      </c>
      <c r="C60" s="305" t="s">
        <v>2310</v>
      </c>
      <c r="D60" s="306">
        <v>93</v>
      </c>
      <c r="E60" s="306">
        <v>80</v>
      </c>
      <c r="F60" s="306">
        <v>64</v>
      </c>
      <c r="G60" s="306">
        <v>95</v>
      </c>
      <c r="H60" s="307">
        <v>21</v>
      </c>
      <c r="I60" s="307">
        <v>24</v>
      </c>
      <c r="J60" s="308">
        <v>25</v>
      </c>
      <c r="K60" s="308">
        <v>21</v>
      </c>
      <c r="L60" s="308">
        <v>23</v>
      </c>
      <c r="M60" s="308">
        <v>23</v>
      </c>
      <c r="N60" s="309">
        <f t="shared" si="0"/>
        <v>89.8</v>
      </c>
      <c r="O60" s="309" t="str">
        <f t="shared" si="1"/>
        <v>B</v>
      </c>
    </row>
    <row r="61" spans="1:15" x14ac:dyDescent="0.35">
      <c r="A61" s="305" t="s">
        <v>2376</v>
      </c>
      <c r="B61" s="305" t="s">
        <v>2316</v>
      </c>
      <c r="C61" s="305" t="s">
        <v>2310</v>
      </c>
      <c r="D61" s="306">
        <v>87</v>
      </c>
      <c r="E61" s="306">
        <v>79</v>
      </c>
      <c r="F61" s="306">
        <v>95</v>
      </c>
      <c r="G61" s="306">
        <v>83</v>
      </c>
      <c r="H61" s="307">
        <v>25</v>
      </c>
      <c r="I61" s="307">
        <v>20</v>
      </c>
      <c r="J61" s="308">
        <v>23</v>
      </c>
      <c r="K61" s="308">
        <v>19</v>
      </c>
      <c r="L61" s="308">
        <v>25</v>
      </c>
      <c r="M61" s="308">
        <v>20</v>
      </c>
      <c r="N61" s="309">
        <f t="shared" si="0"/>
        <v>88.3</v>
      </c>
      <c r="O61" s="309" t="str">
        <f t="shared" si="1"/>
        <v>B</v>
      </c>
    </row>
    <row r="62" spans="1:15" x14ac:dyDescent="0.35">
      <c r="A62" s="305" t="s">
        <v>2377</v>
      </c>
      <c r="B62" s="305" t="s">
        <v>2309</v>
      </c>
      <c r="C62" s="305" t="s">
        <v>2310</v>
      </c>
      <c r="D62" s="306">
        <v>82</v>
      </c>
      <c r="E62" s="306">
        <v>85</v>
      </c>
      <c r="F62" s="306">
        <v>93</v>
      </c>
      <c r="G62" s="306">
        <v>82</v>
      </c>
      <c r="H62" s="307">
        <v>21</v>
      </c>
      <c r="I62" s="307">
        <v>21</v>
      </c>
      <c r="J62" s="308">
        <v>23</v>
      </c>
      <c r="K62" s="308">
        <v>21</v>
      </c>
      <c r="L62" s="308">
        <v>25</v>
      </c>
      <c r="M62" s="308">
        <v>18</v>
      </c>
      <c r="N62" s="309">
        <f t="shared" si="0"/>
        <v>86.45</v>
      </c>
      <c r="O62" s="309" t="str">
        <f t="shared" si="1"/>
        <v>B</v>
      </c>
    </row>
    <row r="63" spans="1:15" x14ac:dyDescent="0.35">
      <c r="A63" s="305" t="s">
        <v>1872</v>
      </c>
      <c r="B63" s="305" t="s">
        <v>2312</v>
      </c>
      <c r="C63" s="305" t="s">
        <v>2310</v>
      </c>
      <c r="D63" s="306">
        <v>97</v>
      </c>
      <c r="E63" s="306">
        <v>73</v>
      </c>
      <c r="F63" s="306">
        <v>96</v>
      </c>
      <c r="G63" s="306">
        <v>95</v>
      </c>
      <c r="H63" s="307">
        <v>21</v>
      </c>
      <c r="I63" s="307">
        <v>21</v>
      </c>
      <c r="J63" s="308">
        <v>24</v>
      </c>
      <c r="K63" s="308">
        <v>19</v>
      </c>
      <c r="L63" s="308">
        <v>23</v>
      </c>
      <c r="M63" s="308">
        <v>23</v>
      </c>
      <c r="N63" s="309">
        <f t="shared" si="0"/>
        <v>93.75</v>
      </c>
      <c r="O63" s="309" t="str">
        <f t="shared" si="1"/>
        <v>A</v>
      </c>
    </row>
    <row r="64" spans="1:15" x14ac:dyDescent="0.35">
      <c r="A64" s="305" t="s">
        <v>2378</v>
      </c>
      <c r="B64" s="305" t="s">
        <v>2312</v>
      </c>
      <c r="C64" s="305" t="s">
        <v>2310</v>
      </c>
      <c r="D64" s="306">
        <v>90</v>
      </c>
      <c r="E64" s="306">
        <v>82</v>
      </c>
      <c r="F64" s="306">
        <v>100</v>
      </c>
      <c r="G64" s="306">
        <v>97</v>
      </c>
      <c r="H64" s="307">
        <v>22</v>
      </c>
      <c r="I64" s="307">
        <v>25</v>
      </c>
      <c r="J64" s="308">
        <v>22</v>
      </c>
      <c r="K64" s="308">
        <v>24</v>
      </c>
      <c r="L64" s="308">
        <v>22</v>
      </c>
      <c r="M64" s="308">
        <v>19</v>
      </c>
      <c r="N64" s="309">
        <f t="shared" si="0"/>
        <v>94.2</v>
      </c>
      <c r="O64" s="309" t="str">
        <f t="shared" si="1"/>
        <v>A</v>
      </c>
    </row>
    <row r="65" spans="1:15" x14ac:dyDescent="0.35">
      <c r="A65" s="305" t="s">
        <v>2379</v>
      </c>
      <c r="B65" s="305" t="s">
        <v>2312</v>
      </c>
      <c r="C65" s="305" t="s">
        <v>2313</v>
      </c>
      <c r="D65" s="306">
        <v>93</v>
      </c>
      <c r="E65" s="306">
        <v>91</v>
      </c>
      <c r="F65" s="306">
        <v>99</v>
      </c>
      <c r="G65" s="306">
        <v>83</v>
      </c>
      <c r="H65" s="307">
        <v>21</v>
      </c>
      <c r="I65" s="307">
        <v>25</v>
      </c>
      <c r="J65" s="308">
        <v>25</v>
      </c>
      <c r="K65" s="308">
        <v>22</v>
      </c>
      <c r="L65" s="308">
        <v>22</v>
      </c>
      <c r="M65" s="308">
        <v>23</v>
      </c>
      <c r="N65" s="309">
        <f t="shared" si="0"/>
        <v>93.75</v>
      </c>
      <c r="O65" s="309" t="str">
        <f t="shared" si="1"/>
        <v>A</v>
      </c>
    </row>
    <row r="66" spans="1:15" x14ac:dyDescent="0.35">
      <c r="A66" s="305" t="s">
        <v>2380</v>
      </c>
      <c r="B66" s="305" t="s">
        <v>2309</v>
      </c>
      <c r="C66" s="305" t="s">
        <v>2313</v>
      </c>
      <c r="D66" s="306">
        <v>92</v>
      </c>
      <c r="E66" s="306">
        <v>89</v>
      </c>
      <c r="F66" s="306">
        <v>96</v>
      </c>
      <c r="G66" s="306">
        <v>85</v>
      </c>
      <c r="H66" s="307">
        <v>23</v>
      </c>
      <c r="I66" s="307">
        <v>17</v>
      </c>
      <c r="J66" s="308">
        <v>24</v>
      </c>
      <c r="K66" s="308">
        <v>18</v>
      </c>
      <c r="L66" s="308">
        <v>25</v>
      </c>
      <c r="M66" s="308">
        <v>22</v>
      </c>
      <c r="N66" s="309">
        <f t="shared" si="0"/>
        <v>90.6</v>
      </c>
      <c r="O66" s="309" t="str">
        <f t="shared" si="1"/>
        <v>A</v>
      </c>
    </row>
    <row r="67" spans="1:15" x14ac:dyDescent="0.35">
      <c r="A67" s="305" t="s">
        <v>2381</v>
      </c>
      <c r="B67" s="305" t="s">
        <v>2309</v>
      </c>
      <c r="C67" s="305" t="s">
        <v>2310</v>
      </c>
      <c r="D67" s="306">
        <v>88</v>
      </c>
      <c r="E67" s="306">
        <v>84</v>
      </c>
      <c r="F67" s="306">
        <v>71</v>
      </c>
      <c r="G67" s="306">
        <v>89</v>
      </c>
      <c r="H67" s="307">
        <v>22</v>
      </c>
      <c r="I67" s="307">
        <v>19</v>
      </c>
      <c r="J67" s="308">
        <v>23</v>
      </c>
      <c r="K67" s="308">
        <v>18</v>
      </c>
      <c r="L67" s="308">
        <v>24</v>
      </c>
      <c r="M67" s="308">
        <v>25</v>
      </c>
      <c r="N67" s="309">
        <f t="shared" si="0"/>
        <v>86.95</v>
      </c>
      <c r="O67" s="309" t="str">
        <f t="shared" si="1"/>
        <v>B</v>
      </c>
    </row>
    <row r="68" spans="1:15" x14ac:dyDescent="0.35">
      <c r="A68" s="305" t="s">
        <v>2382</v>
      </c>
      <c r="B68" s="305" t="s">
        <v>2316</v>
      </c>
      <c r="C68" s="305" t="s">
        <v>2313</v>
      </c>
      <c r="D68" s="306">
        <v>98</v>
      </c>
      <c r="E68" s="306">
        <v>82</v>
      </c>
      <c r="F68" s="306">
        <v>68</v>
      </c>
      <c r="G68" s="306">
        <v>84</v>
      </c>
      <c r="H68" s="307">
        <v>21</v>
      </c>
      <c r="I68" s="307">
        <v>15</v>
      </c>
      <c r="J68" s="308">
        <v>25</v>
      </c>
      <c r="K68" s="308">
        <v>22</v>
      </c>
      <c r="L68" s="308">
        <v>24</v>
      </c>
      <c r="M68" s="308">
        <v>23</v>
      </c>
      <c r="N68" s="309">
        <f t="shared" si="0"/>
        <v>87.3</v>
      </c>
      <c r="O68" s="309" t="str">
        <f t="shared" si="1"/>
        <v>B</v>
      </c>
    </row>
    <row r="69" spans="1:15" x14ac:dyDescent="0.35">
      <c r="A69" s="305" t="s">
        <v>2383</v>
      </c>
      <c r="B69" s="305" t="s">
        <v>2312</v>
      </c>
      <c r="C69" s="305" t="s">
        <v>2313</v>
      </c>
      <c r="D69" s="306">
        <v>86</v>
      </c>
      <c r="E69" s="306">
        <v>98</v>
      </c>
      <c r="F69" s="306">
        <v>79</v>
      </c>
      <c r="G69" s="306">
        <v>97</v>
      </c>
      <c r="H69" s="307">
        <v>21</v>
      </c>
      <c r="I69" s="307">
        <v>21</v>
      </c>
      <c r="J69" s="308">
        <v>23</v>
      </c>
      <c r="K69" s="308">
        <v>22</v>
      </c>
      <c r="L69" s="308">
        <v>25</v>
      </c>
      <c r="M69" s="308">
        <v>18</v>
      </c>
      <c r="N69" s="309">
        <f t="shared" si="0"/>
        <v>91.850000000000009</v>
      </c>
      <c r="O69" s="309" t="str">
        <f t="shared" si="1"/>
        <v>A</v>
      </c>
    </row>
    <row r="70" spans="1:15" x14ac:dyDescent="0.35">
      <c r="A70" s="305" t="s">
        <v>2384</v>
      </c>
      <c r="B70" s="305" t="s">
        <v>2312</v>
      </c>
      <c r="C70" s="305" t="s">
        <v>2310</v>
      </c>
      <c r="D70" s="306">
        <v>92</v>
      </c>
      <c r="E70" s="306">
        <v>84</v>
      </c>
      <c r="F70" s="306">
        <v>100</v>
      </c>
      <c r="G70" s="306">
        <v>95</v>
      </c>
      <c r="H70" s="307">
        <v>21</v>
      </c>
      <c r="I70" s="307">
        <v>23</v>
      </c>
      <c r="J70" s="308">
        <v>23</v>
      </c>
      <c r="K70" s="308">
        <v>21</v>
      </c>
      <c r="L70" s="308">
        <v>24</v>
      </c>
      <c r="M70" s="308">
        <v>20</v>
      </c>
      <c r="N70" s="309">
        <f t="shared" si="0"/>
        <v>93.75</v>
      </c>
      <c r="O70" s="309" t="str">
        <f t="shared" si="1"/>
        <v>A</v>
      </c>
    </row>
    <row r="71" spans="1:15" x14ac:dyDescent="0.35">
      <c r="A71" s="305" t="s">
        <v>2385</v>
      </c>
      <c r="B71" s="305" t="s">
        <v>2316</v>
      </c>
      <c r="C71" s="305" t="s">
        <v>2313</v>
      </c>
      <c r="D71" s="306">
        <v>98</v>
      </c>
      <c r="E71" s="306">
        <v>90</v>
      </c>
      <c r="F71" s="306">
        <v>92</v>
      </c>
      <c r="G71" s="306">
        <v>89</v>
      </c>
      <c r="H71" s="307">
        <v>24</v>
      </c>
      <c r="I71" s="307">
        <v>23</v>
      </c>
      <c r="J71" s="308">
        <v>22</v>
      </c>
      <c r="K71" s="308">
        <v>18</v>
      </c>
      <c r="L71" s="308">
        <v>25</v>
      </c>
      <c r="M71" s="308">
        <v>21</v>
      </c>
      <c r="N71" s="309">
        <f t="shared" si="0"/>
        <v>92.299999999999983</v>
      </c>
      <c r="O71" s="309" t="str">
        <f t="shared" si="1"/>
        <v>A</v>
      </c>
    </row>
    <row r="72" spans="1:15" x14ac:dyDescent="0.35">
      <c r="A72" s="305" t="s">
        <v>2386</v>
      </c>
      <c r="B72" s="305" t="s">
        <v>2312</v>
      </c>
      <c r="C72" s="305" t="s">
        <v>2313</v>
      </c>
      <c r="D72" s="306">
        <v>100</v>
      </c>
      <c r="E72" s="306">
        <v>83</v>
      </c>
      <c r="F72" s="306">
        <v>74</v>
      </c>
      <c r="G72" s="306">
        <v>89</v>
      </c>
      <c r="H72" s="307">
        <v>21</v>
      </c>
      <c r="I72" s="307">
        <v>25</v>
      </c>
      <c r="J72" s="308">
        <v>25</v>
      </c>
      <c r="K72" s="308">
        <v>18</v>
      </c>
      <c r="L72" s="308">
        <v>22</v>
      </c>
      <c r="M72" s="308">
        <v>24</v>
      </c>
      <c r="N72" s="309">
        <f t="shared" si="0"/>
        <v>90.55</v>
      </c>
      <c r="O72" s="309" t="str">
        <f t="shared" si="1"/>
        <v>A</v>
      </c>
    </row>
    <row r="73" spans="1:15" x14ac:dyDescent="0.35">
      <c r="A73" s="305" t="s">
        <v>2387</v>
      </c>
      <c r="B73" s="305" t="s">
        <v>2309</v>
      </c>
      <c r="C73" s="305" t="s">
        <v>2310</v>
      </c>
      <c r="D73" s="306">
        <v>96</v>
      </c>
      <c r="E73" s="306">
        <v>85</v>
      </c>
      <c r="F73" s="306">
        <v>70</v>
      </c>
      <c r="G73" s="306">
        <v>94</v>
      </c>
      <c r="H73" s="307">
        <v>24</v>
      </c>
      <c r="I73" s="307">
        <v>24</v>
      </c>
      <c r="J73" s="308">
        <v>23</v>
      </c>
      <c r="K73" s="308">
        <v>25</v>
      </c>
      <c r="L73" s="308">
        <v>24</v>
      </c>
      <c r="M73" s="308">
        <v>24</v>
      </c>
      <c r="N73" s="309">
        <f t="shared" si="0"/>
        <v>92.75</v>
      </c>
      <c r="O73" s="309" t="str">
        <f t="shared" si="1"/>
        <v>A</v>
      </c>
    </row>
    <row r="74" spans="1:15" x14ac:dyDescent="0.35">
      <c r="A74" s="305" t="s">
        <v>2388</v>
      </c>
      <c r="B74" s="305" t="s">
        <v>2316</v>
      </c>
      <c r="C74" s="305" t="s">
        <v>2313</v>
      </c>
      <c r="D74" s="306">
        <v>84</v>
      </c>
      <c r="E74" s="306">
        <v>60</v>
      </c>
      <c r="F74" s="306">
        <v>61</v>
      </c>
      <c r="G74" s="306">
        <v>99</v>
      </c>
      <c r="H74" s="307">
        <v>24</v>
      </c>
      <c r="I74" s="307">
        <v>17</v>
      </c>
      <c r="J74" s="308">
        <v>22</v>
      </c>
      <c r="K74" s="308">
        <v>24</v>
      </c>
      <c r="L74" s="308">
        <v>23</v>
      </c>
      <c r="M74" s="308">
        <v>22</v>
      </c>
      <c r="N74" s="309">
        <f t="shared" si="0"/>
        <v>82.85</v>
      </c>
      <c r="O74" s="309" t="str">
        <f t="shared" si="1"/>
        <v>C</v>
      </c>
    </row>
    <row r="75" spans="1:15" x14ac:dyDescent="0.35">
      <c r="A75" s="305" t="s">
        <v>2389</v>
      </c>
      <c r="B75" s="305" t="s">
        <v>2312</v>
      </c>
      <c r="C75" s="305" t="s">
        <v>2310</v>
      </c>
      <c r="D75" s="306">
        <v>70</v>
      </c>
      <c r="E75" s="306">
        <v>65</v>
      </c>
      <c r="F75" s="306">
        <v>67</v>
      </c>
      <c r="G75" s="306">
        <v>97</v>
      </c>
      <c r="H75" s="307">
        <v>25</v>
      </c>
      <c r="I75" s="307">
        <v>24</v>
      </c>
      <c r="J75" s="308">
        <v>24</v>
      </c>
      <c r="K75" s="308">
        <v>19</v>
      </c>
      <c r="L75" s="308">
        <v>24</v>
      </c>
      <c r="M75" s="308">
        <v>20</v>
      </c>
      <c r="N75" s="309">
        <f t="shared" ref="N75:N138" si="2">SUM(AVERAGE(LARGE(D75:G75,1),LARGE(D75:G75,2),LARGE(D75:G75,3))/100*75,AVERAGE(H75:I75)/25*10,AVERAGE(J75:M75)/25*15)</f>
        <v>81.349999999999994</v>
      </c>
      <c r="O75" s="309" t="str">
        <f t="shared" ref="O75:O138" si="3">IF(N75&gt;=90,"A",IF(N75&gt;=83,"B",IF(N75&gt;=73,"C",IF(N75&gt;=65,"D","F"))))</f>
        <v>C</v>
      </c>
    </row>
    <row r="76" spans="1:15" x14ac:dyDescent="0.35">
      <c r="A76" s="305" t="s">
        <v>2390</v>
      </c>
      <c r="B76" s="305" t="s">
        <v>2309</v>
      </c>
      <c r="C76" s="305" t="s">
        <v>2313</v>
      </c>
      <c r="D76" s="306">
        <v>82</v>
      </c>
      <c r="E76" s="306">
        <v>62</v>
      </c>
      <c r="F76" s="306">
        <v>60</v>
      </c>
      <c r="G76" s="306">
        <v>92</v>
      </c>
      <c r="H76" s="307">
        <v>22</v>
      </c>
      <c r="I76" s="307">
        <v>25</v>
      </c>
      <c r="J76" s="308">
        <v>23</v>
      </c>
      <c r="K76" s="308">
        <v>23</v>
      </c>
      <c r="L76" s="308">
        <v>24</v>
      </c>
      <c r="M76" s="308">
        <v>19</v>
      </c>
      <c r="N76" s="309">
        <f t="shared" si="2"/>
        <v>81.75</v>
      </c>
      <c r="O76" s="309" t="str">
        <f t="shared" si="3"/>
        <v>C</v>
      </c>
    </row>
    <row r="77" spans="1:15" x14ac:dyDescent="0.35">
      <c r="A77" s="305" t="s">
        <v>2391</v>
      </c>
      <c r="B77" s="305" t="s">
        <v>2312</v>
      </c>
      <c r="C77" s="305" t="s">
        <v>2310</v>
      </c>
      <c r="D77" s="306">
        <v>76</v>
      </c>
      <c r="E77" s="306">
        <v>64</v>
      </c>
      <c r="F77" s="306">
        <v>62</v>
      </c>
      <c r="G77" s="306">
        <v>88</v>
      </c>
      <c r="H77" s="307">
        <v>20</v>
      </c>
      <c r="I77" s="307">
        <v>16</v>
      </c>
      <c r="J77" s="308">
        <v>24</v>
      </c>
      <c r="K77" s="308">
        <v>18</v>
      </c>
      <c r="L77" s="308">
        <v>23</v>
      </c>
      <c r="M77" s="308">
        <v>21</v>
      </c>
      <c r="N77" s="309">
        <f t="shared" si="2"/>
        <v>77.100000000000009</v>
      </c>
      <c r="O77" s="309" t="str">
        <f t="shared" si="3"/>
        <v>C</v>
      </c>
    </row>
    <row r="78" spans="1:15" x14ac:dyDescent="0.35">
      <c r="A78" s="305" t="s">
        <v>2392</v>
      </c>
      <c r="B78" s="305" t="s">
        <v>2309</v>
      </c>
      <c r="C78" s="305" t="s">
        <v>2310</v>
      </c>
      <c r="D78" s="306">
        <v>88</v>
      </c>
      <c r="E78" s="306">
        <v>67</v>
      </c>
      <c r="F78" s="306">
        <v>67</v>
      </c>
      <c r="G78" s="306">
        <v>86</v>
      </c>
      <c r="H78" s="307">
        <v>20</v>
      </c>
      <c r="I78" s="307">
        <v>19</v>
      </c>
      <c r="J78" s="308">
        <v>24</v>
      </c>
      <c r="K78" s="308">
        <v>23</v>
      </c>
      <c r="L78" s="308">
        <v>24</v>
      </c>
      <c r="M78" s="308">
        <v>25</v>
      </c>
      <c r="N78" s="309">
        <f t="shared" si="2"/>
        <v>82.449999999999989</v>
      </c>
      <c r="O78" s="309" t="str">
        <f t="shared" si="3"/>
        <v>C</v>
      </c>
    </row>
    <row r="79" spans="1:15" x14ac:dyDescent="0.35">
      <c r="A79" s="305" t="s">
        <v>1836</v>
      </c>
      <c r="B79" s="305" t="s">
        <v>2316</v>
      </c>
      <c r="C79" s="305" t="s">
        <v>2313</v>
      </c>
      <c r="D79" s="306">
        <v>70</v>
      </c>
      <c r="E79" s="306">
        <v>66</v>
      </c>
      <c r="F79" s="306">
        <v>60</v>
      </c>
      <c r="G79" s="306">
        <v>91</v>
      </c>
      <c r="H79" s="307">
        <v>20</v>
      </c>
      <c r="I79" s="307">
        <v>22</v>
      </c>
      <c r="J79" s="308">
        <v>25</v>
      </c>
      <c r="K79" s="308">
        <v>18</v>
      </c>
      <c r="L79" s="308">
        <v>22</v>
      </c>
      <c r="M79" s="308">
        <v>25</v>
      </c>
      <c r="N79" s="309">
        <f t="shared" si="2"/>
        <v>78.650000000000006</v>
      </c>
      <c r="O79" s="309" t="str">
        <f t="shared" si="3"/>
        <v>C</v>
      </c>
    </row>
    <row r="80" spans="1:15" x14ac:dyDescent="0.35">
      <c r="A80" s="305" t="s">
        <v>2393</v>
      </c>
      <c r="B80" s="305" t="s">
        <v>2312</v>
      </c>
      <c r="C80" s="305" t="s">
        <v>2313</v>
      </c>
      <c r="D80" s="306">
        <v>70</v>
      </c>
      <c r="E80" s="306">
        <v>61</v>
      </c>
      <c r="F80" s="306">
        <v>60</v>
      </c>
      <c r="G80" s="306">
        <v>99</v>
      </c>
      <c r="H80" s="307">
        <v>25</v>
      </c>
      <c r="I80" s="307">
        <v>24</v>
      </c>
      <c r="J80" s="308">
        <v>23</v>
      </c>
      <c r="K80" s="308">
        <v>23</v>
      </c>
      <c r="L80" s="308">
        <v>25</v>
      </c>
      <c r="M80" s="308">
        <v>21</v>
      </c>
      <c r="N80" s="309">
        <f t="shared" si="2"/>
        <v>81.100000000000009</v>
      </c>
      <c r="O80" s="309" t="str">
        <f t="shared" si="3"/>
        <v>C</v>
      </c>
    </row>
    <row r="81" spans="1:15" x14ac:dyDescent="0.35">
      <c r="A81" s="305" t="s">
        <v>2394</v>
      </c>
      <c r="B81" s="305" t="s">
        <v>2312</v>
      </c>
      <c r="C81" s="305" t="s">
        <v>2310</v>
      </c>
      <c r="D81" s="306">
        <v>72</v>
      </c>
      <c r="E81" s="306">
        <v>63</v>
      </c>
      <c r="F81" s="306">
        <v>65</v>
      </c>
      <c r="G81" s="306">
        <v>84</v>
      </c>
      <c r="H81" s="307">
        <v>21</v>
      </c>
      <c r="I81" s="307">
        <v>15</v>
      </c>
      <c r="J81" s="308">
        <v>25</v>
      </c>
      <c r="K81" s="308">
        <v>21</v>
      </c>
      <c r="L81" s="308">
        <v>25</v>
      </c>
      <c r="M81" s="308">
        <v>20</v>
      </c>
      <c r="N81" s="309">
        <f t="shared" si="2"/>
        <v>76.100000000000009</v>
      </c>
      <c r="O81" s="309" t="str">
        <f t="shared" si="3"/>
        <v>C</v>
      </c>
    </row>
    <row r="82" spans="1:15" x14ac:dyDescent="0.35">
      <c r="A82" s="305" t="s">
        <v>2395</v>
      </c>
      <c r="B82" s="305" t="s">
        <v>2316</v>
      </c>
      <c r="C82" s="305" t="s">
        <v>2313</v>
      </c>
      <c r="D82" s="306">
        <v>75</v>
      </c>
      <c r="E82" s="306">
        <v>66</v>
      </c>
      <c r="F82" s="306">
        <v>65</v>
      </c>
      <c r="G82" s="306">
        <v>92</v>
      </c>
      <c r="H82" s="307">
        <v>21</v>
      </c>
      <c r="I82" s="307">
        <v>21</v>
      </c>
      <c r="J82" s="308">
        <v>22</v>
      </c>
      <c r="K82" s="308">
        <v>25</v>
      </c>
      <c r="L82" s="308">
        <v>25</v>
      </c>
      <c r="M82" s="308">
        <v>23</v>
      </c>
      <c r="N82" s="309">
        <f t="shared" si="2"/>
        <v>80.900000000000006</v>
      </c>
      <c r="O82" s="309" t="str">
        <f t="shared" si="3"/>
        <v>C</v>
      </c>
    </row>
    <row r="83" spans="1:15" x14ac:dyDescent="0.35">
      <c r="A83" s="305" t="s">
        <v>2396</v>
      </c>
      <c r="B83" s="305" t="s">
        <v>2312</v>
      </c>
      <c r="C83" s="305" t="s">
        <v>2310</v>
      </c>
      <c r="D83" s="306">
        <v>82</v>
      </c>
      <c r="E83" s="306">
        <v>61</v>
      </c>
      <c r="F83" s="306">
        <v>61</v>
      </c>
      <c r="G83" s="306">
        <v>93</v>
      </c>
      <c r="H83" s="307">
        <v>23</v>
      </c>
      <c r="I83" s="307">
        <v>17</v>
      </c>
      <c r="J83" s="308">
        <v>25</v>
      </c>
      <c r="K83" s="308">
        <v>19</v>
      </c>
      <c r="L83" s="308">
        <v>25</v>
      </c>
      <c r="M83" s="308">
        <v>18</v>
      </c>
      <c r="N83" s="309">
        <f t="shared" si="2"/>
        <v>80.05</v>
      </c>
      <c r="O83" s="309" t="str">
        <f t="shared" si="3"/>
        <v>C</v>
      </c>
    </row>
    <row r="84" spans="1:15" x14ac:dyDescent="0.35">
      <c r="A84" s="305" t="s">
        <v>2397</v>
      </c>
      <c r="B84" s="305" t="s">
        <v>2316</v>
      </c>
      <c r="C84" s="305" t="s">
        <v>2310</v>
      </c>
      <c r="D84" s="306">
        <v>81</v>
      </c>
      <c r="E84" s="306">
        <v>61</v>
      </c>
      <c r="F84" s="306">
        <v>65</v>
      </c>
      <c r="G84" s="306">
        <v>81</v>
      </c>
      <c r="H84" s="307">
        <v>25</v>
      </c>
      <c r="I84" s="307">
        <v>19</v>
      </c>
      <c r="J84" s="308">
        <v>25</v>
      </c>
      <c r="K84" s="308">
        <v>18</v>
      </c>
      <c r="L84" s="308">
        <v>25</v>
      </c>
      <c r="M84" s="308">
        <v>19</v>
      </c>
      <c r="N84" s="309">
        <f t="shared" si="2"/>
        <v>78.599999999999994</v>
      </c>
      <c r="O84" s="309" t="str">
        <f t="shared" si="3"/>
        <v>C</v>
      </c>
    </row>
    <row r="85" spans="1:15" x14ac:dyDescent="0.35">
      <c r="A85" s="305" t="s">
        <v>2398</v>
      </c>
      <c r="B85" s="305" t="s">
        <v>2309</v>
      </c>
      <c r="C85" s="305" t="s">
        <v>2313</v>
      </c>
      <c r="D85" s="306">
        <v>90</v>
      </c>
      <c r="E85" s="306">
        <v>66</v>
      </c>
      <c r="F85" s="306">
        <v>60</v>
      </c>
      <c r="G85" s="306">
        <v>83</v>
      </c>
      <c r="H85" s="307">
        <v>22</v>
      </c>
      <c r="I85" s="307">
        <v>25</v>
      </c>
      <c r="J85" s="308">
        <v>23</v>
      </c>
      <c r="K85" s="308">
        <v>24</v>
      </c>
      <c r="L85" s="308">
        <v>22</v>
      </c>
      <c r="M85" s="308">
        <v>24</v>
      </c>
      <c r="N85" s="309">
        <f t="shared" si="2"/>
        <v>83.100000000000009</v>
      </c>
      <c r="O85" s="309" t="str">
        <f t="shared" si="3"/>
        <v>B</v>
      </c>
    </row>
    <row r="86" spans="1:15" x14ac:dyDescent="0.35">
      <c r="A86" s="305" t="s">
        <v>2399</v>
      </c>
      <c r="B86" s="305" t="s">
        <v>2309</v>
      </c>
      <c r="C86" s="305" t="s">
        <v>2313</v>
      </c>
      <c r="D86" s="306">
        <v>97</v>
      </c>
      <c r="E86" s="306">
        <v>62</v>
      </c>
      <c r="F86" s="306">
        <v>64</v>
      </c>
      <c r="G86" s="306">
        <v>85</v>
      </c>
      <c r="H86" s="307">
        <v>22</v>
      </c>
      <c r="I86" s="307">
        <v>23</v>
      </c>
      <c r="J86" s="308">
        <v>22</v>
      </c>
      <c r="K86" s="308">
        <v>19</v>
      </c>
      <c r="L86" s="308">
        <v>22</v>
      </c>
      <c r="M86" s="308">
        <v>20</v>
      </c>
      <c r="N86" s="309">
        <f t="shared" si="2"/>
        <v>82.95</v>
      </c>
      <c r="O86" s="309" t="str">
        <f t="shared" si="3"/>
        <v>C</v>
      </c>
    </row>
    <row r="87" spans="1:15" x14ac:dyDescent="0.35">
      <c r="A87" s="305" t="s">
        <v>2400</v>
      </c>
      <c r="B87" s="305" t="s">
        <v>2316</v>
      </c>
      <c r="C87" s="305" t="s">
        <v>2313</v>
      </c>
      <c r="D87" s="306">
        <v>91</v>
      </c>
      <c r="E87" s="306">
        <v>61</v>
      </c>
      <c r="F87" s="306">
        <v>92</v>
      </c>
      <c r="G87" s="306">
        <v>91</v>
      </c>
      <c r="H87" s="307">
        <v>21</v>
      </c>
      <c r="I87" s="307">
        <v>15</v>
      </c>
      <c r="J87" s="308">
        <v>25</v>
      </c>
      <c r="K87" s="308">
        <v>25</v>
      </c>
      <c r="L87" s="308">
        <v>25</v>
      </c>
      <c r="M87" s="308">
        <v>18</v>
      </c>
      <c r="N87" s="309">
        <f t="shared" si="2"/>
        <v>89.65</v>
      </c>
      <c r="O87" s="309" t="str">
        <f t="shared" si="3"/>
        <v>B</v>
      </c>
    </row>
    <row r="88" spans="1:15" x14ac:dyDescent="0.35">
      <c r="A88" s="305" t="s">
        <v>2401</v>
      </c>
      <c r="B88" s="305" t="s">
        <v>2312</v>
      </c>
      <c r="C88" s="305" t="s">
        <v>2313</v>
      </c>
      <c r="D88" s="306">
        <v>99</v>
      </c>
      <c r="E88" s="306">
        <v>83</v>
      </c>
      <c r="F88" s="306">
        <v>97</v>
      </c>
      <c r="G88" s="306">
        <v>86</v>
      </c>
      <c r="H88" s="307">
        <v>24</v>
      </c>
      <c r="I88" s="307">
        <v>24</v>
      </c>
      <c r="J88" s="308">
        <v>22</v>
      </c>
      <c r="K88" s="308">
        <v>21</v>
      </c>
      <c r="L88" s="308">
        <v>22</v>
      </c>
      <c r="M88" s="308">
        <v>19</v>
      </c>
      <c r="N88" s="309">
        <f t="shared" si="2"/>
        <v>92.699999999999989</v>
      </c>
      <c r="O88" s="309" t="str">
        <f t="shared" si="3"/>
        <v>A</v>
      </c>
    </row>
    <row r="89" spans="1:15" x14ac:dyDescent="0.35">
      <c r="A89" s="305" t="s">
        <v>2402</v>
      </c>
      <c r="B89" s="305" t="s">
        <v>2316</v>
      </c>
      <c r="C89" s="305" t="s">
        <v>2310</v>
      </c>
      <c r="D89" s="306">
        <v>91</v>
      </c>
      <c r="E89" s="306">
        <v>93</v>
      </c>
      <c r="F89" s="306">
        <v>96</v>
      </c>
      <c r="G89" s="306">
        <v>91</v>
      </c>
      <c r="H89" s="307">
        <v>21</v>
      </c>
      <c r="I89" s="307">
        <v>21</v>
      </c>
      <c r="J89" s="308">
        <v>24</v>
      </c>
      <c r="K89" s="308">
        <v>24</v>
      </c>
      <c r="L89" s="308">
        <v>23</v>
      </c>
      <c r="M89" s="308">
        <v>24</v>
      </c>
      <c r="N89" s="309">
        <f t="shared" si="2"/>
        <v>92.649999999999991</v>
      </c>
      <c r="O89" s="309" t="str">
        <f t="shared" si="3"/>
        <v>A</v>
      </c>
    </row>
    <row r="90" spans="1:15" x14ac:dyDescent="0.35">
      <c r="A90" s="305" t="s">
        <v>2403</v>
      </c>
      <c r="B90" s="305" t="s">
        <v>2309</v>
      </c>
      <c r="C90" s="305" t="s">
        <v>2313</v>
      </c>
      <c r="D90" s="306">
        <v>96</v>
      </c>
      <c r="E90" s="306">
        <v>70</v>
      </c>
      <c r="F90" s="306">
        <v>100</v>
      </c>
      <c r="G90" s="306">
        <v>89</v>
      </c>
      <c r="H90" s="307">
        <v>22</v>
      </c>
      <c r="I90" s="307">
        <v>20</v>
      </c>
      <c r="J90" s="308">
        <v>25</v>
      </c>
      <c r="K90" s="308">
        <v>25</v>
      </c>
      <c r="L90" s="308">
        <v>22</v>
      </c>
      <c r="M90" s="308">
        <v>24</v>
      </c>
      <c r="N90" s="309">
        <f t="shared" si="2"/>
        <v>94.050000000000011</v>
      </c>
      <c r="O90" s="309" t="str">
        <f t="shared" si="3"/>
        <v>A</v>
      </c>
    </row>
    <row r="91" spans="1:15" x14ac:dyDescent="0.35">
      <c r="A91" s="305" t="s">
        <v>2404</v>
      </c>
      <c r="B91" s="305" t="s">
        <v>2309</v>
      </c>
      <c r="C91" s="305" t="s">
        <v>2310</v>
      </c>
      <c r="D91" s="306">
        <v>88</v>
      </c>
      <c r="E91" s="306">
        <v>93</v>
      </c>
      <c r="F91" s="306">
        <v>77</v>
      </c>
      <c r="G91" s="306">
        <v>88</v>
      </c>
      <c r="H91" s="307">
        <v>22</v>
      </c>
      <c r="I91" s="307">
        <v>19</v>
      </c>
      <c r="J91" s="308">
        <v>25</v>
      </c>
      <c r="K91" s="308">
        <v>25</v>
      </c>
      <c r="L91" s="308">
        <v>25</v>
      </c>
      <c r="M91" s="308">
        <v>20</v>
      </c>
      <c r="N91" s="309">
        <f t="shared" si="2"/>
        <v>89.7</v>
      </c>
      <c r="O91" s="309" t="str">
        <f t="shared" si="3"/>
        <v>B</v>
      </c>
    </row>
    <row r="92" spans="1:15" x14ac:dyDescent="0.35">
      <c r="A92" s="305" t="s">
        <v>2405</v>
      </c>
      <c r="B92" s="305" t="s">
        <v>2309</v>
      </c>
      <c r="C92" s="305" t="s">
        <v>2313</v>
      </c>
      <c r="D92" s="306">
        <v>88</v>
      </c>
      <c r="E92" s="306">
        <v>83</v>
      </c>
      <c r="F92" s="306">
        <v>98</v>
      </c>
      <c r="G92" s="306">
        <v>87</v>
      </c>
      <c r="H92" s="307">
        <v>21</v>
      </c>
      <c r="I92" s="307">
        <v>15</v>
      </c>
      <c r="J92" s="308">
        <v>25</v>
      </c>
      <c r="K92" s="308">
        <v>18</v>
      </c>
      <c r="L92" s="308">
        <v>25</v>
      </c>
      <c r="M92" s="308">
        <v>23</v>
      </c>
      <c r="N92" s="309">
        <f t="shared" si="2"/>
        <v>89.100000000000009</v>
      </c>
      <c r="O92" s="309" t="str">
        <f t="shared" si="3"/>
        <v>B</v>
      </c>
    </row>
    <row r="93" spans="1:15" x14ac:dyDescent="0.35">
      <c r="A93" s="305" t="s">
        <v>2406</v>
      </c>
      <c r="B93" s="305" t="s">
        <v>2312</v>
      </c>
      <c r="C93" s="305" t="s">
        <v>2310</v>
      </c>
      <c r="D93" s="306">
        <v>87</v>
      </c>
      <c r="E93" s="306">
        <v>90</v>
      </c>
      <c r="F93" s="306">
        <v>66</v>
      </c>
      <c r="G93" s="306">
        <v>86</v>
      </c>
      <c r="H93" s="307">
        <v>24</v>
      </c>
      <c r="I93" s="307">
        <v>22</v>
      </c>
      <c r="J93" s="308">
        <v>25</v>
      </c>
      <c r="K93" s="308">
        <v>22</v>
      </c>
      <c r="L93" s="308">
        <v>22</v>
      </c>
      <c r="M93" s="308">
        <v>20</v>
      </c>
      <c r="N93" s="309">
        <f t="shared" si="2"/>
        <v>88.3</v>
      </c>
      <c r="O93" s="309" t="str">
        <f t="shared" si="3"/>
        <v>B</v>
      </c>
    </row>
    <row r="94" spans="1:15" x14ac:dyDescent="0.35">
      <c r="A94" s="305" t="s">
        <v>2407</v>
      </c>
      <c r="B94" s="305" t="s">
        <v>2312</v>
      </c>
      <c r="C94" s="305" t="s">
        <v>2310</v>
      </c>
      <c r="D94" s="306">
        <v>80</v>
      </c>
      <c r="E94" s="306">
        <v>71</v>
      </c>
      <c r="F94" s="306">
        <v>94</v>
      </c>
      <c r="G94" s="306">
        <v>86</v>
      </c>
      <c r="H94" s="307">
        <v>20</v>
      </c>
      <c r="I94" s="307">
        <v>20</v>
      </c>
      <c r="J94" s="308">
        <v>23</v>
      </c>
      <c r="K94" s="308">
        <v>18</v>
      </c>
      <c r="L94" s="308">
        <v>25</v>
      </c>
      <c r="M94" s="308">
        <v>25</v>
      </c>
      <c r="N94" s="309">
        <f t="shared" si="2"/>
        <v>86.65</v>
      </c>
      <c r="O94" s="309" t="str">
        <f t="shared" si="3"/>
        <v>B</v>
      </c>
    </row>
    <row r="95" spans="1:15" x14ac:dyDescent="0.35">
      <c r="A95" s="305" t="s">
        <v>2408</v>
      </c>
      <c r="B95" s="305" t="s">
        <v>2309</v>
      </c>
      <c r="C95" s="305" t="s">
        <v>2313</v>
      </c>
      <c r="D95" s="306">
        <v>96</v>
      </c>
      <c r="E95" s="306">
        <v>99</v>
      </c>
      <c r="F95" s="306">
        <v>69</v>
      </c>
      <c r="G95" s="306">
        <v>96</v>
      </c>
      <c r="H95" s="307">
        <v>20</v>
      </c>
      <c r="I95" s="307">
        <v>18</v>
      </c>
      <c r="J95" s="308">
        <v>22</v>
      </c>
      <c r="K95" s="308">
        <v>24</v>
      </c>
      <c r="L95" s="308">
        <v>22</v>
      </c>
      <c r="M95" s="308">
        <v>18</v>
      </c>
      <c r="N95" s="309">
        <f t="shared" si="2"/>
        <v>93.25</v>
      </c>
      <c r="O95" s="309" t="str">
        <f t="shared" si="3"/>
        <v>A</v>
      </c>
    </row>
    <row r="96" spans="1:15" x14ac:dyDescent="0.35">
      <c r="A96" s="305" t="s">
        <v>2409</v>
      </c>
      <c r="B96" s="305" t="s">
        <v>2316</v>
      </c>
      <c r="C96" s="305" t="s">
        <v>2310</v>
      </c>
      <c r="D96" s="306">
        <v>85</v>
      </c>
      <c r="E96" s="306">
        <v>99</v>
      </c>
      <c r="F96" s="306">
        <v>66</v>
      </c>
      <c r="G96" s="306">
        <v>96</v>
      </c>
      <c r="H96" s="307">
        <v>22</v>
      </c>
      <c r="I96" s="307">
        <v>18</v>
      </c>
      <c r="J96" s="308">
        <v>25</v>
      </c>
      <c r="K96" s="308">
        <v>25</v>
      </c>
      <c r="L96" s="308">
        <v>25</v>
      </c>
      <c r="M96" s="308">
        <v>22</v>
      </c>
      <c r="N96" s="309">
        <f t="shared" si="2"/>
        <v>92.549999999999983</v>
      </c>
      <c r="O96" s="309" t="str">
        <f t="shared" si="3"/>
        <v>A</v>
      </c>
    </row>
    <row r="97" spans="1:15" x14ac:dyDescent="0.35">
      <c r="A97" s="305" t="s">
        <v>2410</v>
      </c>
      <c r="B97" s="305" t="s">
        <v>2312</v>
      </c>
      <c r="C97" s="305" t="s">
        <v>2313</v>
      </c>
      <c r="D97" s="306">
        <v>89</v>
      </c>
      <c r="E97" s="306">
        <v>96</v>
      </c>
      <c r="F97" s="306">
        <v>91</v>
      </c>
      <c r="G97" s="306">
        <v>97</v>
      </c>
      <c r="H97" s="307">
        <v>21</v>
      </c>
      <c r="I97" s="307">
        <v>19</v>
      </c>
      <c r="J97" s="308">
        <v>25</v>
      </c>
      <c r="K97" s="308">
        <v>23</v>
      </c>
      <c r="L97" s="308">
        <v>24</v>
      </c>
      <c r="M97" s="308">
        <v>20</v>
      </c>
      <c r="N97" s="309">
        <f t="shared" si="2"/>
        <v>92.800000000000011</v>
      </c>
      <c r="O97" s="309" t="str">
        <f t="shared" si="3"/>
        <v>A</v>
      </c>
    </row>
    <row r="98" spans="1:15" x14ac:dyDescent="0.35">
      <c r="A98" s="305" t="s">
        <v>2411</v>
      </c>
      <c r="B98" s="305" t="s">
        <v>2316</v>
      </c>
      <c r="C98" s="305" t="s">
        <v>2310</v>
      </c>
      <c r="D98" s="306">
        <v>90</v>
      </c>
      <c r="E98" s="306">
        <v>74</v>
      </c>
      <c r="F98" s="306">
        <v>69</v>
      </c>
      <c r="G98" s="306">
        <v>98</v>
      </c>
      <c r="H98" s="307">
        <v>23</v>
      </c>
      <c r="I98" s="307">
        <v>17</v>
      </c>
      <c r="J98" s="308">
        <v>25</v>
      </c>
      <c r="K98" s="308">
        <v>25</v>
      </c>
      <c r="L98" s="308">
        <v>24</v>
      </c>
      <c r="M98" s="308">
        <v>24</v>
      </c>
      <c r="N98" s="309">
        <f t="shared" si="2"/>
        <v>88.2</v>
      </c>
      <c r="O98" s="309" t="str">
        <f t="shared" si="3"/>
        <v>B</v>
      </c>
    </row>
    <row r="99" spans="1:15" x14ac:dyDescent="0.35">
      <c r="A99" s="305" t="s">
        <v>2412</v>
      </c>
      <c r="B99" s="305" t="s">
        <v>2312</v>
      </c>
      <c r="C99" s="305" t="s">
        <v>2310</v>
      </c>
      <c r="D99" s="306">
        <v>81</v>
      </c>
      <c r="E99" s="306">
        <v>90</v>
      </c>
      <c r="F99" s="306">
        <v>75</v>
      </c>
      <c r="G99" s="306">
        <v>99</v>
      </c>
      <c r="H99" s="307">
        <v>22</v>
      </c>
      <c r="I99" s="307">
        <v>19</v>
      </c>
      <c r="J99" s="308">
        <v>24</v>
      </c>
      <c r="K99" s="308">
        <v>19</v>
      </c>
      <c r="L99" s="308">
        <v>25</v>
      </c>
      <c r="M99" s="308">
        <v>18</v>
      </c>
      <c r="N99" s="309">
        <f t="shared" si="2"/>
        <v>88.600000000000009</v>
      </c>
      <c r="O99" s="309" t="str">
        <f t="shared" si="3"/>
        <v>B</v>
      </c>
    </row>
    <row r="100" spans="1:15" x14ac:dyDescent="0.35">
      <c r="A100" s="305" t="s">
        <v>2413</v>
      </c>
      <c r="B100" s="305" t="s">
        <v>2312</v>
      </c>
      <c r="C100" s="305" t="s">
        <v>2313</v>
      </c>
      <c r="D100" s="306">
        <v>89</v>
      </c>
      <c r="E100" s="306">
        <v>94</v>
      </c>
      <c r="F100" s="306">
        <v>67</v>
      </c>
      <c r="G100" s="306">
        <v>91</v>
      </c>
      <c r="H100" s="307">
        <v>23</v>
      </c>
      <c r="I100" s="307">
        <v>17</v>
      </c>
      <c r="J100" s="308">
        <v>24</v>
      </c>
      <c r="K100" s="308">
        <v>25</v>
      </c>
      <c r="L100" s="308">
        <v>24</v>
      </c>
      <c r="M100" s="308">
        <v>20</v>
      </c>
      <c r="N100" s="309">
        <f t="shared" si="2"/>
        <v>90.45</v>
      </c>
      <c r="O100" s="309" t="str">
        <f t="shared" si="3"/>
        <v>A</v>
      </c>
    </row>
    <row r="101" spans="1:15" x14ac:dyDescent="0.35">
      <c r="A101" s="305" t="s">
        <v>2414</v>
      </c>
      <c r="B101" s="305" t="s">
        <v>2316</v>
      </c>
      <c r="C101" s="305" t="s">
        <v>2310</v>
      </c>
      <c r="D101" s="306">
        <v>82</v>
      </c>
      <c r="E101" s="306">
        <v>80</v>
      </c>
      <c r="F101" s="306">
        <v>69</v>
      </c>
      <c r="G101" s="306">
        <v>94</v>
      </c>
      <c r="H101" s="307">
        <v>23</v>
      </c>
      <c r="I101" s="307">
        <v>23</v>
      </c>
      <c r="J101" s="308">
        <v>25</v>
      </c>
      <c r="K101" s="308">
        <v>22</v>
      </c>
      <c r="L101" s="308">
        <v>24</v>
      </c>
      <c r="M101" s="308">
        <v>20</v>
      </c>
      <c r="N101" s="309">
        <f t="shared" si="2"/>
        <v>86.85</v>
      </c>
      <c r="O101" s="309" t="str">
        <f t="shared" si="3"/>
        <v>B</v>
      </c>
    </row>
    <row r="102" spans="1:15" x14ac:dyDescent="0.35">
      <c r="A102" s="305" t="s">
        <v>2415</v>
      </c>
      <c r="B102" s="305" t="s">
        <v>2309</v>
      </c>
      <c r="C102" s="305" t="s">
        <v>2313</v>
      </c>
      <c r="D102" s="306">
        <v>85</v>
      </c>
      <c r="E102" s="306">
        <v>81</v>
      </c>
      <c r="F102" s="306">
        <v>81</v>
      </c>
      <c r="G102" s="306">
        <v>97</v>
      </c>
      <c r="H102" s="307">
        <v>21</v>
      </c>
      <c r="I102" s="307">
        <v>17</v>
      </c>
      <c r="J102" s="308">
        <v>24</v>
      </c>
      <c r="K102" s="308">
        <v>20</v>
      </c>
      <c r="L102" s="308">
        <v>22</v>
      </c>
      <c r="M102" s="308">
        <v>25</v>
      </c>
      <c r="N102" s="309">
        <f t="shared" si="2"/>
        <v>87</v>
      </c>
      <c r="O102" s="309" t="str">
        <f t="shared" si="3"/>
        <v>B</v>
      </c>
    </row>
    <row r="103" spans="1:15" x14ac:dyDescent="0.35">
      <c r="A103" s="305" t="s">
        <v>2416</v>
      </c>
      <c r="B103" s="305" t="s">
        <v>2309</v>
      </c>
      <c r="C103" s="305" t="s">
        <v>2310</v>
      </c>
      <c r="D103" s="306">
        <v>80</v>
      </c>
      <c r="E103" s="306">
        <v>76</v>
      </c>
      <c r="F103" s="306">
        <v>68</v>
      </c>
      <c r="G103" s="306">
        <v>94</v>
      </c>
      <c r="H103" s="307">
        <v>22</v>
      </c>
      <c r="I103" s="307">
        <v>23</v>
      </c>
      <c r="J103" s="308">
        <v>24</v>
      </c>
      <c r="K103" s="308">
        <v>22</v>
      </c>
      <c r="L103" s="308">
        <v>25</v>
      </c>
      <c r="M103" s="308">
        <v>23</v>
      </c>
      <c r="N103" s="309">
        <f t="shared" si="2"/>
        <v>85.6</v>
      </c>
      <c r="O103" s="309" t="str">
        <f t="shared" si="3"/>
        <v>B</v>
      </c>
    </row>
    <row r="104" spans="1:15" x14ac:dyDescent="0.35">
      <c r="A104" s="305" t="s">
        <v>2417</v>
      </c>
      <c r="B104" s="305" t="s">
        <v>2312</v>
      </c>
      <c r="C104" s="305" t="s">
        <v>2310</v>
      </c>
      <c r="D104" s="306">
        <v>99</v>
      </c>
      <c r="E104" s="306">
        <v>98</v>
      </c>
      <c r="F104" s="306">
        <v>100</v>
      </c>
      <c r="G104" s="306">
        <v>96</v>
      </c>
      <c r="H104" s="307">
        <v>23</v>
      </c>
      <c r="I104" s="307">
        <v>19</v>
      </c>
      <c r="J104" s="308">
        <v>22</v>
      </c>
      <c r="K104" s="308">
        <v>23</v>
      </c>
      <c r="L104" s="308">
        <v>24</v>
      </c>
      <c r="M104" s="308">
        <v>23</v>
      </c>
      <c r="N104" s="309">
        <f t="shared" si="2"/>
        <v>96.45</v>
      </c>
      <c r="O104" s="309" t="str">
        <f t="shared" si="3"/>
        <v>A</v>
      </c>
    </row>
    <row r="105" spans="1:15" x14ac:dyDescent="0.35">
      <c r="A105" s="305" t="s">
        <v>2418</v>
      </c>
      <c r="B105" s="305" t="s">
        <v>2309</v>
      </c>
      <c r="C105" s="305" t="s">
        <v>2310</v>
      </c>
      <c r="D105" s="306">
        <v>80</v>
      </c>
      <c r="E105" s="306">
        <v>88</v>
      </c>
      <c r="F105" s="306">
        <v>88</v>
      </c>
      <c r="G105" s="306">
        <v>91</v>
      </c>
      <c r="H105" s="307">
        <v>23</v>
      </c>
      <c r="I105" s="307">
        <v>18</v>
      </c>
      <c r="J105" s="308">
        <v>25</v>
      </c>
      <c r="K105" s="308">
        <v>19</v>
      </c>
      <c r="L105" s="308">
        <v>22</v>
      </c>
      <c r="M105" s="308">
        <v>21</v>
      </c>
      <c r="N105" s="309">
        <f t="shared" si="2"/>
        <v>88</v>
      </c>
      <c r="O105" s="309" t="str">
        <f t="shared" si="3"/>
        <v>B</v>
      </c>
    </row>
    <row r="106" spans="1:15" x14ac:dyDescent="0.35">
      <c r="A106" s="305" t="s">
        <v>1863</v>
      </c>
      <c r="B106" s="305" t="s">
        <v>2309</v>
      </c>
      <c r="C106" s="305" t="s">
        <v>2310</v>
      </c>
      <c r="D106" s="306">
        <v>90</v>
      </c>
      <c r="E106" s="306">
        <v>94</v>
      </c>
      <c r="F106" s="306">
        <v>74</v>
      </c>
      <c r="G106" s="306">
        <v>89</v>
      </c>
      <c r="H106" s="307">
        <v>21</v>
      </c>
      <c r="I106" s="307">
        <v>15</v>
      </c>
      <c r="J106" s="308">
        <v>23</v>
      </c>
      <c r="K106" s="308">
        <v>19</v>
      </c>
      <c r="L106" s="308">
        <v>25</v>
      </c>
      <c r="M106" s="308">
        <v>19</v>
      </c>
      <c r="N106" s="309">
        <f t="shared" si="2"/>
        <v>88.350000000000009</v>
      </c>
      <c r="O106" s="309" t="str">
        <f t="shared" si="3"/>
        <v>B</v>
      </c>
    </row>
    <row r="107" spans="1:15" x14ac:dyDescent="0.35">
      <c r="A107" s="305" t="s">
        <v>2419</v>
      </c>
      <c r="B107" s="305" t="s">
        <v>2312</v>
      </c>
      <c r="C107" s="305" t="s">
        <v>2310</v>
      </c>
      <c r="D107" s="306">
        <v>93</v>
      </c>
      <c r="E107" s="306">
        <v>78</v>
      </c>
      <c r="F107" s="306">
        <v>68</v>
      </c>
      <c r="G107" s="306">
        <v>81</v>
      </c>
      <c r="H107" s="307">
        <v>22</v>
      </c>
      <c r="I107" s="307">
        <v>25</v>
      </c>
      <c r="J107" s="308">
        <v>22</v>
      </c>
      <c r="K107" s="308">
        <v>25</v>
      </c>
      <c r="L107" s="308">
        <v>23</v>
      </c>
      <c r="M107" s="308">
        <v>18</v>
      </c>
      <c r="N107" s="309">
        <f t="shared" si="2"/>
        <v>85.600000000000009</v>
      </c>
      <c r="O107" s="309" t="str">
        <f t="shared" si="3"/>
        <v>B</v>
      </c>
    </row>
    <row r="108" spans="1:15" x14ac:dyDescent="0.35">
      <c r="A108" s="305" t="s">
        <v>2420</v>
      </c>
      <c r="B108" s="305" t="s">
        <v>2312</v>
      </c>
      <c r="C108" s="305" t="s">
        <v>2313</v>
      </c>
      <c r="D108" s="306">
        <v>88</v>
      </c>
      <c r="E108" s="306">
        <v>82</v>
      </c>
      <c r="F108" s="306">
        <v>79</v>
      </c>
      <c r="G108" s="306">
        <v>91</v>
      </c>
      <c r="H108" s="307">
        <v>23</v>
      </c>
      <c r="I108" s="307">
        <v>20</v>
      </c>
      <c r="J108" s="308">
        <v>22</v>
      </c>
      <c r="K108" s="308">
        <v>21</v>
      </c>
      <c r="L108" s="308">
        <v>25</v>
      </c>
      <c r="M108" s="308">
        <v>22</v>
      </c>
      <c r="N108" s="309">
        <f t="shared" si="2"/>
        <v>87.35</v>
      </c>
      <c r="O108" s="309" t="str">
        <f t="shared" si="3"/>
        <v>B</v>
      </c>
    </row>
    <row r="109" spans="1:15" x14ac:dyDescent="0.35">
      <c r="A109" s="305" t="s">
        <v>2421</v>
      </c>
      <c r="B109" s="305" t="s">
        <v>2309</v>
      </c>
      <c r="C109" s="305" t="s">
        <v>2313</v>
      </c>
      <c r="D109" s="306">
        <v>87</v>
      </c>
      <c r="E109" s="306">
        <v>70</v>
      </c>
      <c r="F109" s="306">
        <v>64</v>
      </c>
      <c r="G109" s="306">
        <v>86</v>
      </c>
      <c r="H109" s="307">
        <v>25</v>
      </c>
      <c r="I109" s="307">
        <v>23</v>
      </c>
      <c r="J109" s="308">
        <v>23</v>
      </c>
      <c r="K109" s="308">
        <v>25</v>
      </c>
      <c r="L109" s="308">
        <v>22</v>
      </c>
      <c r="M109" s="308">
        <v>23</v>
      </c>
      <c r="N109" s="309">
        <f t="shared" si="2"/>
        <v>84.300000000000011</v>
      </c>
      <c r="O109" s="309" t="str">
        <f t="shared" si="3"/>
        <v>B</v>
      </c>
    </row>
    <row r="110" spans="1:15" x14ac:dyDescent="0.35">
      <c r="A110" s="305" t="s">
        <v>483</v>
      </c>
      <c r="B110" s="305" t="s">
        <v>2312</v>
      </c>
      <c r="C110" s="305" t="s">
        <v>2310</v>
      </c>
      <c r="D110" s="306">
        <v>98</v>
      </c>
      <c r="E110" s="306">
        <v>84</v>
      </c>
      <c r="F110" s="306">
        <v>99</v>
      </c>
      <c r="G110" s="306">
        <v>92</v>
      </c>
      <c r="H110" s="307">
        <v>21</v>
      </c>
      <c r="I110" s="307">
        <v>23</v>
      </c>
      <c r="J110" s="308">
        <v>22</v>
      </c>
      <c r="K110" s="308">
        <v>23</v>
      </c>
      <c r="L110" s="308">
        <v>24</v>
      </c>
      <c r="M110" s="308">
        <v>20</v>
      </c>
      <c r="N110" s="309">
        <f t="shared" si="2"/>
        <v>94.399999999999991</v>
      </c>
      <c r="O110" s="309" t="str">
        <f t="shared" si="3"/>
        <v>A</v>
      </c>
    </row>
    <row r="111" spans="1:15" x14ac:dyDescent="0.35">
      <c r="A111" s="305" t="s">
        <v>2422</v>
      </c>
      <c r="B111" s="305" t="s">
        <v>2309</v>
      </c>
      <c r="C111" s="305" t="s">
        <v>2310</v>
      </c>
      <c r="D111" s="306">
        <v>90</v>
      </c>
      <c r="E111" s="306">
        <v>74</v>
      </c>
      <c r="F111" s="306">
        <v>73</v>
      </c>
      <c r="G111" s="306">
        <v>96</v>
      </c>
      <c r="H111" s="307">
        <v>24</v>
      </c>
      <c r="I111" s="307">
        <v>17</v>
      </c>
      <c r="J111" s="308">
        <v>22</v>
      </c>
      <c r="K111" s="308">
        <v>25</v>
      </c>
      <c r="L111" s="308">
        <v>24</v>
      </c>
      <c r="M111" s="308">
        <v>22</v>
      </c>
      <c r="N111" s="309">
        <f t="shared" si="2"/>
        <v>87.15</v>
      </c>
      <c r="O111" s="309" t="str">
        <f t="shared" si="3"/>
        <v>B</v>
      </c>
    </row>
    <row r="112" spans="1:15" x14ac:dyDescent="0.35">
      <c r="A112" s="305" t="s">
        <v>2423</v>
      </c>
      <c r="B112" s="305" t="s">
        <v>2316</v>
      </c>
      <c r="C112" s="305" t="s">
        <v>2310</v>
      </c>
      <c r="D112" s="306">
        <v>93</v>
      </c>
      <c r="E112" s="306">
        <v>75</v>
      </c>
      <c r="F112" s="306">
        <v>78</v>
      </c>
      <c r="G112" s="306">
        <v>92</v>
      </c>
      <c r="H112" s="307">
        <v>22</v>
      </c>
      <c r="I112" s="307">
        <v>22</v>
      </c>
      <c r="J112" s="308">
        <v>22</v>
      </c>
      <c r="K112" s="308">
        <v>19</v>
      </c>
      <c r="L112" s="308">
        <v>23</v>
      </c>
      <c r="M112" s="308">
        <v>20</v>
      </c>
      <c r="N112" s="309">
        <f t="shared" si="2"/>
        <v>87.149999999999991</v>
      </c>
      <c r="O112" s="309" t="str">
        <f t="shared" si="3"/>
        <v>B</v>
      </c>
    </row>
    <row r="113" spans="1:15" x14ac:dyDescent="0.35">
      <c r="A113" s="305" t="s">
        <v>2424</v>
      </c>
      <c r="B113" s="305" t="s">
        <v>2316</v>
      </c>
      <c r="C113" s="305" t="s">
        <v>2313</v>
      </c>
      <c r="D113" s="306">
        <v>98</v>
      </c>
      <c r="E113" s="306">
        <v>85</v>
      </c>
      <c r="F113" s="306">
        <v>93</v>
      </c>
      <c r="G113" s="306">
        <v>90</v>
      </c>
      <c r="H113" s="307">
        <v>23</v>
      </c>
      <c r="I113" s="307">
        <v>25</v>
      </c>
      <c r="J113" s="308">
        <v>24</v>
      </c>
      <c r="K113" s="308">
        <v>20</v>
      </c>
      <c r="L113" s="308">
        <v>25</v>
      </c>
      <c r="M113" s="308">
        <v>19</v>
      </c>
      <c r="N113" s="309">
        <f t="shared" si="2"/>
        <v>93.05</v>
      </c>
      <c r="O113" s="309" t="str">
        <f t="shared" si="3"/>
        <v>A</v>
      </c>
    </row>
    <row r="114" spans="1:15" x14ac:dyDescent="0.35">
      <c r="A114" s="305" t="s">
        <v>2425</v>
      </c>
      <c r="B114" s="305" t="s">
        <v>2312</v>
      </c>
      <c r="C114" s="305" t="s">
        <v>2313</v>
      </c>
      <c r="D114" s="306">
        <v>91</v>
      </c>
      <c r="E114" s="306">
        <v>80</v>
      </c>
      <c r="F114" s="306">
        <v>95</v>
      </c>
      <c r="G114" s="306">
        <v>97</v>
      </c>
      <c r="H114" s="307">
        <v>25</v>
      </c>
      <c r="I114" s="307">
        <v>17</v>
      </c>
      <c r="J114" s="308">
        <v>23</v>
      </c>
      <c r="K114" s="308">
        <v>19</v>
      </c>
      <c r="L114" s="308">
        <v>25</v>
      </c>
      <c r="M114" s="308">
        <v>20</v>
      </c>
      <c r="N114" s="309">
        <f t="shared" si="2"/>
        <v>92.2</v>
      </c>
      <c r="O114" s="309" t="str">
        <f t="shared" si="3"/>
        <v>A</v>
      </c>
    </row>
    <row r="115" spans="1:15" x14ac:dyDescent="0.35">
      <c r="A115" s="305" t="s">
        <v>2426</v>
      </c>
      <c r="B115" s="305" t="s">
        <v>2316</v>
      </c>
      <c r="C115" s="305" t="s">
        <v>2313</v>
      </c>
      <c r="D115" s="306">
        <v>97</v>
      </c>
      <c r="E115" s="306">
        <v>85</v>
      </c>
      <c r="F115" s="306">
        <v>68</v>
      </c>
      <c r="G115" s="306">
        <v>93</v>
      </c>
      <c r="H115" s="307">
        <v>24</v>
      </c>
      <c r="I115" s="307">
        <v>15</v>
      </c>
      <c r="J115" s="308">
        <v>24</v>
      </c>
      <c r="K115" s="308">
        <v>18</v>
      </c>
      <c r="L115" s="308">
        <v>25</v>
      </c>
      <c r="M115" s="308">
        <v>18</v>
      </c>
      <c r="N115" s="309">
        <f t="shared" si="2"/>
        <v>89.3</v>
      </c>
      <c r="O115" s="309" t="str">
        <f t="shared" si="3"/>
        <v>B</v>
      </c>
    </row>
    <row r="116" spans="1:15" x14ac:dyDescent="0.35">
      <c r="A116" s="305" t="s">
        <v>2427</v>
      </c>
      <c r="B116" s="305" t="s">
        <v>2316</v>
      </c>
      <c r="C116" s="305" t="s">
        <v>2310</v>
      </c>
      <c r="D116" s="306">
        <v>90</v>
      </c>
      <c r="E116" s="306">
        <v>100</v>
      </c>
      <c r="F116" s="306">
        <v>92</v>
      </c>
      <c r="G116" s="306">
        <v>93</v>
      </c>
      <c r="H116" s="307">
        <v>24</v>
      </c>
      <c r="I116" s="307">
        <v>23</v>
      </c>
      <c r="J116" s="308">
        <v>24</v>
      </c>
      <c r="K116" s="308">
        <v>20</v>
      </c>
      <c r="L116" s="308">
        <v>25</v>
      </c>
      <c r="M116" s="308">
        <v>24</v>
      </c>
      <c r="N116" s="309">
        <f t="shared" si="2"/>
        <v>94.600000000000009</v>
      </c>
      <c r="O116" s="309" t="str">
        <f t="shared" si="3"/>
        <v>A</v>
      </c>
    </row>
    <row r="117" spans="1:15" x14ac:dyDescent="0.35">
      <c r="A117" s="305" t="s">
        <v>2428</v>
      </c>
      <c r="B117" s="305" t="s">
        <v>2309</v>
      </c>
      <c r="C117" s="305" t="s">
        <v>2310</v>
      </c>
      <c r="D117" s="306">
        <v>92</v>
      </c>
      <c r="E117" s="306">
        <v>100</v>
      </c>
      <c r="F117" s="306">
        <v>87</v>
      </c>
      <c r="G117" s="306">
        <v>85</v>
      </c>
      <c r="H117" s="307">
        <v>22</v>
      </c>
      <c r="I117" s="307">
        <v>19</v>
      </c>
      <c r="J117" s="308">
        <v>22</v>
      </c>
      <c r="K117" s="308">
        <v>20</v>
      </c>
      <c r="L117" s="308">
        <v>25</v>
      </c>
      <c r="M117" s="308">
        <v>24</v>
      </c>
      <c r="N117" s="309">
        <f t="shared" si="2"/>
        <v>91.600000000000009</v>
      </c>
      <c r="O117" s="309" t="str">
        <f t="shared" si="3"/>
        <v>A</v>
      </c>
    </row>
    <row r="118" spans="1:15" x14ac:dyDescent="0.35">
      <c r="A118" s="305" t="s">
        <v>2429</v>
      </c>
      <c r="B118" s="305" t="s">
        <v>2316</v>
      </c>
      <c r="C118" s="305" t="s">
        <v>2310</v>
      </c>
      <c r="D118" s="306">
        <v>85</v>
      </c>
      <c r="E118" s="306">
        <v>87</v>
      </c>
      <c r="F118" s="306">
        <v>84</v>
      </c>
      <c r="G118" s="306">
        <v>87</v>
      </c>
      <c r="H118" s="307">
        <v>20</v>
      </c>
      <c r="I118" s="307">
        <v>20</v>
      </c>
      <c r="J118" s="308">
        <v>23</v>
      </c>
      <c r="K118" s="308">
        <v>19</v>
      </c>
      <c r="L118" s="308">
        <v>23</v>
      </c>
      <c r="M118" s="308">
        <v>21</v>
      </c>
      <c r="N118" s="309">
        <f t="shared" si="2"/>
        <v>85.65</v>
      </c>
      <c r="O118" s="309" t="str">
        <f t="shared" si="3"/>
        <v>B</v>
      </c>
    </row>
    <row r="119" spans="1:15" x14ac:dyDescent="0.35">
      <c r="A119" s="305" t="s">
        <v>2430</v>
      </c>
      <c r="B119" s="305" t="s">
        <v>2312</v>
      </c>
      <c r="C119" s="305" t="s">
        <v>2313</v>
      </c>
      <c r="D119" s="306">
        <v>99</v>
      </c>
      <c r="E119" s="306">
        <v>100</v>
      </c>
      <c r="F119" s="306">
        <v>85</v>
      </c>
      <c r="G119" s="306">
        <v>95</v>
      </c>
      <c r="H119" s="307">
        <v>22</v>
      </c>
      <c r="I119" s="307">
        <v>24</v>
      </c>
      <c r="J119" s="308">
        <v>25</v>
      </c>
      <c r="K119" s="308">
        <v>22</v>
      </c>
      <c r="L119" s="308">
        <v>23</v>
      </c>
      <c r="M119" s="308">
        <v>23</v>
      </c>
      <c r="N119" s="309">
        <f t="shared" si="2"/>
        <v>96.65</v>
      </c>
      <c r="O119" s="309" t="str">
        <f t="shared" si="3"/>
        <v>A</v>
      </c>
    </row>
    <row r="120" spans="1:15" x14ac:dyDescent="0.35">
      <c r="A120" s="305" t="s">
        <v>2431</v>
      </c>
      <c r="B120" s="305" t="s">
        <v>2309</v>
      </c>
      <c r="C120" s="305" t="s">
        <v>2310</v>
      </c>
      <c r="D120" s="306">
        <v>89</v>
      </c>
      <c r="E120" s="306">
        <v>79</v>
      </c>
      <c r="F120" s="306">
        <v>85</v>
      </c>
      <c r="G120" s="306">
        <v>90</v>
      </c>
      <c r="H120" s="307">
        <v>23</v>
      </c>
      <c r="I120" s="307">
        <v>20</v>
      </c>
      <c r="J120" s="308">
        <v>24</v>
      </c>
      <c r="K120" s="308">
        <v>18</v>
      </c>
      <c r="L120" s="308">
        <v>23</v>
      </c>
      <c r="M120" s="308">
        <v>23</v>
      </c>
      <c r="N120" s="309">
        <f t="shared" si="2"/>
        <v>87.8</v>
      </c>
      <c r="O120" s="309" t="str">
        <f t="shared" si="3"/>
        <v>B</v>
      </c>
    </row>
    <row r="121" spans="1:15" x14ac:dyDescent="0.35">
      <c r="A121" s="305" t="s">
        <v>2432</v>
      </c>
      <c r="B121" s="305" t="s">
        <v>2312</v>
      </c>
      <c r="C121" s="305" t="s">
        <v>2310</v>
      </c>
      <c r="D121" s="306">
        <v>89</v>
      </c>
      <c r="E121" s="306">
        <v>91</v>
      </c>
      <c r="F121" s="306">
        <v>62</v>
      </c>
      <c r="G121" s="306">
        <v>99</v>
      </c>
      <c r="H121" s="307">
        <v>22</v>
      </c>
      <c r="I121" s="307">
        <v>18</v>
      </c>
      <c r="J121" s="308">
        <v>25</v>
      </c>
      <c r="K121" s="308">
        <v>25</v>
      </c>
      <c r="L121" s="308">
        <v>25</v>
      </c>
      <c r="M121" s="308">
        <v>24</v>
      </c>
      <c r="N121" s="309">
        <f t="shared" si="2"/>
        <v>92.6</v>
      </c>
      <c r="O121" s="309" t="str">
        <f t="shared" si="3"/>
        <v>A</v>
      </c>
    </row>
    <row r="122" spans="1:15" x14ac:dyDescent="0.35">
      <c r="A122" s="305" t="s">
        <v>2433</v>
      </c>
      <c r="B122" s="305" t="s">
        <v>2316</v>
      </c>
      <c r="C122" s="305" t="s">
        <v>2310</v>
      </c>
      <c r="D122" s="306">
        <v>96</v>
      </c>
      <c r="E122" s="306">
        <v>78</v>
      </c>
      <c r="F122" s="306">
        <v>95</v>
      </c>
      <c r="G122" s="306">
        <v>80</v>
      </c>
      <c r="H122" s="307">
        <v>20</v>
      </c>
      <c r="I122" s="307">
        <v>17</v>
      </c>
      <c r="J122" s="308">
        <v>22</v>
      </c>
      <c r="K122" s="308">
        <v>23</v>
      </c>
      <c r="L122" s="308">
        <v>23</v>
      </c>
      <c r="M122" s="308">
        <v>25</v>
      </c>
      <c r="N122" s="309">
        <f t="shared" si="2"/>
        <v>89.100000000000009</v>
      </c>
      <c r="O122" s="309" t="str">
        <f t="shared" si="3"/>
        <v>B</v>
      </c>
    </row>
    <row r="123" spans="1:15" x14ac:dyDescent="0.35">
      <c r="A123" s="305" t="s">
        <v>2434</v>
      </c>
      <c r="B123" s="305" t="s">
        <v>2316</v>
      </c>
      <c r="C123" s="305" t="s">
        <v>2310</v>
      </c>
      <c r="D123" s="306">
        <v>100</v>
      </c>
      <c r="E123" s="306">
        <v>78</v>
      </c>
      <c r="F123" s="306">
        <v>76</v>
      </c>
      <c r="G123" s="306">
        <v>95</v>
      </c>
      <c r="H123" s="307">
        <v>23</v>
      </c>
      <c r="I123" s="307">
        <v>22</v>
      </c>
      <c r="J123" s="308">
        <v>25</v>
      </c>
      <c r="K123" s="308">
        <v>24</v>
      </c>
      <c r="L123" s="308">
        <v>25</v>
      </c>
      <c r="M123" s="308">
        <v>25</v>
      </c>
      <c r="N123" s="309">
        <f t="shared" si="2"/>
        <v>92.1</v>
      </c>
      <c r="O123" s="309" t="str">
        <f t="shared" si="3"/>
        <v>A</v>
      </c>
    </row>
    <row r="124" spans="1:15" x14ac:dyDescent="0.35">
      <c r="A124" s="305" t="s">
        <v>2435</v>
      </c>
      <c r="B124" s="305" t="s">
        <v>2312</v>
      </c>
      <c r="C124" s="305" t="s">
        <v>2313</v>
      </c>
      <c r="D124" s="306">
        <v>98</v>
      </c>
      <c r="E124" s="306">
        <v>92</v>
      </c>
      <c r="F124" s="306">
        <v>64</v>
      </c>
      <c r="G124" s="306">
        <v>85</v>
      </c>
      <c r="H124" s="307">
        <v>21</v>
      </c>
      <c r="I124" s="307">
        <v>17</v>
      </c>
      <c r="J124" s="308">
        <v>25</v>
      </c>
      <c r="K124" s="308">
        <v>21</v>
      </c>
      <c r="L124" s="308">
        <v>24</v>
      </c>
      <c r="M124" s="308">
        <v>21</v>
      </c>
      <c r="N124" s="309">
        <f t="shared" si="2"/>
        <v>90</v>
      </c>
      <c r="O124" s="309" t="str">
        <f t="shared" si="3"/>
        <v>A</v>
      </c>
    </row>
    <row r="125" spans="1:15" x14ac:dyDescent="0.35">
      <c r="A125" s="305" t="s">
        <v>2436</v>
      </c>
      <c r="B125" s="305" t="s">
        <v>2309</v>
      </c>
      <c r="C125" s="305" t="s">
        <v>2310</v>
      </c>
      <c r="D125" s="306">
        <v>88</v>
      </c>
      <c r="E125" s="306">
        <v>97</v>
      </c>
      <c r="F125" s="306">
        <v>82</v>
      </c>
      <c r="G125" s="306">
        <v>87</v>
      </c>
      <c r="H125" s="307">
        <v>24</v>
      </c>
      <c r="I125" s="307">
        <v>25</v>
      </c>
      <c r="J125" s="308">
        <v>22</v>
      </c>
      <c r="K125" s="308">
        <v>23</v>
      </c>
      <c r="L125" s="308">
        <v>23</v>
      </c>
      <c r="M125" s="308">
        <v>24</v>
      </c>
      <c r="N125" s="309">
        <f t="shared" si="2"/>
        <v>91.6</v>
      </c>
      <c r="O125" s="309" t="str">
        <f t="shared" si="3"/>
        <v>A</v>
      </c>
    </row>
    <row r="126" spans="1:15" x14ac:dyDescent="0.35">
      <c r="A126" s="305" t="s">
        <v>2437</v>
      </c>
      <c r="B126" s="305" t="s">
        <v>2309</v>
      </c>
      <c r="C126" s="305" t="s">
        <v>2313</v>
      </c>
      <c r="D126" s="306">
        <v>81</v>
      </c>
      <c r="E126" s="306">
        <v>82</v>
      </c>
      <c r="F126" s="306">
        <v>83</v>
      </c>
      <c r="G126" s="306">
        <v>84</v>
      </c>
      <c r="H126" s="307">
        <v>24</v>
      </c>
      <c r="I126" s="307">
        <v>18</v>
      </c>
      <c r="J126" s="308">
        <v>23</v>
      </c>
      <c r="K126" s="308">
        <v>23</v>
      </c>
      <c r="L126" s="308">
        <v>24</v>
      </c>
      <c r="M126" s="308">
        <v>19</v>
      </c>
      <c r="N126" s="309">
        <f t="shared" si="2"/>
        <v>84</v>
      </c>
      <c r="O126" s="309" t="str">
        <f t="shared" si="3"/>
        <v>B</v>
      </c>
    </row>
    <row r="127" spans="1:15" x14ac:dyDescent="0.35">
      <c r="A127" s="305" t="s">
        <v>2438</v>
      </c>
      <c r="B127" s="305" t="s">
        <v>2312</v>
      </c>
      <c r="C127" s="305" t="s">
        <v>2313</v>
      </c>
      <c r="D127" s="306">
        <v>82</v>
      </c>
      <c r="E127" s="306">
        <v>85</v>
      </c>
      <c r="F127" s="306">
        <v>88</v>
      </c>
      <c r="G127" s="306">
        <v>84</v>
      </c>
      <c r="H127" s="307">
        <v>22</v>
      </c>
      <c r="I127" s="307">
        <v>21</v>
      </c>
      <c r="J127" s="308">
        <v>22</v>
      </c>
      <c r="K127" s="308">
        <v>20</v>
      </c>
      <c r="L127" s="308">
        <v>23</v>
      </c>
      <c r="M127" s="308">
        <v>24</v>
      </c>
      <c r="N127" s="309">
        <f t="shared" si="2"/>
        <v>86.199999999999989</v>
      </c>
      <c r="O127" s="309" t="str">
        <f t="shared" si="3"/>
        <v>B</v>
      </c>
    </row>
    <row r="128" spans="1:15" x14ac:dyDescent="0.35">
      <c r="A128" s="305" t="s">
        <v>2439</v>
      </c>
      <c r="B128" s="305" t="s">
        <v>2309</v>
      </c>
      <c r="C128" s="305" t="s">
        <v>2313</v>
      </c>
      <c r="D128" s="306">
        <v>85</v>
      </c>
      <c r="E128" s="306">
        <v>82</v>
      </c>
      <c r="F128" s="306">
        <v>70</v>
      </c>
      <c r="G128" s="306">
        <v>82</v>
      </c>
      <c r="H128" s="307">
        <v>23</v>
      </c>
      <c r="I128" s="307">
        <v>25</v>
      </c>
      <c r="J128" s="308">
        <v>23</v>
      </c>
      <c r="K128" s="308">
        <v>22</v>
      </c>
      <c r="L128" s="308">
        <v>22</v>
      </c>
      <c r="M128" s="308">
        <v>25</v>
      </c>
      <c r="N128" s="309">
        <f t="shared" si="2"/>
        <v>85.649999999999991</v>
      </c>
      <c r="O128" s="309" t="str">
        <f t="shared" si="3"/>
        <v>B</v>
      </c>
    </row>
    <row r="129" spans="1:15" x14ac:dyDescent="0.35">
      <c r="A129" s="305" t="s">
        <v>2440</v>
      </c>
      <c r="B129" s="305" t="s">
        <v>2316</v>
      </c>
      <c r="C129" s="305" t="s">
        <v>2310</v>
      </c>
      <c r="D129" s="306">
        <v>97</v>
      </c>
      <c r="E129" s="306">
        <v>97</v>
      </c>
      <c r="F129" s="306">
        <v>96</v>
      </c>
      <c r="G129" s="306">
        <v>86</v>
      </c>
      <c r="H129" s="307">
        <v>20</v>
      </c>
      <c r="I129" s="307">
        <v>22</v>
      </c>
      <c r="J129" s="308">
        <v>23</v>
      </c>
      <c r="K129" s="308">
        <v>18</v>
      </c>
      <c r="L129" s="308">
        <v>22</v>
      </c>
      <c r="M129" s="308">
        <v>23</v>
      </c>
      <c r="N129" s="309">
        <f t="shared" si="2"/>
        <v>93.800000000000011</v>
      </c>
      <c r="O129" s="309" t="str">
        <f t="shared" si="3"/>
        <v>A</v>
      </c>
    </row>
    <row r="130" spans="1:15" x14ac:dyDescent="0.35">
      <c r="A130" s="305" t="s">
        <v>2441</v>
      </c>
      <c r="B130" s="305" t="s">
        <v>2312</v>
      </c>
      <c r="C130" s="305" t="s">
        <v>2310</v>
      </c>
      <c r="D130" s="306">
        <v>84</v>
      </c>
      <c r="E130" s="306">
        <v>83</v>
      </c>
      <c r="F130" s="306">
        <v>63</v>
      </c>
      <c r="G130" s="306">
        <v>94</v>
      </c>
      <c r="H130" s="307">
        <v>20</v>
      </c>
      <c r="I130" s="307">
        <v>25</v>
      </c>
      <c r="J130" s="308">
        <v>23</v>
      </c>
      <c r="K130" s="308">
        <v>23</v>
      </c>
      <c r="L130" s="308">
        <v>24</v>
      </c>
      <c r="M130" s="308">
        <v>24</v>
      </c>
      <c r="N130" s="309">
        <f t="shared" si="2"/>
        <v>88.35</v>
      </c>
      <c r="O130" s="309" t="str">
        <f t="shared" si="3"/>
        <v>B</v>
      </c>
    </row>
    <row r="131" spans="1:15" x14ac:dyDescent="0.35">
      <c r="A131" s="305" t="s">
        <v>2442</v>
      </c>
      <c r="B131" s="305" t="s">
        <v>2309</v>
      </c>
      <c r="C131" s="305" t="s">
        <v>2310</v>
      </c>
      <c r="D131" s="306">
        <v>92</v>
      </c>
      <c r="E131" s="306">
        <v>79</v>
      </c>
      <c r="F131" s="306">
        <v>84</v>
      </c>
      <c r="G131" s="306">
        <v>98</v>
      </c>
      <c r="H131" s="307">
        <v>24</v>
      </c>
      <c r="I131" s="307">
        <v>16</v>
      </c>
      <c r="J131" s="308">
        <v>23</v>
      </c>
      <c r="K131" s="308">
        <v>25</v>
      </c>
      <c r="L131" s="308">
        <v>25</v>
      </c>
      <c r="M131" s="308">
        <v>21</v>
      </c>
      <c r="N131" s="309">
        <f t="shared" si="2"/>
        <v>90.6</v>
      </c>
      <c r="O131" s="309" t="str">
        <f t="shared" si="3"/>
        <v>A</v>
      </c>
    </row>
    <row r="132" spans="1:15" x14ac:dyDescent="0.35">
      <c r="A132" s="305" t="s">
        <v>2443</v>
      </c>
      <c r="B132" s="305" t="s">
        <v>2309</v>
      </c>
      <c r="C132" s="305" t="s">
        <v>2310</v>
      </c>
      <c r="D132" s="306">
        <v>85</v>
      </c>
      <c r="E132" s="306">
        <v>85</v>
      </c>
      <c r="F132" s="306">
        <v>70</v>
      </c>
      <c r="G132" s="306">
        <v>94</v>
      </c>
      <c r="H132" s="307">
        <v>25</v>
      </c>
      <c r="I132" s="307">
        <v>23</v>
      </c>
      <c r="J132" s="308">
        <v>23</v>
      </c>
      <c r="K132" s="308">
        <v>25</v>
      </c>
      <c r="L132" s="308">
        <v>23</v>
      </c>
      <c r="M132" s="308">
        <v>22</v>
      </c>
      <c r="N132" s="309">
        <f t="shared" si="2"/>
        <v>89.55</v>
      </c>
      <c r="O132" s="309" t="str">
        <f t="shared" si="3"/>
        <v>B</v>
      </c>
    </row>
    <row r="133" spans="1:15" x14ac:dyDescent="0.35">
      <c r="A133" s="305" t="s">
        <v>2444</v>
      </c>
      <c r="B133" s="305" t="s">
        <v>2312</v>
      </c>
      <c r="C133" s="305" t="s">
        <v>2310</v>
      </c>
      <c r="D133" s="306">
        <v>95</v>
      </c>
      <c r="E133" s="306">
        <v>94</v>
      </c>
      <c r="F133" s="306">
        <v>85</v>
      </c>
      <c r="G133" s="306">
        <v>96</v>
      </c>
      <c r="H133" s="307">
        <v>23</v>
      </c>
      <c r="I133" s="307">
        <v>22</v>
      </c>
      <c r="J133" s="308">
        <v>22</v>
      </c>
      <c r="K133" s="308">
        <v>21</v>
      </c>
      <c r="L133" s="308">
        <v>25</v>
      </c>
      <c r="M133" s="308">
        <v>21</v>
      </c>
      <c r="N133" s="309">
        <f t="shared" si="2"/>
        <v>93.6</v>
      </c>
      <c r="O133" s="309" t="str">
        <f t="shared" si="3"/>
        <v>A</v>
      </c>
    </row>
    <row r="134" spans="1:15" x14ac:dyDescent="0.35">
      <c r="A134" s="305" t="s">
        <v>2445</v>
      </c>
      <c r="B134" s="305" t="s">
        <v>2309</v>
      </c>
      <c r="C134" s="305" t="s">
        <v>2313</v>
      </c>
      <c r="D134" s="306">
        <v>90</v>
      </c>
      <c r="E134" s="306">
        <v>74</v>
      </c>
      <c r="F134" s="306">
        <v>86</v>
      </c>
      <c r="G134" s="306">
        <v>81</v>
      </c>
      <c r="H134" s="307">
        <v>21</v>
      </c>
      <c r="I134" s="307">
        <v>19</v>
      </c>
      <c r="J134" s="308">
        <v>24</v>
      </c>
      <c r="K134" s="308">
        <v>24</v>
      </c>
      <c r="L134" s="308">
        <v>22</v>
      </c>
      <c r="M134" s="308">
        <v>22</v>
      </c>
      <c r="N134" s="309">
        <f t="shared" si="2"/>
        <v>86.05</v>
      </c>
      <c r="O134" s="309" t="str">
        <f t="shared" si="3"/>
        <v>B</v>
      </c>
    </row>
    <row r="135" spans="1:15" x14ac:dyDescent="0.35">
      <c r="A135" s="305" t="s">
        <v>2446</v>
      </c>
      <c r="B135" s="305" t="s">
        <v>2312</v>
      </c>
      <c r="C135" s="305" t="s">
        <v>2313</v>
      </c>
      <c r="D135" s="306">
        <v>87</v>
      </c>
      <c r="E135" s="306">
        <v>91</v>
      </c>
      <c r="F135" s="306">
        <v>74</v>
      </c>
      <c r="G135" s="306">
        <v>86</v>
      </c>
      <c r="H135" s="307">
        <v>22</v>
      </c>
      <c r="I135" s="307">
        <v>18</v>
      </c>
      <c r="J135" s="308">
        <v>23</v>
      </c>
      <c r="K135" s="308">
        <v>21</v>
      </c>
      <c r="L135" s="308">
        <v>23</v>
      </c>
      <c r="M135" s="308">
        <v>22</v>
      </c>
      <c r="N135" s="309">
        <f t="shared" si="2"/>
        <v>87.35</v>
      </c>
      <c r="O135" s="309" t="str">
        <f t="shared" si="3"/>
        <v>B</v>
      </c>
    </row>
    <row r="136" spans="1:15" x14ac:dyDescent="0.35">
      <c r="A136" s="305" t="s">
        <v>2447</v>
      </c>
      <c r="B136" s="305" t="s">
        <v>2312</v>
      </c>
      <c r="C136" s="305" t="s">
        <v>2310</v>
      </c>
      <c r="D136" s="306">
        <v>82</v>
      </c>
      <c r="E136" s="306">
        <v>73</v>
      </c>
      <c r="F136" s="306">
        <v>62</v>
      </c>
      <c r="G136" s="306">
        <v>87</v>
      </c>
      <c r="H136" s="307">
        <v>21</v>
      </c>
      <c r="I136" s="307">
        <v>25</v>
      </c>
      <c r="J136" s="308">
        <v>22</v>
      </c>
      <c r="K136" s="308">
        <v>20</v>
      </c>
      <c r="L136" s="308">
        <v>24</v>
      </c>
      <c r="M136" s="308">
        <v>23</v>
      </c>
      <c r="N136" s="309">
        <f t="shared" si="2"/>
        <v>83.05</v>
      </c>
      <c r="O136" s="309" t="str">
        <f t="shared" si="3"/>
        <v>B</v>
      </c>
    </row>
    <row r="137" spans="1:15" x14ac:dyDescent="0.35">
      <c r="A137" s="305" t="s">
        <v>2448</v>
      </c>
      <c r="B137" s="305" t="s">
        <v>2309</v>
      </c>
      <c r="C137" s="305" t="s">
        <v>2310</v>
      </c>
      <c r="D137" s="306">
        <v>100</v>
      </c>
      <c r="E137" s="306">
        <v>91</v>
      </c>
      <c r="F137" s="306">
        <v>68</v>
      </c>
      <c r="G137" s="306">
        <v>95</v>
      </c>
      <c r="H137" s="307">
        <v>22</v>
      </c>
      <c r="I137" s="307">
        <v>17</v>
      </c>
      <c r="J137" s="308">
        <v>24</v>
      </c>
      <c r="K137" s="308">
        <v>21</v>
      </c>
      <c r="L137" s="308">
        <v>23</v>
      </c>
      <c r="M137" s="308">
        <v>23</v>
      </c>
      <c r="N137" s="309">
        <f t="shared" si="2"/>
        <v>92.95</v>
      </c>
      <c r="O137" s="309" t="str">
        <f t="shared" si="3"/>
        <v>A</v>
      </c>
    </row>
    <row r="138" spans="1:15" x14ac:dyDescent="0.35">
      <c r="A138" s="305" t="s">
        <v>2449</v>
      </c>
      <c r="B138" s="305" t="s">
        <v>2316</v>
      </c>
      <c r="C138" s="305" t="s">
        <v>2310</v>
      </c>
      <c r="D138" s="306">
        <v>86</v>
      </c>
      <c r="E138" s="306">
        <v>73</v>
      </c>
      <c r="F138" s="306">
        <v>91</v>
      </c>
      <c r="G138" s="306">
        <v>90</v>
      </c>
      <c r="H138" s="307">
        <v>23</v>
      </c>
      <c r="I138" s="307">
        <v>21</v>
      </c>
      <c r="J138" s="308">
        <v>22</v>
      </c>
      <c r="K138" s="308">
        <v>21</v>
      </c>
      <c r="L138" s="308">
        <v>25</v>
      </c>
      <c r="M138" s="308">
        <v>19</v>
      </c>
      <c r="N138" s="309">
        <f t="shared" si="2"/>
        <v>88.6</v>
      </c>
      <c r="O138" s="309" t="str">
        <f t="shared" si="3"/>
        <v>B</v>
      </c>
    </row>
    <row r="139" spans="1:15" x14ac:dyDescent="0.35">
      <c r="A139" s="305" t="s">
        <v>2450</v>
      </c>
      <c r="B139" s="305" t="s">
        <v>2316</v>
      </c>
      <c r="C139" s="305" t="s">
        <v>2310</v>
      </c>
      <c r="D139" s="306">
        <v>82</v>
      </c>
      <c r="E139" s="306">
        <v>76</v>
      </c>
      <c r="F139" s="306">
        <v>81</v>
      </c>
      <c r="G139" s="306">
        <v>76</v>
      </c>
      <c r="H139" s="307">
        <v>21</v>
      </c>
      <c r="I139" s="307">
        <v>21</v>
      </c>
      <c r="J139" s="308">
        <v>25</v>
      </c>
      <c r="K139" s="308">
        <v>25</v>
      </c>
      <c r="L139" s="308">
        <v>25</v>
      </c>
      <c r="M139" s="308">
        <v>20</v>
      </c>
      <c r="N139" s="309">
        <f t="shared" ref="N139:N202" si="4">SUM(AVERAGE(LARGE(D139:G139,1),LARGE(D139:G139,2),LARGE(D139:G139,3))/100*75,AVERAGE(H139:I139)/25*10,AVERAGE(J139:M139)/25*15)</f>
        <v>82.4</v>
      </c>
      <c r="O139" s="309" t="str">
        <f t="shared" ref="O139:O202" si="5">IF(N139&gt;=90,"A",IF(N139&gt;=83,"B",IF(N139&gt;=73,"C",IF(N139&gt;=65,"D","F"))))</f>
        <v>C</v>
      </c>
    </row>
    <row r="140" spans="1:15" x14ac:dyDescent="0.35">
      <c r="A140" s="305" t="s">
        <v>2451</v>
      </c>
      <c r="B140" s="305" t="s">
        <v>2309</v>
      </c>
      <c r="C140" s="305" t="s">
        <v>2310</v>
      </c>
      <c r="D140" s="306">
        <v>85</v>
      </c>
      <c r="E140" s="306">
        <v>83</v>
      </c>
      <c r="F140" s="306">
        <v>69</v>
      </c>
      <c r="G140" s="306">
        <v>83</v>
      </c>
      <c r="H140" s="307">
        <v>20</v>
      </c>
      <c r="I140" s="307">
        <v>18</v>
      </c>
      <c r="J140" s="308">
        <v>22</v>
      </c>
      <c r="K140" s="308">
        <v>21</v>
      </c>
      <c r="L140" s="308">
        <v>22</v>
      </c>
      <c r="M140" s="308">
        <v>21</v>
      </c>
      <c r="N140" s="309">
        <f t="shared" si="4"/>
        <v>83.25</v>
      </c>
      <c r="O140" s="309" t="str">
        <f t="shared" si="5"/>
        <v>B</v>
      </c>
    </row>
    <row r="141" spans="1:15" x14ac:dyDescent="0.35">
      <c r="A141" s="305" t="s">
        <v>2452</v>
      </c>
      <c r="B141" s="305" t="s">
        <v>2309</v>
      </c>
      <c r="C141" s="305" t="s">
        <v>2313</v>
      </c>
      <c r="D141" s="306">
        <v>96</v>
      </c>
      <c r="E141" s="306">
        <v>78</v>
      </c>
      <c r="F141" s="306">
        <v>77</v>
      </c>
      <c r="G141" s="306">
        <v>95</v>
      </c>
      <c r="H141" s="307">
        <v>23</v>
      </c>
      <c r="I141" s="307">
        <v>21</v>
      </c>
      <c r="J141" s="308">
        <v>22</v>
      </c>
      <c r="K141" s="308">
        <v>18</v>
      </c>
      <c r="L141" s="308">
        <v>22</v>
      </c>
      <c r="M141" s="308">
        <v>25</v>
      </c>
      <c r="N141" s="309">
        <f t="shared" si="4"/>
        <v>89.1</v>
      </c>
      <c r="O141" s="309" t="str">
        <f t="shared" si="5"/>
        <v>B</v>
      </c>
    </row>
    <row r="142" spans="1:15" x14ac:dyDescent="0.35">
      <c r="A142" s="305" t="s">
        <v>2453</v>
      </c>
      <c r="B142" s="305" t="s">
        <v>2316</v>
      </c>
      <c r="C142" s="305" t="s">
        <v>2310</v>
      </c>
      <c r="D142" s="306">
        <v>95</v>
      </c>
      <c r="E142" s="306">
        <v>78</v>
      </c>
      <c r="F142" s="306">
        <v>64</v>
      </c>
      <c r="G142" s="306">
        <v>93</v>
      </c>
      <c r="H142" s="307">
        <v>22</v>
      </c>
      <c r="I142" s="307">
        <v>24</v>
      </c>
      <c r="J142" s="308">
        <v>23</v>
      </c>
      <c r="K142" s="308">
        <v>25</v>
      </c>
      <c r="L142" s="308">
        <v>24</v>
      </c>
      <c r="M142" s="308">
        <v>23</v>
      </c>
      <c r="N142" s="309">
        <f t="shared" si="4"/>
        <v>89.95</v>
      </c>
      <c r="O142" s="309" t="str">
        <f t="shared" si="5"/>
        <v>B</v>
      </c>
    </row>
    <row r="143" spans="1:15" x14ac:dyDescent="0.35">
      <c r="A143" s="305" t="s">
        <v>2454</v>
      </c>
      <c r="B143" s="305" t="s">
        <v>2309</v>
      </c>
      <c r="C143" s="305" t="s">
        <v>2313</v>
      </c>
      <c r="D143" s="306">
        <v>81</v>
      </c>
      <c r="E143" s="306">
        <v>90</v>
      </c>
      <c r="F143" s="306">
        <v>87</v>
      </c>
      <c r="G143" s="306">
        <v>80</v>
      </c>
      <c r="H143" s="307">
        <v>22</v>
      </c>
      <c r="I143" s="307">
        <v>21</v>
      </c>
      <c r="J143" s="308">
        <v>24</v>
      </c>
      <c r="K143" s="308">
        <v>25</v>
      </c>
      <c r="L143" s="308">
        <v>25</v>
      </c>
      <c r="M143" s="308">
        <v>22</v>
      </c>
      <c r="N143" s="309">
        <f t="shared" si="4"/>
        <v>87.5</v>
      </c>
      <c r="O143" s="309" t="str">
        <f t="shared" si="5"/>
        <v>B</v>
      </c>
    </row>
    <row r="144" spans="1:15" x14ac:dyDescent="0.35">
      <c r="A144" s="305" t="s">
        <v>2455</v>
      </c>
      <c r="B144" s="305" t="s">
        <v>2316</v>
      </c>
      <c r="C144" s="305" t="s">
        <v>2313</v>
      </c>
      <c r="D144" s="306">
        <v>96</v>
      </c>
      <c r="E144" s="306">
        <v>91</v>
      </c>
      <c r="F144" s="306">
        <v>98</v>
      </c>
      <c r="G144" s="306">
        <v>100</v>
      </c>
      <c r="H144" s="307">
        <v>21</v>
      </c>
      <c r="I144" s="307">
        <v>23</v>
      </c>
      <c r="J144" s="308">
        <v>24</v>
      </c>
      <c r="K144" s="308">
        <v>25</v>
      </c>
      <c r="L144" s="308">
        <v>24</v>
      </c>
      <c r="M144" s="308">
        <v>20</v>
      </c>
      <c r="N144" s="309">
        <f t="shared" si="4"/>
        <v>96.25</v>
      </c>
      <c r="O144" s="309" t="str">
        <f t="shared" si="5"/>
        <v>A</v>
      </c>
    </row>
    <row r="145" spans="1:15" x14ac:dyDescent="0.35">
      <c r="A145" s="305" t="s">
        <v>2456</v>
      </c>
      <c r="B145" s="305" t="s">
        <v>2316</v>
      </c>
      <c r="C145" s="305" t="s">
        <v>2313</v>
      </c>
      <c r="D145" s="306">
        <v>94</v>
      </c>
      <c r="E145" s="306">
        <v>81</v>
      </c>
      <c r="F145" s="306">
        <v>81</v>
      </c>
      <c r="G145" s="306">
        <v>96</v>
      </c>
      <c r="H145" s="307">
        <v>22</v>
      </c>
      <c r="I145" s="307">
        <v>24</v>
      </c>
      <c r="J145" s="308">
        <v>22</v>
      </c>
      <c r="K145" s="308">
        <v>23</v>
      </c>
      <c r="L145" s="308">
        <v>22</v>
      </c>
      <c r="M145" s="308">
        <v>23</v>
      </c>
      <c r="N145" s="309">
        <f t="shared" si="4"/>
        <v>90.45</v>
      </c>
      <c r="O145" s="309" t="str">
        <f t="shared" si="5"/>
        <v>A</v>
      </c>
    </row>
    <row r="146" spans="1:15" x14ac:dyDescent="0.35">
      <c r="A146" s="305" t="s">
        <v>2457</v>
      </c>
      <c r="B146" s="305" t="s">
        <v>2316</v>
      </c>
      <c r="C146" s="305" t="s">
        <v>2313</v>
      </c>
      <c r="D146" s="306">
        <v>92</v>
      </c>
      <c r="E146" s="306">
        <v>75</v>
      </c>
      <c r="F146" s="306">
        <v>64</v>
      </c>
      <c r="G146" s="306">
        <v>85</v>
      </c>
      <c r="H146" s="307">
        <v>24</v>
      </c>
      <c r="I146" s="307">
        <v>22</v>
      </c>
      <c r="J146" s="308">
        <v>25</v>
      </c>
      <c r="K146" s="308">
        <v>20</v>
      </c>
      <c r="L146" s="308">
        <v>25</v>
      </c>
      <c r="M146" s="308">
        <v>21</v>
      </c>
      <c r="N146" s="309">
        <f t="shared" si="4"/>
        <v>85.850000000000009</v>
      </c>
      <c r="O146" s="309" t="str">
        <f t="shared" si="5"/>
        <v>B</v>
      </c>
    </row>
    <row r="147" spans="1:15" x14ac:dyDescent="0.35">
      <c r="A147" s="305" t="s">
        <v>1882</v>
      </c>
      <c r="B147" s="305" t="s">
        <v>2316</v>
      </c>
      <c r="C147" s="305" t="s">
        <v>2310</v>
      </c>
      <c r="D147" s="306">
        <v>41</v>
      </c>
      <c r="E147" s="306">
        <v>42</v>
      </c>
      <c r="F147" s="306">
        <v>49</v>
      </c>
      <c r="G147" s="306">
        <v>42</v>
      </c>
      <c r="H147" s="307">
        <v>21</v>
      </c>
      <c r="I147" s="307">
        <v>21</v>
      </c>
      <c r="J147" s="308">
        <v>25</v>
      </c>
      <c r="K147" s="308">
        <v>19</v>
      </c>
      <c r="L147" s="308">
        <v>25</v>
      </c>
      <c r="M147" s="308">
        <v>23</v>
      </c>
      <c r="N147" s="309">
        <f t="shared" si="4"/>
        <v>55.45</v>
      </c>
      <c r="O147" s="309" t="str">
        <f t="shared" si="5"/>
        <v>F</v>
      </c>
    </row>
    <row r="148" spans="1:15" x14ac:dyDescent="0.35">
      <c r="A148" s="305" t="s">
        <v>1859</v>
      </c>
      <c r="B148" s="305" t="s">
        <v>2309</v>
      </c>
      <c r="C148" s="305" t="s">
        <v>2310</v>
      </c>
      <c r="D148" s="306">
        <v>58</v>
      </c>
      <c r="E148" s="306">
        <v>42</v>
      </c>
      <c r="F148" s="306">
        <v>49</v>
      </c>
      <c r="G148" s="306">
        <v>48</v>
      </c>
      <c r="H148" s="307">
        <v>23</v>
      </c>
      <c r="I148" s="307">
        <v>18</v>
      </c>
      <c r="J148" s="308">
        <v>16</v>
      </c>
      <c r="K148" s="308">
        <v>16</v>
      </c>
      <c r="L148" s="308">
        <v>17</v>
      </c>
      <c r="M148" s="308">
        <v>19</v>
      </c>
      <c r="N148" s="309">
        <f t="shared" si="4"/>
        <v>57.149999999999991</v>
      </c>
      <c r="O148" s="309" t="str">
        <f t="shared" si="5"/>
        <v>F</v>
      </c>
    </row>
    <row r="149" spans="1:15" x14ac:dyDescent="0.35">
      <c r="A149" s="305" t="s">
        <v>2458</v>
      </c>
      <c r="B149" s="305" t="s">
        <v>2309</v>
      </c>
      <c r="C149" s="305" t="s">
        <v>2313</v>
      </c>
      <c r="D149" s="306">
        <v>44</v>
      </c>
      <c r="E149" s="306">
        <v>40</v>
      </c>
      <c r="F149" s="306">
        <v>49</v>
      </c>
      <c r="G149" s="306">
        <v>57</v>
      </c>
      <c r="H149" s="307">
        <v>25</v>
      </c>
      <c r="I149" s="307">
        <v>25</v>
      </c>
      <c r="J149" s="308">
        <v>18</v>
      </c>
      <c r="K149" s="308">
        <v>19</v>
      </c>
      <c r="L149" s="308">
        <v>20</v>
      </c>
      <c r="M149" s="308">
        <v>18</v>
      </c>
      <c r="N149" s="309">
        <f t="shared" si="4"/>
        <v>58.75</v>
      </c>
      <c r="O149" s="309" t="str">
        <f t="shared" si="5"/>
        <v>F</v>
      </c>
    </row>
    <row r="150" spans="1:15" x14ac:dyDescent="0.35">
      <c r="A150" s="305" t="s">
        <v>2459</v>
      </c>
      <c r="B150" s="305" t="s">
        <v>2316</v>
      </c>
      <c r="C150" s="305" t="s">
        <v>2313</v>
      </c>
      <c r="D150" s="306">
        <v>47</v>
      </c>
      <c r="E150" s="306">
        <v>51</v>
      </c>
      <c r="F150" s="306">
        <v>59</v>
      </c>
      <c r="G150" s="306">
        <v>52</v>
      </c>
      <c r="H150" s="307">
        <v>25</v>
      </c>
      <c r="I150" s="307">
        <v>18</v>
      </c>
      <c r="J150" s="308">
        <v>20</v>
      </c>
      <c r="K150" s="308">
        <v>17</v>
      </c>
      <c r="L150" s="308">
        <v>16</v>
      </c>
      <c r="M150" s="308">
        <v>15</v>
      </c>
      <c r="N150" s="309">
        <f t="shared" si="4"/>
        <v>59.300000000000004</v>
      </c>
      <c r="O150" s="309" t="str">
        <f t="shared" si="5"/>
        <v>F</v>
      </c>
    </row>
    <row r="151" spans="1:15" x14ac:dyDescent="0.35">
      <c r="A151" s="305" t="s">
        <v>2460</v>
      </c>
      <c r="B151" s="305" t="s">
        <v>2316</v>
      </c>
      <c r="C151" s="305" t="s">
        <v>2313</v>
      </c>
      <c r="D151" s="306">
        <v>41</v>
      </c>
      <c r="E151" s="306">
        <v>55</v>
      </c>
      <c r="F151" s="306">
        <v>55</v>
      </c>
      <c r="G151" s="306">
        <v>51</v>
      </c>
      <c r="H151" s="307">
        <v>24</v>
      </c>
      <c r="I151" s="307">
        <v>22</v>
      </c>
      <c r="J151" s="308">
        <v>15</v>
      </c>
      <c r="K151" s="308">
        <v>17</v>
      </c>
      <c r="L151" s="308">
        <v>17</v>
      </c>
      <c r="M151" s="308">
        <v>17</v>
      </c>
      <c r="N151" s="309">
        <f t="shared" si="4"/>
        <v>59.35</v>
      </c>
      <c r="O151" s="309" t="str">
        <f t="shared" si="5"/>
        <v>F</v>
      </c>
    </row>
    <row r="152" spans="1:15" x14ac:dyDescent="0.35">
      <c r="A152" s="305" t="s">
        <v>2461</v>
      </c>
      <c r="B152" s="305" t="s">
        <v>2309</v>
      </c>
      <c r="C152" s="305" t="s">
        <v>2313</v>
      </c>
      <c r="D152" s="306">
        <v>47</v>
      </c>
      <c r="E152" s="306">
        <v>60</v>
      </c>
      <c r="F152" s="306">
        <v>56</v>
      </c>
      <c r="G152" s="306">
        <v>42</v>
      </c>
      <c r="H152" s="307">
        <v>20</v>
      </c>
      <c r="I152" s="307">
        <v>15</v>
      </c>
      <c r="J152" s="308">
        <v>20</v>
      </c>
      <c r="K152" s="308">
        <v>16</v>
      </c>
      <c r="L152" s="308">
        <v>15</v>
      </c>
      <c r="M152" s="308">
        <v>16</v>
      </c>
      <c r="N152" s="309">
        <f t="shared" si="4"/>
        <v>57.8</v>
      </c>
      <c r="O152" s="309" t="str">
        <f t="shared" si="5"/>
        <v>F</v>
      </c>
    </row>
    <row r="153" spans="1:15" x14ac:dyDescent="0.35">
      <c r="A153" s="305" t="s">
        <v>2462</v>
      </c>
      <c r="B153" s="305" t="s">
        <v>2309</v>
      </c>
      <c r="C153" s="305" t="s">
        <v>2313</v>
      </c>
      <c r="D153" s="306">
        <v>51</v>
      </c>
      <c r="E153" s="306">
        <v>46</v>
      </c>
      <c r="F153" s="306">
        <v>45</v>
      </c>
      <c r="G153" s="306">
        <v>52</v>
      </c>
      <c r="H153" s="307">
        <v>21</v>
      </c>
      <c r="I153" s="307">
        <v>17</v>
      </c>
      <c r="J153" s="308">
        <v>19</v>
      </c>
      <c r="K153" s="308">
        <v>15</v>
      </c>
      <c r="L153" s="308">
        <v>20</v>
      </c>
      <c r="M153" s="308">
        <v>16</v>
      </c>
      <c r="N153" s="309">
        <f t="shared" si="4"/>
        <v>55.35</v>
      </c>
      <c r="O153" s="309" t="str">
        <f t="shared" si="5"/>
        <v>F</v>
      </c>
    </row>
    <row r="154" spans="1:15" x14ac:dyDescent="0.35">
      <c r="A154" s="305" t="s">
        <v>2463</v>
      </c>
      <c r="B154" s="305" t="s">
        <v>2312</v>
      </c>
      <c r="C154" s="305" t="s">
        <v>2310</v>
      </c>
      <c r="D154" s="306">
        <v>48</v>
      </c>
      <c r="E154" s="306">
        <v>42</v>
      </c>
      <c r="F154" s="306">
        <v>47</v>
      </c>
      <c r="G154" s="306">
        <v>41</v>
      </c>
      <c r="H154" s="307">
        <v>25</v>
      </c>
      <c r="I154" s="307">
        <v>17</v>
      </c>
      <c r="J154" s="308">
        <v>16</v>
      </c>
      <c r="K154" s="308">
        <v>17</v>
      </c>
      <c r="L154" s="308">
        <v>15</v>
      </c>
      <c r="M154" s="308">
        <v>20</v>
      </c>
      <c r="N154" s="309">
        <f t="shared" si="4"/>
        <v>52.85</v>
      </c>
      <c r="O154" s="309" t="str">
        <f t="shared" si="5"/>
        <v>F</v>
      </c>
    </row>
    <row r="155" spans="1:15" x14ac:dyDescent="0.35">
      <c r="A155" s="305" t="s">
        <v>2464</v>
      </c>
      <c r="B155" s="305" t="s">
        <v>2309</v>
      </c>
      <c r="C155" s="305" t="s">
        <v>2313</v>
      </c>
      <c r="D155" s="306">
        <v>48</v>
      </c>
      <c r="E155" s="306">
        <v>54</v>
      </c>
      <c r="F155" s="306">
        <v>48</v>
      </c>
      <c r="G155" s="306">
        <v>60</v>
      </c>
      <c r="H155" s="307">
        <v>24</v>
      </c>
      <c r="I155" s="307">
        <v>17</v>
      </c>
      <c r="J155" s="308">
        <v>15</v>
      </c>
      <c r="K155" s="308">
        <v>17</v>
      </c>
      <c r="L155" s="308">
        <v>18</v>
      </c>
      <c r="M155" s="308">
        <v>16</v>
      </c>
      <c r="N155" s="309">
        <f t="shared" si="4"/>
        <v>58.6</v>
      </c>
      <c r="O155" s="309" t="str">
        <f t="shared" si="5"/>
        <v>F</v>
      </c>
    </row>
    <row r="156" spans="1:15" x14ac:dyDescent="0.35">
      <c r="A156" s="305" t="s">
        <v>2465</v>
      </c>
      <c r="B156" s="305" t="s">
        <v>2309</v>
      </c>
      <c r="C156" s="305" t="s">
        <v>2313</v>
      </c>
      <c r="D156" s="306">
        <v>59</v>
      </c>
      <c r="E156" s="306">
        <v>45</v>
      </c>
      <c r="F156" s="306">
        <v>52</v>
      </c>
      <c r="G156" s="306">
        <v>46</v>
      </c>
      <c r="H156" s="307">
        <v>25</v>
      </c>
      <c r="I156" s="307">
        <v>17</v>
      </c>
      <c r="J156" s="308">
        <v>16</v>
      </c>
      <c r="K156" s="308">
        <v>18</v>
      </c>
      <c r="L156" s="308">
        <v>18</v>
      </c>
      <c r="M156" s="308">
        <v>20</v>
      </c>
      <c r="N156" s="309">
        <f t="shared" si="4"/>
        <v>58.449999999999996</v>
      </c>
      <c r="O156" s="309" t="str">
        <f t="shared" si="5"/>
        <v>F</v>
      </c>
    </row>
    <row r="157" spans="1:15" x14ac:dyDescent="0.35">
      <c r="A157" s="305" t="s">
        <v>2466</v>
      </c>
      <c r="B157" s="305" t="s">
        <v>2309</v>
      </c>
      <c r="C157" s="305" t="s">
        <v>2313</v>
      </c>
      <c r="D157" s="306">
        <v>43</v>
      </c>
      <c r="E157" s="306">
        <v>41</v>
      </c>
      <c r="F157" s="306">
        <v>58</v>
      </c>
      <c r="G157" s="306">
        <v>54</v>
      </c>
      <c r="H157" s="307">
        <v>23</v>
      </c>
      <c r="I157" s="307">
        <v>20</v>
      </c>
      <c r="J157" s="308">
        <v>18</v>
      </c>
      <c r="K157" s="308">
        <v>17</v>
      </c>
      <c r="L157" s="308">
        <v>18</v>
      </c>
      <c r="M157" s="308">
        <v>19</v>
      </c>
      <c r="N157" s="309">
        <f t="shared" si="4"/>
        <v>58.149999999999991</v>
      </c>
      <c r="O157" s="309" t="str">
        <f t="shared" si="5"/>
        <v>F</v>
      </c>
    </row>
    <row r="158" spans="1:15" x14ac:dyDescent="0.35">
      <c r="A158" s="305" t="s">
        <v>2467</v>
      </c>
      <c r="B158" s="305" t="s">
        <v>2309</v>
      </c>
      <c r="C158" s="305" t="s">
        <v>2310</v>
      </c>
      <c r="D158" s="306">
        <v>54</v>
      </c>
      <c r="E158" s="306">
        <v>58</v>
      </c>
      <c r="F158" s="306">
        <v>67</v>
      </c>
      <c r="G158" s="306">
        <v>51</v>
      </c>
      <c r="H158" s="307">
        <v>24</v>
      </c>
      <c r="I158" s="307">
        <v>21</v>
      </c>
      <c r="J158" s="308">
        <v>18</v>
      </c>
      <c r="K158" s="308">
        <v>20</v>
      </c>
      <c r="L158" s="308">
        <v>17</v>
      </c>
      <c r="M158" s="308">
        <v>15</v>
      </c>
      <c r="N158" s="309">
        <f t="shared" si="4"/>
        <v>64.25</v>
      </c>
      <c r="O158" s="309" t="str">
        <f t="shared" si="5"/>
        <v>F</v>
      </c>
    </row>
    <row r="159" spans="1:15" x14ac:dyDescent="0.35">
      <c r="A159" s="305" t="s">
        <v>2468</v>
      </c>
      <c r="B159" s="305" t="s">
        <v>2309</v>
      </c>
      <c r="C159" s="305" t="s">
        <v>2313</v>
      </c>
      <c r="D159" s="306">
        <v>51</v>
      </c>
      <c r="E159" s="306">
        <v>52</v>
      </c>
      <c r="F159" s="306">
        <v>58</v>
      </c>
      <c r="G159" s="306">
        <v>58</v>
      </c>
      <c r="H159" s="307">
        <v>20</v>
      </c>
      <c r="I159" s="307">
        <v>18</v>
      </c>
      <c r="J159" s="308">
        <v>16</v>
      </c>
      <c r="K159" s="308">
        <v>20</v>
      </c>
      <c r="L159" s="308">
        <v>20</v>
      </c>
      <c r="M159" s="308">
        <v>17</v>
      </c>
      <c r="N159" s="309">
        <f t="shared" si="4"/>
        <v>60.550000000000011</v>
      </c>
      <c r="O159" s="309" t="str">
        <f t="shared" si="5"/>
        <v>F</v>
      </c>
    </row>
    <row r="160" spans="1:15" x14ac:dyDescent="0.35">
      <c r="A160" s="305" t="s">
        <v>2469</v>
      </c>
      <c r="B160" s="305" t="s">
        <v>2309</v>
      </c>
      <c r="C160" s="305" t="s">
        <v>2313</v>
      </c>
      <c r="D160" s="306">
        <v>60</v>
      </c>
      <c r="E160" s="306">
        <v>51</v>
      </c>
      <c r="F160" s="306">
        <v>67</v>
      </c>
      <c r="G160" s="306">
        <v>58</v>
      </c>
      <c r="H160" s="307">
        <v>25</v>
      </c>
      <c r="I160" s="307">
        <v>19</v>
      </c>
      <c r="J160" s="308">
        <v>17</v>
      </c>
      <c r="K160" s="308">
        <v>15</v>
      </c>
      <c r="L160" s="308">
        <v>20</v>
      </c>
      <c r="M160" s="308">
        <v>17</v>
      </c>
      <c r="N160" s="309">
        <f t="shared" si="4"/>
        <v>65.399999999999991</v>
      </c>
      <c r="O160" s="309" t="str">
        <f t="shared" si="5"/>
        <v>D</v>
      </c>
    </row>
    <row r="161" spans="1:15" x14ac:dyDescent="0.35">
      <c r="A161" s="305" t="s">
        <v>2470</v>
      </c>
      <c r="B161" s="305" t="s">
        <v>2312</v>
      </c>
      <c r="C161" s="305" t="s">
        <v>2310</v>
      </c>
      <c r="D161" s="306">
        <v>53</v>
      </c>
      <c r="E161" s="306">
        <v>67</v>
      </c>
      <c r="F161" s="306">
        <v>59</v>
      </c>
      <c r="G161" s="306">
        <v>53</v>
      </c>
      <c r="H161" s="307">
        <v>24</v>
      </c>
      <c r="I161" s="307">
        <v>21</v>
      </c>
      <c r="J161" s="308">
        <v>25</v>
      </c>
      <c r="K161" s="308">
        <v>25</v>
      </c>
      <c r="L161" s="308">
        <v>23</v>
      </c>
      <c r="M161" s="308">
        <v>18</v>
      </c>
      <c r="N161" s="309">
        <f t="shared" si="4"/>
        <v>67.400000000000006</v>
      </c>
      <c r="O161" s="309" t="str">
        <f t="shared" si="5"/>
        <v>D</v>
      </c>
    </row>
    <row r="162" spans="1:15" x14ac:dyDescent="0.35">
      <c r="A162" s="305" t="s">
        <v>2471</v>
      </c>
      <c r="B162" s="305" t="s">
        <v>2309</v>
      </c>
      <c r="C162" s="305" t="s">
        <v>2313</v>
      </c>
      <c r="D162" s="306">
        <v>84</v>
      </c>
      <c r="E162" s="306">
        <v>98</v>
      </c>
      <c r="F162" s="306">
        <v>76</v>
      </c>
      <c r="G162" s="306">
        <v>52</v>
      </c>
      <c r="H162" s="307">
        <v>20</v>
      </c>
      <c r="I162" s="307">
        <v>16</v>
      </c>
      <c r="J162" s="308">
        <v>22</v>
      </c>
      <c r="K162" s="308">
        <v>22</v>
      </c>
      <c r="L162" s="308">
        <v>25</v>
      </c>
      <c r="M162" s="308">
        <v>22</v>
      </c>
      <c r="N162" s="309">
        <f t="shared" si="4"/>
        <v>85.350000000000009</v>
      </c>
      <c r="O162" s="309" t="str">
        <f t="shared" si="5"/>
        <v>B</v>
      </c>
    </row>
    <row r="163" spans="1:15" x14ac:dyDescent="0.35">
      <c r="A163" s="305" t="s">
        <v>2472</v>
      </c>
      <c r="B163" s="305" t="s">
        <v>2312</v>
      </c>
      <c r="C163" s="305" t="s">
        <v>2313</v>
      </c>
      <c r="D163" s="306">
        <v>100</v>
      </c>
      <c r="E163" s="306">
        <v>85</v>
      </c>
      <c r="F163" s="306">
        <v>88</v>
      </c>
      <c r="G163" s="306">
        <v>58</v>
      </c>
      <c r="H163" s="307">
        <v>22</v>
      </c>
      <c r="I163" s="307">
        <v>23</v>
      </c>
      <c r="J163" s="308">
        <v>22</v>
      </c>
      <c r="K163" s="308">
        <v>20</v>
      </c>
      <c r="L163" s="308">
        <v>22</v>
      </c>
      <c r="M163" s="308">
        <v>23</v>
      </c>
      <c r="N163" s="309">
        <f t="shared" si="4"/>
        <v>90.3</v>
      </c>
      <c r="O163" s="309" t="str">
        <f t="shared" si="5"/>
        <v>A</v>
      </c>
    </row>
    <row r="164" spans="1:15" x14ac:dyDescent="0.35">
      <c r="A164" s="305" t="s">
        <v>2473</v>
      </c>
      <c r="B164" s="305" t="s">
        <v>2312</v>
      </c>
      <c r="C164" s="305" t="s">
        <v>2310</v>
      </c>
      <c r="D164" s="306">
        <v>83</v>
      </c>
      <c r="E164" s="306">
        <v>81</v>
      </c>
      <c r="F164" s="306">
        <v>79</v>
      </c>
      <c r="G164" s="306">
        <v>98</v>
      </c>
      <c r="H164" s="307">
        <v>21</v>
      </c>
      <c r="I164" s="307">
        <v>17</v>
      </c>
      <c r="J164" s="308">
        <v>25</v>
      </c>
      <c r="K164" s="308">
        <v>24</v>
      </c>
      <c r="L164" s="308">
        <v>23</v>
      </c>
      <c r="M164" s="308">
        <v>20</v>
      </c>
      <c r="N164" s="309">
        <f t="shared" si="4"/>
        <v>86.899999999999991</v>
      </c>
      <c r="O164" s="309" t="str">
        <f t="shared" si="5"/>
        <v>B</v>
      </c>
    </row>
    <row r="165" spans="1:15" x14ac:dyDescent="0.35">
      <c r="A165" s="305" t="s">
        <v>2474</v>
      </c>
      <c r="B165" s="305" t="s">
        <v>2312</v>
      </c>
      <c r="C165" s="305" t="s">
        <v>2310</v>
      </c>
      <c r="D165" s="306">
        <v>91</v>
      </c>
      <c r="E165" s="306">
        <v>84</v>
      </c>
      <c r="F165" s="306">
        <v>65</v>
      </c>
      <c r="G165" s="306">
        <v>90</v>
      </c>
      <c r="H165" s="307">
        <v>20</v>
      </c>
      <c r="I165" s="307">
        <v>17</v>
      </c>
      <c r="J165" s="308">
        <v>24</v>
      </c>
      <c r="K165" s="308">
        <v>20</v>
      </c>
      <c r="L165" s="308">
        <v>22</v>
      </c>
      <c r="M165" s="308">
        <v>23</v>
      </c>
      <c r="N165" s="309">
        <f t="shared" si="4"/>
        <v>87</v>
      </c>
      <c r="O165" s="309" t="str">
        <f t="shared" si="5"/>
        <v>B</v>
      </c>
    </row>
    <row r="166" spans="1:15" x14ac:dyDescent="0.35">
      <c r="A166" s="305" t="s">
        <v>2475</v>
      </c>
      <c r="B166" s="305" t="s">
        <v>2312</v>
      </c>
      <c r="C166" s="305" t="s">
        <v>2310</v>
      </c>
      <c r="D166" s="306">
        <v>91</v>
      </c>
      <c r="E166" s="306">
        <v>79</v>
      </c>
      <c r="F166" s="306">
        <v>82</v>
      </c>
      <c r="G166" s="306">
        <v>86</v>
      </c>
      <c r="H166" s="307">
        <v>20</v>
      </c>
      <c r="I166" s="307">
        <v>24</v>
      </c>
      <c r="J166" s="308">
        <v>22</v>
      </c>
      <c r="K166" s="308">
        <v>22</v>
      </c>
      <c r="L166" s="308">
        <v>24</v>
      </c>
      <c r="M166" s="308">
        <v>25</v>
      </c>
      <c r="N166" s="309">
        <f t="shared" si="4"/>
        <v>87.5</v>
      </c>
      <c r="O166" s="309" t="str">
        <f t="shared" si="5"/>
        <v>B</v>
      </c>
    </row>
    <row r="167" spans="1:15" x14ac:dyDescent="0.35">
      <c r="A167" s="305" t="s">
        <v>2476</v>
      </c>
      <c r="B167" s="305" t="s">
        <v>2309</v>
      </c>
      <c r="C167" s="305" t="s">
        <v>2313</v>
      </c>
      <c r="D167" s="306">
        <v>89</v>
      </c>
      <c r="E167" s="306">
        <v>70</v>
      </c>
      <c r="F167" s="306">
        <v>82</v>
      </c>
      <c r="G167" s="306">
        <v>93</v>
      </c>
      <c r="H167" s="307">
        <v>23</v>
      </c>
      <c r="I167" s="307">
        <v>16</v>
      </c>
      <c r="J167" s="308">
        <v>23</v>
      </c>
      <c r="K167" s="308">
        <v>20</v>
      </c>
      <c r="L167" s="308">
        <v>24</v>
      </c>
      <c r="M167" s="308">
        <v>23</v>
      </c>
      <c r="N167" s="309">
        <f t="shared" si="4"/>
        <v>87.3</v>
      </c>
      <c r="O167" s="309" t="str">
        <f t="shared" si="5"/>
        <v>B</v>
      </c>
    </row>
    <row r="168" spans="1:15" x14ac:dyDescent="0.35">
      <c r="A168" s="305" t="s">
        <v>2477</v>
      </c>
      <c r="B168" s="305" t="s">
        <v>2316</v>
      </c>
      <c r="C168" s="305" t="s">
        <v>2313</v>
      </c>
      <c r="D168" s="306">
        <v>96</v>
      </c>
      <c r="E168" s="306">
        <v>82</v>
      </c>
      <c r="F168" s="306">
        <v>93</v>
      </c>
      <c r="G168" s="306">
        <v>86</v>
      </c>
      <c r="H168" s="307">
        <v>20</v>
      </c>
      <c r="I168" s="307">
        <v>16</v>
      </c>
      <c r="J168" s="308">
        <v>25</v>
      </c>
      <c r="K168" s="308">
        <v>22</v>
      </c>
      <c r="L168" s="308">
        <v>24</v>
      </c>
      <c r="M168" s="308">
        <v>19</v>
      </c>
      <c r="N168" s="309">
        <f t="shared" si="4"/>
        <v>89.45</v>
      </c>
      <c r="O168" s="309" t="str">
        <f t="shared" si="5"/>
        <v>B</v>
      </c>
    </row>
    <row r="169" spans="1:15" x14ac:dyDescent="0.35">
      <c r="A169" s="305" t="s">
        <v>2478</v>
      </c>
      <c r="B169" s="305" t="s">
        <v>2312</v>
      </c>
      <c r="C169" s="305" t="s">
        <v>2310</v>
      </c>
      <c r="D169" s="306">
        <v>97</v>
      </c>
      <c r="E169" s="306">
        <v>92</v>
      </c>
      <c r="F169" s="306">
        <v>81</v>
      </c>
      <c r="G169" s="306">
        <v>91</v>
      </c>
      <c r="H169" s="307">
        <v>20</v>
      </c>
      <c r="I169" s="307">
        <v>16</v>
      </c>
      <c r="J169" s="308">
        <v>22</v>
      </c>
      <c r="K169" s="308">
        <v>23</v>
      </c>
      <c r="L169" s="308">
        <v>22</v>
      </c>
      <c r="M169" s="308">
        <v>23</v>
      </c>
      <c r="N169" s="309">
        <f t="shared" si="4"/>
        <v>90.699999999999989</v>
      </c>
      <c r="O169" s="309" t="str">
        <f t="shared" si="5"/>
        <v>A</v>
      </c>
    </row>
    <row r="170" spans="1:15" x14ac:dyDescent="0.35">
      <c r="A170" s="305" t="s">
        <v>2479</v>
      </c>
      <c r="B170" s="305" t="s">
        <v>2316</v>
      </c>
      <c r="C170" s="305" t="s">
        <v>2310</v>
      </c>
      <c r="D170" s="306">
        <v>88</v>
      </c>
      <c r="E170" s="306">
        <v>77</v>
      </c>
      <c r="F170" s="306">
        <v>91</v>
      </c>
      <c r="G170" s="306">
        <v>88</v>
      </c>
      <c r="H170" s="307">
        <v>22</v>
      </c>
      <c r="I170" s="307">
        <v>17</v>
      </c>
      <c r="J170" s="308">
        <v>24</v>
      </c>
      <c r="K170" s="308">
        <v>24</v>
      </c>
      <c r="L170" s="308">
        <v>23</v>
      </c>
      <c r="M170" s="308">
        <v>24</v>
      </c>
      <c r="N170" s="309">
        <f t="shared" si="4"/>
        <v>88.8</v>
      </c>
      <c r="O170" s="309" t="str">
        <f t="shared" si="5"/>
        <v>B</v>
      </c>
    </row>
    <row r="171" spans="1:15" x14ac:dyDescent="0.35">
      <c r="A171" s="305" t="s">
        <v>2480</v>
      </c>
      <c r="B171" s="305" t="s">
        <v>2312</v>
      </c>
      <c r="C171" s="305" t="s">
        <v>2313</v>
      </c>
      <c r="D171" s="306">
        <v>90</v>
      </c>
      <c r="E171" s="306">
        <v>94</v>
      </c>
      <c r="F171" s="306">
        <v>61</v>
      </c>
      <c r="G171" s="306">
        <v>84</v>
      </c>
      <c r="H171" s="307">
        <v>23</v>
      </c>
      <c r="I171" s="307">
        <v>16</v>
      </c>
      <c r="J171" s="308">
        <v>24</v>
      </c>
      <c r="K171" s="308">
        <v>24</v>
      </c>
      <c r="L171" s="308">
        <v>22</v>
      </c>
      <c r="M171" s="308">
        <v>18</v>
      </c>
      <c r="N171" s="309">
        <f t="shared" si="4"/>
        <v>88</v>
      </c>
      <c r="O171" s="309" t="str">
        <f t="shared" si="5"/>
        <v>B</v>
      </c>
    </row>
    <row r="172" spans="1:15" x14ac:dyDescent="0.35">
      <c r="A172" s="305" t="s">
        <v>2481</v>
      </c>
      <c r="B172" s="305" t="s">
        <v>2316</v>
      </c>
      <c r="C172" s="305" t="s">
        <v>2310</v>
      </c>
      <c r="D172" s="306">
        <v>99</v>
      </c>
      <c r="E172" s="306">
        <v>78</v>
      </c>
      <c r="F172" s="306">
        <v>98</v>
      </c>
      <c r="G172" s="306">
        <v>93</v>
      </c>
      <c r="H172" s="307">
        <v>21</v>
      </c>
      <c r="I172" s="307">
        <v>19</v>
      </c>
      <c r="J172" s="308">
        <v>25</v>
      </c>
      <c r="K172" s="308">
        <v>21</v>
      </c>
      <c r="L172" s="308">
        <v>25</v>
      </c>
      <c r="M172" s="308">
        <v>25</v>
      </c>
      <c r="N172" s="309">
        <f t="shared" si="4"/>
        <v>94.9</v>
      </c>
      <c r="O172" s="309" t="str">
        <f t="shared" si="5"/>
        <v>A</v>
      </c>
    </row>
    <row r="173" spans="1:15" x14ac:dyDescent="0.35">
      <c r="A173" s="305" t="s">
        <v>2482</v>
      </c>
      <c r="B173" s="305" t="s">
        <v>2316</v>
      </c>
      <c r="C173" s="305" t="s">
        <v>2310</v>
      </c>
      <c r="D173" s="306">
        <v>88</v>
      </c>
      <c r="E173" s="306">
        <v>83</v>
      </c>
      <c r="F173" s="306">
        <v>92</v>
      </c>
      <c r="G173" s="306">
        <v>86</v>
      </c>
      <c r="H173" s="307">
        <v>20</v>
      </c>
      <c r="I173" s="307">
        <v>22</v>
      </c>
      <c r="J173" s="308">
        <v>22</v>
      </c>
      <c r="K173" s="308">
        <v>19</v>
      </c>
      <c r="L173" s="308">
        <v>23</v>
      </c>
      <c r="M173" s="308">
        <v>25</v>
      </c>
      <c r="N173" s="309">
        <f t="shared" si="4"/>
        <v>88.25</v>
      </c>
      <c r="O173" s="309" t="str">
        <f t="shared" si="5"/>
        <v>B</v>
      </c>
    </row>
    <row r="174" spans="1:15" x14ac:dyDescent="0.35">
      <c r="A174" s="305" t="s">
        <v>2483</v>
      </c>
      <c r="B174" s="305" t="s">
        <v>2309</v>
      </c>
      <c r="C174" s="305" t="s">
        <v>2310</v>
      </c>
      <c r="D174" s="306">
        <v>85</v>
      </c>
      <c r="E174" s="306">
        <v>74</v>
      </c>
      <c r="F174" s="306">
        <v>76</v>
      </c>
      <c r="G174" s="306">
        <v>92</v>
      </c>
      <c r="H174" s="307">
        <v>20</v>
      </c>
      <c r="I174" s="307">
        <v>19</v>
      </c>
      <c r="J174" s="308">
        <v>23</v>
      </c>
      <c r="K174" s="308">
        <v>21</v>
      </c>
      <c r="L174" s="308">
        <v>24</v>
      </c>
      <c r="M174" s="308">
        <v>21</v>
      </c>
      <c r="N174" s="309">
        <f t="shared" si="4"/>
        <v>84.399999999999991</v>
      </c>
      <c r="O174" s="309" t="str">
        <f t="shared" si="5"/>
        <v>B</v>
      </c>
    </row>
    <row r="175" spans="1:15" x14ac:dyDescent="0.35">
      <c r="A175" s="305" t="s">
        <v>2484</v>
      </c>
      <c r="B175" s="305" t="s">
        <v>2312</v>
      </c>
      <c r="C175" s="305" t="s">
        <v>2310</v>
      </c>
      <c r="D175" s="306">
        <v>98</v>
      </c>
      <c r="E175" s="306">
        <v>85</v>
      </c>
      <c r="F175" s="306">
        <v>99</v>
      </c>
      <c r="G175" s="306">
        <v>97</v>
      </c>
      <c r="H175" s="307">
        <v>21</v>
      </c>
      <c r="I175" s="307">
        <v>19</v>
      </c>
      <c r="J175" s="308">
        <v>23</v>
      </c>
      <c r="K175" s="308">
        <v>23</v>
      </c>
      <c r="L175" s="308">
        <v>25</v>
      </c>
      <c r="M175" s="308">
        <v>21</v>
      </c>
      <c r="N175" s="309">
        <f t="shared" si="4"/>
        <v>95.3</v>
      </c>
      <c r="O175" s="309" t="str">
        <f t="shared" si="5"/>
        <v>A</v>
      </c>
    </row>
    <row r="176" spans="1:15" x14ac:dyDescent="0.35">
      <c r="A176" s="305" t="s">
        <v>2485</v>
      </c>
      <c r="B176" s="305" t="s">
        <v>2309</v>
      </c>
      <c r="C176" s="305" t="s">
        <v>2313</v>
      </c>
      <c r="D176" s="306">
        <v>90</v>
      </c>
      <c r="E176" s="306">
        <v>72</v>
      </c>
      <c r="F176" s="306">
        <v>78</v>
      </c>
      <c r="G176" s="306">
        <v>89</v>
      </c>
      <c r="H176" s="307">
        <v>21</v>
      </c>
      <c r="I176" s="307">
        <v>21</v>
      </c>
      <c r="J176" s="308">
        <v>25</v>
      </c>
      <c r="K176" s="308">
        <v>22</v>
      </c>
      <c r="L176" s="308">
        <v>25</v>
      </c>
      <c r="M176" s="308">
        <v>23</v>
      </c>
      <c r="N176" s="309">
        <f t="shared" si="4"/>
        <v>86.9</v>
      </c>
      <c r="O176" s="309" t="str">
        <f t="shared" si="5"/>
        <v>B</v>
      </c>
    </row>
    <row r="177" spans="1:15" x14ac:dyDescent="0.35">
      <c r="A177" s="305" t="s">
        <v>2486</v>
      </c>
      <c r="B177" s="305" t="s">
        <v>2309</v>
      </c>
      <c r="C177" s="305" t="s">
        <v>2313</v>
      </c>
      <c r="D177" s="306">
        <v>86</v>
      </c>
      <c r="E177" s="306">
        <v>89</v>
      </c>
      <c r="F177" s="306">
        <v>90</v>
      </c>
      <c r="G177" s="306">
        <v>99</v>
      </c>
      <c r="H177" s="307">
        <v>23</v>
      </c>
      <c r="I177" s="307">
        <v>21</v>
      </c>
      <c r="J177" s="308">
        <v>25</v>
      </c>
      <c r="K177" s="308">
        <v>24</v>
      </c>
      <c r="L177" s="308">
        <v>24</v>
      </c>
      <c r="M177" s="308">
        <v>23</v>
      </c>
      <c r="N177" s="309">
        <f t="shared" si="4"/>
        <v>92.699999999999989</v>
      </c>
      <c r="O177" s="309" t="str">
        <f t="shared" si="5"/>
        <v>A</v>
      </c>
    </row>
    <row r="178" spans="1:15" x14ac:dyDescent="0.35">
      <c r="A178" s="305" t="s">
        <v>2487</v>
      </c>
      <c r="B178" s="305" t="s">
        <v>2312</v>
      </c>
      <c r="C178" s="305" t="s">
        <v>2313</v>
      </c>
      <c r="D178" s="306">
        <v>95</v>
      </c>
      <c r="E178" s="306">
        <v>75</v>
      </c>
      <c r="F178" s="306">
        <v>89</v>
      </c>
      <c r="G178" s="306">
        <v>98</v>
      </c>
      <c r="H178" s="307">
        <v>22</v>
      </c>
      <c r="I178" s="307">
        <v>19</v>
      </c>
      <c r="J178" s="308">
        <v>24</v>
      </c>
      <c r="K178" s="308">
        <v>21</v>
      </c>
      <c r="L178" s="308">
        <v>24</v>
      </c>
      <c r="M178" s="308">
        <v>24</v>
      </c>
      <c r="N178" s="309">
        <f t="shared" si="4"/>
        <v>92.65</v>
      </c>
      <c r="O178" s="309" t="str">
        <f t="shared" si="5"/>
        <v>A</v>
      </c>
    </row>
    <row r="179" spans="1:15" x14ac:dyDescent="0.35">
      <c r="A179" s="305" t="s">
        <v>2488</v>
      </c>
      <c r="B179" s="305" t="s">
        <v>2309</v>
      </c>
      <c r="C179" s="305" t="s">
        <v>2310</v>
      </c>
      <c r="D179" s="306">
        <v>85</v>
      </c>
      <c r="E179" s="306">
        <v>100</v>
      </c>
      <c r="F179" s="306">
        <v>80</v>
      </c>
      <c r="G179" s="306">
        <v>83</v>
      </c>
      <c r="H179" s="307">
        <v>23</v>
      </c>
      <c r="I179" s="307">
        <v>24</v>
      </c>
      <c r="J179" s="308">
        <v>23</v>
      </c>
      <c r="K179" s="308">
        <v>19</v>
      </c>
      <c r="L179" s="308">
        <v>23</v>
      </c>
      <c r="M179" s="308">
        <v>21</v>
      </c>
      <c r="N179" s="309">
        <f t="shared" si="4"/>
        <v>89.300000000000011</v>
      </c>
      <c r="O179" s="309" t="str">
        <f t="shared" si="5"/>
        <v>B</v>
      </c>
    </row>
    <row r="180" spans="1:15" x14ac:dyDescent="0.35">
      <c r="A180" s="305" t="s">
        <v>2489</v>
      </c>
      <c r="B180" s="305" t="s">
        <v>2312</v>
      </c>
      <c r="C180" s="305" t="s">
        <v>2313</v>
      </c>
      <c r="D180" s="306">
        <v>87</v>
      </c>
      <c r="E180" s="306">
        <v>85</v>
      </c>
      <c r="F180" s="306">
        <v>96</v>
      </c>
      <c r="G180" s="306">
        <v>86</v>
      </c>
      <c r="H180" s="307">
        <v>25</v>
      </c>
      <c r="I180" s="307">
        <v>25</v>
      </c>
      <c r="J180" s="308">
        <v>22</v>
      </c>
      <c r="K180" s="308">
        <v>19</v>
      </c>
      <c r="L180" s="308">
        <v>25</v>
      </c>
      <c r="M180" s="308">
        <v>23</v>
      </c>
      <c r="N180" s="309">
        <f t="shared" si="4"/>
        <v>90.6</v>
      </c>
      <c r="O180" s="309" t="str">
        <f t="shared" si="5"/>
        <v>A</v>
      </c>
    </row>
    <row r="181" spans="1:15" x14ac:dyDescent="0.35">
      <c r="A181" s="305" t="s">
        <v>2490</v>
      </c>
      <c r="B181" s="305" t="s">
        <v>2312</v>
      </c>
      <c r="C181" s="305" t="s">
        <v>2313</v>
      </c>
      <c r="D181" s="306">
        <v>92</v>
      </c>
      <c r="E181" s="306">
        <v>82</v>
      </c>
      <c r="F181" s="306">
        <v>95</v>
      </c>
      <c r="G181" s="306">
        <v>98</v>
      </c>
      <c r="H181" s="307">
        <v>22</v>
      </c>
      <c r="I181" s="307">
        <v>23</v>
      </c>
      <c r="J181" s="308">
        <v>25</v>
      </c>
      <c r="K181" s="308">
        <v>24</v>
      </c>
      <c r="L181" s="308">
        <v>24</v>
      </c>
      <c r="M181" s="308">
        <v>25</v>
      </c>
      <c r="N181" s="309">
        <f t="shared" si="4"/>
        <v>94.95</v>
      </c>
      <c r="O181" s="309" t="str">
        <f t="shared" si="5"/>
        <v>A</v>
      </c>
    </row>
    <row r="182" spans="1:15" x14ac:dyDescent="0.35">
      <c r="A182" s="305" t="s">
        <v>2491</v>
      </c>
      <c r="B182" s="305" t="s">
        <v>2312</v>
      </c>
      <c r="C182" s="305" t="s">
        <v>2310</v>
      </c>
      <c r="D182" s="306">
        <v>53</v>
      </c>
      <c r="E182" s="306">
        <v>57</v>
      </c>
      <c r="F182" s="306">
        <v>49</v>
      </c>
      <c r="G182" s="306">
        <v>52</v>
      </c>
      <c r="H182" s="307">
        <v>23</v>
      </c>
      <c r="I182" s="307">
        <v>21</v>
      </c>
      <c r="J182" s="308">
        <v>23</v>
      </c>
      <c r="K182" s="308">
        <v>23</v>
      </c>
      <c r="L182" s="308">
        <v>23</v>
      </c>
      <c r="M182" s="308">
        <v>23</v>
      </c>
      <c r="N182" s="309">
        <f t="shared" si="4"/>
        <v>63.099999999999994</v>
      </c>
      <c r="O182" s="309" t="str">
        <f t="shared" si="5"/>
        <v>F</v>
      </c>
    </row>
    <row r="183" spans="1:15" x14ac:dyDescent="0.35">
      <c r="A183" s="305" t="s">
        <v>2492</v>
      </c>
      <c r="B183" s="305" t="s">
        <v>2316</v>
      </c>
      <c r="C183" s="305" t="s">
        <v>2310</v>
      </c>
      <c r="D183" s="306">
        <v>48</v>
      </c>
      <c r="E183" s="306">
        <v>57</v>
      </c>
      <c r="F183" s="306">
        <v>49</v>
      </c>
      <c r="G183" s="306">
        <v>56</v>
      </c>
      <c r="H183" s="307">
        <v>24</v>
      </c>
      <c r="I183" s="307">
        <v>19</v>
      </c>
      <c r="J183" s="308">
        <v>25</v>
      </c>
      <c r="K183" s="308">
        <v>18</v>
      </c>
      <c r="L183" s="308">
        <v>25</v>
      </c>
      <c r="M183" s="308">
        <v>24</v>
      </c>
      <c r="N183" s="309">
        <f t="shared" si="4"/>
        <v>62.900000000000006</v>
      </c>
      <c r="O183" s="309" t="str">
        <f t="shared" si="5"/>
        <v>F</v>
      </c>
    </row>
    <row r="184" spans="1:15" x14ac:dyDescent="0.35">
      <c r="A184" s="305" t="s">
        <v>2493</v>
      </c>
      <c r="B184" s="305" t="s">
        <v>2316</v>
      </c>
      <c r="C184" s="305" t="s">
        <v>2310</v>
      </c>
      <c r="D184" s="306">
        <v>52</v>
      </c>
      <c r="E184" s="306">
        <v>58</v>
      </c>
      <c r="F184" s="306">
        <v>41</v>
      </c>
      <c r="G184" s="306">
        <v>59</v>
      </c>
      <c r="H184" s="307">
        <v>20</v>
      </c>
      <c r="I184" s="307">
        <v>16</v>
      </c>
      <c r="J184" s="308">
        <v>25</v>
      </c>
      <c r="K184" s="308">
        <v>20</v>
      </c>
      <c r="L184" s="308">
        <v>25</v>
      </c>
      <c r="M184" s="308">
        <v>19</v>
      </c>
      <c r="N184" s="309">
        <f t="shared" si="4"/>
        <v>62.800000000000004</v>
      </c>
      <c r="O184" s="309" t="str">
        <f t="shared" si="5"/>
        <v>F</v>
      </c>
    </row>
    <row r="185" spans="1:15" x14ac:dyDescent="0.35">
      <c r="A185" s="305" t="s">
        <v>2494</v>
      </c>
      <c r="B185" s="305" t="s">
        <v>2309</v>
      </c>
      <c r="C185" s="305" t="s">
        <v>2313</v>
      </c>
      <c r="D185" s="306">
        <v>43</v>
      </c>
      <c r="E185" s="306">
        <v>45</v>
      </c>
      <c r="F185" s="306">
        <v>43</v>
      </c>
      <c r="G185" s="306">
        <v>40</v>
      </c>
      <c r="H185" s="307">
        <v>23</v>
      </c>
      <c r="I185" s="307">
        <v>21</v>
      </c>
      <c r="J185" s="308">
        <v>22</v>
      </c>
      <c r="K185" s="308">
        <v>19</v>
      </c>
      <c r="L185" s="308">
        <v>25</v>
      </c>
      <c r="M185" s="308">
        <v>22</v>
      </c>
      <c r="N185" s="309">
        <f t="shared" si="4"/>
        <v>54.75</v>
      </c>
      <c r="O185" s="309" t="str">
        <f t="shared" si="5"/>
        <v>F</v>
      </c>
    </row>
    <row r="186" spans="1:15" x14ac:dyDescent="0.35">
      <c r="A186" s="305" t="s">
        <v>2495</v>
      </c>
      <c r="B186" s="305" t="s">
        <v>2309</v>
      </c>
      <c r="C186" s="305" t="s">
        <v>2310</v>
      </c>
      <c r="D186" s="306">
        <v>43</v>
      </c>
      <c r="E186" s="306">
        <v>53</v>
      </c>
      <c r="F186" s="306">
        <v>41</v>
      </c>
      <c r="G186" s="306">
        <v>54</v>
      </c>
      <c r="H186" s="307">
        <v>22</v>
      </c>
      <c r="I186" s="307">
        <v>21</v>
      </c>
      <c r="J186" s="308">
        <v>23</v>
      </c>
      <c r="K186" s="308">
        <v>25</v>
      </c>
      <c r="L186" s="308">
        <v>22</v>
      </c>
      <c r="M186" s="308">
        <v>23</v>
      </c>
      <c r="N186" s="309">
        <f t="shared" si="4"/>
        <v>60.050000000000004</v>
      </c>
      <c r="O186" s="309" t="str">
        <f t="shared" si="5"/>
        <v>F</v>
      </c>
    </row>
    <row r="187" spans="1:15" x14ac:dyDescent="0.35">
      <c r="A187" s="305" t="s">
        <v>2496</v>
      </c>
      <c r="B187" s="305" t="s">
        <v>2312</v>
      </c>
      <c r="C187" s="305" t="s">
        <v>2310</v>
      </c>
      <c r="D187" s="306">
        <v>57</v>
      </c>
      <c r="E187" s="306">
        <v>60</v>
      </c>
      <c r="F187" s="306">
        <v>43</v>
      </c>
      <c r="G187" s="306">
        <v>43</v>
      </c>
      <c r="H187" s="307">
        <v>20</v>
      </c>
      <c r="I187" s="307">
        <v>16</v>
      </c>
      <c r="J187" s="308">
        <v>25</v>
      </c>
      <c r="K187" s="308">
        <v>20</v>
      </c>
      <c r="L187" s="308">
        <v>23</v>
      </c>
      <c r="M187" s="308">
        <v>21</v>
      </c>
      <c r="N187" s="309">
        <f t="shared" si="4"/>
        <v>60.550000000000004</v>
      </c>
      <c r="O187" s="309" t="str">
        <f t="shared" si="5"/>
        <v>F</v>
      </c>
    </row>
    <row r="188" spans="1:15" x14ac:dyDescent="0.35">
      <c r="A188" s="305" t="s">
        <v>2497</v>
      </c>
      <c r="B188" s="305" t="s">
        <v>2309</v>
      </c>
      <c r="C188" s="305" t="s">
        <v>2313</v>
      </c>
      <c r="D188" s="306">
        <v>50</v>
      </c>
      <c r="E188" s="306">
        <v>43</v>
      </c>
      <c r="F188" s="306">
        <v>55</v>
      </c>
      <c r="G188" s="306">
        <v>57</v>
      </c>
      <c r="H188" s="307">
        <v>24</v>
      </c>
      <c r="I188" s="307">
        <v>15</v>
      </c>
      <c r="J188" s="308">
        <v>23</v>
      </c>
      <c r="K188" s="308">
        <v>22</v>
      </c>
      <c r="L188" s="308">
        <v>25</v>
      </c>
      <c r="M188" s="308">
        <v>22</v>
      </c>
      <c r="N188" s="309">
        <f t="shared" si="4"/>
        <v>62.099999999999994</v>
      </c>
      <c r="O188" s="309" t="str">
        <f t="shared" si="5"/>
        <v>F</v>
      </c>
    </row>
    <row r="189" spans="1:15" x14ac:dyDescent="0.35">
      <c r="A189" s="305" t="s">
        <v>1849</v>
      </c>
      <c r="B189" s="305" t="s">
        <v>2316</v>
      </c>
      <c r="C189" s="305" t="s">
        <v>2313</v>
      </c>
      <c r="D189" s="306">
        <v>43</v>
      </c>
      <c r="E189" s="306">
        <v>47</v>
      </c>
      <c r="F189" s="306">
        <v>46</v>
      </c>
      <c r="G189" s="306">
        <v>41</v>
      </c>
      <c r="H189" s="307">
        <v>25</v>
      </c>
      <c r="I189" s="307">
        <v>20</v>
      </c>
      <c r="J189" s="308">
        <v>24</v>
      </c>
      <c r="K189" s="308">
        <v>18</v>
      </c>
      <c r="L189" s="308">
        <v>25</v>
      </c>
      <c r="M189" s="308">
        <v>20</v>
      </c>
      <c r="N189" s="309">
        <f t="shared" si="4"/>
        <v>56.05</v>
      </c>
      <c r="O189" s="309" t="str">
        <f t="shared" si="5"/>
        <v>F</v>
      </c>
    </row>
    <row r="190" spans="1:15" x14ac:dyDescent="0.35">
      <c r="A190" s="305" t="s">
        <v>2498</v>
      </c>
      <c r="B190" s="305" t="s">
        <v>2312</v>
      </c>
      <c r="C190" s="305" t="s">
        <v>2313</v>
      </c>
      <c r="D190" s="306">
        <v>51</v>
      </c>
      <c r="E190" s="306">
        <v>68</v>
      </c>
      <c r="F190" s="306">
        <v>58</v>
      </c>
      <c r="G190" s="306">
        <v>51</v>
      </c>
      <c r="H190" s="307">
        <v>25</v>
      </c>
      <c r="I190" s="307">
        <v>18</v>
      </c>
      <c r="J190" s="308">
        <v>25</v>
      </c>
      <c r="K190" s="308">
        <v>23</v>
      </c>
      <c r="L190" s="308">
        <v>25</v>
      </c>
      <c r="M190" s="308">
        <v>22</v>
      </c>
      <c r="N190" s="309">
        <f t="shared" si="4"/>
        <v>67.099999999999994</v>
      </c>
      <c r="O190" s="309" t="str">
        <f t="shared" si="5"/>
        <v>D</v>
      </c>
    </row>
    <row r="191" spans="1:15" x14ac:dyDescent="0.35">
      <c r="A191" s="305" t="s">
        <v>2499</v>
      </c>
      <c r="B191" s="305" t="s">
        <v>2309</v>
      </c>
      <c r="C191" s="305" t="s">
        <v>2310</v>
      </c>
      <c r="D191" s="306">
        <v>62</v>
      </c>
      <c r="E191" s="306">
        <v>55</v>
      </c>
      <c r="F191" s="306">
        <v>56</v>
      </c>
      <c r="G191" s="306">
        <v>51</v>
      </c>
      <c r="H191" s="307">
        <v>22</v>
      </c>
      <c r="I191" s="307">
        <v>23</v>
      </c>
      <c r="J191" s="308">
        <v>24</v>
      </c>
      <c r="K191" s="308">
        <v>24</v>
      </c>
      <c r="L191" s="308">
        <v>22</v>
      </c>
      <c r="M191" s="308">
        <v>24</v>
      </c>
      <c r="N191" s="309">
        <f t="shared" si="4"/>
        <v>66.349999999999994</v>
      </c>
      <c r="O191" s="309" t="str">
        <f t="shared" si="5"/>
        <v>D</v>
      </c>
    </row>
    <row r="192" spans="1:15" x14ac:dyDescent="0.35">
      <c r="A192" s="305" t="s">
        <v>2500</v>
      </c>
      <c r="B192" s="305" t="s">
        <v>2316</v>
      </c>
      <c r="C192" s="305" t="s">
        <v>2313</v>
      </c>
      <c r="D192" s="306">
        <v>58</v>
      </c>
      <c r="E192" s="306">
        <v>51</v>
      </c>
      <c r="F192" s="306">
        <v>57</v>
      </c>
      <c r="G192" s="306">
        <v>55</v>
      </c>
      <c r="H192" s="307">
        <v>21</v>
      </c>
      <c r="I192" s="307">
        <v>21</v>
      </c>
      <c r="J192" s="308">
        <v>25</v>
      </c>
      <c r="K192" s="308">
        <v>19</v>
      </c>
      <c r="L192" s="308">
        <v>24</v>
      </c>
      <c r="M192" s="308">
        <v>21</v>
      </c>
      <c r="N192" s="309">
        <f t="shared" si="4"/>
        <v>64.25</v>
      </c>
      <c r="O192" s="309" t="str">
        <f t="shared" si="5"/>
        <v>F</v>
      </c>
    </row>
    <row r="193" spans="1:15" x14ac:dyDescent="0.35">
      <c r="A193" s="305" t="s">
        <v>2501</v>
      </c>
      <c r="B193" s="305" t="s">
        <v>2316</v>
      </c>
      <c r="C193" s="305" t="s">
        <v>2313</v>
      </c>
      <c r="D193" s="306">
        <v>53</v>
      </c>
      <c r="E193" s="306">
        <v>55</v>
      </c>
      <c r="F193" s="306">
        <v>65</v>
      </c>
      <c r="G193" s="306">
        <v>58</v>
      </c>
      <c r="H193" s="307">
        <v>25</v>
      </c>
      <c r="I193" s="307">
        <v>23</v>
      </c>
      <c r="J193" s="308">
        <v>23</v>
      </c>
      <c r="K193" s="308">
        <v>19</v>
      </c>
      <c r="L193" s="308">
        <v>23</v>
      </c>
      <c r="M193" s="308">
        <v>23</v>
      </c>
      <c r="N193" s="309">
        <f t="shared" si="4"/>
        <v>67.3</v>
      </c>
      <c r="O193" s="309" t="str">
        <f t="shared" si="5"/>
        <v>D</v>
      </c>
    </row>
    <row r="194" spans="1:15" x14ac:dyDescent="0.35">
      <c r="A194" s="305" t="s">
        <v>2502</v>
      </c>
      <c r="B194" s="305" t="s">
        <v>2309</v>
      </c>
      <c r="C194" s="305" t="s">
        <v>2313</v>
      </c>
      <c r="D194" s="306">
        <v>81</v>
      </c>
      <c r="E194" s="306">
        <v>88</v>
      </c>
      <c r="F194" s="306">
        <v>60</v>
      </c>
      <c r="G194" s="306">
        <v>52</v>
      </c>
      <c r="H194" s="307">
        <v>25</v>
      </c>
      <c r="I194" s="307">
        <v>19</v>
      </c>
      <c r="J194" s="308">
        <v>22</v>
      </c>
      <c r="K194" s="308">
        <v>19</v>
      </c>
      <c r="L194" s="308">
        <v>22</v>
      </c>
      <c r="M194" s="308">
        <v>25</v>
      </c>
      <c r="N194" s="309">
        <f t="shared" si="4"/>
        <v>79.25</v>
      </c>
      <c r="O194" s="309" t="str">
        <f t="shared" si="5"/>
        <v>C</v>
      </c>
    </row>
    <row r="195" spans="1:15" x14ac:dyDescent="0.35">
      <c r="A195" s="305" t="s">
        <v>2503</v>
      </c>
      <c r="B195" s="305" t="s">
        <v>2316</v>
      </c>
      <c r="C195" s="305" t="s">
        <v>2313</v>
      </c>
      <c r="D195" s="306">
        <v>91</v>
      </c>
      <c r="E195" s="306">
        <v>99</v>
      </c>
      <c r="F195" s="306">
        <v>63</v>
      </c>
      <c r="G195" s="306">
        <v>60</v>
      </c>
      <c r="H195" s="307">
        <v>22</v>
      </c>
      <c r="I195" s="307">
        <v>17</v>
      </c>
      <c r="J195" s="308">
        <v>25</v>
      </c>
      <c r="K195" s="308">
        <v>24</v>
      </c>
      <c r="L195" s="308">
        <v>24</v>
      </c>
      <c r="M195" s="308">
        <v>23</v>
      </c>
      <c r="N195" s="309">
        <f t="shared" si="4"/>
        <v>85.449999999999989</v>
      </c>
      <c r="O195" s="309" t="str">
        <f t="shared" si="5"/>
        <v>B</v>
      </c>
    </row>
    <row r="196" spans="1:15" x14ac:dyDescent="0.35">
      <c r="A196" s="305" t="s">
        <v>2504</v>
      </c>
      <c r="B196" s="305" t="s">
        <v>2316</v>
      </c>
      <c r="C196" s="305" t="s">
        <v>2313</v>
      </c>
      <c r="D196" s="306">
        <v>86</v>
      </c>
      <c r="E196" s="306">
        <v>80</v>
      </c>
      <c r="F196" s="306">
        <v>84</v>
      </c>
      <c r="G196" s="306">
        <v>96</v>
      </c>
      <c r="H196" s="307">
        <v>22</v>
      </c>
      <c r="I196" s="307">
        <v>19</v>
      </c>
      <c r="J196" s="308">
        <v>25</v>
      </c>
      <c r="K196" s="308">
        <v>24</v>
      </c>
      <c r="L196" s="308">
        <v>23</v>
      </c>
      <c r="M196" s="308">
        <v>19</v>
      </c>
      <c r="N196" s="309">
        <f t="shared" si="4"/>
        <v>88.350000000000009</v>
      </c>
      <c r="O196" s="309" t="str">
        <f t="shared" si="5"/>
        <v>B</v>
      </c>
    </row>
    <row r="197" spans="1:15" x14ac:dyDescent="0.35">
      <c r="A197" s="305" t="s">
        <v>2505</v>
      </c>
      <c r="B197" s="305" t="s">
        <v>2316</v>
      </c>
      <c r="C197" s="305" t="s">
        <v>2313</v>
      </c>
      <c r="D197" s="306">
        <v>92</v>
      </c>
      <c r="E197" s="306">
        <v>75</v>
      </c>
      <c r="F197" s="306">
        <v>67</v>
      </c>
      <c r="G197" s="306">
        <v>94</v>
      </c>
      <c r="H197" s="307">
        <v>24</v>
      </c>
      <c r="I197" s="307">
        <v>16</v>
      </c>
      <c r="J197" s="308">
        <v>25</v>
      </c>
      <c r="K197" s="308">
        <v>21</v>
      </c>
      <c r="L197" s="308">
        <v>24</v>
      </c>
      <c r="M197" s="308">
        <v>24</v>
      </c>
      <c r="N197" s="309">
        <f t="shared" si="4"/>
        <v>87.35</v>
      </c>
      <c r="O197" s="309" t="str">
        <f t="shared" si="5"/>
        <v>B</v>
      </c>
    </row>
    <row r="198" spans="1:15" x14ac:dyDescent="0.35">
      <c r="A198" s="305" t="s">
        <v>2506</v>
      </c>
      <c r="B198" s="305" t="s">
        <v>2309</v>
      </c>
      <c r="C198" s="305" t="s">
        <v>2310</v>
      </c>
      <c r="D198" s="306">
        <v>80</v>
      </c>
      <c r="E198" s="306">
        <v>83</v>
      </c>
      <c r="F198" s="306">
        <v>99</v>
      </c>
      <c r="G198" s="306">
        <v>90</v>
      </c>
      <c r="H198" s="307">
        <v>20</v>
      </c>
      <c r="I198" s="307">
        <v>19</v>
      </c>
      <c r="J198" s="308">
        <v>24</v>
      </c>
      <c r="K198" s="308">
        <v>18</v>
      </c>
      <c r="L198" s="308">
        <v>22</v>
      </c>
      <c r="M198" s="308">
        <v>20</v>
      </c>
      <c r="N198" s="309">
        <f t="shared" si="4"/>
        <v>88.399999999999991</v>
      </c>
      <c r="O198" s="309" t="str">
        <f t="shared" si="5"/>
        <v>B</v>
      </c>
    </row>
    <row r="199" spans="1:15" x14ac:dyDescent="0.35">
      <c r="A199" s="305" t="s">
        <v>2507</v>
      </c>
      <c r="B199" s="305" t="s">
        <v>2316</v>
      </c>
      <c r="C199" s="305" t="s">
        <v>2313</v>
      </c>
      <c r="D199" s="306">
        <v>95</v>
      </c>
      <c r="E199" s="306">
        <v>72</v>
      </c>
      <c r="F199" s="306">
        <v>81</v>
      </c>
      <c r="G199" s="306">
        <v>94</v>
      </c>
      <c r="H199" s="307">
        <v>25</v>
      </c>
      <c r="I199" s="307">
        <v>25</v>
      </c>
      <c r="J199" s="308">
        <v>22</v>
      </c>
      <c r="K199" s="308">
        <v>18</v>
      </c>
      <c r="L199" s="308">
        <v>25</v>
      </c>
      <c r="M199" s="308">
        <v>24</v>
      </c>
      <c r="N199" s="309">
        <f t="shared" si="4"/>
        <v>90.85</v>
      </c>
      <c r="O199" s="309" t="str">
        <f t="shared" si="5"/>
        <v>A</v>
      </c>
    </row>
    <row r="200" spans="1:15" x14ac:dyDescent="0.35">
      <c r="A200" s="305" t="s">
        <v>2508</v>
      </c>
      <c r="B200" s="305" t="s">
        <v>2316</v>
      </c>
      <c r="C200" s="305" t="s">
        <v>2310</v>
      </c>
      <c r="D200" s="306">
        <v>100</v>
      </c>
      <c r="E200" s="306">
        <v>97</v>
      </c>
      <c r="F200" s="306">
        <v>77</v>
      </c>
      <c r="G200" s="306">
        <v>89</v>
      </c>
      <c r="H200" s="307">
        <v>20</v>
      </c>
      <c r="I200" s="307">
        <v>16</v>
      </c>
      <c r="J200" s="308">
        <v>22</v>
      </c>
      <c r="K200" s="308">
        <v>20</v>
      </c>
      <c r="L200" s="308">
        <v>22</v>
      </c>
      <c r="M200" s="308">
        <v>21</v>
      </c>
      <c r="N200" s="309">
        <f t="shared" si="4"/>
        <v>91.45</v>
      </c>
      <c r="O200" s="309" t="str">
        <f t="shared" si="5"/>
        <v>A</v>
      </c>
    </row>
    <row r="201" spans="1:15" x14ac:dyDescent="0.35">
      <c r="A201" s="305" t="s">
        <v>2509</v>
      </c>
      <c r="B201" s="305" t="s">
        <v>2316</v>
      </c>
      <c r="C201" s="305" t="s">
        <v>2310</v>
      </c>
      <c r="D201" s="306">
        <v>86</v>
      </c>
      <c r="E201" s="306">
        <v>73</v>
      </c>
      <c r="F201" s="306">
        <v>66</v>
      </c>
      <c r="G201" s="306">
        <v>91</v>
      </c>
      <c r="H201" s="307">
        <v>22</v>
      </c>
      <c r="I201" s="307">
        <v>19</v>
      </c>
      <c r="J201" s="308">
        <v>22</v>
      </c>
      <c r="K201" s="308">
        <v>18</v>
      </c>
      <c r="L201" s="308">
        <v>22</v>
      </c>
      <c r="M201" s="308">
        <v>23</v>
      </c>
      <c r="N201" s="309">
        <f t="shared" si="4"/>
        <v>83.449999999999989</v>
      </c>
      <c r="O201" s="309" t="str">
        <f t="shared" si="5"/>
        <v>B</v>
      </c>
    </row>
    <row r="202" spans="1:15" x14ac:dyDescent="0.35">
      <c r="A202" s="305" t="s">
        <v>2510</v>
      </c>
      <c r="B202" s="305" t="s">
        <v>2316</v>
      </c>
      <c r="C202" s="305" t="s">
        <v>2313</v>
      </c>
      <c r="D202" s="306">
        <v>82</v>
      </c>
      <c r="E202" s="306">
        <v>92</v>
      </c>
      <c r="F202" s="306">
        <v>92</v>
      </c>
      <c r="G202" s="306">
        <v>100</v>
      </c>
      <c r="H202" s="307">
        <v>20</v>
      </c>
      <c r="I202" s="307">
        <v>18</v>
      </c>
      <c r="J202" s="308">
        <v>22</v>
      </c>
      <c r="K202" s="308">
        <v>20</v>
      </c>
      <c r="L202" s="308">
        <v>24</v>
      </c>
      <c r="M202" s="308">
        <v>24</v>
      </c>
      <c r="N202" s="309">
        <f t="shared" si="4"/>
        <v>92.100000000000009</v>
      </c>
      <c r="O202" s="309" t="str">
        <f t="shared" si="5"/>
        <v>A</v>
      </c>
    </row>
    <row r="203" spans="1:15" x14ac:dyDescent="0.35">
      <c r="A203" s="305" t="s">
        <v>2511</v>
      </c>
      <c r="B203" s="305" t="s">
        <v>2312</v>
      </c>
      <c r="C203" s="305" t="s">
        <v>2313</v>
      </c>
      <c r="D203" s="306">
        <v>88</v>
      </c>
      <c r="E203" s="306">
        <v>73</v>
      </c>
      <c r="F203" s="306">
        <v>82</v>
      </c>
      <c r="G203" s="306">
        <v>80</v>
      </c>
      <c r="H203" s="307">
        <v>21</v>
      </c>
      <c r="I203" s="307">
        <v>17</v>
      </c>
      <c r="J203" s="308">
        <v>24</v>
      </c>
      <c r="K203" s="308">
        <v>24</v>
      </c>
      <c r="L203" s="308">
        <v>24</v>
      </c>
      <c r="M203" s="308">
        <v>21</v>
      </c>
      <c r="N203" s="309">
        <f t="shared" ref="N203:N248" si="6">SUM(AVERAGE(LARGE(D203:G203,1),LARGE(D203:G203,2),LARGE(D203:G203,3))/100*75,AVERAGE(H203:I203)/25*10,AVERAGE(J203:M203)/25*15)</f>
        <v>84.05</v>
      </c>
      <c r="O203" s="309" t="str">
        <f t="shared" ref="O203:O248" si="7">IF(N203&gt;=90,"A",IF(N203&gt;=83,"B",IF(N203&gt;=73,"C",IF(N203&gt;=65,"D","F"))))</f>
        <v>B</v>
      </c>
    </row>
    <row r="204" spans="1:15" x14ac:dyDescent="0.35">
      <c r="A204" s="305" t="s">
        <v>62</v>
      </c>
      <c r="B204" s="305" t="s">
        <v>2309</v>
      </c>
      <c r="C204" s="305" t="s">
        <v>2310</v>
      </c>
      <c r="D204" s="306">
        <v>94</v>
      </c>
      <c r="E204" s="306">
        <v>82</v>
      </c>
      <c r="F204" s="306">
        <v>74</v>
      </c>
      <c r="G204" s="306">
        <v>82</v>
      </c>
      <c r="H204" s="307">
        <v>20</v>
      </c>
      <c r="I204" s="307">
        <v>23</v>
      </c>
      <c r="J204" s="308">
        <v>25</v>
      </c>
      <c r="K204" s="308">
        <v>24</v>
      </c>
      <c r="L204" s="308">
        <v>25</v>
      </c>
      <c r="M204" s="308">
        <v>22</v>
      </c>
      <c r="N204" s="309">
        <f t="shared" si="6"/>
        <v>87.5</v>
      </c>
      <c r="O204" s="309" t="str">
        <f t="shared" si="7"/>
        <v>B</v>
      </c>
    </row>
    <row r="205" spans="1:15" x14ac:dyDescent="0.35">
      <c r="A205" s="305" t="s">
        <v>2512</v>
      </c>
      <c r="B205" s="305" t="s">
        <v>2316</v>
      </c>
      <c r="C205" s="305" t="s">
        <v>2310</v>
      </c>
      <c r="D205" s="306">
        <v>80</v>
      </c>
      <c r="E205" s="306">
        <v>74</v>
      </c>
      <c r="F205" s="306">
        <v>84</v>
      </c>
      <c r="G205" s="306">
        <v>86</v>
      </c>
      <c r="H205" s="307">
        <v>24</v>
      </c>
      <c r="I205" s="307">
        <v>23</v>
      </c>
      <c r="J205" s="308">
        <v>23</v>
      </c>
      <c r="K205" s="308">
        <v>23</v>
      </c>
      <c r="L205" s="308">
        <v>23</v>
      </c>
      <c r="M205" s="308">
        <v>18</v>
      </c>
      <c r="N205" s="309">
        <f t="shared" si="6"/>
        <v>84.949999999999989</v>
      </c>
      <c r="O205" s="309" t="str">
        <f t="shared" si="7"/>
        <v>B</v>
      </c>
    </row>
    <row r="206" spans="1:15" x14ac:dyDescent="0.35">
      <c r="A206" s="305" t="s">
        <v>2513</v>
      </c>
      <c r="B206" s="305" t="s">
        <v>2312</v>
      </c>
      <c r="C206" s="305" t="s">
        <v>2310</v>
      </c>
      <c r="D206" s="306">
        <v>83</v>
      </c>
      <c r="E206" s="306">
        <v>97</v>
      </c>
      <c r="F206" s="306">
        <v>67</v>
      </c>
      <c r="G206" s="306">
        <v>90</v>
      </c>
      <c r="H206" s="307">
        <v>24</v>
      </c>
      <c r="I206" s="307">
        <v>15</v>
      </c>
      <c r="J206" s="308">
        <v>23</v>
      </c>
      <c r="K206" s="308">
        <v>22</v>
      </c>
      <c r="L206" s="308">
        <v>25</v>
      </c>
      <c r="M206" s="308">
        <v>20</v>
      </c>
      <c r="N206" s="309">
        <f t="shared" si="6"/>
        <v>88.8</v>
      </c>
      <c r="O206" s="309" t="str">
        <f t="shared" si="7"/>
        <v>B</v>
      </c>
    </row>
    <row r="207" spans="1:15" x14ac:dyDescent="0.35">
      <c r="A207" s="305" t="s">
        <v>2514</v>
      </c>
      <c r="B207" s="305" t="s">
        <v>2312</v>
      </c>
      <c r="C207" s="305" t="s">
        <v>2310</v>
      </c>
      <c r="D207" s="306">
        <v>85</v>
      </c>
      <c r="E207" s="306">
        <v>98</v>
      </c>
      <c r="F207" s="306">
        <v>95</v>
      </c>
      <c r="G207" s="306">
        <v>92</v>
      </c>
      <c r="H207" s="307">
        <v>25</v>
      </c>
      <c r="I207" s="307">
        <v>18</v>
      </c>
      <c r="J207" s="308">
        <v>22</v>
      </c>
      <c r="K207" s="308">
        <v>18</v>
      </c>
      <c r="L207" s="308">
        <v>25</v>
      </c>
      <c r="M207" s="308">
        <v>25</v>
      </c>
      <c r="N207" s="309">
        <f t="shared" si="6"/>
        <v>93.35</v>
      </c>
      <c r="O207" s="309" t="str">
        <f t="shared" si="7"/>
        <v>A</v>
      </c>
    </row>
    <row r="208" spans="1:15" x14ac:dyDescent="0.35">
      <c r="A208" s="305" t="s">
        <v>2515</v>
      </c>
      <c r="B208" s="305" t="s">
        <v>2316</v>
      </c>
      <c r="C208" s="305" t="s">
        <v>2313</v>
      </c>
      <c r="D208" s="306">
        <v>84</v>
      </c>
      <c r="E208" s="306">
        <v>98</v>
      </c>
      <c r="F208" s="306">
        <v>75</v>
      </c>
      <c r="G208" s="306">
        <v>86</v>
      </c>
      <c r="H208" s="307">
        <v>22</v>
      </c>
      <c r="I208" s="307">
        <v>24</v>
      </c>
      <c r="J208" s="308">
        <v>25</v>
      </c>
      <c r="K208" s="308">
        <v>22</v>
      </c>
      <c r="L208" s="308">
        <v>25</v>
      </c>
      <c r="M208" s="308">
        <v>20</v>
      </c>
      <c r="N208" s="309">
        <f t="shared" si="6"/>
        <v>90</v>
      </c>
      <c r="O208" s="309" t="str">
        <f t="shared" si="7"/>
        <v>A</v>
      </c>
    </row>
    <row r="209" spans="1:15" x14ac:dyDescent="0.35">
      <c r="A209" s="305" t="s">
        <v>2516</v>
      </c>
      <c r="B209" s="305" t="s">
        <v>2312</v>
      </c>
      <c r="C209" s="305" t="s">
        <v>2310</v>
      </c>
      <c r="D209" s="306">
        <v>96</v>
      </c>
      <c r="E209" s="306">
        <v>71</v>
      </c>
      <c r="F209" s="306">
        <v>78</v>
      </c>
      <c r="G209" s="306">
        <v>94</v>
      </c>
      <c r="H209" s="307">
        <v>21</v>
      </c>
      <c r="I209" s="307">
        <v>20</v>
      </c>
      <c r="J209" s="308">
        <v>25</v>
      </c>
      <c r="K209" s="308">
        <v>21</v>
      </c>
      <c r="L209" s="308">
        <v>25</v>
      </c>
      <c r="M209" s="308">
        <v>18</v>
      </c>
      <c r="N209" s="309">
        <f t="shared" si="6"/>
        <v>88.55</v>
      </c>
      <c r="O209" s="309" t="str">
        <f t="shared" si="7"/>
        <v>B</v>
      </c>
    </row>
    <row r="210" spans="1:15" x14ac:dyDescent="0.35">
      <c r="A210" s="305" t="s">
        <v>2517</v>
      </c>
      <c r="B210" s="305" t="s">
        <v>2309</v>
      </c>
      <c r="C210" s="305" t="s">
        <v>2310</v>
      </c>
      <c r="D210" s="306">
        <v>95</v>
      </c>
      <c r="E210" s="306">
        <v>100</v>
      </c>
      <c r="F210" s="306">
        <v>77</v>
      </c>
      <c r="G210" s="306">
        <v>93</v>
      </c>
      <c r="H210" s="307">
        <v>24</v>
      </c>
      <c r="I210" s="307">
        <v>23</v>
      </c>
      <c r="J210" s="308">
        <v>24</v>
      </c>
      <c r="K210" s="308">
        <v>23</v>
      </c>
      <c r="L210" s="308">
        <v>23</v>
      </c>
      <c r="M210" s="308">
        <v>21</v>
      </c>
      <c r="N210" s="309">
        <f t="shared" si="6"/>
        <v>95.050000000000011</v>
      </c>
      <c r="O210" s="309" t="str">
        <f t="shared" si="7"/>
        <v>A</v>
      </c>
    </row>
    <row r="211" spans="1:15" x14ac:dyDescent="0.35">
      <c r="A211" s="305" t="s">
        <v>2518</v>
      </c>
      <c r="B211" s="305" t="s">
        <v>2309</v>
      </c>
      <c r="C211" s="305" t="s">
        <v>2313</v>
      </c>
      <c r="D211" s="306">
        <v>95</v>
      </c>
      <c r="E211" s="306">
        <v>97</v>
      </c>
      <c r="F211" s="306">
        <v>62</v>
      </c>
      <c r="G211" s="306">
        <v>85</v>
      </c>
      <c r="H211" s="307">
        <v>23</v>
      </c>
      <c r="I211" s="307">
        <v>20</v>
      </c>
      <c r="J211" s="308">
        <v>24</v>
      </c>
      <c r="K211" s="308">
        <v>19</v>
      </c>
      <c r="L211" s="308">
        <v>24</v>
      </c>
      <c r="M211" s="308">
        <v>23</v>
      </c>
      <c r="N211" s="309">
        <f t="shared" si="6"/>
        <v>91.35</v>
      </c>
      <c r="O211" s="309" t="str">
        <f t="shared" si="7"/>
        <v>A</v>
      </c>
    </row>
    <row r="212" spans="1:15" x14ac:dyDescent="0.35">
      <c r="A212" s="305" t="s">
        <v>2519</v>
      </c>
      <c r="B212" s="305" t="s">
        <v>2309</v>
      </c>
      <c r="C212" s="305" t="s">
        <v>2310</v>
      </c>
      <c r="D212" s="306">
        <v>82</v>
      </c>
      <c r="E212" s="306">
        <v>94</v>
      </c>
      <c r="F212" s="306">
        <v>63</v>
      </c>
      <c r="G212" s="306">
        <v>98</v>
      </c>
      <c r="H212" s="307">
        <v>24</v>
      </c>
      <c r="I212" s="307">
        <v>19</v>
      </c>
      <c r="J212" s="308">
        <v>23</v>
      </c>
      <c r="K212" s="308">
        <v>18</v>
      </c>
      <c r="L212" s="308">
        <v>25</v>
      </c>
      <c r="M212" s="308">
        <v>24</v>
      </c>
      <c r="N212" s="309">
        <f t="shared" si="6"/>
        <v>90.6</v>
      </c>
      <c r="O212" s="309" t="str">
        <f t="shared" si="7"/>
        <v>A</v>
      </c>
    </row>
    <row r="213" spans="1:15" x14ac:dyDescent="0.35">
      <c r="A213" s="305" t="s">
        <v>2520</v>
      </c>
      <c r="B213" s="305" t="s">
        <v>2309</v>
      </c>
      <c r="C213" s="305" t="s">
        <v>2313</v>
      </c>
      <c r="D213" s="306">
        <v>87</v>
      </c>
      <c r="E213" s="306">
        <v>76</v>
      </c>
      <c r="F213" s="306">
        <v>80</v>
      </c>
      <c r="G213" s="306">
        <v>100</v>
      </c>
      <c r="H213" s="307">
        <v>20</v>
      </c>
      <c r="I213" s="307">
        <v>24</v>
      </c>
      <c r="J213" s="308">
        <v>22</v>
      </c>
      <c r="K213" s="308">
        <v>21</v>
      </c>
      <c r="L213" s="308">
        <v>25</v>
      </c>
      <c r="M213" s="308">
        <v>21</v>
      </c>
      <c r="N213" s="309">
        <f t="shared" si="6"/>
        <v>88.899999999999991</v>
      </c>
      <c r="O213" s="309" t="str">
        <f t="shared" si="7"/>
        <v>B</v>
      </c>
    </row>
    <row r="214" spans="1:15" x14ac:dyDescent="0.35">
      <c r="A214" s="305" t="s">
        <v>2521</v>
      </c>
      <c r="B214" s="305" t="s">
        <v>2312</v>
      </c>
      <c r="C214" s="305" t="s">
        <v>2310</v>
      </c>
      <c r="D214" s="306">
        <v>90</v>
      </c>
      <c r="E214" s="306">
        <v>70</v>
      </c>
      <c r="F214" s="306">
        <v>62</v>
      </c>
      <c r="G214" s="306">
        <v>97</v>
      </c>
      <c r="H214" s="307">
        <v>23</v>
      </c>
      <c r="I214" s="307">
        <v>16</v>
      </c>
      <c r="J214" s="308">
        <v>24</v>
      </c>
      <c r="K214" s="308">
        <v>19</v>
      </c>
      <c r="L214" s="308">
        <v>24</v>
      </c>
      <c r="M214" s="308">
        <v>22</v>
      </c>
      <c r="N214" s="309">
        <f t="shared" si="6"/>
        <v>85.399999999999991</v>
      </c>
      <c r="O214" s="309" t="str">
        <f t="shared" si="7"/>
        <v>B</v>
      </c>
    </row>
    <row r="215" spans="1:15" x14ac:dyDescent="0.35">
      <c r="A215" s="305" t="s">
        <v>2522</v>
      </c>
      <c r="B215" s="305" t="s">
        <v>2309</v>
      </c>
      <c r="C215" s="305" t="s">
        <v>2310</v>
      </c>
      <c r="D215" s="306">
        <v>89</v>
      </c>
      <c r="E215" s="306">
        <v>94</v>
      </c>
      <c r="F215" s="306">
        <v>79</v>
      </c>
      <c r="G215" s="306">
        <v>87</v>
      </c>
      <c r="H215" s="307">
        <v>24</v>
      </c>
      <c r="I215" s="307">
        <v>20</v>
      </c>
      <c r="J215" s="308">
        <v>23</v>
      </c>
      <c r="K215" s="308">
        <v>21</v>
      </c>
      <c r="L215" s="308">
        <v>24</v>
      </c>
      <c r="M215" s="308">
        <v>19</v>
      </c>
      <c r="N215" s="309">
        <f t="shared" si="6"/>
        <v>89.35</v>
      </c>
      <c r="O215" s="309" t="str">
        <f t="shared" si="7"/>
        <v>B</v>
      </c>
    </row>
    <row r="216" spans="1:15" x14ac:dyDescent="0.35">
      <c r="A216" s="305" t="s">
        <v>2523</v>
      </c>
      <c r="B216" s="305" t="s">
        <v>2309</v>
      </c>
      <c r="C216" s="305" t="s">
        <v>2310</v>
      </c>
      <c r="D216" s="306">
        <v>83</v>
      </c>
      <c r="E216" s="306">
        <v>88</v>
      </c>
      <c r="F216" s="306">
        <v>75</v>
      </c>
      <c r="G216" s="306">
        <v>93</v>
      </c>
      <c r="H216" s="307">
        <v>23</v>
      </c>
      <c r="I216" s="307">
        <v>21</v>
      </c>
      <c r="J216" s="308">
        <v>25</v>
      </c>
      <c r="K216" s="308">
        <v>18</v>
      </c>
      <c r="L216" s="308">
        <v>25</v>
      </c>
      <c r="M216" s="308">
        <v>20</v>
      </c>
      <c r="N216" s="309">
        <f t="shared" si="6"/>
        <v>88</v>
      </c>
      <c r="O216" s="309" t="str">
        <f t="shared" si="7"/>
        <v>B</v>
      </c>
    </row>
    <row r="217" spans="1:15" x14ac:dyDescent="0.35">
      <c r="A217" s="305" t="s">
        <v>2524</v>
      </c>
      <c r="B217" s="305" t="s">
        <v>2316</v>
      </c>
      <c r="C217" s="305" t="s">
        <v>2310</v>
      </c>
      <c r="D217" s="306">
        <v>99</v>
      </c>
      <c r="E217" s="306">
        <v>98</v>
      </c>
      <c r="F217" s="306">
        <v>75</v>
      </c>
      <c r="G217" s="306">
        <v>83</v>
      </c>
      <c r="H217" s="307">
        <v>24</v>
      </c>
      <c r="I217" s="307">
        <v>22</v>
      </c>
      <c r="J217" s="308">
        <v>24</v>
      </c>
      <c r="K217" s="308">
        <v>25</v>
      </c>
      <c r="L217" s="308">
        <v>25</v>
      </c>
      <c r="M217" s="308">
        <v>19</v>
      </c>
      <c r="N217" s="309">
        <f t="shared" si="6"/>
        <v>93.149999999999991</v>
      </c>
      <c r="O217" s="309" t="str">
        <f t="shared" si="7"/>
        <v>A</v>
      </c>
    </row>
    <row r="218" spans="1:15" x14ac:dyDescent="0.35">
      <c r="A218" s="305" t="s">
        <v>105</v>
      </c>
      <c r="B218" s="305" t="s">
        <v>2316</v>
      </c>
      <c r="C218" s="305" t="s">
        <v>2310</v>
      </c>
      <c r="D218" s="306">
        <v>91</v>
      </c>
      <c r="E218" s="306">
        <v>72</v>
      </c>
      <c r="F218" s="306">
        <v>62</v>
      </c>
      <c r="G218" s="306">
        <v>89</v>
      </c>
      <c r="H218" s="307">
        <v>21</v>
      </c>
      <c r="I218" s="307">
        <v>21</v>
      </c>
      <c r="J218" s="308">
        <v>22</v>
      </c>
      <c r="K218" s="308">
        <v>20</v>
      </c>
      <c r="L218" s="308">
        <v>22</v>
      </c>
      <c r="M218" s="308">
        <v>20</v>
      </c>
      <c r="N218" s="309">
        <f t="shared" si="6"/>
        <v>84</v>
      </c>
      <c r="O218" s="309" t="str">
        <f t="shared" si="7"/>
        <v>B</v>
      </c>
    </row>
    <row r="219" spans="1:15" x14ac:dyDescent="0.35">
      <c r="A219" s="305" t="s">
        <v>2525</v>
      </c>
      <c r="B219" s="305" t="s">
        <v>2312</v>
      </c>
      <c r="C219" s="305" t="s">
        <v>2313</v>
      </c>
      <c r="D219" s="306">
        <v>94</v>
      </c>
      <c r="E219" s="306">
        <v>87</v>
      </c>
      <c r="F219" s="306">
        <v>65</v>
      </c>
      <c r="G219" s="306">
        <v>98</v>
      </c>
      <c r="H219" s="307">
        <v>20</v>
      </c>
      <c r="I219" s="307">
        <v>17</v>
      </c>
      <c r="J219" s="308">
        <v>23</v>
      </c>
      <c r="K219" s="308">
        <v>23</v>
      </c>
      <c r="L219" s="308">
        <v>24</v>
      </c>
      <c r="M219" s="308">
        <v>25</v>
      </c>
      <c r="N219" s="309">
        <f t="shared" si="6"/>
        <v>91.4</v>
      </c>
      <c r="O219" s="309" t="str">
        <f t="shared" si="7"/>
        <v>A</v>
      </c>
    </row>
    <row r="220" spans="1:15" x14ac:dyDescent="0.35">
      <c r="A220" s="305" t="s">
        <v>2526</v>
      </c>
      <c r="B220" s="305" t="s">
        <v>2316</v>
      </c>
      <c r="C220" s="305" t="s">
        <v>2313</v>
      </c>
      <c r="D220" s="306">
        <v>81</v>
      </c>
      <c r="E220" s="306">
        <v>72</v>
      </c>
      <c r="F220" s="306">
        <v>85</v>
      </c>
      <c r="G220" s="306">
        <v>99</v>
      </c>
      <c r="H220" s="307">
        <v>21</v>
      </c>
      <c r="I220" s="307">
        <v>25</v>
      </c>
      <c r="J220" s="308">
        <v>24</v>
      </c>
      <c r="K220" s="308">
        <v>25</v>
      </c>
      <c r="L220" s="308">
        <v>25</v>
      </c>
      <c r="M220" s="308">
        <v>19</v>
      </c>
      <c r="N220" s="309">
        <f t="shared" si="6"/>
        <v>89.4</v>
      </c>
      <c r="O220" s="309" t="str">
        <f t="shared" si="7"/>
        <v>B</v>
      </c>
    </row>
    <row r="221" spans="1:15" x14ac:dyDescent="0.35">
      <c r="A221" s="305" t="s">
        <v>1844</v>
      </c>
      <c r="B221" s="305" t="s">
        <v>2312</v>
      </c>
      <c r="C221" s="305" t="s">
        <v>2313</v>
      </c>
      <c r="D221" s="306">
        <v>96</v>
      </c>
      <c r="E221" s="306">
        <v>72</v>
      </c>
      <c r="F221" s="306">
        <v>96</v>
      </c>
      <c r="G221" s="306">
        <v>99</v>
      </c>
      <c r="H221" s="307">
        <v>24</v>
      </c>
      <c r="I221" s="307">
        <v>16</v>
      </c>
      <c r="J221" s="308">
        <v>25</v>
      </c>
      <c r="K221" s="308">
        <v>18</v>
      </c>
      <c r="L221" s="308">
        <v>24</v>
      </c>
      <c r="M221" s="308">
        <v>20</v>
      </c>
      <c r="N221" s="309">
        <f t="shared" si="6"/>
        <v>93.8</v>
      </c>
      <c r="O221" s="309" t="str">
        <f t="shared" si="7"/>
        <v>A</v>
      </c>
    </row>
    <row r="222" spans="1:15" x14ac:dyDescent="0.35">
      <c r="A222" s="305" t="s">
        <v>2527</v>
      </c>
      <c r="B222" s="305" t="s">
        <v>2312</v>
      </c>
      <c r="C222" s="305" t="s">
        <v>2310</v>
      </c>
      <c r="D222" s="306">
        <v>81</v>
      </c>
      <c r="E222" s="306">
        <v>98</v>
      </c>
      <c r="F222" s="306">
        <v>99</v>
      </c>
      <c r="G222" s="306">
        <v>96</v>
      </c>
      <c r="H222" s="307">
        <v>22</v>
      </c>
      <c r="I222" s="307">
        <v>24</v>
      </c>
      <c r="J222" s="308">
        <v>22</v>
      </c>
      <c r="K222" s="308">
        <v>18</v>
      </c>
      <c r="L222" s="308">
        <v>22</v>
      </c>
      <c r="M222" s="308">
        <v>25</v>
      </c>
      <c r="N222" s="309">
        <f t="shared" si="6"/>
        <v>95.5</v>
      </c>
      <c r="O222" s="309" t="str">
        <f t="shared" si="7"/>
        <v>A</v>
      </c>
    </row>
    <row r="223" spans="1:15" x14ac:dyDescent="0.35">
      <c r="A223" s="305" t="s">
        <v>2528</v>
      </c>
      <c r="B223" s="305" t="s">
        <v>2316</v>
      </c>
      <c r="C223" s="305" t="s">
        <v>2310</v>
      </c>
      <c r="D223" s="306">
        <v>100</v>
      </c>
      <c r="E223" s="306">
        <v>80</v>
      </c>
      <c r="F223" s="306">
        <v>81</v>
      </c>
      <c r="G223" s="306">
        <v>94</v>
      </c>
      <c r="H223" s="307">
        <v>25</v>
      </c>
      <c r="I223" s="307">
        <v>21</v>
      </c>
      <c r="J223" s="308">
        <v>24</v>
      </c>
      <c r="K223" s="308">
        <v>23</v>
      </c>
      <c r="L223" s="308">
        <v>22</v>
      </c>
      <c r="M223" s="308">
        <v>24</v>
      </c>
      <c r="N223" s="309">
        <f t="shared" si="6"/>
        <v>91.9</v>
      </c>
      <c r="O223" s="309" t="str">
        <f t="shared" si="7"/>
        <v>A</v>
      </c>
    </row>
    <row r="224" spans="1:15" x14ac:dyDescent="0.35">
      <c r="A224" s="305" t="s">
        <v>2529</v>
      </c>
      <c r="B224" s="305" t="s">
        <v>2309</v>
      </c>
      <c r="C224" s="305" t="s">
        <v>2310</v>
      </c>
      <c r="D224" s="306">
        <v>95</v>
      </c>
      <c r="E224" s="306">
        <v>74</v>
      </c>
      <c r="F224" s="306">
        <v>87</v>
      </c>
      <c r="G224" s="306">
        <v>86</v>
      </c>
      <c r="H224" s="307">
        <v>21</v>
      </c>
      <c r="I224" s="307">
        <v>22</v>
      </c>
      <c r="J224" s="308">
        <v>22</v>
      </c>
      <c r="K224" s="308">
        <v>23</v>
      </c>
      <c r="L224" s="308">
        <v>25</v>
      </c>
      <c r="M224" s="308">
        <v>21</v>
      </c>
      <c r="N224" s="309">
        <f t="shared" si="6"/>
        <v>89.25</v>
      </c>
      <c r="O224" s="309" t="str">
        <f t="shared" si="7"/>
        <v>B</v>
      </c>
    </row>
    <row r="225" spans="1:15" x14ac:dyDescent="0.35">
      <c r="A225" s="305" t="s">
        <v>2530</v>
      </c>
      <c r="B225" s="305" t="s">
        <v>2316</v>
      </c>
      <c r="C225" s="305" t="s">
        <v>2310</v>
      </c>
      <c r="D225" s="306">
        <v>93</v>
      </c>
      <c r="E225" s="306">
        <v>85</v>
      </c>
      <c r="F225" s="306">
        <v>96</v>
      </c>
      <c r="G225" s="306">
        <v>91</v>
      </c>
      <c r="H225" s="307">
        <v>21</v>
      </c>
      <c r="I225" s="307">
        <v>21</v>
      </c>
      <c r="J225" s="308">
        <v>23</v>
      </c>
      <c r="K225" s="308">
        <v>20</v>
      </c>
      <c r="L225" s="308">
        <v>24</v>
      </c>
      <c r="M225" s="308">
        <v>24</v>
      </c>
      <c r="N225" s="309">
        <f t="shared" si="6"/>
        <v>92.05</v>
      </c>
      <c r="O225" s="309" t="str">
        <f t="shared" si="7"/>
        <v>A</v>
      </c>
    </row>
    <row r="226" spans="1:15" x14ac:dyDescent="0.35">
      <c r="A226" s="305" t="s">
        <v>2531</v>
      </c>
      <c r="B226" s="305" t="s">
        <v>2312</v>
      </c>
      <c r="C226" s="305" t="s">
        <v>2313</v>
      </c>
      <c r="D226" s="306">
        <v>90</v>
      </c>
      <c r="E226" s="306">
        <v>82</v>
      </c>
      <c r="F226" s="306">
        <v>84</v>
      </c>
      <c r="G226" s="306">
        <v>83</v>
      </c>
      <c r="H226" s="307">
        <v>20</v>
      </c>
      <c r="I226" s="307">
        <v>25</v>
      </c>
      <c r="J226" s="308">
        <v>25</v>
      </c>
      <c r="K226" s="308">
        <v>21</v>
      </c>
      <c r="L226" s="308">
        <v>23</v>
      </c>
      <c r="M226" s="308">
        <v>19</v>
      </c>
      <c r="N226" s="309">
        <f t="shared" si="6"/>
        <v>86.45</v>
      </c>
      <c r="O226" s="309" t="str">
        <f t="shared" si="7"/>
        <v>B</v>
      </c>
    </row>
    <row r="227" spans="1:15" x14ac:dyDescent="0.35">
      <c r="A227" s="305" t="s">
        <v>2532</v>
      </c>
      <c r="B227" s="305" t="s">
        <v>2312</v>
      </c>
      <c r="C227" s="305" t="s">
        <v>2310</v>
      </c>
      <c r="D227" s="306">
        <v>86</v>
      </c>
      <c r="E227" s="306">
        <v>79</v>
      </c>
      <c r="F227" s="306">
        <v>89</v>
      </c>
      <c r="G227" s="306">
        <v>95</v>
      </c>
      <c r="H227" s="307">
        <v>25</v>
      </c>
      <c r="I227" s="307">
        <v>20</v>
      </c>
      <c r="J227" s="308">
        <v>25</v>
      </c>
      <c r="K227" s="308">
        <v>19</v>
      </c>
      <c r="L227" s="308">
        <v>25</v>
      </c>
      <c r="M227" s="308">
        <v>22</v>
      </c>
      <c r="N227" s="309">
        <f t="shared" si="6"/>
        <v>90.15</v>
      </c>
      <c r="O227" s="309" t="str">
        <f t="shared" si="7"/>
        <v>A</v>
      </c>
    </row>
    <row r="228" spans="1:15" x14ac:dyDescent="0.35">
      <c r="A228" s="305" t="s">
        <v>2533</v>
      </c>
      <c r="B228" s="305" t="s">
        <v>2312</v>
      </c>
      <c r="C228" s="305" t="s">
        <v>2313</v>
      </c>
      <c r="D228" s="306">
        <v>87</v>
      </c>
      <c r="E228" s="306">
        <v>87</v>
      </c>
      <c r="F228" s="306">
        <v>88</v>
      </c>
      <c r="G228" s="306">
        <v>83</v>
      </c>
      <c r="H228" s="307">
        <v>21</v>
      </c>
      <c r="I228" s="307">
        <v>16</v>
      </c>
      <c r="J228" s="308">
        <v>22</v>
      </c>
      <c r="K228" s="308">
        <v>18</v>
      </c>
      <c r="L228" s="308">
        <v>23</v>
      </c>
      <c r="M228" s="308">
        <v>20</v>
      </c>
      <c r="N228" s="309">
        <f t="shared" si="6"/>
        <v>85.350000000000009</v>
      </c>
      <c r="O228" s="309" t="str">
        <f t="shared" si="7"/>
        <v>B</v>
      </c>
    </row>
    <row r="229" spans="1:15" x14ac:dyDescent="0.35">
      <c r="A229" s="305" t="s">
        <v>2534</v>
      </c>
      <c r="B229" s="305" t="s">
        <v>2312</v>
      </c>
      <c r="C229" s="305" t="s">
        <v>2313</v>
      </c>
      <c r="D229" s="306">
        <v>50</v>
      </c>
      <c r="E229" s="306">
        <v>55</v>
      </c>
      <c r="F229" s="306">
        <v>60</v>
      </c>
      <c r="G229" s="306">
        <v>49</v>
      </c>
      <c r="H229" s="307">
        <v>23</v>
      </c>
      <c r="I229" s="307">
        <v>15</v>
      </c>
      <c r="J229" s="308">
        <v>25</v>
      </c>
      <c r="K229" s="308">
        <v>18</v>
      </c>
      <c r="L229" s="308">
        <v>22</v>
      </c>
      <c r="M229" s="308">
        <v>24</v>
      </c>
      <c r="N229" s="309">
        <f t="shared" si="6"/>
        <v>62.2</v>
      </c>
      <c r="O229" s="309" t="str">
        <f t="shared" si="7"/>
        <v>F</v>
      </c>
    </row>
    <row r="230" spans="1:15" x14ac:dyDescent="0.35">
      <c r="A230" s="305" t="s">
        <v>2535</v>
      </c>
      <c r="B230" s="305" t="s">
        <v>2316</v>
      </c>
      <c r="C230" s="305" t="s">
        <v>2310</v>
      </c>
      <c r="D230" s="306">
        <v>40</v>
      </c>
      <c r="E230" s="306">
        <v>40</v>
      </c>
      <c r="F230" s="306">
        <v>56</v>
      </c>
      <c r="G230" s="306">
        <v>51</v>
      </c>
      <c r="H230" s="307">
        <v>20</v>
      </c>
      <c r="I230" s="307">
        <v>15</v>
      </c>
      <c r="J230" s="308">
        <v>23</v>
      </c>
      <c r="K230" s="308">
        <v>24</v>
      </c>
      <c r="L230" s="308">
        <v>22</v>
      </c>
      <c r="M230" s="308">
        <v>22</v>
      </c>
      <c r="N230" s="309">
        <f t="shared" si="6"/>
        <v>57.4</v>
      </c>
      <c r="O230" s="309" t="str">
        <f t="shared" si="7"/>
        <v>F</v>
      </c>
    </row>
    <row r="231" spans="1:15" x14ac:dyDescent="0.35">
      <c r="A231" s="305" t="s">
        <v>2536</v>
      </c>
      <c r="B231" s="305" t="s">
        <v>2316</v>
      </c>
      <c r="C231" s="305" t="s">
        <v>2310</v>
      </c>
      <c r="D231" s="306">
        <v>41</v>
      </c>
      <c r="E231" s="306">
        <v>50</v>
      </c>
      <c r="F231" s="306">
        <v>41</v>
      </c>
      <c r="G231" s="306">
        <v>48</v>
      </c>
      <c r="H231" s="307">
        <v>25</v>
      </c>
      <c r="I231" s="307">
        <v>24</v>
      </c>
      <c r="J231" s="308">
        <v>25</v>
      </c>
      <c r="K231" s="308">
        <v>18</v>
      </c>
      <c r="L231" s="308">
        <v>25</v>
      </c>
      <c r="M231" s="308">
        <v>22</v>
      </c>
      <c r="N231" s="309">
        <f t="shared" si="6"/>
        <v>58.05</v>
      </c>
      <c r="O231" s="309" t="str">
        <f t="shared" si="7"/>
        <v>F</v>
      </c>
    </row>
    <row r="232" spans="1:15" x14ac:dyDescent="0.35">
      <c r="A232" s="305" t="s">
        <v>2537</v>
      </c>
      <c r="B232" s="305" t="s">
        <v>2312</v>
      </c>
      <c r="C232" s="305" t="s">
        <v>2313</v>
      </c>
      <c r="D232" s="306">
        <v>52</v>
      </c>
      <c r="E232" s="306">
        <v>45</v>
      </c>
      <c r="F232" s="306">
        <v>45</v>
      </c>
      <c r="G232" s="306">
        <v>44</v>
      </c>
      <c r="H232" s="307">
        <v>24</v>
      </c>
      <c r="I232" s="307">
        <v>22</v>
      </c>
      <c r="J232" s="308">
        <v>25</v>
      </c>
      <c r="K232" s="308">
        <v>22</v>
      </c>
      <c r="L232" s="308">
        <v>25</v>
      </c>
      <c r="M232" s="308">
        <v>25</v>
      </c>
      <c r="N232" s="309">
        <f t="shared" si="6"/>
        <v>59.250000000000007</v>
      </c>
      <c r="O232" s="309" t="str">
        <f t="shared" si="7"/>
        <v>F</v>
      </c>
    </row>
    <row r="233" spans="1:15" x14ac:dyDescent="0.35">
      <c r="A233" s="305" t="s">
        <v>2538</v>
      </c>
      <c r="B233" s="305" t="s">
        <v>2312</v>
      </c>
      <c r="C233" s="305" t="s">
        <v>2313</v>
      </c>
      <c r="D233" s="306">
        <v>43</v>
      </c>
      <c r="E233" s="306">
        <v>53</v>
      </c>
      <c r="F233" s="306">
        <v>51</v>
      </c>
      <c r="G233" s="306">
        <v>51</v>
      </c>
      <c r="H233" s="307">
        <v>25</v>
      </c>
      <c r="I233" s="307">
        <v>17</v>
      </c>
      <c r="J233" s="308">
        <v>24</v>
      </c>
      <c r="K233" s="308">
        <v>25</v>
      </c>
      <c r="L233" s="308">
        <v>22</v>
      </c>
      <c r="M233" s="308">
        <v>25</v>
      </c>
      <c r="N233" s="309">
        <f t="shared" si="6"/>
        <v>61.54999999999999</v>
      </c>
      <c r="O233" s="309" t="str">
        <f t="shared" si="7"/>
        <v>F</v>
      </c>
    </row>
    <row r="234" spans="1:15" x14ac:dyDescent="0.35">
      <c r="A234" s="305" t="s">
        <v>2539</v>
      </c>
      <c r="B234" s="305" t="s">
        <v>2309</v>
      </c>
      <c r="C234" s="305" t="s">
        <v>2310</v>
      </c>
      <c r="D234" s="306">
        <v>45</v>
      </c>
      <c r="E234" s="306">
        <v>48</v>
      </c>
      <c r="F234" s="306">
        <v>54</v>
      </c>
      <c r="G234" s="306">
        <v>50</v>
      </c>
      <c r="H234" s="307">
        <v>22</v>
      </c>
      <c r="I234" s="307">
        <v>21</v>
      </c>
      <c r="J234" s="308">
        <v>23</v>
      </c>
      <c r="K234" s="308">
        <v>21</v>
      </c>
      <c r="L234" s="308">
        <v>24</v>
      </c>
      <c r="M234" s="308">
        <v>19</v>
      </c>
      <c r="N234" s="309">
        <f t="shared" si="6"/>
        <v>59.649999999999991</v>
      </c>
      <c r="O234" s="309" t="str">
        <f t="shared" si="7"/>
        <v>F</v>
      </c>
    </row>
    <row r="235" spans="1:15" x14ac:dyDescent="0.35">
      <c r="A235" s="305" t="s">
        <v>2540</v>
      </c>
      <c r="B235" s="305" t="s">
        <v>2309</v>
      </c>
      <c r="C235" s="305" t="s">
        <v>2310</v>
      </c>
      <c r="D235" s="306">
        <v>40</v>
      </c>
      <c r="E235" s="306">
        <v>52</v>
      </c>
      <c r="F235" s="306">
        <v>44</v>
      </c>
      <c r="G235" s="306">
        <v>55</v>
      </c>
      <c r="H235" s="307">
        <v>20</v>
      </c>
      <c r="I235" s="307">
        <v>19</v>
      </c>
      <c r="J235" s="308">
        <v>24</v>
      </c>
      <c r="K235" s="308">
        <v>20</v>
      </c>
      <c r="L235" s="308">
        <v>24</v>
      </c>
      <c r="M235" s="308">
        <v>25</v>
      </c>
      <c r="N235" s="309">
        <f t="shared" si="6"/>
        <v>59.500000000000014</v>
      </c>
      <c r="O235" s="309" t="str">
        <f t="shared" si="7"/>
        <v>F</v>
      </c>
    </row>
    <row r="236" spans="1:15" x14ac:dyDescent="0.35">
      <c r="A236" s="305" t="s">
        <v>2541</v>
      </c>
      <c r="B236" s="305" t="s">
        <v>2309</v>
      </c>
      <c r="C236" s="305" t="s">
        <v>2313</v>
      </c>
      <c r="D236" s="306">
        <v>48</v>
      </c>
      <c r="E236" s="306">
        <v>40</v>
      </c>
      <c r="F236" s="306">
        <v>42</v>
      </c>
      <c r="G236" s="306">
        <v>57</v>
      </c>
      <c r="H236" s="307">
        <v>24</v>
      </c>
      <c r="I236" s="307">
        <v>17</v>
      </c>
      <c r="J236" s="308">
        <v>23</v>
      </c>
      <c r="K236" s="308">
        <v>18</v>
      </c>
      <c r="L236" s="308">
        <v>24</v>
      </c>
      <c r="M236" s="308">
        <v>22</v>
      </c>
      <c r="N236" s="309">
        <f t="shared" si="6"/>
        <v>58</v>
      </c>
      <c r="O236" s="309" t="str">
        <f t="shared" si="7"/>
        <v>F</v>
      </c>
    </row>
    <row r="237" spans="1:15" x14ac:dyDescent="0.35">
      <c r="A237" s="305" t="s">
        <v>2542</v>
      </c>
      <c r="B237" s="305" t="s">
        <v>2312</v>
      </c>
      <c r="C237" s="305" t="s">
        <v>2313</v>
      </c>
      <c r="D237" s="306">
        <v>50</v>
      </c>
      <c r="E237" s="306">
        <v>67</v>
      </c>
      <c r="F237" s="306">
        <v>59</v>
      </c>
      <c r="G237" s="306">
        <v>53</v>
      </c>
      <c r="H237" s="307">
        <v>23</v>
      </c>
      <c r="I237" s="307">
        <v>18</v>
      </c>
      <c r="J237" s="308">
        <v>22</v>
      </c>
      <c r="K237" s="308">
        <v>25</v>
      </c>
      <c r="L237" s="308">
        <v>23</v>
      </c>
      <c r="M237" s="308">
        <v>25</v>
      </c>
      <c r="N237" s="309">
        <f t="shared" si="6"/>
        <v>67.2</v>
      </c>
      <c r="O237" s="309" t="str">
        <f t="shared" si="7"/>
        <v>D</v>
      </c>
    </row>
    <row r="238" spans="1:15" x14ac:dyDescent="0.35">
      <c r="A238" s="305" t="s">
        <v>2543</v>
      </c>
      <c r="B238" s="305" t="s">
        <v>2312</v>
      </c>
      <c r="C238" s="305" t="s">
        <v>2310</v>
      </c>
      <c r="D238" s="306">
        <v>52</v>
      </c>
      <c r="E238" s="306">
        <v>70</v>
      </c>
      <c r="F238" s="306">
        <v>63</v>
      </c>
      <c r="G238" s="306">
        <v>60</v>
      </c>
      <c r="H238" s="307">
        <v>25</v>
      </c>
      <c r="I238" s="307">
        <v>15</v>
      </c>
      <c r="J238" s="308">
        <v>25</v>
      </c>
      <c r="K238" s="308">
        <v>24</v>
      </c>
      <c r="L238" s="308">
        <v>25</v>
      </c>
      <c r="M238" s="308">
        <v>18</v>
      </c>
      <c r="N238" s="309">
        <f t="shared" si="6"/>
        <v>70.05</v>
      </c>
      <c r="O238" s="309" t="str">
        <f t="shared" si="7"/>
        <v>D</v>
      </c>
    </row>
    <row r="239" spans="1:15" x14ac:dyDescent="0.35">
      <c r="A239" s="305" t="s">
        <v>2544</v>
      </c>
      <c r="B239" s="305" t="s">
        <v>2316</v>
      </c>
      <c r="C239" s="305" t="s">
        <v>2313</v>
      </c>
      <c r="D239" s="306">
        <v>68</v>
      </c>
      <c r="E239" s="306">
        <v>61</v>
      </c>
      <c r="F239" s="306">
        <v>54</v>
      </c>
      <c r="G239" s="306">
        <v>56</v>
      </c>
      <c r="H239" s="307">
        <v>25</v>
      </c>
      <c r="I239" s="307">
        <v>20</v>
      </c>
      <c r="J239" s="308">
        <v>25</v>
      </c>
      <c r="K239" s="308">
        <v>22</v>
      </c>
      <c r="L239" s="308">
        <v>25</v>
      </c>
      <c r="M239" s="308">
        <v>25</v>
      </c>
      <c r="N239" s="309">
        <f t="shared" si="6"/>
        <v>69.8</v>
      </c>
      <c r="O239" s="309" t="str">
        <f t="shared" si="7"/>
        <v>D</v>
      </c>
    </row>
    <row r="240" spans="1:15" x14ac:dyDescent="0.35">
      <c r="A240" s="305" t="s">
        <v>2545</v>
      </c>
      <c r="B240" s="305" t="s">
        <v>2312</v>
      </c>
      <c r="C240" s="305" t="s">
        <v>2310</v>
      </c>
      <c r="D240" s="306">
        <v>54</v>
      </c>
      <c r="E240" s="306">
        <v>53</v>
      </c>
      <c r="F240" s="306">
        <v>69</v>
      </c>
      <c r="G240" s="306">
        <v>59</v>
      </c>
      <c r="H240" s="307">
        <v>20</v>
      </c>
      <c r="I240" s="307">
        <v>18</v>
      </c>
      <c r="J240" s="308">
        <v>24</v>
      </c>
      <c r="K240" s="308">
        <v>21</v>
      </c>
      <c r="L240" s="308">
        <v>24</v>
      </c>
      <c r="M240" s="308">
        <v>23</v>
      </c>
      <c r="N240" s="309">
        <f t="shared" si="6"/>
        <v>66.900000000000006</v>
      </c>
      <c r="O240" s="309" t="str">
        <f t="shared" si="7"/>
        <v>D</v>
      </c>
    </row>
    <row r="241" spans="1:15" x14ac:dyDescent="0.35">
      <c r="A241" s="305" t="s">
        <v>2546</v>
      </c>
      <c r="B241" s="305" t="s">
        <v>2309</v>
      </c>
      <c r="C241" s="305" t="s">
        <v>2310</v>
      </c>
      <c r="D241" s="306">
        <v>89</v>
      </c>
      <c r="E241" s="306">
        <v>94</v>
      </c>
      <c r="F241" s="306">
        <v>66</v>
      </c>
      <c r="G241" s="306">
        <v>55</v>
      </c>
      <c r="H241" s="307">
        <v>24</v>
      </c>
      <c r="I241" s="307">
        <v>17</v>
      </c>
      <c r="J241" s="308">
        <v>23</v>
      </c>
      <c r="K241" s="308">
        <v>20</v>
      </c>
      <c r="L241" s="308">
        <v>24</v>
      </c>
      <c r="M241" s="308">
        <v>22</v>
      </c>
      <c r="N241" s="309">
        <f t="shared" si="6"/>
        <v>83.8</v>
      </c>
      <c r="O241" s="309" t="str">
        <f t="shared" si="7"/>
        <v>B</v>
      </c>
    </row>
    <row r="242" spans="1:15" x14ac:dyDescent="0.35">
      <c r="A242" s="305" t="s">
        <v>2547</v>
      </c>
      <c r="B242" s="305" t="s">
        <v>2312</v>
      </c>
      <c r="C242" s="305" t="s">
        <v>2310</v>
      </c>
      <c r="D242" s="306">
        <v>97</v>
      </c>
      <c r="E242" s="306">
        <v>85</v>
      </c>
      <c r="F242" s="306">
        <v>99</v>
      </c>
      <c r="G242" s="306">
        <v>60</v>
      </c>
      <c r="H242" s="307">
        <v>22</v>
      </c>
      <c r="I242" s="307">
        <v>24</v>
      </c>
      <c r="J242" s="308">
        <v>25</v>
      </c>
      <c r="K242" s="308">
        <v>23</v>
      </c>
      <c r="L242" s="308">
        <v>23</v>
      </c>
      <c r="M242" s="308">
        <v>20</v>
      </c>
      <c r="N242" s="309">
        <f t="shared" si="6"/>
        <v>93.100000000000009</v>
      </c>
      <c r="O242" s="309" t="str">
        <f t="shared" si="7"/>
        <v>A</v>
      </c>
    </row>
    <row r="243" spans="1:15" x14ac:dyDescent="0.35">
      <c r="A243" s="305" t="s">
        <v>2548</v>
      </c>
      <c r="B243" s="305" t="s">
        <v>2312</v>
      </c>
      <c r="C243" s="305" t="s">
        <v>2310</v>
      </c>
      <c r="D243" s="306">
        <v>95</v>
      </c>
      <c r="E243" s="306">
        <v>75</v>
      </c>
      <c r="F243" s="306">
        <v>83</v>
      </c>
      <c r="G243" s="306">
        <v>89</v>
      </c>
      <c r="H243" s="307">
        <v>25</v>
      </c>
      <c r="I243" s="307">
        <v>18</v>
      </c>
      <c r="J243" s="308">
        <v>25</v>
      </c>
      <c r="K243" s="308">
        <v>22</v>
      </c>
      <c r="L243" s="308">
        <v>24</v>
      </c>
      <c r="M243" s="308">
        <v>24</v>
      </c>
      <c r="N243" s="309">
        <f t="shared" si="6"/>
        <v>89.6</v>
      </c>
      <c r="O243" s="309" t="str">
        <f t="shared" si="7"/>
        <v>B</v>
      </c>
    </row>
    <row r="244" spans="1:15" x14ac:dyDescent="0.35">
      <c r="A244" s="305" t="s">
        <v>1843</v>
      </c>
      <c r="B244" s="305" t="s">
        <v>2309</v>
      </c>
      <c r="C244" s="305" t="s">
        <v>2310</v>
      </c>
      <c r="D244" s="306">
        <v>80</v>
      </c>
      <c r="E244" s="306">
        <v>97</v>
      </c>
      <c r="F244" s="306">
        <v>100</v>
      </c>
      <c r="G244" s="306">
        <v>81</v>
      </c>
      <c r="H244" s="307">
        <v>23</v>
      </c>
      <c r="I244" s="307">
        <v>23</v>
      </c>
      <c r="J244" s="308">
        <v>23</v>
      </c>
      <c r="K244" s="308">
        <v>25</v>
      </c>
      <c r="L244" s="308">
        <v>25</v>
      </c>
      <c r="M244" s="308">
        <v>21</v>
      </c>
      <c r="N244" s="309">
        <f t="shared" si="6"/>
        <v>92.8</v>
      </c>
      <c r="O244" s="309" t="str">
        <f t="shared" si="7"/>
        <v>A</v>
      </c>
    </row>
    <row r="245" spans="1:15" x14ac:dyDescent="0.35">
      <c r="A245" s="305" t="s">
        <v>2549</v>
      </c>
      <c r="B245" s="305" t="s">
        <v>2309</v>
      </c>
      <c r="C245" s="305" t="s">
        <v>2313</v>
      </c>
      <c r="D245" s="306">
        <v>91</v>
      </c>
      <c r="E245" s="306">
        <v>74</v>
      </c>
      <c r="F245" s="306">
        <v>96</v>
      </c>
      <c r="G245" s="306">
        <v>100</v>
      </c>
      <c r="H245" s="307">
        <v>24</v>
      </c>
      <c r="I245" s="307">
        <v>23</v>
      </c>
      <c r="J245" s="308">
        <v>22</v>
      </c>
      <c r="K245" s="308">
        <v>20</v>
      </c>
      <c r="L245" s="308">
        <v>22</v>
      </c>
      <c r="M245" s="308">
        <v>25</v>
      </c>
      <c r="N245" s="309">
        <f t="shared" si="6"/>
        <v>94.5</v>
      </c>
      <c r="O245" s="309" t="str">
        <f t="shared" si="7"/>
        <v>A</v>
      </c>
    </row>
    <row r="246" spans="1:15" x14ac:dyDescent="0.35">
      <c r="A246" s="305" t="s">
        <v>2550</v>
      </c>
      <c r="B246" s="305" t="s">
        <v>2312</v>
      </c>
      <c r="C246" s="305" t="s">
        <v>2310</v>
      </c>
      <c r="D246" s="306">
        <v>100</v>
      </c>
      <c r="E246" s="306">
        <v>89</v>
      </c>
      <c r="F246" s="306">
        <v>84</v>
      </c>
      <c r="G246" s="306">
        <v>97</v>
      </c>
      <c r="H246" s="307">
        <v>23</v>
      </c>
      <c r="I246" s="307">
        <v>23</v>
      </c>
      <c r="J246" s="308">
        <v>24</v>
      </c>
      <c r="K246" s="308">
        <v>24</v>
      </c>
      <c r="L246" s="308">
        <v>25</v>
      </c>
      <c r="M246" s="308">
        <v>22</v>
      </c>
      <c r="N246" s="309">
        <f t="shared" si="6"/>
        <v>94.95</v>
      </c>
      <c r="O246" s="309" t="str">
        <f t="shared" si="7"/>
        <v>A</v>
      </c>
    </row>
    <row r="247" spans="1:15" x14ac:dyDescent="0.35">
      <c r="A247" s="305" t="s">
        <v>2551</v>
      </c>
      <c r="B247" s="305" t="s">
        <v>2309</v>
      </c>
      <c r="C247" s="305" t="s">
        <v>2313</v>
      </c>
      <c r="D247" s="306">
        <v>100</v>
      </c>
      <c r="E247" s="306">
        <v>98</v>
      </c>
      <c r="F247" s="306">
        <v>71</v>
      </c>
      <c r="G247" s="306">
        <v>95</v>
      </c>
      <c r="H247" s="307">
        <v>20</v>
      </c>
      <c r="I247" s="307">
        <v>22</v>
      </c>
      <c r="J247" s="308">
        <v>22</v>
      </c>
      <c r="K247" s="308">
        <v>18</v>
      </c>
      <c r="L247" s="308">
        <v>22</v>
      </c>
      <c r="M247" s="308">
        <v>24</v>
      </c>
      <c r="N247" s="309">
        <f t="shared" si="6"/>
        <v>94.550000000000011</v>
      </c>
      <c r="O247" s="309" t="str">
        <f t="shared" si="7"/>
        <v>A</v>
      </c>
    </row>
    <row r="248" spans="1:15" x14ac:dyDescent="0.35">
      <c r="A248" s="305" t="s">
        <v>2552</v>
      </c>
      <c r="B248" s="305" t="s">
        <v>2316</v>
      </c>
      <c r="C248" s="305" t="s">
        <v>2310</v>
      </c>
      <c r="D248" s="306">
        <v>96</v>
      </c>
      <c r="E248" s="306">
        <v>82</v>
      </c>
      <c r="F248" s="306">
        <v>93</v>
      </c>
      <c r="G248" s="306">
        <v>82</v>
      </c>
      <c r="H248" s="307">
        <v>24</v>
      </c>
      <c r="I248" s="307">
        <v>15</v>
      </c>
      <c r="J248" s="308">
        <v>22</v>
      </c>
      <c r="K248" s="308">
        <v>23</v>
      </c>
      <c r="L248" s="308">
        <v>24</v>
      </c>
      <c r="M248" s="308">
        <v>23</v>
      </c>
      <c r="N248" s="309">
        <f t="shared" si="6"/>
        <v>89.35</v>
      </c>
      <c r="O248" s="309" t="str">
        <f t="shared" si="7"/>
        <v>B</v>
      </c>
    </row>
  </sheetData>
  <sheetProtection algorithmName="SHA-512" hashValue="knlW959hzAkKej5J18s0mexD4bhsPsHxk02KLCVIOtHe+nQ5QLmBnQhiRp0R27wNIXPloeZPWqgiGiT+BP8Y9g==" saltValue="Wnd9zZMHQfmTxVwbigl64A==" spinCount="100000" sheet="1" formatCells="0" formatColumns="0" formatRows="0"/>
  <mergeCells count="7">
    <mergeCell ref="Q12:R12"/>
    <mergeCell ref="A7:A8"/>
    <mergeCell ref="B7:B8"/>
    <mergeCell ref="C7:C8"/>
    <mergeCell ref="N7:N8"/>
    <mergeCell ref="O7:O8"/>
    <mergeCell ref="Q7:R7"/>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AE7C-7F69-4586-8923-FCA4B1C0DCC4}">
  <sheetPr codeName="Sheet19"/>
  <dimension ref="A1:N26"/>
  <sheetViews>
    <sheetView topLeftCell="D2" zoomScaleNormal="100" workbookViewId="0">
      <selection activeCell="R25" sqref="R25"/>
    </sheetView>
  </sheetViews>
  <sheetFormatPr defaultRowHeight="14.5" x14ac:dyDescent="0.35"/>
  <cols>
    <col min="1" max="1" width="6.25" style="196" bestFit="1" customWidth="1"/>
    <col min="2" max="2" width="12.6640625" style="196" bestFit="1" customWidth="1"/>
    <col min="3" max="3" width="10.83203125" style="196" bestFit="1" customWidth="1"/>
    <col min="4" max="4" width="18.33203125" style="196" customWidth="1"/>
    <col min="5" max="5" width="13.58203125" style="196" bestFit="1" customWidth="1"/>
    <col min="6" max="6" width="12.9140625" style="196" customWidth="1"/>
    <col min="7" max="7" width="16.6640625" style="196" bestFit="1" customWidth="1"/>
    <col min="8" max="8" width="17.83203125" style="196" bestFit="1" customWidth="1"/>
    <col min="9" max="9" width="12.75" style="196" bestFit="1" customWidth="1"/>
    <col min="10" max="10" width="16.75" style="196" bestFit="1" customWidth="1"/>
    <col min="11" max="11" width="11.1640625" style="196" bestFit="1" customWidth="1"/>
    <col min="12" max="12" width="9.75" style="196" bestFit="1" customWidth="1"/>
    <col min="13" max="13" width="18.6640625" style="196" bestFit="1" customWidth="1"/>
    <col min="14" max="14" width="13.25" style="196" bestFit="1" customWidth="1"/>
    <col min="15" max="16384" width="8.6640625" style="196"/>
  </cols>
  <sheetData>
    <row r="1" spans="1:14" s="346" customFormat="1" x14ac:dyDescent="0.35">
      <c r="A1" s="343" t="s">
        <v>2553</v>
      </c>
      <c r="B1" s="344" t="s">
        <v>2554</v>
      </c>
      <c r="C1" s="344" t="s">
        <v>2555</v>
      </c>
      <c r="D1" s="345" t="s">
        <v>2556</v>
      </c>
      <c r="E1" s="346" t="s">
        <v>2557</v>
      </c>
      <c r="F1" s="346" t="s">
        <v>2558</v>
      </c>
      <c r="G1" s="346" t="s">
        <v>2559</v>
      </c>
      <c r="H1" s="346" t="s">
        <v>2560</v>
      </c>
      <c r="I1" s="346" t="s">
        <v>2561</v>
      </c>
      <c r="J1" s="346" t="s">
        <v>2562</v>
      </c>
      <c r="K1" s="346" t="s">
        <v>2563</v>
      </c>
      <c r="L1" s="346" t="s">
        <v>2564</v>
      </c>
      <c r="M1" s="346" t="s">
        <v>2565</v>
      </c>
      <c r="N1" s="346" t="s">
        <v>2566</v>
      </c>
    </row>
    <row r="2" spans="1:14" x14ac:dyDescent="0.35">
      <c r="A2" s="347">
        <v>425154</v>
      </c>
      <c r="B2" s="196">
        <v>2948</v>
      </c>
      <c r="C2" s="196">
        <v>1.0724680412292864</v>
      </c>
      <c r="D2" s="348">
        <v>346</v>
      </c>
      <c r="E2" s="196">
        <f>B2*C2</f>
        <v>3161.6357855439364</v>
      </c>
      <c r="F2" s="196">
        <f>SQRT(E2)</f>
        <v>56.22842506725523</v>
      </c>
      <c r="G2" s="196">
        <f>F2*K2/SUMPRODUCT($F$2:$F$26,$K$2:$K$26)</f>
        <v>0</v>
      </c>
      <c r="H2" s="196">
        <f t="shared" ref="H2:H26" si="0">G2*Forwardsize</f>
        <v>0</v>
      </c>
      <c r="I2" s="196">
        <f>D2/F2</f>
        <v>6.1534713018575014</v>
      </c>
      <c r="J2" s="196">
        <f>_xlfn.RANK.EQ(I2,$I$2:$I$26,0)</f>
        <v>17</v>
      </c>
      <c r="K2" s="196">
        <f t="shared" ref="K2:K26" si="1">IF(J2&lt;=numSKU,1,0)</f>
        <v>0</v>
      </c>
      <c r="L2" s="196">
        <f t="shared" ref="L2:L26" si="2">savingsperpick*D2*K2</f>
        <v>0</v>
      </c>
      <c r="M2" s="196">
        <f>IF(K2=0,0,E2/H2)</f>
        <v>0</v>
      </c>
      <c r="N2" s="196">
        <f t="shared" ref="N2:N26" si="3">M2*replcost</f>
        <v>0</v>
      </c>
    </row>
    <row r="3" spans="1:14" x14ac:dyDescent="0.35">
      <c r="A3" s="347">
        <v>982760</v>
      </c>
      <c r="B3" s="196">
        <v>268</v>
      </c>
      <c r="C3" s="196">
        <v>0.94706557673754899</v>
      </c>
      <c r="D3" s="348">
        <v>99</v>
      </c>
      <c r="E3" s="196">
        <f t="shared" ref="E3:E26" si="4">B3*C3</f>
        <v>253.81357456566312</v>
      </c>
      <c r="F3" s="196">
        <f t="shared" ref="F3:F26" si="5">SQRT(E3)</f>
        <v>15.931527690892143</v>
      </c>
      <c r="G3" s="196">
        <f t="shared" ref="G3:G26" si="6">F3*K3/SUMPRODUCT($F$2:$F$26,$K$2:$K$26)</f>
        <v>0</v>
      </c>
      <c r="H3" s="196">
        <f t="shared" si="0"/>
        <v>0</v>
      </c>
      <c r="I3" s="196">
        <f t="shared" ref="I3:I26" si="7">D3/F3</f>
        <v>6.2140933324678631</v>
      </c>
      <c r="J3" s="196">
        <f t="shared" ref="J3:J26" si="8">_xlfn.RANK.EQ(I3,$I$2:$I$26,0)</f>
        <v>16</v>
      </c>
      <c r="K3" s="196">
        <f t="shared" si="1"/>
        <v>0</v>
      </c>
      <c r="L3" s="196">
        <f t="shared" si="2"/>
        <v>0</v>
      </c>
      <c r="M3" s="196">
        <f t="shared" ref="M3:M26" si="9">IF(K3=0,0,E3/H3)</f>
        <v>0</v>
      </c>
      <c r="N3" s="196">
        <f t="shared" si="3"/>
        <v>0</v>
      </c>
    </row>
    <row r="4" spans="1:14" x14ac:dyDescent="0.35">
      <c r="A4" s="347">
        <v>35713</v>
      </c>
      <c r="B4" s="196">
        <v>154</v>
      </c>
      <c r="C4" s="196">
        <v>0.76215346235009629</v>
      </c>
      <c r="D4" s="348">
        <v>18</v>
      </c>
      <c r="E4" s="196">
        <f t="shared" si="4"/>
        <v>117.37163320191483</v>
      </c>
      <c r="F4" s="196">
        <f t="shared" si="5"/>
        <v>10.83381895740901</v>
      </c>
      <c r="G4" s="196">
        <f t="shared" si="6"/>
        <v>0</v>
      </c>
      <c r="H4" s="196">
        <f t="shared" si="0"/>
        <v>0</v>
      </c>
      <c r="I4" s="196">
        <f t="shared" si="7"/>
        <v>1.6614639833620439</v>
      </c>
      <c r="J4" s="196">
        <f t="shared" si="8"/>
        <v>21</v>
      </c>
      <c r="K4" s="196">
        <f t="shared" si="1"/>
        <v>0</v>
      </c>
      <c r="L4" s="196">
        <f t="shared" si="2"/>
        <v>0</v>
      </c>
      <c r="M4" s="196">
        <f t="shared" si="9"/>
        <v>0</v>
      </c>
      <c r="N4" s="196">
        <f t="shared" si="3"/>
        <v>0</v>
      </c>
    </row>
    <row r="5" spans="1:14" x14ac:dyDescent="0.35">
      <c r="A5" s="347">
        <v>62032</v>
      </c>
      <c r="B5" s="196">
        <v>5423</v>
      </c>
      <c r="C5" s="196">
        <v>1.0760243568253798</v>
      </c>
      <c r="D5" s="348">
        <v>4063</v>
      </c>
      <c r="E5" s="196">
        <f t="shared" si="4"/>
        <v>5835.2800870640349</v>
      </c>
      <c r="F5" s="196">
        <f t="shared" si="5"/>
        <v>76.389005014229866</v>
      </c>
      <c r="G5" s="196">
        <f t="shared" si="6"/>
        <v>0.11944411338634268</v>
      </c>
      <c r="H5" s="196">
        <f t="shared" si="0"/>
        <v>17.916617007951402</v>
      </c>
      <c r="I5" s="196">
        <f t="shared" si="7"/>
        <v>53.188282780265794</v>
      </c>
      <c r="J5" s="196">
        <f t="shared" si="8"/>
        <v>4</v>
      </c>
      <c r="K5" s="196">
        <f t="shared" si="1"/>
        <v>1</v>
      </c>
      <c r="L5" s="196">
        <f t="shared" si="2"/>
        <v>345.35500000000002</v>
      </c>
      <c r="M5" s="196">
        <f t="shared" si="9"/>
        <v>325.69095407209602</v>
      </c>
      <c r="N5" s="196">
        <f t="shared" si="3"/>
        <v>162.84547703604801</v>
      </c>
    </row>
    <row r="6" spans="1:14" x14ac:dyDescent="0.35">
      <c r="A6" s="347">
        <v>901563</v>
      </c>
      <c r="B6" s="196">
        <v>152</v>
      </c>
      <c r="C6" s="196">
        <v>1.4721862559969523</v>
      </c>
      <c r="D6" s="348">
        <v>39</v>
      </c>
      <c r="E6" s="196">
        <f t="shared" si="4"/>
        <v>223.77231091153675</v>
      </c>
      <c r="F6" s="196">
        <f t="shared" si="5"/>
        <v>14.95902105458565</v>
      </c>
      <c r="G6" s="196">
        <f t="shared" si="6"/>
        <v>0</v>
      </c>
      <c r="H6" s="196">
        <f t="shared" si="0"/>
        <v>0</v>
      </c>
      <c r="I6" s="196">
        <f t="shared" si="7"/>
        <v>2.6071224753069417</v>
      </c>
      <c r="J6" s="196">
        <f t="shared" si="8"/>
        <v>20</v>
      </c>
      <c r="K6" s="196">
        <f t="shared" si="1"/>
        <v>0</v>
      </c>
      <c r="L6" s="196">
        <f t="shared" si="2"/>
        <v>0</v>
      </c>
      <c r="M6" s="196">
        <f t="shared" si="9"/>
        <v>0</v>
      </c>
      <c r="N6" s="196">
        <f t="shared" si="3"/>
        <v>0</v>
      </c>
    </row>
    <row r="7" spans="1:14" x14ac:dyDescent="0.35">
      <c r="A7" s="347">
        <v>404673</v>
      </c>
      <c r="B7" s="196">
        <v>692</v>
      </c>
      <c r="C7" s="196">
        <v>0.84708786159839677</v>
      </c>
      <c r="D7" s="348">
        <v>39</v>
      </c>
      <c r="E7" s="196">
        <f t="shared" si="4"/>
        <v>586.1848002260906</v>
      </c>
      <c r="F7" s="196">
        <f t="shared" si="5"/>
        <v>24.211253586423208</v>
      </c>
      <c r="G7" s="196">
        <f t="shared" si="6"/>
        <v>0</v>
      </c>
      <c r="H7" s="196">
        <f t="shared" si="0"/>
        <v>0</v>
      </c>
      <c r="I7" s="196">
        <f t="shared" si="7"/>
        <v>1.6108211770525498</v>
      </c>
      <c r="J7" s="196">
        <f t="shared" si="8"/>
        <v>22</v>
      </c>
      <c r="K7" s="196">
        <f t="shared" si="1"/>
        <v>0</v>
      </c>
      <c r="L7" s="196">
        <f t="shared" si="2"/>
        <v>0</v>
      </c>
      <c r="M7" s="196">
        <f t="shared" si="9"/>
        <v>0</v>
      </c>
      <c r="N7" s="196">
        <f t="shared" si="3"/>
        <v>0</v>
      </c>
    </row>
    <row r="8" spans="1:14" x14ac:dyDescent="0.35">
      <c r="A8" s="347">
        <v>134992</v>
      </c>
      <c r="B8" s="196">
        <v>6802</v>
      </c>
      <c r="C8" s="196">
        <v>1.1557717460035519</v>
      </c>
      <c r="D8" s="348">
        <v>4762</v>
      </c>
      <c r="E8" s="196">
        <f t="shared" si="4"/>
        <v>7861.5594163161604</v>
      </c>
      <c r="F8" s="196">
        <f t="shared" si="5"/>
        <v>88.6654352964906</v>
      </c>
      <c r="G8" s="196">
        <f t="shared" si="6"/>
        <v>0.13863990380592897</v>
      </c>
      <c r="H8" s="196">
        <f t="shared" si="0"/>
        <v>20.795985570889346</v>
      </c>
      <c r="I8" s="196">
        <f t="shared" si="7"/>
        <v>53.707512787550499</v>
      </c>
      <c r="J8" s="196">
        <f t="shared" si="8"/>
        <v>3</v>
      </c>
      <c r="K8" s="196">
        <f t="shared" si="1"/>
        <v>1</v>
      </c>
      <c r="L8" s="196">
        <f t="shared" si="2"/>
        <v>404.77000000000004</v>
      </c>
      <c r="M8" s="196">
        <f t="shared" si="9"/>
        <v>378.03254813375787</v>
      </c>
      <c r="N8" s="196">
        <f t="shared" si="3"/>
        <v>189.01627406687894</v>
      </c>
    </row>
    <row r="9" spans="1:14" x14ac:dyDescent="0.35">
      <c r="A9" s="347">
        <v>154507</v>
      </c>
      <c r="B9" s="196">
        <v>7911</v>
      </c>
      <c r="C9" s="196">
        <v>1.0510069035219418</v>
      </c>
      <c r="D9" s="348">
        <v>4493</v>
      </c>
      <c r="E9" s="196">
        <f t="shared" si="4"/>
        <v>8314.5156137620816</v>
      </c>
      <c r="F9" s="196">
        <f t="shared" si="5"/>
        <v>91.183965771192916</v>
      </c>
      <c r="G9" s="196">
        <f t="shared" si="6"/>
        <v>0</v>
      </c>
      <c r="H9" s="196">
        <f t="shared" si="0"/>
        <v>0</v>
      </c>
      <c r="I9" s="196">
        <f t="shared" si="7"/>
        <v>49.274013934360383</v>
      </c>
      <c r="J9" s="196">
        <f t="shared" si="8"/>
        <v>7</v>
      </c>
      <c r="K9" s="196">
        <f t="shared" si="1"/>
        <v>0</v>
      </c>
      <c r="L9" s="196">
        <f t="shared" si="2"/>
        <v>0</v>
      </c>
      <c r="M9" s="196">
        <f t="shared" si="9"/>
        <v>0</v>
      </c>
      <c r="N9" s="196">
        <f t="shared" si="3"/>
        <v>0</v>
      </c>
    </row>
    <row r="10" spans="1:14" x14ac:dyDescent="0.35">
      <c r="A10" s="347">
        <v>264861</v>
      </c>
      <c r="B10" s="196">
        <v>3628</v>
      </c>
      <c r="C10" s="196">
        <v>0.66550219560321222</v>
      </c>
      <c r="D10" s="348">
        <v>2177</v>
      </c>
      <c r="E10" s="196">
        <f t="shared" si="4"/>
        <v>2414.4419656484538</v>
      </c>
      <c r="F10" s="196">
        <f t="shared" si="5"/>
        <v>49.136971474119704</v>
      </c>
      <c r="G10" s="196">
        <f t="shared" si="6"/>
        <v>0</v>
      </c>
      <c r="H10" s="196">
        <f t="shared" si="0"/>
        <v>0</v>
      </c>
      <c r="I10" s="196">
        <f t="shared" si="7"/>
        <v>44.30472482714201</v>
      </c>
      <c r="J10" s="196">
        <f t="shared" si="8"/>
        <v>8</v>
      </c>
      <c r="K10" s="196">
        <f t="shared" si="1"/>
        <v>0</v>
      </c>
      <c r="L10" s="196">
        <f t="shared" si="2"/>
        <v>0</v>
      </c>
      <c r="M10" s="196">
        <f t="shared" si="9"/>
        <v>0</v>
      </c>
      <c r="N10" s="196">
        <f t="shared" si="3"/>
        <v>0</v>
      </c>
    </row>
    <row r="11" spans="1:14" x14ac:dyDescent="0.35">
      <c r="A11" s="347">
        <v>165280</v>
      </c>
      <c r="B11" s="196">
        <v>70754</v>
      </c>
      <c r="C11" s="196">
        <v>1.1912117879078137</v>
      </c>
      <c r="D11" s="348">
        <v>69409</v>
      </c>
      <c r="E11" s="196">
        <f t="shared" si="4"/>
        <v>84282.998841629451</v>
      </c>
      <c r="F11" s="196">
        <f t="shared" si="5"/>
        <v>290.31534379296841</v>
      </c>
      <c r="G11" s="196">
        <f t="shared" si="6"/>
        <v>0.45394568021068987</v>
      </c>
      <c r="H11" s="196">
        <f t="shared" si="0"/>
        <v>68.09185203160348</v>
      </c>
      <c r="I11" s="196">
        <f t="shared" si="7"/>
        <v>239.08140401114107</v>
      </c>
      <c r="J11" s="196">
        <f t="shared" si="8"/>
        <v>1</v>
      </c>
      <c r="K11" s="196">
        <f t="shared" si="1"/>
        <v>1</v>
      </c>
      <c r="L11" s="196">
        <f t="shared" si="2"/>
        <v>5899.7650000000003</v>
      </c>
      <c r="M11" s="196">
        <f t="shared" si="9"/>
        <v>1237.7839099237772</v>
      </c>
      <c r="N11" s="196">
        <f t="shared" si="3"/>
        <v>618.89195496188859</v>
      </c>
    </row>
    <row r="12" spans="1:14" x14ac:dyDescent="0.35">
      <c r="A12" s="347">
        <v>9912</v>
      </c>
      <c r="B12" s="196">
        <v>773</v>
      </c>
      <c r="C12" s="196">
        <v>1.5988534434623523</v>
      </c>
      <c r="D12" s="348">
        <v>21</v>
      </c>
      <c r="E12" s="196">
        <f t="shared" si="4"/>
        <v>1235.9137117963983</v>
      </c>
      <c r="F12" s="196">
        <f t="shared" si="5"/>
        <v>35.155564449975742</v>
      </c>
      <c r="G12" s="196">
        <f t="shared" si="6"/>
        <v>0</v>
      </c>
      <c r="H12" s="196">
        <f t="shared" si="0"/>
        <v>0</v>
      </c>
      <c r="I12" s="196">
        <f t="shared" si="7"/>
        <v>0.5973449816139843</v>
      </c>
      <c r="J12" s="196">
        <f t="shared" si="8"/>
        <v>24</v>
      </c>
      <c r="K12" s="196">
        <f t="shared" si="1"/>
        <v>0</v>
      </c>
      <c r="L12" s="196">
        <f t="shared" si="2"/>
        <v>0</v>
      </c>
      <c r="M12" s="196">
        <f t="shared" si="9"/>
        <v>0</v>
      </c>
      <c r="N12" s="196">
        <f t="shared" si="3"/>
        <v>0</v>
      </c>
    </row>
    <row r="13" spans="1:14" x14ac:dyDescent="0.35">
      <c r="A13" s="347">
        <v>254372</v>
      </c>
      <c r="B13" s="196">
        <v>1110</v>
      </c>
      <c r="C13" s="196">
        <v>1.4988434856536177</v>
      </c>
      <c r="D13" s="348">
        <v>38</v>
      </c>
      <c r="E13" s="196">
        <f t="shared" si="4"/>
        <v>1663.7162690755156</v>
      </c>
      <c r="F13" s="196">
        <f t="shared" si="5"/>
        <v>40.788678197209521</v>
      </c>
      <c r="G13" s="196">
        <f t="shared" si="6"/>
        <v>0</v>
      </c>
      <c r="H13" s="196">
        <f t="shared" si="0"/>
        <v>0</v>
      </c>
      <c r="I13" s="196">
        <f t="shared" si="7"/>
        <v>0.93163107213902552</v>
      </c>
      <c r="J13" s="196">
        <f t="shared" si="8"/>
        <v>23</v>
      </c>
      <c r="K13" s="196">
        <f t="shared" si="1"/>
        <v>0</v>
      </c>
      <c r="L13" s="196">
        <f t="shared" si="2"/>
        <v>0</v>
      </c>
      <c r="M13" s="196">
        <f t="shared" si="9"/>
        <v>0</v>
      </c>
      <c r="N13" s="196">
        <f t="shared" si="3"/>
        <v>0</v>
      </c>
    </row>
    <row r="14" spans="1:14" x14ac:dyDescent="0.35">
      <c r="A14" s="347">
        <v>755351</v>
      </c>
      <c r="B14" s="196">
        <v>6374</v>
      </c>
      <c r="C14" s="196">
        <v>0.60873975656483104</v>
      </c>
      <c r="D14" s="348">
        <v>3297</v>
      </c>
      <c r="E14" s="196">
        <f t="shared" si="4"/>
        <v>3880.1072083442332</v>
      </c>
      <c r="F14" s="196">
        <f t="shared" si="5"/>
        <v>62.290506566765316</v>
      </c>
      <c r="G14" s="196">
        <f t="shared" si="6"/>
        <v>9.7399283154263647E-2</v>
      </c>
      <c r="H14" s="196">
        <f t="shared" si="0"/>
        <v>14.609892473139547</v>
      </c>
      <c r="I14" s="196">
        <f t="shared" si="7"/>
        <v>52.929413833970848</v>
      </c>
      <c r="J14" s="196">
        <f t="shared" si="8"/>
        <v>5</v>
      </c>
      <c r="K14" s="196">
        <f t="shared" si="1"/>
        <v>1</v>
      </c>
      <c r="L14" s="196">
        <f t="shared" si="2"/>
        <v>280.245</v>
      </c>
      <c r="M14" s="196">
        <f t="shared" si="9"/>
        <v>265.58081898808319</v>
      </c>
      <c r="N14" s="196">
        <f t="shared" si="3"/>
        <v>132.7904094940416</v>
      </c>
    </row>
    <row r="15" spans="1:14" x14ac:dyDescent="0.35">
      <c r="A15" s="347">
        <v>419231</v>
      </c>
      <c r="B15" s="196">
        <v>229</v>
      </c>
      <c r="C15" s="196">
        <v>1.1515729746713501</v>
      </c>
      <c r="D15" s="348">
        <v>62</v>
      </c>
      <c r="E15" s="196">
        <f t="shared" si="4"/>
        <v>263.71021119973915</v>
      </c>
      <c r="F15" s="196">
        <f t="shared" si="5"/>
        <v>16.239156726866675</v>
      </c>
      <c r="G15" s="196">
        <f t="shared" si="6"/>
        <v>0</v>
      </c>
      <c r="H15" s="196">
        <f t="shared" si="0"/>
        <v>0</v>
      </c>
      <c r="I15" s="196">
        <f t="shared" si="7"/>
        <v>3.8179322388966699</v>
      </c>
      <c r="J15" s="196">
        <f t="shared" si="8"/>
        <v>19</v>
      </c>
      <c r="K15" s="196">
        <f t="shared" si="1"/>
        <v>0</v>
      </c>
      <c r="L15" s="196">
        <f t="shared" si="2"/>
        <v>0</v>
      </c>
      <c r="M15" s="196">
        <f t="shared" si="9"/>
        <v>0</v>
      </c>
      <c r="N15" s="196">
        <f t="shared" si="3"/>
        <v>0</v>
      </c>
    </row>
    <row r="16" spans="1:14" x14ac:dyDescent="0.35">
      <c r="A16" s="347">
        <v>473793</v>
      </c>
      <c r="B16" s="196">
        <v>1218</v>
      </c>
      <c r="C16" s="196">
        <v>0.83449712274934762</v>
      </c>
      <c r="D16" s="348">
        <v>494</v>
      </c>
      <c r="E16" s="196">
        <f t="shared" si="4"/>
        <v>1016.4174955087054</v>
      </c>
      <c r="F16" s="196">
        <f t="shared" si="5"/>
        <v>31.881303227890566</v>
      </c>
      <c r="G16" s="196">
        <f t="shared" si="6"/>
        <v>0</v>
      </c>
      <c r="H16" s="196">
        <f t="shared" si="0"/>
        <v>0</v>
      </c>
      <c r="I16" s="196">
        <f t="shared" si="7"/>
        <v>15.494975110297133</v>
      </c>
      <c r="J16" s="196">
        <f t="shared" si="8"/>
        <v>12</v>
      </c>
      <c r="K16" s="196">
        <f t="shared" si="1"/>
        <v>0</v>
      </c>
      <c r="L16" s="196">
        <f t="shared" si="2"/>
        <v>0</v>
      </c>
      <c r="M16" s="196">
        <f t="shared" si="9"/>
        <v>0</v>
      </c>
      <c r="N16" s="196">
        <f t="shared" si="3"/>
        <v>0</v>
      </c>
    </row>
    <row r="17" spans="1:14" x14ac:dyDescent="0.35">
      <c r="A17" s="347">
        <v>870954</v>
      </c>
      <c r="B17" s="196">
        <v>2428</v>
      </c>
      <c r="C17" s="196">
        <v>0.78308343274896741</v>
      </c>
      <c r="D17" s="348">
        <v>1613</v>
      </c>
      <c r="E17" s="196">
        <f t="shared" si="4"/>
        <v>1901.3265747144928</v>
      </c>
      <c r="F17" s="196">
        <f t="shared" si="5"/>
        <v>43.604203635824987</v>
      </c>
      <c r="G17" s="196">
        <f t="shared" si="6"/>
        <v>0</v>
      </c>
      <c r="H17" s="196">
        <f t="shared" si="0"/>
        <v>0</v>
      </c>
      <c r="I17" s="196">
        <f t="shared" si="7"/>
        <v>36.991846324531139</v>
      </c>
      <c r="J17" s="196">
        <f t="shared" si="8"/>
        <v>10</v>
      </c>
      <c r="K17" s="196">
        <f t="shared" si="1"/>
        <v>0</v>
      </c>
      <c r="L17" s="196">
        <f t="shared" si="2"/>
        <v>0</v>
      </c>
      <c r="M17" s="196">
        <f t="shared" si="9"/>
        <v>0</v>
      </c>
      <c r="N17" s="196">
        <f t="shared" si="3"/>
        <v>0</v>
      </c>
    </row>
    <row r="18" spans="1:14" x14ac:dyDescent="0.35">
      <c r="A18" s="347">
        <v>979674</v>
      </c>
      <c r="B18" s="196">
        <v>1651</v>
      </c>
      <c r="C18" s="196">
        <v>1.0339525590802019</v>
      </c>
      <c r="D18" s="348">
        <v>1592</v>
      </c>
      <c r="E18" s="196">
        <f t="shared" si="4"/>
        <v>1707.0556750414132</v>
      </c>
      <c r="F18" s="196">
        <f t="shared" si="5"/>
        <v>41.316530288026527</v>
      </c>
      <c r="G18" s="196">
        <f t="shared" si="6"/>
        <v>0</v>
      </c>
      <c r="H18" s="196">
        <f t="shared" si="0"/>
        <v>0</v>
      </c>
      <c r="I18" s="196">
        <f t="shared" si="7"/>
        <v>38.531793180642744</v>
      </c>
      <c r="J18" s="196">
        <f t="shared" si="8"/>
        <v>9</v>
      </c>
      <c r="K18" s="196">
        <f t="shared" si="1"/>
        <v>0</v>
      </c>
      <c r="L18" s="196">
        <f t="shared" si="2"/>
        <v>0</v>
      </c>
      <c r="M18" s="196">
        <f t="shared" si="9"/>
        <v>0</v>
      </c>
      <c r="N18" s="196">
        <f t="shared" si="3"/>
        <v>0</v>
      </c>
    </row>
    <row r="19" spans="1:14" x14ac:dyDescent="0.35">
      <c r="A19" s="347">
        <v>991110</v>
      </c>
      <c r="B19" s="196">
        <v>251</v>
      </c>
      <c r="C19" s="196">
        <v>1.118635035114254</v>
      </c>
      <c r="D19" s="348">
        <v>8</v>
      </c>
      <c r="E19" s="196">
        <f t="shared" si="4"/>
        <v>280.77739381367775</v>
      </c>
      <c r="F19" s="196">
        <f t="shared" si="5"/>
        <v>16.756413512851662</v>
      </c>
      <c r="G19" s="196">
        <f t="shared" si="6"/>
        <v>0</v>
      </c>
      <c r="H19" s="196">
        <f t="shared" si="0"/>
        <v>0</v>
      </c>
      <c r="I19" s="196">
        <f t="shared" si="7"/>
        <v>0.47742913445435337</v>
      </c>
      <c r="J19" s="196">
        <f t="shared" si="8"/>
        <v>25</v>
      </c>
      <c r="K19" s="196">
        <f t="shared" si="1"/>
        <v>0</v>
      </c>
      <c r="L19" s="196">
        <f t="shared" si="2"/>
        <v>0</v>
      </c>
      <c r="M19" s="196">
        <f t="shared" si="9"/>
        <v>0</v>
      </c>
      <c r="N19" s="196">
        <f t="shared" si="3"/>
        <v>0</v>
      </c>
    </row>
    <row r="20" spans="1:14" x14ac:dyDescent="0.35">
      <c r="A20" s="347">
        <v>959011</v>
      </c>
      <c r="B20" s="196">
        <v>13415</v>
      </c>
      <c r="C20" s="196">
        <v>1.1072743554333138</v>
      </c>
      <c r="D20" s="348">
        <v>7279</v>
      </c>
      <c r="E20" s="196">
        <f t="shared" si="4"/>
        <v>14854.085478137904</v>
      </c>
      <c r="F20" s="196">
        <f t="shared" si="5"/>
        <v>121.87733783660481</v>
      </c>
      <c r="G20" s="196">
        <f t="shared" si="6"/>
        <v>0.19057101944277477</v>
      </c>
      <c r="H20" s="196">
        <f t="shared" si="0"/>
        <v>28.585652916416215</v>
      </c>
      <c r="I20" s="196">
        <f t="shared" si="7"/>
        <v>59.723982564819487</v>
      </c>
      <c r="J20" s="196">
        <f t="shared" si="8"/>
        <v>2</v>
      </c>
      <c r="K20" s="196">
        <f t="shared" si="1"/>
        <v>1</v>
      </c>
      <c r="L20" s="196">
        <f t="shared" si="2"/>
        <v>618.71500000000003</v>
      </c>
      <c r="M20" s="196">
        <f t="shared" si="9"/>
        <v>519.63429072517272</v>
      </c>
      <c r="N20" s="196">
        <f t="shared" si="3"/>
        <v>259.81714536258636</v>
      </c>
    </row>
    <row r="21" spans="1:14" x14ac:dyDescent="0.35">
      <c r="A21" s="347">
        <v>156565</v>
      </c>
      <c r="B21" s="196">
        <v>5743</v>
      </c>
      <c r="C21" s="196">
        <v>0.91438973413191638</v>
      </c>
      <c r="D21" s="348">
        <v>3750</v>
      </c>
      <c r="E21" s="196">
        <f t="shared" si="4"/>
        <v>5251.3402431195955</v>
      </c>
      <c r="F21" s="196">
        <f t="shared" si="5"/>
        <v>72.466131696949262</v>
      </c>
      <c r="G21" s="196">
        <f t="shared" si="6"/>
        <v>0</v>
      </c>
      <c r="H21" s="196">
        <f t="shared" si="0"/>
        <v>0</v>
      </c>
      <c r="I21" s="196">
        <f t="shared" si="7"/>
        <v>51.748312103678508</v>
      </c>
      <c r="J21" s="196">
        <f t="shared" si="8"/>
        <v>6</v>
      </c>
      <c r="K21" s="196">
        <f t="shared" si="1"/>
        <v>0</v>
      </c>
      <c r="L21" s="196">
        <f t="shared" si="2"/>
        <v>0</v>
      </c>
      <c r="M21" s="196">
        <f t="shared" si="9"/>
        <v>0</v>
      </c>
      <c r="N21" s="196">
        <f t="shared" si="3"/>
        <v>0</v>
      </c>
    </row>
    <row r="22" spans="1:14" x14ac:dyDescent="0.35">
      <c r="A22" s="347">
        <v>521514</v>
      </c>
      <c r="B22" s="196">
        <v>183</v>
      </c>
      <c r="C22" s="196">
        <v>0.99221098697061205</v>
      </c>
      <c r="D22" s="348">
        <v>134</v>
      </c>
      <c r="E22" s="196">
        <f t="shared" si="4"/>
        <v>181.57461061562199</v>
      </c>
      <c r="F22" s="196">
        <f t="shared" si="5"/>
        <v>13.474962360452885</v>
      </c>
      <c r="G22" s="196">
        <f t="shared" si="6"/>
        <v>0</v>
      </c>
      <c r="H22" s="196">
        <f t="shared" si="0"/>
        <v>0</v>
      </c>
      <c r="I22" s="196">
        <f t="shared" si="7"/>
        <v>9.944369150393408</v>
      </c>
      <c r="J22" s="196">
        <f t="shared" si="8"/>
        <v>14</v>
      </c>
      <c r="K22" s="196">
        <f t="shared" si="1"/>
        <v>0</v>
      </c>
      <c r="L22" s="196">
        <f t="shared" si="2"/>
        <v>0</v>
      </c>
      <c r="M22" s="196">
        <f t="shared" si="9"/>
        <v>0</v>
      </c>
      <c r="N22" s="196">
        <f t="shared" si="3"/>
        <v>0</v>
      </c>
    </row>
    <row r="23" spans="1:14" x14ac:dyDescent="0.35">
      <c r="A23" s="347">
        <v>979759</v>
      </c>
      <c r="B23" s="196">
        <v>124</v>
      </c>
      <c r="C23" s="196">
        <v>1.0962655480969379</v>
      </c>
      <c r="D23" s="348">
        <v>119</v>
      </c>
      <c r="E23" s="196">
        <f t="shared" si="4"/>
        <v>135.9369279640203</v>
      </c>
      <c r="F23" s="196">
        <f t="shared" si="5"/>
        <v>11.659199284857442</v>
      </c>
      <c r="G23" s="196">
        <f t="shared" si="6"/>
        <v>0</v>
      </c>
      <c r="H23" s="196">
        <f t="shared" si="0"/>
        <v>0</v>
      </c>
      <c r="I23" s="196">
        <f t="shared" si="7"/>
        <v>10.206532806635616</v>
      </c>
      <c r="J23" s="196">
        <f t="shared" si="8"/>
        <v>13</v>
      </c>
      <c r="K23" s="196">
        <f t="shared" si="1"/>
        <v>0</v>
      </c>
      <c r="L23" s="196">
        <f t="shared" si="2"/>
        <v>0</v>
      </c>
      <c r="M23" s="196">
        <f t="shared" si="9"/>
        <v>0</v>
      </c>
      <c r="N23" s="196">
        <f t="shared" si="3"/>
        <v>0</v>
      </c>
    </row>
    <row r="24" spans="1:14" x14ac:dyDescent="0.35">
      <c r="A24" s="347">
        <v>526968</v>
      </c>
      <c r="B24" s="196">
        <v>28</v>
      </c>
      <c r="C24" s="196">
        <v>1.0194647913919177</v>
      </c>
      <c r="D24" s="348">
        <v>26</v>
      </c>
      <c r="E24" s="196">
        <f t="shared" si="4"/>
        <v>28.545014158973697</v>
      </c>
      <c r="F24" s="196">
        <f t="shared" si="5"/>
        <v>5.3427534248712707</v>
      </c>
      <c r="G24" s="196">
        <f t="shared" si="6"/>
        <v>0</v>
      </c>
      <c r="H24" s="196">
        <f t="shared" si="0"/>
        <v>0</v>
      </c>
      <c r="I24" s="196">
        <f t="shared" si="7"/>
        <v>4.8664046292996295</v>
      </c>
      <c r="J24" s="196">
        <f t="shared" si="8"/>
        <v>18</v>
      </c>
      <c r="K24" s="196">
        <f t="shared" si="1"/>
        <v>0</v>
      </c>
      <c r="L24" s="196">
        <f t="shared" si="2"/>
        <v>0</v>
      </c>
      <c r="M24" s="196">
        <f t="shared" si="9"/>
        <v>0</v>
      </c>
      <c r="N24" s="196">
        <f t="shared" si="3"/>
        <v>0</v>
      </c>
    </row>
    <row r="25" spans="1:14" x14ac:dyDescent="0.35">
      <c r="A25" s="347">
        <v>350306</v>
      </c>
      <c r="B25" s="196">
        <v>3079</v>
      </c>
      <c r="C25" s="196">
        <v>0.6786323364418837</v>
      </c>
      <c r="D25" s="348">
        <v>716</v>
      </c>
      <c r="E25" s="196">
        <f t="shared" si="4"/>
        <v>2089.50896390456</v>
      </c>
      <c r="F25" s="196">
        <f t="shared" si="5"/>
        <v>45.711147042100791</v>
      </c>
      <c r="G25" s="196">
        <f t="shared" si="6"/>
        <v>0</v>
      </c>
      <c r="H25" s="196">
        <f t="shared" si="0"/>
        <v>0</v>
      </c>
      <c r="I25" s="196">
        <f t="shared" si="7"/>
        <v>15.663575436874316</v>
      </c>
      <c r="J25" s="196">
        <f t="shared" si="8"/>
        <v>11</v>
      </c>
      <c r="K25" s="196">
        <f t="shared" si="1"/>
        <v>0</v>
      </c>
      <c r="L25" s="196">
        <f t="shared" si="2"/>
        <v>0</v>
      </c>
      <c r="M25" s="196">
        <f t="shared" si="9"/>
        <v>0</v>
      </c>
      <c r="N25" s="196">
        <f t="shared" si="3"/>
        <v>0</v>
      </c>
    </row>
    <row r="26" spans="1:14" ht="15" thickBot="1" x14ac:dyDescent="0.4">
      <c r="A26" s="349">
        <v>616972</v>
      </c>
      <c r="B26" s="350">
        <v>114</v>
      </c>
      <c r="C26" s="350">
        <v>1.1206982137366777</v>
      </c>
      <c r="D26" s="351">
        <v>85</v>
      </c>
      <c r="E26" s="196">
        <f t="shared" si="4"/>
        <v>127.75959636598125</v>
      </c>
      <c r="F26" s="196">
        <f t="shared" si="5"/>
        <v>11.303079065722811</v>
      </c>
      <c r="G26" s="196">
        <f t="shared" si="6"/>
        <v>0</v>
      </c>
      <c r="H26" s="196">
        <f t="shared" si="0"/>
        <v>0</v>
      </c>
      <c r="I26" s="196">
        <f t="shared" si="7"/>
        <v>7.5200747960586272</v>
      </c>
      <c r="J26" s="196">
        <f t="shared" si="8"/>
        <v>15</v>
      </c>
      <c r="K26" s="196">
        <f t="shared" si="1"/>
        <v>0</v>
      </c>
      <c r="L26" s="196">
        <f t="shared" si="2"/>
        <v>0</v>
      </c>
      <c r="M26" s="196">
        <f t="shared" si="9"/>
        <v>0</v>
      </c>
      <c r="N26" s="196">
        <f t="shared" si="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8A271-7024-4057-9ECA-C32C3E1D6F90}">
  <sheetPr codeName="Sheet20"/>
  <dimension ref="A1:N30"/>
  <sheetViews>
    <sheetView topLeftCell="E1" zoomScale="114" workbookViewId="0">
      <selection activeCell="U4" sqref="U4"/>
    </sheetView>
  </sheetViews>
  <sheetFormatPr defaultRowHeight="14.5" x14ac:dyDescent="0.35"/>
  <cols>
    <col min="1" max="1" width="24.5" style="196" bestFit="1" customWidth="1"/>
    <col min="2" max="5" width="8.6640625" style="196"/>
    <col min="6" max="6" width="17.5" style="196" bestFit="1" customWidth="1"/>
    <col min="7" max="16384" width="8.6640625" style="196"/>
  </cols>
  <sheetData>
    <row r="1" spans="1:14" x14ac:dyDescent="0.35">
      <c r="F1" s="196" t="s">
        <v>2567</v>
      </c>
      <c r="G1" s="196">
        <f>MAX(G6:G30)</f>
        <v>6076.2057335463869</v>
      </c>
      <c r="H1" s="196">
        <f t="shared" ref="H1:M1" si="0">MAX(H6:H30)</f>
        <v>6185.488739078557</v>
      </c>
      <c r="I1" s="196">
        <f t="shared" si="0"/>
        <v>6151.4636921069623</v>
      </c>
      <c r="J1" s="196">
        <f t="shared" si="0"/>
        <v>5989.3352202358474</v>
      </c>
      <c r="K1" s="196">
        <f t="shared" si="0"/>
        <v>5735.3376835298732</v>
      </c>
      <c r="L1" s="196">
        <f t="shared" si="0"/>
        <v>5412.5805086972669</v>
      </c>
      <c r="M1" s="196">
        <f t="shared" si="0"/>
        <v>5051.0766951101077</v>
      </c>
      <c r="N1" s="196">
        <f>MAX(G1:M1)</f>
        <v>6185.488739078557</v>
      </c>
    </row>
    <row r="2" spans="1:14" x14ac:dyDescent="0.35">
      <c r="F2" s="196" t="s">
        <v>2568</v>
      </c>
      <c r="G2" s="196">
        <f>_xlfn.XLOOKUP(G1,G6:G30,$F$6:$F$30,,0)</f>
        <v>3</v>
      </c>
      <c r="H2" s="196">
        <f t="shared" ref="H2:M2" si="1">_xlfn.XLOOKUP(H1,H6:H30,$F$6:$F$30,,0)</f>
        <v>5</v>
      </c>
      <c r="I2" s="196">
        <f t="shared" si="1"/>
        <v>7</v>
      </c>
      <c r="J2" s="196">
        <f t="shared" si="1"/>
        <v>8</v>
      </c>
      <c r="K2" s="196">
        <f t="shared" si="1"/>
        <v>8</v>
      </c>
      <c r="L2" s="196">
        <f t="shared" si="1"/>
        <v>9</v>
      </c>
      <c r="M2" s="196">
        <f t="shared" si="1"/>
        <v>9</v>
      </c>
    </row>
    <row r="3" spans="1:14" x14ac:dyDescent="0.35">
      <c r="A3" s="196" t="s">
        <v>2569</v>
      </c>
      <c r="B3" s="196">
        <v>150</v>
      </c>
    </row>
    <row r="4" spans="1:14" x14ac:dyDescent="0.35">
      <c r="A4" s="196" t="s">
        <v>2570</v>
      </c>
      <c r="B4" s="196">
        <v>0.15</v>
      </c>
    </row>
    <row r="5" spans="1:14" x14ac:dyDescent="0.35">
      <c r="A5" s="196" t="s">
        <v>2571</v>
      </c>
      <c r="B5" s="196">
        <f>0.15+0.0001*(B3-1000)</f>
        <v>6.4999999999999988E-2</v>
      </c>
      <c r="F5" s="196">
        <f>B15</f>
        <v>6185.488739078557</v>
      </c>
      <c r="G5" s="196">
        <v>100</v>
      </c>
      <c r="H5" s="196">
        <v>150</v>
      </c>
      <c r="I5" s="196">
        <v>200</v>
      </c>
      <c r="J5" s="196">
        <v>250</v>
      </c>
      <c r="K5" s="196">
        <v>300</v>
      </c>
      <c r="L5" s="196">
        <v>350</v>
      </c>
      <c r="M5" s="196">
        <v>400</v>
      </c>
    </row>
    <row r="6" spans="1:14" x14ac:dyDescent="0.35">
      <c r="A6" s="196" t="s">
        <v>2572</v>
      </c>
      <c r="B6" s="196">
        <f>B4-B5</f>
        <v>8.5000000000000006E-2</v>
      </c>
      <c r="F6" s="196">
        <v>1</v>
      </c>
      <c r="G6" s="196">
        <f t="dataTable" ref="G6:M30" dt2D="1" dtr="1" r1="B3" r2="B9"/>
        <v>5825.3950057918528</v>
      </c>
      <c r="H6" s="196">
        <v>5618.8216705279019</v>
      </c>
      <c r="I6" s="196">
        <v>5342.0125028959264</v>
      </c>
      <c r="J6" s="196">
        <v>5037.1090023167417</v>
      </c>
      <c r="K6" s="196">
        <v>4718.1583352639509</v>
      </c>
      <c r="L6" s="196">
        <v>4391.1807159405298</v>
      </c>
      <c r="M6" s="196">
        <v>4059.1862514479631</v>
      </c>
    </row>
    <row r="7" spans="1:14" x14ac:dyDescent="0.35">
      <c r="A7" s="196" t="s">
        <v>2573</v>
      </c>
      <c r="B7" s="196">
        <v>0.5</v>
      </c>
      <c r="F7" s="196">
        <v>2</v>
      </c>
      <c r="G7" s="196">
        <v>6052.4059660551065</v>
      </c>
      <c r="H7" s="196">
        <v>5952.1373107034051</v>
      </c>
      <c r="I7" s="196">
        <v>5710.2829830275532</v>
      </c>
      <c r="J7" s="196">
        <v>5411.7943864220433</v>
      </c>
      <c r="K7" s="196">
        <v>5084.9886553517017</v>
      </c>
      <c r="L7" s="196">
        <v>4742.0017045871737</v>
      </c>
      <c r="M7" s="196">
        <v>4388.9014915137759</v>
      </c>
    </row>
    <row r="8" spans="1:14" x14ac:dyDescent="0.35">
      <c r="F8" s="196">
        <v>3</v>
      </c>
      <c r="G8" s="196">
        <v>6076.2057335463869</v>
      </c>
      <c r="H8" s="196">
        <v>6087.0538223642588</v>
      </c>
      <c r="I8" s="196">
        <v>5888.8528667731935</v>
      </c>
      <c r="J8" s="196">
        <v>5607.0322934185551</v>
      </c>
      <c r="K8" s="196">
        <v>5283.401911182129</v>
      </c>
      <c r="L8" s="196">
        <v>4935.8802095846822</v>
      </c>
      <c r="M8" s="196">
        <v>4573.4264333865967</v>
      </c>
    </row>
    <row r="9" spans="1:14" x14ac:dyDescent="0.35">
      <c r="A9" s="196" t="s">
        <v>2574</v>
      </c>
      <c r="B9" s="196">
        <v>5</v>
      </c>
      <c r="F9" s="196">
        <v>4</v>
      </c>
      <c r="G9" s="196">
        <v>6030.0988010582387</v>
      </c>
      <c r="H9" s="196">
        <v>6157.8908673721598</v>
      </c>
      <c r="I9" s="196">
        <v>6008.0044005291193</v>
      </c>
      <c r="J9" s="196">
        <v>5747.046520423296</v>
      </c>
      <c r="K9" s="196">
        <v>5430.5529336860791</v>
      </c>
      <c r="L9" s="196">
        <v>5082.3246574452114</v>
      </c>
      <c r="M9" s="196">
        <v>4714.2622002645594</v>
      </c>
    </row>
    <row r="10" spans="1:14" x14ac:dyDescent="0.35">
      <c r="F10" s="196">
        <v>5</v>
      </c>
      <c r="G10" s="196">
        <v>5947.8581086178365</v>
      </c>
      <c r="H10" s="196">
        <v>6185.488739078557</v>
      </c>
      <c r="I10" s="196">
        <v>6082.2790543089177</v>
      </c>
      <c r="J10" s="196">
        <v>5842.7332434471336</v>
      </c>
      <c r="K10" s="196">
        <v>5535.0193695392782</v>
      </c>
      <c r="L10" s="196">
        <v>5188.3523167479534</v>
      </c>
      <c r="M10" s="196">
        <v>4817.3395271544578</v>
      </c>
    </row>
    <row r="11" spans="1:14" x14ac:dyDescent="0.35">
      <c r="F11" s="196">
        <v>6</v>
      </c>
      <c r="G11" s="196">
        <v>5795.6532272767663</v>
      </c>
      <c r="H11" s="196">
        <v>6177.7688181845106</v>
      </c>
      <c r="I11" s="196">
        <v>6137.4266136383831</v>
      </c>
      <c r="J11" s="196">
        <v>5928.1012909107067</v>
      </c>
      <c r="K11" s="196">
        <v>5634.2844090922554</v>
      </c>
      <c r="L11" s="196">
        <v>5292.1866363647905</v>
      </c>
      <c r="M11" s="196">
        <v>4919.9133068191904</v>
      </c>
    </row>
    <row r="12" spans="1:14" x14ac:dyDescent="0.35">
      <c r="A12" s="196" t="s">
        <v>2575</v>
      </c>
      <c r="B12" s="196">
        <f>SUM(LOGISTICS!L2:L26)</f>
        <v>7548.85</v>
      </c>
      <c r="F12" s="196">
        <v>7</v>
      </c>
      <c r="G12" s="196">
        <v>5509.2173842139255</v>
      </c>
      <c r="H12" s="196">
        <v>6099.136589475951</v>
      </c>
      <c r="I12" s="196">
        <v>6151.4636921069623</v>
      </c>
      <c r="J12" s="196">
        <v>5988.7539536855693</v>
      </c>
      <c r="K12" s="196">
        <v>5718.525794737975</v>
      </c>
      <c r="L12" s="196">
        <v>5386.8585383468362</v>
      </c>
      <c r="M12" s="196">
        <v>5016.7918460534811</v>
      </c>
    </row>
    <row r="13" spans="1:14" x14ac:dyDescent="0.35">
      <c r="A13" s="196" t="s">
        <v>2576</v>
      </c>
      <c r="B13" s="196">
        <f>SUM(LOGISTICS!N2:N26)</f>
        <v>1363.3612609214435</v>
      </c>
      <c r="F13" s="196">
        <v>8</v>
      </c>
      <c r="G13" s="196">
        <v>5298.4130505896192</v>
      </c>
      <c r="H13" s="196">
        <v>6013.0253670597449</v>
      </c>
      <c r="I13" s="196">
        <v>6122.2565252948098</v>
      </c>
      <c r="J13" s="196">
        <v>5989.3352202358474</v>
      </c>
      <c r="K13" s="196">
        <v>5735.3376835298732</v>
      </c>
      <c r="L13" s="196">
        <v>5412.1537287398914</v>
      </c>
      <c r="M13" s="196">
        <v>5045.7282626474043</v>
      </c>
    </row>
    <row r="14" spans="1:14" x14ac:dyDescent="0.35">
      <c r="F14" s="196">
        <v>9</v>
      </c>
      <c r="G14" s="196">
        <v>5081.0067804404307</v>
      </c>
      <c r="H14" s="196">
        <v>5907.8878536269531</v>
      </c>
      <c r="I14" s="196">
        <v>6069.2733902202162</v>
      </c>
      <c r="J14" s="196">
        <v>5964.4607121761719</v>
      </c>
      <c r="K14" s="196">
        <v>5726.548926813477</v>
      </c>
      <c r="L14" s="196">
        <v>5412.5805086972669</v>
      </c>
      <c r="M14" s="196">
        <v>5051.0766951101077</v>
      </c>
    </row>
    <row r="15" spans="1:14" x14ac:dyDescent="0.35">
      <c r="A15" s="196" t="s">
        <v>2577</v>
      </c>
      <c r="B15" s="196">
        <f>B12-B13</f>
        <v>6185.488739078557</v>
      </c>
      <c r="F15" s="196">
        <v>10</v>
      </c>
      <c r="G15" s="196">
        <v>4827.0050068505798</v>
      </c>
      <c r="H15" s="196">
        <v>5778.8783379003862</v>
      </c>
      <c r="I15" s="196">
        <v>5998.7275034252889</v>
      </c>
      <c r="J15" s="196">
        <v>5925.7670027402319</v>
      </c>
      <c r="K15" s="196">
        <v>5706.4016689501932</v>
      </c>
      <c r="L15" s="196">
        <v>5403.3764305287377</v>
      </c>
      <c r="M15" s="196">
        <v>5048.0637517126443</v>
      </c>
    </row>
    <row r="16" spans="1:14" x14ac:dyDescent="0.35">
      <c r="F16" s="196">
        <v>11</v>
      </c>
      <c r="G16" s="196">
        <v>4452.5718247506957</v>
      </c>
      <c r="H16" s="196">
        <v>5547.1562165004634</v>
      </c>
      <c r="I16" s="196">
        <v>5836.5709123753468</v>
      </c>
      <c r="J16" s="196">
        <v>5803.9177299002777</v>
      </c>
      <c r="K16" s="196">
        <v>5610.2306082502309</v>
      </c>
      <c r="L16" s="196">
        <v>5324.5240927859131</v>
      </c>
      <c r="M16" s="196">
        <v>4981.3054561876725</v>
      </c>
    </row>
    <row r="17" spans="6:13" x14ac:dyDescent="0.35">
      <c r="F17" s="196">
        <v>12</v>
      </c>
      <c r="G17" s="196">
        <v>4178.5703699100804</v>
      </c>
      <c r="H17" s="196">
        <v>5376.838579940053</v>
      </c>
      <c r="I17" s="196">
        <v>5716.8601849550396</v>
      </c>
      <c r="J17" s="196">
        <v>5713.583147964031</v>
      </c>
      <c r="K17" s="196">
        <v>5538.6567899700258</v>
      </c>
      <c r="L17" s="196">
        <v>5265.6451056885944</v>
      </c>
      <c r="M17" s="196">
        <v>4931.3300924775194</v>
      </c>
    </row>
    <row r="18" spans="6:13" x14ac:dyDescent="0.35">
      <c r="F18" s="196">
        <v>13</v>
      </c>
      <c r="G18" s="196">
        <v>4070.2787142312573</v>
      </c>
      <c r="H18" s="196">
        <v>5307.6191428208385</v>
      </c>
      <c r="I18" s="196">
        <v>5666.8793571156293</v>
      </c>
      <c r="J18" s="196">
        <v>5674.9074856925035</v>
      </c>
      <c r="K18" s="196">
        <v>5507.3195714104186</v>
      </c>
      <c r="L18" s="196">
        <v>5239.3796326375023</v>
      </c>
      <c r="M18" s="196">
        <v>4908.7196785578144</v>
      </c>
    </row>
    <row r="19" spans="6:13" x14ac:dyDescent="0.35">
      <c r="F19" s="196">
        <v>14</v>
      </c>
      <c r="G19" s="196">
        <v>3943.1107458919787</v>
      </c>
      <c r="H19" s="196">
        <v>5226.1904972613202</v>
      </c>
      <c r="I19" s="196">
        <v>5607.9853729459901</v>
      </c>
      <c r="J19" s="196">
        <v>5629.2662983567916</v>
      </c>
      <c r="K19" s="196">
        <v>5470.2902486306593</v>
      </c>
      <c r="L19" s="196">
        <v>5208.310213111994</v>
      </c>
      <c r="M19" s="196">
        <v>4881.9526864729951</v>
      </c>
    </row>
    <row r="20" spans="6:13" x14ac:dyDescent="0.35">
      <c r="F20" s="196">
        <v>15</v>
      </c>
      <c r="G20" s="196">
        <v>3832.57308559584</v>
      </c>
      <c r="H20" s="196">
        <v>5154.6237237305613</v>
      </c>
      <c r="I20" s="196">
        <v>5555.6915427979202</v>
      </c>
      <c r="J20" s="196">
        <v>5588.3662342383368</v>
      </c>
      <c r="K20" s="196">
        <v>5436.84436186528</v>
      </c>
      <c r="L20" s="196">
        <v>5180.0673101702396</v>
      </c>
      <c r="M20" s="196">
        <v>4857.5057713989609</v>
      </c>
    </row>
    <row r="21" spans="6:13" x14ac:dyDescent="0.35">
      <c r="F21" s="196">
        <v>16</v>
      </c>
      <c r="G21" s="196">
        <v>3672.729830497693</v>
      </c>
      <c r="H21" s="196">
        <v>5050.5365536651316</v>
      </c>
      <c r="I21" s="196">
        <v>5479.2349152488478</v>
      </c>
      <c r="J21" s="196">
        <v>5528.2899321990772</v>
      </c>
      <c r="K21" s="196">
        <v>5387.5232768325641</v>
      </c>
      <c r="L21" s="196">
        <v>5138.2870944279111</v>
      </c>
      <c r="M21" s="196">
        <v>4821.2574576244242</v>
      </c>
    </row>
    <row r="22" spans="6:13" x14ac:dyDescent="0.35">
      <c r="F22" s="196">
        <v>17</v>
      </c>
      <c r="G22" s="196">
        <v>3087.9881600366052</v>
      </c>
      <c r="H22" s="196">
        <v>4669.3587733577378</v>
      </c>
      <c r="I22" s="196">
        <v>5198.9740800183026</v>
      </c>
      <c r="J22" s="196">
        <v>5307.8872640146419</v>
      </c>
      <c r="K22" s="196">
        <v>5206.4493866788671</v>
      </c>
      <c r="L22" s="196">
        <v>4984.8109028676008</v>
      </c>
      <c r="M22" s="196">
        <v>4688.0470400091517</v>
      </c>
    </row>
    <row r="23" spans="6:13" x14ac:dyDescent="0.35">
      <c r="F23" s="196">
        <v>18</v>
      </c>
      <c r="G23" s="196">
        <v>3030.163069014041</v>
      </c>
      <c r="H23" s="196">
        <v>4631.4587126760262</v>
      </c>
      <c r="I23" s="196">
        <v>5170.9715345070199</v>
      </c>
      <c r="J23" s="196">
        <v>5285.7712276056163</v>
      </c>
      <c r="K23" s="196">
        <v>5188.2143563380123</v>
      </c>
      <c r="L23" s="196">
        <v>4969.3108768611528</v>
      </c>
      <c r="M23" s="196">
        <v>4674.5657672535108</v>
      </c>
    </row>
    <row r="24" spans="6:13" x14ac:dyDescent="0.35">
      <c r="F24" s="196">
        <v>19</v>
      </c>
      <c r="G24" s="196">
        <v>2851.1205172837608</v>
      </c>
      <c r="H24" s="196">
        <v>4513.6470115225084</v>
      </c>
      <c r="I24" s="196">
        <v>5083.6202586418804</v>
      </c>
      <c r="J24" s="196">
        <v>5216.5722069135045</v>
      </c>
      <c r="K24" s="196">
        <v>5131.0135057612533</v>
      </c>
      <c r="L24" s="196">
        <v>4920.5915763667872</v>
      </c>
      <c r="M24" s="196">
        <v>4632.1301293209408</v>
      </c>
    </row>
    <row r="25" spans="6:13" x14ac:dyDescent="0.35">
      <c r="F25" s="196">
        <v>20</v>
      </c>
      <c r="G25" s="196">
        <v>2682.2283238249656</v>
      </c>
      <c r="H25" s="196">
        <v>4402.0272158833104</v>
      </c>
      <c r="I25" s="196">
        <v>5000.539161912483</v>
      </c>
      <c r="J25" s="196">
        <v>5150.5363295299867</v>
      </c>
      <c r="K25" s="196">
        <v>5076.2761079416541</v>
      </c>
      <c r="L25" s="196">
        <v>4873.8688068071324</v>
      </c>
      <c r="M25" s="196">
        <v>4591.3695809562432</v>
      </c>
    </row>
    <row r="26" spans="6:13" x14ac:dyDescent="0.35">
      <c r="F26" s="196">
        <v>21</v>
      </c>
      <c r="G26" s="196">
        <v>2557.5917651850095</v>
      </c>
      <c r="H26" s="196">
        <v>4319.3861767900062</v>
      </c>
      <c r="I26" s="196">
        <v>4938.8508825925055</v>
      </c>
      <c r="J26" s="196">
        <v>5101.3837060740043</v>
      </c>
      <c r="K26" s="196">
        <v>5035.4505883950023</v>
      </c>
      <c r="L26" s="196">
        <v>4838.9655043385737</v>
      </c>
      <c r="M26" s="196">
        <v>4560.8854412962537</v>
      </c>
    </row>
    <row r="27" spans="6:13" x14ac:dyDescent="0.35">
      <c r="F27" s="196">
        <v>22</v>
      </c>
      <c r="G27" s="196">
        <v>2274.7031053715291</v>
      </c>
      <c r="H27" s="196">
        <v>4131.7687369143514</v>
      </c>
      <c r="I27" s="196">
        <v>4798.7715526857655</v>
      </c>
      <c r="J27" s="196">
        <v>4989.7492421486113</v>
      </c>
      <c r="K27" s="196">
        <v>4942.7143684571747</v>
      </c>
      <c r="L27" s="196">
        <v>4759.6723158204359</v>
      </c>
      <c r="M27" s="196">
        <v>4491.6257763428839</v>
      </c>
    </row>
    <row r="28" spans="6:13" x14ac:dyDescent="0.35">
      <c r="F28" s="196">
        <v>23</v>
      </c>
      <c r="G28" s="196">
        <v>1782.3712217801067</v>
      </c>
      <c r="H28" s="196">
        <v>3804.4974811867378</v>
      </c>
      <c r="I28" s="196">
        <v>4553.9356108900538</v>
      </c>
      <c r="J28" s="196">
        <v>4794.2984887120419</v>
      </c>
      <c r="K28" s="196">
        <v>4780.123740593368</v>
      </c>
      <c r="L28" s="196">
        <v>4620.4989205086003</v>
      </c>
      <c r="M28" s="196">
        <v>4369.9678054450278</v>
      </c>
    </row>
    <row r="29" spans="6:13" x14ac:dyDescent="0.35">
      <c r="F29" s="196">
        <v>24</v>
      </c>
      <c r="G29" s="196">
        <v>1343.6257575989102</v>
      </c>
      <c r="H29" s="196">
        <v>3512.5255050659398</v>
      </c>
      <c r="I29" s="196">
        <v>4335.2978787994543</v>
      </c>
      <c r="J29" s="196">
        <v>4619.6193030395625</v>
      </c>
      <c r="K29" s="196">
        <v>4634.7152525329693</v>
      </c>
      <c r="L29" s="196">
        <v>4495.9680735996862</v>
      </c>
      <c r="M29" s="196">
        <v>4261.0689393997282</v>
      </c>
    </row>
    <row r="30" spans="6:13" x14ac:dyDescent="0.35">
      <c r="F30" s="196">
        <v>25</v>
      </c>
      <c r="G30" s="196">
        <v>1129.9736657527355</v>
      </c>
      <c r="H30" s="196">
        <v>3370.2907771684904</v>
      </c>
      <c r="I30" s="196">
        <v>4228.751832876369</v>
      </c>
      <c r="J30" s="196">
        <v>4534.4704663010934</v>
      </c>
      <c r="K30" s="196">
        <v>4563.8178885842444</v>
      </c>
      <c r="L30" s="196">
        <v>4435.2389045007803</v>
      </c>
      <c r="M30" s="196">
        <v>4207.9559164381844</v>
      </c>
    </row>
  </sheetData>
  <conditionalFormatting sqref="G6:M30">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VBA(1)</vt:lpstr>
      <vt:lpstr>VBA(2)</vt:lpstr>
      <vt:lpstr>VBA(3)</vt:lpstr>
      <vt:lpstr>VBA(4)</vt:lpstr>
      <vt:lpstr>VBA code</vt:lpstr>
      <vt:lpstr>Set1</vt:lpstr>
      <vt:lpstr>IF</vt:lpstr>
      <vt:lpstr>Grades</vt:lpstr>
      <vt:lpstr>IFS</vt:lpstr>
      <vt:lpstr>XLookup</vt:lpstr>
      <vt:lpstr>VLookup</vt:lpstr>
      <vt:lpstr>slicers</vt:lpstr>
      <vt:lpstr>Data</vt:lpstr>
      <vt:lpstr>pivot</vt:lpstr>
      <vt:lpstr>finance</vt:lpstr>
      <vt:lpstr>Log</vt:lpstr>
      <vt:lpstr>weighted average forecast</vt:lpstr>
      <vt:lpstr>exer1</vt:lpstr>
      <vt:lpstr>exer2</vt:lpstr>
      <vt:lpstr>exer3</vt:lpstr>
      <vt:lpstr>LOGISTICS</vt:lpstr>
      <vt:lpstr>Logistics opt</vt:lpstr>
      <vt:lpstr>Employee</vt:lpstr>
      <vt:lpstr>Forwardsize</vt:lpstr>
      <vt:lpstr>numSKU</vt:lpstr>
      <vt:lpstr>Period</vt:lpstr>
      <vt:lpstr>Products</vt:lpstr>
      <vt:lpstr>replcost</vt:lpstr>
      <vt:lpstr>savingsperpick</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 GANESH</dc:creator>
  <cp:lastModifiedBy>V GANESH</cp:lastModifiedBy>
  <dcterms:created xsi:type="dcterms:W3CDTF">2025-11-11T04:48:34Z</dcterms:created>
  <dcterms:modified xsi:type="dcterms:W3CDTF">2025-11-22T20:12:34Z</dcterms:modified>
</cp:coreProperties>
</file>